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fspedubr-my.sharepoint.com/personal/felipe_davi_aluno_ifsp_edu_br/Documents/ic - resistecia dos materiais/DAVI FELIPE/Planilhas - IC (Davi)/"/>
    </mc:Choice>
  </mc:AlternateContent>
  <xr:revisionPtr revIDLastSave="219" documentId="13_ncr:1_{153CD3D8-57F2-4892-9763-8CA2607AE4D2}" xr6:coauthVersionLast="47" xr6:coauthVersionMax="47" xr10:uidLastSave="{B7594E59-895B-40D1-A7B3-56FAC1819501}"/>
  <bookViews>
    <workbookView xWindow="-108" yWindow="-108" windowWidth="23256" windowHeight="12456" activeTab="5" xr2:uid="{D20A94E7-66A9-4462-883F-A7CA08AB9F42}"/>
  </bookViews>
  <sheets>
    <sheet name="A10-1" sheetId="1" r:id="rId1"/>
    <sheet name="A10-2" sheetId="2" r:id="rId2"/>
    <sheet name="A10-3" sheetId="3" r:id="rId3"/>
    <sheet name="A10-4" sheetId="4" r:id="rId4"/>
    <sheet name="A10-5" sheetId="5" r:id="rId5"/>
    <sheet name="grafic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4" i="3" l="1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H25" i="6" l="1"/>
  <c r="C625" i="2" l="1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2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K3" i="5" l="1"/>
  <c r="J3" i="5"/>
  <c r="I5" i="5" s="1"/>
  <c r="I3" i="5"/>
  <c r="K3" i="4"/>
  <c r="J3" i="4"/>
  <c r="I5" i="4" s="1"/>
  <c r="E139" i="4" s="1"/>
  <c r="F139" i="4" s="1"/>
  <c r="I3" i="4"/>
  <c r="K3" i="3"/>
  <c r="J3" i="3"/>
  <c r="I3" i="3"/>
  <c r="J3" i="1"/>
  <c r="K3" i="1"/>
  <c r="I3" i="1"/>
  <c r="K3" i="2"/>
  <c r="J3" i="2"/>
  <c r="I3" i="2"/>
  <c r="E257" i="4"/>
  <c r="F257" i="4" s="1"/>
  <c r="E155" i="4"/>
  <c r="F155" i="4" s="1"/>
  <c r="E586" i="4"/>
  <c r="F586" i="4" s="1"/>
  <c r="E626" i="4"/>
  <c r="F626" i="4" s="1"/>
  <c r="E438" i="4"/>
  <c r="F438" i="4" s="1"/>
  <c r="E313" i="4"/>
  <c r="F313" i="4" s="1"/>
  <c r="E169" i="4"/>
  <c r="F169" i="4" s="1"/>
  <c r="E149" i="4"/>
  <c r="F149" i="4" s="1"/>
  <c r="E113" i="4"/>
  <c r="F113" i="4" s="1"/>
  <c r="E89" i="4"/>
  <c r="F89" i="4" s="1"/>
  <c r="E53" i="4"/>
  <c r="F53" i="4" s="1"/>
  <c r="E21" i="4"/>
  <c r="F21" i="4" s="1"/>
  <c r="E386" i="4"/>
  <c r="F386" i="4" s="1"/>
  <c r="E283" i="4"/>
  <c r="F283" i="4" s="1"/>
  <c r="E219" i="4"/>
  <c r="F219" i="4" s="1"/>
  <c r="E128" i="4"/>
  <c r="F128" i="4" s="1"/>
  <c r="E46" i="4"/>
  <c r="F46" i="4" s="1"/>
  <c r="E642" i="4"/>
  <c r="F642" i="4" s="1"/>
  <c r="E366" i="4"/>
  <c r="F366" i="4" s="1"/>
  <c r="E261" i="4"/>
  <c r="F261" i="4" s="1"/>
  <c r="E211" i="4"/>
  <c r="F211" i="4" s="1"/>
  <c r="E142" i="4"/>
  <c r="F142" i="4" s="1"/>
  <c r="E123" i="4"/>
  <c r="F123" i="4" s="1"/>
  <c r="E59" i="4"/>
  <c r="F59" i="4" s="1"/>
  <c r="E27" i="4"/>
  <c r="F27" i="4" s="1"/>
  <c r="E638" i="4"/>
  <c r="F638" i="4" s="1"/>
  <c r="E403" i="4"/>
  <c r="F403" i="4" s="1"/>
  <c r="E317" i="4"/>
  <c r="F317" i="4" s="1"/>
  <c r="E239" i="4"/>
  <c r="F239" i="4" s="1"/>
  <c r="E189" i="4"/>
  <c r="F189" i="4" s="1"/>
  <c r="E127" i="4"/>
  <c r="F127" i="4" s="1"/>
  <c r="E104" i="4"/>
  <c r="F104" i="4" s="1"/>
  <c r="E63" i="4"/>
  <c r="F63" i="4" s="1"/>
  <c r="E40" i="4"/>
  <c r="F40" i="4" s="1"/>
  <c r="E627" i="4"/>
  <c r="F627" i="4" s="1"/>
  <c r="E439" i="4"/>
  <c r="F439" i="4" s="1"/>
  <c r="E390" i="4"/>
  <c r="F390" i="4" s="1"/>
  <c r="E337" i="4"/>
  <c r="F337" i="4" s="1"/>
  <c r="E293" i="4"/>
  <c r="F293" i="4" s="1"/>
  <c r="E243" i="4"/>
  <c r="F243" i="4" s="1"/>
  <c r="E84" i="4"/>
  <c r="F84" i="4" s="1"/>
  <c r="E66" i="4"/>
  <c r="F66" i="4" s="1"/>
  <c r="E20" i="4"/>
  <c r="F20" i="4" s="1"/>
  <c r="E277" i="4"/>
  <c r="F277" i="4" s="1"/>
  <c r="E154" i="4"/>
  <c r="F154" i="4" s="1"/>
  <c r="E60" i="4"/>
  <c r="F60" i="4" s="1"/>
  <c r="E42" i="4"/>
  <c r="F42" i="4" s="1"/>
  <c r="E245" i="4"/>
  <c r="F245" i="4" s="1"/>
  <c r="E131" i="4"/>
  <c r="F131" i="4" s="1"/>
  <c r="E3" i="4"/>
  <c r="F3" i="4" s="1"/>
  <c r="E567" i="4"/>
  <c r="F567" i="4" s="1"/>
  <c r="E419" i="4"/>
  <c r="F419" i="4" s="1"/>
  <c r="E315" i="4"/>
  <c r="F315" i="4" s="1"/>
  <c r="E173" i="4"/>
  <c r="F173" i="4" s="1"/>
  <c r="E140" i="4"/>
  <c r="F140" i="4" s="1"/>
  <c r="E112" i="4"/>
  <c r="F112" i="4" s="1"/>
  <c r="E48" i="4"/>
  <c r="F48" i="4" s="1"/>
  <c r="E30" i="4"/>
  <c r="F30" i="4"/>
  <c r="E299" i="4"/>
  <c r="F299" i="4" s="1"/>
  <c r="E285" i="4"/>
  <c r="F285" i="4" s="1"/>
  <c r="E271" i="4"/>
  <c r="F271" i="4" s="1"/>
  <c r="E120" i="4"/>
  <c r="F120" i="4" s="1"/>
  <c r="E102" i="4"/>
  <c r="F102" i="4" s="1"/>
  <c r="E435" i="4"/>
  <c r="F435" i="4" s="1"/>
  <c r="E415" i="4"/>
  <c r="F415" i="4" s="1"/>
  <c r="E378" i="4"/>
  <c r="F378" i="4" s="1"/>
  <c r="E327" i="4"/>
  <c r="F327" i="4" s="1"/>
  <c r="E227" i="4"/>
  <c r="F227" i="4"/>
  <c r="E213" i="4"/>
  <c r="F213" i="4" s="1"/>
  <c r="E74" i="4"/>
  <c r="F74" i="4" s="1"/>
  <c r="E28" i="4"/>
  <c r="F28" i="4"/>
  <c r="E495" i="4"/>
  <c r="F495" i="4" s="1"/>
  <c r="E430" i="4"/>
  <c r="F430" i="4" s="1"/>
  <c r="E411" i="4"/>
  <c r="F411" i="4" s="1"/>
  <c r="E323" i="4"/>
  <c r="F323" i="4" s="1"/>
  <c r="E309" i="4"/>
  <c r="F309" i="4" s="1"/>
  <c r="E295" i="4"/>
  <c r="F295" i="4"/>
  <c r="E108" i="4"/>
  <c r="F108" i="4" s="1"/>
  <c r="E99" i="4"/>
  <c r="F99" i="4" s="1"/>
  <c r="E90" i="4"/>
  <c r="F90" i="4" s="1"/>
  <c r="E458" i="4"/>
  <c r="F458" i="4" s="1"/>
  <c r="E338" i="4"/>
  <c r="F338" i="4" s="1"/>
  <c r="E88" i="4"/>
  <c r="F88" i="4"/>
  <c r="E7" i="4"/>
  <c r="F7" i="4" s="1"/>
  <c r="E557" i="5" l="1"/>
  <c r="F557" i="5" s="1"/>
  <c r="E52" i="5"/>
  <c r="F52" i="5" s="1"/>
  <c r="E178" i="5"/>
  <c r="F178" i="5" s="1"/>
  <c r="E62" i="5"/>
  <c r="F62" i="5" s="1"/>
  <c r="E285" i="5"/>
  <c r="F285" i="5" s="1"/>
  <c r="E192" i="5"/>
  <c r="F192" i="5" s="1"/>
  <c r="E47" i="5"/>
  <c r="F47" i="5" s="1"/>
  <c r="E72" i="5"/>
  <c r="F72" i="5" s="1"/>
  <c r="E193" i="5"/>
  <c r="F193" i="5" s="1"/>
  <c r="E302" i="5"/>
  <c r="F302" i="5" s="1"/>
  <c r="E133" i="5"/>
  <c r="F133" i="5" s="1"/>
  <c r="E60" i="5"/>
  <c r="F60" i="5" s="1"/>
  <c r="E259" i="5"/>
  <c r="F259" i="5" s="1"/>
  <c r="E100" i="5"/>
  <c r="F100" i="5" s="1"/>
  <c r="E205" i="5"/>
  <c r="F205" i="5" s="1"/>
  <c r="E261" i="5"/>
  <c r="F261" i="5" s="1"/>
  <c r="E358" i="5"/>
  <c r="F358" i="5" s="1"/>
  <c r="E347" i="5"/>
  <c r="F347" i="5" s="1"/>
  <c r="E55" i="5"/>
  <c r="F55" i="5" s="1"/>
  <c r="E125" i="5"/>
  <c r="F125" i="5" s="1"/>
  <c r="E59" i="5"/>
  <c r="F59" i="5" s="1"/>
  <c r="E87" i="5"/>
  <c r="F87" i="5" s="1"/>
  <c r="E40" i="5"/>
  <c r="F40" i="5" s="1"/>
  <c r="E99" i="5"/>
  <c r="F99" i="5" s="1"/>
  <c r="E334" i="5"/>
  <c r="F334" i="5" s="1"/>
  <c r="E403" i="5"/>
  <c r="F403" i="5" s="1"/>
  <c r="E122" i="5"/>
  <c r="F122" i="5" s="1"/>
  <c r="E103" i="5"/>
  <c r="F103" i="5" s="1"/>
  <c r="E234" i="5"/>
  <c r="F234" i="5" s="1"/>
  <c r="E11" i="5"/>
  <c r="F11" i="5" s="1"/>
  <c r="E109" i="5"/>
  <c r="F109" i="5" s="1"/>
  <c r="E191" i="5"/>
  <c r="F191" i="5" s="1"/>
  <c r="E252" i="5"/>
  <c r="F252" i="5" s="1"/>
  <c r="E402" i="5"/>
  <c r="F402" i="5" s="1"/>
  <c r="E471" i="5"/>
  <c r="F471" i="5" s="1"/>
  <c r="E556" i="5"/>
  <c r="F556" i="5" s="1"/>
  <c r="E247" i="5"/>
  <c r="F247" i="5" s="1"/>
  <c r="E304" i="5"/>
  <c r="F304" i="5" s="1"/>
  <c r="E200" i="5"/>
  <c r="F200" i="5" s="1"/>
  <c r="E350" i="5"/>
  <c r="F350" i="5" s="1"/>
  <c r="E79" i="5"/>
  <c r="F79" i="5" s="1"/>
  <c r="E458" i="5"/>
  <c r="F458" i="5" s="1"/>
  <c r="E291" i="5"/>
  <c r="F291" i="5" s="1"/>
  <c r="E355" i="5"/>
  <c r="F355" i="5" s="1"/>
  <c r="E415" i="5"/>
  <c r="F415" i="5" s="1"/>
  <c r="E475" i="5"/>
  <c r="F475" i="5" s="1"/>
  <c r="E412" i="5"/>
  <c r="F412" i="5" s="1"/>
  <c r="E464" i="5"/>
  <c r="F464" i="5" s="1"/>
  <c r="E357" i="5"/>
  <c r="F357" i="5" s="1"/>
  <c r="E104" i="5"/>
  <c r="F104" i="5" s="1"/>
  <c r="E171" i="5"/>
  <c r="F171" i="5" s="1"/>
  <c r="E89" i="5"/>
  <c r="F89" i="5" s="1"/>
  <c r="E251" i="5"/>
  <c r="F251" i="5" s="1"/>
  <c r="E141" i="5"/>
  <c r="F141" i="5" s="1"/>
  <c r="E80" i="5"/>
  <c r="F80" i="5" s="1"/>
  <c r="E18" i="5"/>
  <c r="F18" i="5" s="1"/>
  <c r="E221" i="5"/>
  <c r="F221" i="5" s="1"/>
  <c r="E84" i="5"/>
  <c r="F84" i="5" s="1"/>
  <c r="E207" i="5"/>
  <c r="F207" i="5" s="1"/>
  <c r="E289" i="5"/>
  <c r="F289" i="5" s="1"/>
  <c r="E63" i="5"/>
  <c r="F63" i="5" s="1"/>
  <c r="E14" i="5"/>
  <c r="F14" i="5" s="1"/>
  <c r="E294" i="5"/>
  <c r="F294" i="5" s="1"/>
  <c r="E510" i="5"/>
  <c r="F510" i="5" s="1"/>
  <c r="E204" i="5"/>
  <c r="F204" i="5" s="1"/>
  <c r="E314" i="5"/>
  <c r="F314" i="5" s="1"/>
  <c r="E83" i="5"/>
  <c r="F83" i="5" s="1"/>
  <c r="E216" i="5"/>
  <c r="F216" i="5" s="1"/>
  <c r="E454" i="5"/>
  <c r="F454" i="5" s="1"/>
  <c r="E88" i="5"/>
  <c r="F88" i="5" s="1"/>
  <c r="E241" i="5"/>
  <c r="F241" i="5" s="1"/>
  <c r="E78" i="5"/>
  <c r="F78" i="5" s="1"/>
  <c r="E134" i="5"/>
  <c r="F134" i="5" s="1"/>
  <c r="E246" i="5"/>
  <c r="F246" i="5" s="1"/>
  <c r="E374" i="5"/>
  <c r="F374" i="5" s="1"/>
  <c r="E410" i="5"/>
  <c r="F410" i="5" s="1"/>
  <c r="E359" i="5"/>
  <c r="F359" i="5" s="1"/>
  <c r="E427" i="5"/>
  <c r="F427" i="5" s="1"/>
  <c r="E487" i="5"/>
  <c r="F487" i="5" s="1"/>
  <c r="E543" i="5"/>
  <c r="F543" i="5" s="1"/>
  <c r="E564" i="5"/>
  <c r="F564" i="5" s="1"/>
  <c r="E373" i="5"/>
  <c r="F373" i="5" s="1"/>
  <c r="E493" i="5"/>
  <c r="F493" i="5" s="1"/>
  <c r="E404" i="5"/>
  <c r="F404" i="5" s="1"/>
  <c r="E461" i="5"/>
  <c r="F461" i="5" s="1"/>
  <c r="E9" i="5"/>
  <c r="F9" i="5" s="1"/>
  <c r="E113" i="5"/>
  <c r="F113" i="5" s="1"/>
  <c r="E7" i="5"/>
  <c r="F7" i="5" s="1"/>
  <c r="E196" i="5"/>
  <c r="F196" i="5" s="1"/>
  <c r="E414" i="5"/>
  <c r="F414" i="5" s="1"/>
  <c r="E157" i="5"/>
  <c r="F157" i="5" s="1"/>
  <c r="E181" i="5"/>
  <c r="F181" i="5" s="1"/>
  <c r="E422" i="5"/>
  <c r="F422" i="5" s="1"/>
  <c r="E120" i="5"/>
  <c r="F120" i="5" s="1"/>
  <c r="E470" i="5"/>
  <c r="F470" i="5" s="1"/>
  <c r="E372" i="5"/>
  <c r="F372" i="5" s="1"/>
  <c r="E381" i="5"/>
  <c r="F381" i="5" s="1"/>
  <c r="E167" i="5"/>
  <c r="F167" i="5" s="1"/>
  <c r="E219" i="5"/>
  <c r="F219" i="5" s="1"/>
  <c r="E36" i="5"/>
  <c r="F36" i="5" s="1"/>
  <c r="E267" i="5"/>
  <c r="F267" i="5" s="1"/>
  <c r="E96" i="5"/>
  <c r="F96" i="5" s="1"/>
  <c r="E2" i="5"/>
  <c r="F2" i="5" s="1"/>
  <c r="E39" i="5"/>
  <c r="F39" i="5" s="1"/>
  <c r="E237" i="5"/>
  <c r="F237" i="5" s="1"/>
  <c r="E91" i="5"/>
  <c r="F91" i="5" s="1"/>
  <c r="E159" i="5"/>
  <c r="F159" i="5" s="1"/>
  <c r="E430" i="5"/>
  <c r="F430" i="5" s="1"/>
  <c r="E77" i="5"/>
  <c r="F77" i="5" s="1"/>
  <c r="E195" i="5"/>
  <c r="F195" i="5" s="1"/>
  <c r="E41" i="5"/>
  <c r="F41" i="5" s="1"/>
  <c r="E21" i="5"/>
  <c r="F21" i="5" s="1"/>
  <c r="E197" i="5"/>
  <c r="F197" i="5" s="1"/>
  <c r="E143" i="5"/>
  <c r="F143" i="5" s="1"/>
  <c r="E228" i="5"/>
  <c r="F228" i="5" s="1"/>
  <c r="E486" i="5"/>
  <c r="F486" i="5" s="1"/>
  <c r="E386" i="5"/>
  <c r="F386" i="5" s="1"/>
  <c r="E124" i="5"/>
  <c r="F124" i="5" s="1"/>
  <c r="E248" i="5"/>
  <c r="F248" i="5" s="1"/>
  <c r="E8" i="5"/>
  <c r="F8" i="5" s="1"/>
  <c r="E273" i="5"/>
  <c r="F273" i="5" s="1"/>
  <c r="E418" i="5"/>
  <c r="F418" i="5" s="1"/>
  <c r="E278" i="5"/>
  <c r="F278" i="5" s="1"/>
  <c r="E34" i="5"/>
  <c r="F34" i="5" s="1"/>
  <c r="E154" i="5"/>
  <c r="F154" i="5" s="1"/>
  <c r="E206" i="5"/>
  <c r="F206" i="5" s="1"/>
  <c r="E258" i="5"/>
  <c r="F258" i="5" s="1"/>
  <c r="E534" i="5"/>
  <c r="F534" i="5" s="1"/>
  <c r="E311" i="5"/>
  <c r="F311" i="5" s="1"/>
  <c r="E379" i="5"/>
  <c r="F379" i="5" s="1"/>
  <c r="E439" i="5"/>
  <c r="F439" i="5" s="1"/>
  <c r="E563" i="5"/>
  <c r="F563" i="5" s="1"/>
  <c r="E528" i="5"/>
  <c r="F528" i="5" s="1"/>
  <c r="E525" i="5"/>
  <c r="F525" i="5" s="1"/>
  <c r="E17" i="5"/>
  <c r="F17" i="5" s="1"/>
  <c r="E155" i="5"/>
  <c r="F155" i="5" s="1"/>
  <c r="E382" i="5"/>
  <c r="F382" i="5" s="1"/>
  <c r="E271" i="5"/>
  <c r="F271" i="5" s="1"/>
  <c r="E127" i="5"/>
  <c r="F127" i="5" s="1"/>
  <c r="E225" i="5"/>
  <c r="F225" i="5" s="1"/>
  <c r="E366" i="5"/>
  <c r="F366" i="5" s="1"/>
  <c r="E212" i="5"/>
  <c r="F212" i="5" s="1"/>
  <c r="E224" i="5"/>
  <c r="F224" i="5" s="1"/>
  <c r="E554" i="5"/>
  <c r="F554" i="5" s="1"/>
  <c r="E442" i="5"/>
  <c r="F442" i="5" s="1"/>
  <c r="E517" i="5"/>
  <c r="F517" i="5" s="1"/>
  <c r="E29" i="5"/>
  <c r="F29" i="5" s="1"/>
  <c r="E15" i="5"/>
  <c r="F15" i="5" s="1"/>
  <c r="E263" i="5"/>
  <c r="F263" i="5" s="1"/>
  <c r="E73" i="5"/>
  <c r="F73" i="5" s="1"/>
  <c r="E187" i="5"/>
  <c r="F187" i="5" s="1"/>
  <c r="E3" i="5"/>
  <c r="F3" i="5" s="1"/>
  <c r="E151" i="5"/>
  <c r="F151" i="5" s="1"/>
  <c r="E173" i="5"/>
  <c r="F173" i="5" s="1"/>
  <c r="E253" i="5"/>
  <c r="F253" i="5" s="1"/>
  <c r="E25" i="5"/>
  <c r="F25" i="5" s="1"/>
  <c r="E105" i="5"/>
  <c r="F105" i="5" s="1"/>
  <c r="E239" i="5"/>
  <c r="F239" i="5" s="1"/>
  <c r="E13" i="5"/>
  <c r="F13" i="5" s="1"/>
  <c r="E107" i="5"/>
  <c r="F107" i="5" s="1"/>
  <c r="E49" i="5"/>
  <c r="F49" i="5" s="1"/>
  <c r="E213" i="5"/>
  <c r="F213" i="5" s="1"/>
  <c r="E67" i="5"/>
  <c r="F67" i="5" s="1"/>
  <c r="E149" i="5"/>
  <c r="F149" i="5" s="1"/>
  <c r="E514" i="5"/>
  <c r="F514" i="5" s="1"/>
  <c r="E256" i="5"/>
  <c r="F256" i="5" s="1"/>
  <c r="E12" i="5"/>
  <c r="F12" i="5" s="1"/>
  <c r="E147" i="5"/>
  <c r="F147" i="5" s="1"/>
  <c r="E322" i="5"/>
  <c r="F322" i="5" s="1"/>
  <c r="E292" i="5"/>
  <c r="F292" i="5" s="1"/>
  <c r="E42" i="5"/>
  <c r="F42" i="5" s="1"/>
  <c r="E214" i="5"/>
  <c r="F214" i="5" s="1"/>
  <c r="E266" i="5"/>
  <c r="F266" i="5" s="1"/>
  <c r="E323" i="5"/>
  <c r="F323" i="5" s="1"/>
  <c r="E447" i="5"/>
  <c r="F447" i="5" s="1"/>
  <c r="E567" i="5"/>
  <c r="F567" i="5" s="1"/>
  <c r="E332" i="5"/>
  <c r="F332" i="5" s="1"/>
  <c r="E384" i="5"/>
  <c r="F384" i="5" s="1"/>
  <c r="E432" i="5"/>
  <c r="F432" i="5" s="1"/>
  <c r="E488" i="5"/>
  <c r="F488" i="5" s="1"/>
  <c r="E536" i="5"/>
  <c r="F536" i="5" s="1"/>
  <c r="E549" i="5"/>
  <c r="F549" i="5" s="1"/>
  <c r="E485" i="5"/>
  <c r="F485" i="5" s="1"/>
  <c r="E437" i="5"/>
  <c r="F437" i="5" s="1"/>
  <c r="E397" i="5"/>
  <c r="F397" i="5" s="1"/>
  <c r="E572" i="5"/>
  <c r="F572" i="5" s="1"/>
  <c r="E552" i="5"/>
  <c r="F552" i="5" s="1"/>
  <c r="E516" i="5"/>
  <c r="F516" i="5" s="1"/>
  <c r="E480" i="5"/>
  <c r="F480" i="5" s="1"/>
  <c r="E440" i="5"/>
  <c r="F440" i="5" s="1"/>
  <c r="E420" i="5"/>
  <c r="F420" i="5" s="1"/>
  <c r="E364" i="5"/>
  <c r="F364" i="5" s="1"/>
  <c r="E320" i="5"/>
  <c r="F320" i="5" s="1"/>
  <c r="E555" i="5"/>
  <c r="F555" i="5" s="1"/>
  <c r="E507" i="5"/>
  <c r="F507" i="5" s="1"/>
  <c r="E483" i="5"/>
  <c r="F483" i="5" s="1"/>
  <c r="E435" i="5"/>
  <c r="F435" i="5" s="1"/>
  <c r="E391" i="5"/>
  <c r="F391" i="5" s="1"/>
  <c r="E367" i="5"/>
  <c r="F367" i="5" s="1"/>
  <c r="E343" i="5"/>
  <c r="F343" i="5" s="1"/>
  <c r="E319" i="5"/>
  <c r="F319" i="5" s="1"/>
  <c r="E299" i="5"/>
  <c r="F299" i="5" s="1"/>
  <c r="E279" i="5"/>
  <c r="F279" i="5" s="1"/>
  <c r="E506" i="5"/>
  <c r="F506" i="5" s="1"/>
  <c r="E346" i="5"/>
  <c r="F346" i="5" s="1"/>
  <c r="E438" i="5"/>
  <c r="F438" i="5" s="1"/>
  <c r="E297" i="5"/>
  <c r="F297" i="5" s="1"/>
  <c r="E222" i="5"/>
  <c r="F222" i="5" s="1"/>
  <c r="E186" i="5"/>
  <c r="F186" i="5" s="1"/>
  <c r="E146" i="5"/>
  <c r="F146" i="5" s="1"/>
  <c r="E98" i="5"/>
  <c r="F98" i="5" s="1"/>
  <c r="E74" i="5"/>
  <c r="F74" i="5" s="1"/>
  <c r="E30" i="5"/>
  <c r="F30" i="5" s="1"/>
  <c r="E466" i="5"/>
  <c r="F466" i="5" s="1"/>
  <c r="E310" i="5"/>
  <c r="F310" i="5" s="1"/>
  <c r="E546" i="5"/>
  <c r="F546" i="5" s="1"/>
  <c r="E542" i="5"/>
  <c r="F542" i="5" s="1"/>
  <c r="E526" i="5"/>
  <c r="F526" i="5" s="1"/>
  <c r="E217" i="5"/>
  <c r="F217" i="5" s="1"/>
  <c r="E161" i="5"/>
  <c r="F161" i="5" s="1"/>
  <c r="E111" i="5"/>
  <c r="F111" i="5" s="1"/>
  <c r="E33" i="5"/>
  <c r="F33" i="5" s="1"/>
  <c r="E290" i="5"/>
  <c r="F290" i="5" s="1"/>
  <c r="E240" i="5"/>
  <c r="F240" i="5" s="1"/>
  <c r="E184" i="5"/>
  <c r="F184" i="5" s="1"/>
  <c r="E115" i="5"/>
  <c r="F115" i="5" s="1"/>
  <c r="E51" i="5"/>
  <c r="F51" i="5" s="1"/>
  <c r="E308" i="5"/>
  <c r="F308" i="5" s="1"/>
  <c r="E558" i="5"/>
  <c r="F558" i="5" s="1"/>
  <c r="E268" i="5"/>
  <c r="F268" i="5" s="1"/>
  <c r="E220" i="5"/>
  <c r="F220" i="5" s="1"/>
  <c r="E172" i="5"/>
  <c r="F172" i="5" s="1"/>
  <c r="E117" i="5"/>
  <c r="F117" i="5" s="1"/>
  <c r="E53" i="5"/>
  <c r="F53" i="5" s="1"/>
  <c r="E165" i="5"/>
  <c r="F165" i="5" s="1"/>
  <c r="E243" i="5"/>
  <c r="F243" i="5" s="1"/>
  <c r="E135" i="5"/>
  <c r="F135" i="5" s="1"/>
  <c r="E541" i="5"/>
  <c r="F541" i="5" s="1"/>
  <c r="E477" i="5"/>
  <c r="F477" i="5" s="1"/>
  <c r="E389" i="5"/>
  <c r="F389" i="5" s="1"/>
  <c r="E349" i="5"/>
  <c r="F349" i="5" s="1"/>
  <c r="E568" i="5"/>
  <c r="F568" i="5" s="1"/>
  <c r="E532" i="5"/>
  <c r="F532" i="5" s="1"/>
  <c r="E496" i="5"/>
  <c r="F496" i="5" s="1"/>
  <c r="E460" i="5"/>
  <c r="F460" i="5" s="1"/>
  <c r="E400" i="5"/>
  <c r="F400" i="5" s="1"/>
  <c r="E380" i="5"/>
  <c r="F380" i="5" s="1"/>
  <c r="E360" i="5"/>
  <c r="F360" i="5" s="1"/>
  <c r="E340" i="5"/>
  <c r="F340" i="5" s="1"/>
  <c r="E551" i="5"/>
  <c r="F551" i="5" s="1"/>
  <c r="E527" i="5"/>
  <c r="F527" i="5" s="1"/>
  <c r="E503" i="5"/>
  <c r="F503" i="5" s="1"/>
  <c r="E479" i="5"/>
  <c r="F479" i="5" s="1"/>
  <c r="E459" i="5"/>
  <c r="F459" i="5" s="1"/>
  <c r="E411" i="5"/>
  <c r="F411" i="5" s="1"/>
  <c r="E387" i="5"/>
  <c r="F387" i="5" s="1"/>
  <c r="E339" i="5"/>
  <c r="F339" i="5" s="1"/>
  <c r="E295" i="5"/>
  <c r="F295" i="5" s="1"/>
  <c r="E474" i="5"/>
  <c r="F474" i="5" s="1"/>
  <c r="E262" i="5"/>
  <c r="F262" i="5" s="1"/>
  <c r="E242" i="5"/>
  <c r="F242" i="5" s="1"/>
  <c r="E202" i="5"/>
  <c r="F202" i="5" s="1"/>
  <c r="E182" i="5"/>
  <c r="F182" i="5" s="1"/>
  <c r="E162" i="5"/>
  <c r="F162" i="5" s="1"/>
  <c r="E142" i="5"/>
  <c r="F142" i="5" s="1"/>
  <c r="E118" i="5"/>
  <c r="F118" i="5" s="1"/>
  <c r="E94" i="5"/>
  <c r="F94" i="5" s="1"/>
  <c r="E70" i="5"/>
  <c r="F70" i="5" s="1"/>
  <c r="E50" i="5"/>
  <c r="F50" i="5" s="1"/>
  <c r="E301" i="5"/>
  <c r="F301" i="5" s="1"/>
  <c r="E522" i="5"/>
  <c r="F522" i="5" s="1"/>
  <c r="E309" i="5"/>
  <c r="F309" i="5" s="1"/>
  <c r="E478" i="5"/>
  <c r="F478" i="5" s="1"/>
  <c r="E462" i="5"/>
  <c r="F462" i="5" s="1"/>
  <c r="E265" i="5"/>
  <c r="F265" i="5" s="1"/>
  <c r="E209" i="5"/>
  <c r="F209" i="5" s="1"/>
  <c r="E24" i="5"/>
  <c r="F24" i="5" s="1"/>
  <c r="E4" i="5"/>
  <c r="F4" i="5" s="1"/>
  <c r="E281" i="5"/>
  <c r="F281" i="5" s="1"/>
  <c r="E232" i="5"/>
  <c r="F232" i="5" s="1"/>
  <c r="E176" i="5"/>
  <c r="F176" i="5" s="1"/>
  <c r="E37" i="5"/>
  <c r="F37" i="5" s="1"/>
  <c r="E145" i="5"/>
  <c r="F145" i="5" s="1"/>
  <c r="E550" i="5"/>
  <c r="F550" i="5" s="1"/>
  <c r="E260" i="5"/>
  <c r="F260" i="5" s="1"/>
  <c r="E164" i="5"/>
  <c r="F164" i="5" s="1"/>
  <c r="E108" i="5"/>
  <c r="F108" i="5" s="1"/>
  <c r="E44" i="5"/>
  <c r="F44" i="5" s="1"/>
  <c r="E245" i="5"/>
  <c r="F245" i="5" s="1"/>
  <c r="E137" i="5"/>
  <c r="F137" i="5" s="1"/>
  <c r="E43" i="5"/>
  <c r="F43" i="5" s="1"/>
  <c r="E148" i="5"/>
  <c r="F148" i="5" s="1"/>
  <c r="E27" i="5"/>
  <c r="F27" i="5" s="1"/>
  <c r="E227" i="5"/>
  <c r="F227" i="5" s="1"/>
  <c r="E533" i="5"/>
  <c r="F533" i="5" s="1"/>
  <c r="E469" i="5"/>
  <c r="F469" i="5" s="1"/>
  <c r="E429" i="5"/>
  <c r="F429" i="5" s="1"/>
  <c r="E341" i="5"/>
  <c r="F341" i="5" s="1"/>
  <c r="E548" i="5"/>
  <c r="F548" i="5" s="1"/>
  <c r="E512" i="5"/>
  <c r="F512" i="5" s="1"/>
  <c r="E476" i="5"/>
  <c r="F476" i="5" s="1"/>
  <c r="E456" i="5"/>
  <c r="F456" i="5" s="1"/>
  <c r="E436" i="5"/>
  <c r="F436" i="5" s="1"/>
  <c r="E416" i="5"/>
  <c r="F416" i="5" s="1"/>
  <c r="E376" i="5"/>
  <c r="F376" i="5" s="1"/>
  <c r="E356" i="5"/>
  <c r="F356" i="5" s="1"/>
  <c r="E336" i="5"/>
  <c r="F336" i="5" s="1"/>
  <c r="E316" i="5"/>
  <c r="F316" i="5" s="1"/>
  <c r="E571" i="5"/>
  <c r="F571" i="5" s="1"/>
  <c r="E547" i="5"/>
  <c r="F547" i="5" s="1"/>
  <c r="E499" i="5"/>
  <c r="F499" i="5" s="1"/>
  <c r="E455" i="5"/>
  <c r="F455" i="5" s="1"/>
  <c r="E431" i="5"/>
  <c r="F431" i="5" s="1"/>
  <c r="E407" i="5"/>
  <c r="F407" i="5" s="1"/>
  <c r="E383" i="5"/>
  <c r="F383" i="5" s="1"/>
  <c r="E363" i="5"/>
  <c r="F363" i="5" s="1"/>
  <c r="E315" i="5"/>
  <c r="F315" i="5" s="1"/>
  <c r="E275" i="5"/>
  <c r="F275" i="5" s="1"/>
  <c r="E318" i="5"/>
  <c r="F318" i="5" s="1"/>
  <c r="E566" i="5"/>
  <c r="F566" i="5" s="1"/>
  <c r="E406" i="5"/>
  <c r="F406" i="5" s="1"/>
  <c r="E288" i="5"/>
  <c r="F288" i="5" s="1"/>
  <c r="E238" i="5"/>
  <c r="F238" i="5" s="1"/>
  <c r="E218" i="5"/>
  <c r="F218" i="5" s="1"/>
  <c r="E158" i="5"/>
  <c r="F158" i="5" s="1"/>
  <c r="E138" i="5"/>
  <c r="F138" i="5" s="1"/>
  <c r="E90" i="5"/>
  <c r="F90" i="5" s="1"/>
  <c r="E46" i="5"/>
  <c r="F46" i="5" s="1"/>
  <c r="E26" i="5"/>
  <c r="F26" i="5" s="1"/>
  <c r="E434" i="5"/>
  <c r="F434" i="5" s="1"/>
  <c r="E490" i="5"/>
  <c r="F490" i="5" s="1"/>
  <c r="E300" i="5"/>
  <c r="F300" i="5" s="1"/>
  <c r="E482" i="5"/>
  <c r="F482" i="5" s="1"/>
  <c r="E257" i="5"/>
  <c r="F257" i="5" s="1"/>
  <c r="E201" i="5"/>
  <c r="F201" i="5" s="1"/>
  <c r="E153" i="5"/>
  <c r="F153" i="5" s="1"/>
  <c r="E97" i="5"/>
  <c r="F97" i="5" s="1"/>
  <c r="E168" i="5"/>
  <c r="F168" i="5" s="1"/>
  <c r="E101" i="5"/>
  <c r="F101" i="5" s="1"/>
  <c r="E509" i="5"/>
  <c r="F509" i="5" s="1"/>
  <c r="E453" i="5"/>
  <c r="F453" i="5" s="1"/>
  <c r="E413" i="5"/>
  <c r="F413" i="5" s="1"/>
  <c r="E325" i="5"/>
  <c r="F325" i="5" s="1"/>
  <c r="E560" i="5"/>
  <c r="F560" i="5" s="1"/>
  <c r="E524" i="5"/>
  <c r="F524" i="5" s="1"/>
  <c r="E504" i="5"/>
  <c r="F504" i="5" s="1"/>
  <c r="E468" i="5"/>
  <c r="F468" i="5" s="1"/>
  <c r="E448" i="5"/>
  <c r="F448" i="5" s="1"/>
  <c r="E428" i="5"/>
  <c r="F428" i="5" s="1"/>
  <c r="E408" i="5"/>
  <c r="F408" i="5" s="1"/>
  <c r="E328" i="5"/>
  <c r="F328" i="5" s="1"/>
  <c r="E539" i="5"/>
  <c r="F539" i="5" s="1"/>
  <c r="E515" i="5"/>
  <c r="F515" i="5" s="1"/>
  <c r="E467" i="5"/>
  <c r="F467" i="5" s="1"/>
  <c r="E423" i="5"/>
  <c r="F423" i="5" s="1"/>
  <c r="E399" i="5"/>
  <c r="F399" i="5" s="1"/>
  <c r="E375" i="5"/>
  <c r="F375" i="5" s="1"/>
  <c r="E351" i="5"/>
  <c r="F351" i="5" s="1"/>
  <c r="E331" i="5"/>
  <c r="F331" i="5" s="1"/>
  <c r="E287" i="5"/>
  <c r="F287" i="5" s="1"/>
  <c r="E570" i="5"/>
  <c r="F570" i="5" s="1"/>
  <c r="E293" i="5"/>
  <c r="F293" i="5" s="1"/>
  <c r="E502" i="5"/>
  <c r="F502" i="5" s="1"/>
  <c r="E330" i="5"/>
  <c r="F330" i="5" s="1"/>
  <c r="E270" i="5"/>
  <c r="F270" i="5" s="1"/>
  <c r="E230" i="5"/>
  <c r="F230" i="5" s="1"/>
  <c r="E194" i="5"/>
  <c r="F194" i="5" s="1"/>
  <c r="E130" i="5"/>
  <c r="F130" i="5" s="1"/>
  <c r="E106" i="5"/>
  <c r="F106" i="5" s="1"/>
  <c r="E38" i="5"/>
  <c r="F38" i="5" s="1"/>
  <c r="E562" i="5"/>
  <c r="F562" i="5" s="1"/>
  <c r="E370" i="5"/>
  <c r="F370" i="5" s="1"/>
  <c r="E426" i="5"/>
  <c r="F426" i="5" s="1"/>
  <c r="E277" i="5"/>
  <c r="F277" i="5" s="1"/>
  <c r="E326" i="5"/>
  <c r="F326" i="5" s="1"/>
  <c r="E338" i="5"/>
  <c r="F338" i="5" s="1"/>
  <c r="E177" i="5"/>
  <c r="F177" i="5" s="1"/>
  <c r="E140" i="5"/>
  <c r="F140" i="5" s="1"/>
  <c r="E65" i="5"/>
  <c r="F65" i="5" s="1"/>
  <c r="E390" i="5"/>
  <c r="F390" i="5" s="1"/>
  <c r="E208" i="5"/>
  <c r="F208" i="5" s="1"/>
  <c r="E152" i="5"/>
  <c r="F152" i="5" s="1"/>
  <c r="E69" i="5"/>
  <c r="F69" i="5" s="1"/>
  <c r="E450" i="5"/>
  <c r="F450" i="5" s="1"/>
  <c r="E362" i="5"/>
  <c r="F362" i="5" s="1"/>
  <c r="E236" i="5"/>
  <c r="F236" i="5" s="1"/>
  <c r="E188" i="5"/>
  <c r="F188" i="5" s="1"/>
  <c r="E136" i="5"/>
  <c r="F136" i="5" s="1"/>
  <c r="E296" i="5"/>
  <c r="F296" i="5" s="1"/>
  <c r="E64" i="5"/>
  <c r="F64" i="5" s="1"/>
  <c r="E446" i="5"/>
  <c r="F446" i="5" s="1"/>
  <c r="E565" i="5"/>
  <c r="F565" i="5" s="1"/>
  <c r="E501" i="5"/>
  <c r="F501" i="5" s="1"/>
  <c r="E405" i="5"/>
  <c r="F405" i="5" s="1"/>
  <c r="E365" i="5"/>
  <c r="F365" i="5" s="1"/>
  <c r="E540" i="5"/>
  <c r="F540" i="5" s="1"/>
  <c r="E520" i="5"/>
  <c r="F520" i="5" s="1"/>
  <c r="E484" i="5"/>
  <c r="F484" i="5" s="1"/>
  <c r="E424" i="5"/>
  <c r="F424" i="5" s="1"/>
  <c r="E388" i="5"/>
  <c r="F388" i="5" s="1"/>
  <c r="E368" i="5"/>
  <c r="F368" i="5" s="1"/>
  <c r="E348" i="5"/>
  <c r="F348" i="5" s="1"/>
  <c r="E324" i="5"/>
  <c r="F324" i="5" s="1"/>
  <c r="E559" i="5"/>
  <c r="F559" i="5" s="1"/>
  <c r="E535" i="5"/>
  <c r="F535" i="5" s="1"/>
  <c r="E511" i="5"/>
  <c r="F511" i="5" s="1"/>
  <c r="E491" i="5"/>
  <c r="F491" i="5" s="1"/>
  <c r="E443" i="5"/>
  <c r="F443" i="5" s="1"/>
  <c r="E419" i="5"/>
  <c r="F419" i="5" s="1"/>
  <c r="E371" i="5"/>
  <c r="F371" i="5" s="1"/>
  <c r="E327" i="5"/>
  <c r="F327" i="5" s="1"/>
  <c r="E303" i="5"/>
  <c r="F303" i="5" s="1"/>
  <c r="E538" i="5"/>
  <c r="F538" i="5" s="1"/>
  <c r="E378" i="5"/>
  <c r="F378" i="5" s="1"/>
  <c r="E306" i="5"/>
  <c r="F306" i="5" s="1"/>
  <c r="E250" i="5"/>
  <c r="F250" i="5" s="1"/>
  <c r="E210" i="5"/>
  <c r="F210" i="5" s="1"/>
  <c r="E190" i="5"/>
  <c r="F190" i="5" s="1"/>
  <c r="E170" i="5"/>
  <c r="F170" i="5" s="1"/>
  <c r="E150" i="5"/>
  <c r="F150" i="5" s="1"/>
  <c r="E126" i="5"/>
  <c r="F126" i="5" s="1"/>
  <c r="E102" i="5"/>
  <c r="F102" i="5" s="1"/>
  <c r="E82" i="5"/>
  <c r="F82" i="5" s="1"/>
  <c r="E58" i="5"/>
  <c r="F58" i="5" s="1"/>
  <c r="E530" i="5"/>
  <c r="F530" i="5" s="1"/>
  <c r="E354" i="5"/>
  <c r="F354" i="5" s="1"/>
  <c r="E394" i="5"/>
  <c r="F394" i="5" s="1"/>
  <c r="E282" i="5"/>
  <c r="F282" i="5" s="1"/>
  <c r="E233" i="5"/>
  <c r="F233" i="5" s="1"/>
  <c r="E129" i="5"/>
  <c r="F129" i="5" s="1"/>
  <c r="E56" i="5"/>
  <c r="F56" i="5" s="1"/>
  <c r="E132" i="5"/>
  <c r="F132" i="5" s="1"/>
  <c r="E276" i="5"/>
  <c r="F276" i="5" s="1"/>
  <c r="E498" i="5"/>
  <c r="F498" i="5" s="1"/>
  <c r="E183" i="5"/>
  <c r="F183" i="5" s="1"/>
  <c r="E203" i="5"/>
  <c r="F203" i="5" s="1"/>
  <c r="E6" i="5"/>
  <c r="F6" i="5" s="1"/>
  <c r="E223" i="5"/>
  <c r="F223" i="5" s="1"/>
  <c r="E179" i="5"/>
  <c r="F179" i="5" s="1"/>
  <c r="E35" i="5"/>
  <c r="F35" i="5" s="1"/>
  <c r="E518" i="5"/>
  <c r="F518" i="5" s="1"/>
  <c r="E249" i="5"/>
  <c r="F249" i="5" s="1"/>
  <c r="E198" i="5"/>
  <c r="F198" i="5" s="1"/>
  <c r="E495" i="5"/>
  <c r="F495" i="5" s="1"/>
  <c r="E298" i="5"/>
  <c r="F298" i="5" s="1"/>
  <c r="E305" i="5"/>
  <c r="F305" i="5" s="1"/>
  <c r="E342" i="5"/>
  <c r="F342" i="5" s="1"/>
  <c r="E22" i="5"/>
  <c r="F22" i="5" s="1"/>
  <c r="E81" i="5"/>
  <c r="F81" i="5" s="1"/>
  <c r="E61" i="5"/>
  <c r="F61" i="5" s="1"/>
  <c r="E189" i="5"/>
  <c r="F189" i="5" s="1"/>
  <c r="E32" i="5"/>
  <c r="F32" i="5" s="1"/>
  <c r="E175" i="5"/>
  <c r="F175" i="5" s="1"/>
  <c r="E19" i="5"/>
  <c r="F19" i="5" s="1"/>
  <c r="E211" i="5"/>
  <c r="F211" i="5" s="1"/>
  <c r="E71" i="5"/>
  <c r="F71" i="5" s="1"/>
  <c r="E57" i="5"/>
  <c r="F57" i="5" s="1"/>
  <c r="E76" i="5"/>
  <c r="F76" i="5" s="1"/>
  <c r="E156" i="5"/>
  <c r="F156" i="5" s="1"/>
  <c r="E244" i="5"/>
  <c r="F244" i="5" s="1"/>
  <c r="E119" i="5"/>
  <c r="F119" i="5" s="1"/>
  <c r="E160" i="5"/>
  <c r="F160" i="5" s="1"/>
  <c r="E264" i="5"/>
  <c r="F264" i="5" s="1"/>
  <c r="E16" i="5"/>
  <c r="F16" i="5" s="1"/>
  <c r="E169" i="5"/>
  <c r="F169" i="5" s="1"/>
  <c r="E398" i="5"/>
  <c r="F398" i="5" s="1"/>
  <c r="E286" i="5"/>
  <c r="F286" i="5" s="1"/>
  <c r="E110" i="5"/>
  <c r="F110" i="5" s="1"/>
  <c r="E166" i="5"/>
  <c r="F166" i="5" s="1"/>
  <c r="E274" i="5"/>
  <c r="F274" i="5" s="1"/>
  <c r="E284" i="5"/>
  <c r="F284" i="5" s="1"/>
  <c r="E395" i="5"/>
  <c r="F395" i="5" s="1"/>
  <c r="E451" i="5"/>
  <c r="F451" i="5" s="1"/>
  <c r="E519" i="5"/>
  <c r="F519" i="5" s="1"/>
  <c r="E392" i="5"/>
  <c r="F392" i="5" s="1"/>
  <c r="E444" i="5"/>
  <c r="F444" i="5" s="1"/>
  <c r="E492" i="5"/>
  <c r="F492" i="5" s="1"/>
  <c r="E544" i="5"/>
  <c r="F544" i="5" s="1"/>
  <c r="E317" i="5"/>
  <c r="F317" i="5" s="1"/>
  <c r="E421" i="5"/>
  <c r="F421" i="5" s="1"/>
  <c r="E531" i="5"/>
  <c r="F531" i="5" s="1"/>
  <c r="E352" i="5"/>
  <c r="F352" i="5" s="1"/>
  <c r="E508" i="5"/>
  <c r="F508" i="5" s="1"/>
  <c r="E112" i="5"/>
  <c r="F112" i="5" s="1"/>
  <c r="E280" i="5"/>
  <c r="F280" i="5" s="1"/>
  <c r="E163" i="5"/>
  <c r="F163" i="5" s="1"/>
  <c r="E139" i="5"/>
  <c r="F139" i="5" s="1"/>
  <c r="E66" i="5"/>
  <c r="F66" i="5" s="1"/>
  <c r="E10" i="5"/>
  <c r="F10" i="5" s="1"/>
  <c r="E215" i="5"/>
  <c r="F215" i="5" s="1"/>
  <c r="E75" i="5"/>
  <c r="F75" i="5" s="1"/>
  <c r="E199" i="5"/>
  <c r="F199" i="5" s="1"/>
  <c r="E144" i="5"/>
  <c r="F144" i="5" s="1"/>
  <c r="E494" i="5"/>
  <c r="F494" i="5" s="1"/>
  <c r="E131" i="5"/>
  <c r="F131" i="5" s="1"/>
  <c r="E92" i="5"/>
  <c r="F92" i="5" s="1"/>
  <c r="E86" i="5"/>
  <c r="F86" i="5" s="1"/>
  <c r="E254" i="5"/>
  <c r="F254" i="5" s="1"/>
  <c r="E307" i="5"/>
  <c r="F307" i="5" s="1"/>
  <c r="E312" i="5"/>
  <c r="F312" i="5" s="1"/>
  <c r="E472" i="5"/>
  <c r="F472" i="5" s="1"/>
  <c r="E23" i="5"/>
  <c r="F23" i="5" s="1"/>
  <c r="E45" i="5"/>
  <c r="F45" i="5" s="1"/>
  <c r="E31" i="5"/>
  <c r="F31" i="5" s="1"/>
  <c r="E95" i="5"/>
  <c r="F95" i="5" s="1"/>
  <c r="E231" i="5"/>
  <c r="F231" i="5" s="1"/>
  <c r="E235" i="5"/>
  <c r="F235" i="5" s="1"/>
  <c r="E121" i="5"/>
  <c r="F121" i="5" s="1"/>
  <c r="E5" i="5"/>
  <c r="F5" i="5" s="1"/>
  <c r="E68" i="5"/>
  <c r="F68" i="5" s="1"/>
  <c r="E269" i="5"/>
  <c r="F269" i="5" s="1"/>
  <c r="E123" i="5"/>
  <c r="F123" i="5" s="1"/>
  <c r="E255" i="5"/>
  <c r="F255" i="5" s="1"/>
  <c r="E48" i="5"/>
  <c r="F48" i="5" s="1"/>
  <c r="E116" i="5"/>
  <c r="F116" i="5" s="1"/>
  <c r="E93" i="5"/>
  <c r="F93" i="5" s="1"/>
  <c r="E229" i="5"/>
  <c r="F229" i="5" s="1"/>
  <c r="E85" i="5"/>
  <c r="F85" i="5" s="1"/>
  <c r="E180" i="5"/>
  <c r="F180" i="5" s="1"/>
  <c r="E128" i="5"/>
  <c r="F128" i="5" s="1"/>
  <c r="E28" i="5"/>
  <c r="F28" i="5" s="1"/>
  <c r="E272" i="5"/>
  <c r="F272" i="5" s="1"/>
  <c r="E20" i="5"/>
  <c r="F20" i="5" s="1"/>
  <c r="E185" i="5"/>
  <c r="F185" i="5" s="1"/>
  <c r="E54" i="5"/>
  <c r="F54" i="5" s="1"/>
  <c r="E114" i="5"/>
  <c r="F114" i="5" s="1"/>
  <c r="E174" i="5"/>
  <c r="F174" i="5" s="1"/>
  <c r="E226" i="5"/>
  <c r="F226" i="5" s="1"/>
  <c r="E283" i="5"/>
  <c r="F283" i="5" s="1"/>
  <c r="E335" i="5"/>
  <c r="F335" i="5" s="1"/>
  <c r="E463" i="5"/>
  <c r="F463" i="5" s="1"/>
  <c r="E523" i="5"/>
  <c r="F523" i="5" s="1"/>
  <c r="E344" i="5"/>
  <c r="F344" i="5" s="1"/>
  <c r="E396" i="5"/>
  <c r="F396" i="5" s="1"/>
  <c r="E452" i="5"/>
  <c r="F452" i="5" s="1"/>
  <c r="E500" i="5"/>
  <c r="F500" i="5" s="1"/>
  <c r="E333" i="5"/>
  <c r="F333" i="5" s="1"/>
  <c r="E445" i="5"/>
  <c r="F445" i="5" s="1"/>
  <c r="E76" i="4"/>
  <c r="F76" i="4" s="1"/>
  <c r="E259" i="4"/>
  <c r="F259" i="4" s="1"/>
  <c r="E263" i="4"/>
  <c r="F263" i="4" s="1"/>
  <c r="E623" i="4"/>
  <c r="F623" i="4" s="1"/>
  <c r="E75" i="4"/>
  <c r="F75" i="4" s="1"/>
  <c r="E130" i="4"/>
  <c r="F130" i="4" s="1"/>
  <c r="E353" i="4"/>
  <c r="F353" i="4" s="1"/>
  <c r="E514" i="4"/>
  <c r="F514" i="4" s="1"/>
  <c r="E54" i="4"/>
  <c r="F54" i="4" s="1"/>
  <c r="E203" i="4"/>
  <c r="F203" i="4" s="1"/>
  <c r="E4" i="4"/>
  <c r="F4" i="4" s="1"/>
  <c r="E68" i="4"/>
  <c r="F68" i="4" s="1"/>
  <c r="E247" i="4"/>
  <c r="F247" i="4" s="1"/>
  <c r="E375" i="4"/>
  <c r="F375" i="4" s="1"/>
  <c r="E23" i="4"/>
  <c r="F23" i="4" s="1"/>
  <c r="E96" i="4"/>
  <c r="F96" i="4" s="1"/>
  <c r="E255" i="4"/>
  <c r="F255" i="4" s="1"/>
  <c r="E482" i="4"/>
  <c r="F482" i="4" s="1"/>
  <c r="E25" i="4"/>
  <c r="F25" i="4" s="1"/>
  <c r="E93" i="4"/>
  <c r="F93" i="4" s="1"/>
  <c r="E153" i="4"/>
  <c r="F153" i="4" s="1"/>
  <c r="E402" i="4"/>
  <c r="F402" i="4" s="1"/>
  <c r="E487" i="4"/>
  <c r="F487" i="4" s="1"/>
  <c r="E111" i="4"/>
  <c r="F111" i="4" s="1"/>
  <c r="E39" i="4"/>
  <c r="F39" i="4" s="1"/>
  <c r="E330" i="4"/>
  <c r="F330" i="4" s="1"/>
  <c r="E122" i="4"/>
  <c r="F122" i="4" s="1"/>
  <c r="E331" i="4"/>
  <c r="F331" i="4" s="1"/>
  <c r="E51" i="4"/>
  <c r="F51" i="4" s="1"/>
  <c r="E11" i="4"/>
  <c r="F11" i="4" s="1"/>
  <c r="E150" i="4"/>
  <c r="F150" i="4" s="1"/>
  <c r="E279" i="4"/>
  <c r="F279" i="4" s="1"/>
  <c r="E371" i="4"/>
  <c r="F371" i="4" s="1"/>
  <c r="E570" i="4"/>
  <c r="F570" i="4" s="1"/>
  <c r="E118" i="4"/>
  <c r="F118" i="4" s="1"/>
  <c r="E383" i="4"/>
  <c r="F383" i="4" s="1"/>
  <c r="E18" i="4"/>
  <c r="F18" i="4" s="1"/>
  <c r="E82" i="4"/>
  <c r="F82" i="4" s="1"/>
  <c r="E132" i="4"/>
  <c r="F132" i="4" s="1"/>
  <c r="E394" i="4"/>
  <c r="F394" i="4" s="1"/>
  <c r="E32" i="4"/>
  <c r="F32" i="4" s="1"/>
  <c r="E110" i="4"/>
  <c r="F110" i="4" s="1"/>
  <c r="E269" i="4"/>
  <c r="F269" i="4" s="1"/>
  <c r="E538" i="4"/>
  <c r="F538" i="4" s="1"/>
  <c r="E37" i="4"/>
  <c r="F37" i="4" s="1"/>
  <c r="E109" i="4"/>
  <c r="F109" i="4" s="1"/>
  <c r="E165" i="4"/>
  <c r="F165" i="4" s="1"/>
  <c r="E423" i="4"/>
  <c r="F423" i="4" s="1"/>
  <c r="E558" i="4"/>
  <c r="F558" i="4" s="1"/>
  <c r="E193" i="4"/>
  <c r="F193" i="4" s="1"/>
  <c r="E15" i="4"/>
  <c r="F15" i="4" s="1"/>
  <c r="E26" i="4"/>
  <c r="F26" i="4" s="1"/>
  <c r="E223" i="4"/>
  <c r="F223" i="4" s="1"/>
  <c r="E83" i="4"/>
  <c r="F83" i="4" s="1"/>
  <c r="E343" i="4"/>
  <c r="F343" i="4" s="1"/>
  <c r="E510" i="4"/>
  <c r="F510" i="4" s="1"/>
  <c r="E361" i="4"/>
  <c r="F361" i="4" s="1"/>
  <c r="E187" i="4"/>
  <c r="F187" i="4" s="1"/>
  <c r="E346" i="4"/>
  <c r="F346" i="4" s="1"/>
  <c r="E12" i="4"/>
  <c r="F12" i="4" s="1"/>
  <c r="E347" i="4"/>
  <c r="F347" i="4" s="1"/>
  <c r="E291" i="4"/>
  <c r="F291" i="4" s="1"/>
  <c r="E98" i="4"/>
  <c r="F98" i="4" s="1"/>
  <c r="E166" i="4"/>
  <c r="F166" i="4" s="1"/>
  <c r="E307" i="4"/>
  <c r="F307" i="4" s="1"/>
  <c r="E8" i="4"/>
  <c r="F8" i="4" s="1"/>
  <c r="E72" i="4"/>
  <c r="F72" i="4" s="1"/>
  <c r="E136" i="4"/>
  <c r="F136" i="4" s="1"/>
  <c r="E253" i="4"/>
  <c r="F253" i="4" s="1"/>
  <c r="E422" i="4"/>
  <c r="F422" i="4" s="1"/>
  <c r="E91" i="4"/>
  <c r="F91" i="4" s="1"/>
  <c r="E158" i="4"/>
  <c r="F158" i="4" s="1"/>
  <c r="E275" i="4"/>
  <c r="F275" i="4" s="1"/>
  <c r="E414" i="4"/>
  <c r="F414" i="4" s="1"/>
  <c r="E148" i="4"/>
  <c r="F148" i="4" s="1"/>
  <c r="E334" i="4"/>
  <c r="F334" i="4" s="1"/>
  <c r="E595" i="4"/>
  <c r="F595" i="4" s="1"/>
  <c r="E57" i="4"/>
  <c r="F57" i="4" s="1"/>
  <c r="E117" i="4"/>
  <c r="F117" i="4" s="1"/>
  <c r="E185" i="4"/>
  <c r="F185" i="4" s="1"/>
  <c r="E483" i="4"/>
  <c r="F483" i="4" s="1"/>
  <c r="E463" i="4"/>
  <c r="F463" i="4" s="1"/>
  <c r="E35" i="4"/>
  <c r="F35" i="4" s="1"/>
  <c r="E38" i="4"/>
  <c r="F38" i="4" s="1"/>
  <c r="E379" i="4"/>
  <c r="F379" i="4" s="1"/>
  <c r="E94" i="4"/>
  <c r="F94" i="4" s="1"/>
  <c r="E362" i="4"/>
  <c r="F362" i="4" s="1"/>
  <c r="E58" i="4"/>
  <c r="F58" i="4" s="1"/>
  <c r="E162" i="4"/>
  <c r="F162" i="4" s="1"/>
  <c r="E106" i="4"/>
  <c r="F106" i="4" s="1"/>
  <c r="E387" i="4"/>
  <c r="F387" i="4" s="1"/>
  <c r="E34" i="4"/>
  <c r="F34" i="4" s="1"/>
  <c r="E179" i="4"/>
  <c r="F179" i="4" s="1"/>
  <c r="E399" i="4"/>
  <c r="F399" i="4" s="1"/>
  <c r="E22" i="4"/>
  <c r="F22" i="4" s="1"/>
  <c r="E152" i="4"/>
  <c r="F152" i="4" s="1"/>
  <c r="E267" i="4"/>
  <c r="F267" i="4" s="1"/>
  <c r="E36" i="4"/>
  <c r="F36" i="4" s="1"/>
  <c r="E183" i="4"/>
  <c r="F183" i="4" s="1"/>
  <c r="E311" i="4"/>
  <c r="F311" i="4" s="1"/>
  <c r="E451" i="4"/>
  <c r="F451" i="4" s="1"/>
  <c r="E55" i="4"/>
  <c r="F55" i="4" s="1"/>
  <c r="E164" i="4"/>
  <c r="F164" i="4" s="1"/>
  <c r="E350" i="4"/>
  <c r="F350" i="4" s="1"/>
  <c r="E454" i="4"/>
  <c r="F454" i="4" s="1"/>
  <c r="E61" i="4"/>
  <c r="F61" i="4" s="1"/>
  <c r="E125" i="4"/>
  <c r="F125" i="4" s="1"/>
  <c r="E233" i="4"/>
  <c r="F233" i="4" s="1"/>
  <c r="E498" i="4"/>
  <c r="F498" i="4" s="1"/>
  <c r="E237" i="4"/>
  <c r="F237" i="4" s="1"/>
  <c r="E339" i="4"/>
  <c r="F339" i="4" s="1"/>
  <c r="E251" i="4"/>
  <c r="F251" i="4" s="1"/>
  <c r="E359" i="4"/>
  <c r="F359" i="4" s="1"/>
  <c r="E171" i="4"/>
  <c r="F171" i="4" s="1"/>
  <c r="E287" i="4"/>
  <c r="F287" i="4" s="1"/>
  <c r="E446" i="4"/>
  <c r="F446" i="4" s="1"/>
  <c r="E43" i="4"/>
  <c r="F43" i="4" s="1"/>
  <c r="E107" i="4"/>
  <c r="F107" i="4" s="1"/>
  <c r="E215" i="4"/>
  <c r="F215" i="4" s="1"/>
  <c r="E329" i="4"/>
  <c r="F329" i="4" s="1"/>
  <c r="E418" i="4"/>
  <c r="F418" i="4" s="1"/>
  <c r="E86" i="4"/>
  <c r="F86" i="4" s="1"/>
  <c r="E168" i="4"/>
  <c r="F168" i="4" s="1"/>
  <c r="E431" i="4"/>
  <c r="F431" i="4" s="1"/>
  <c r="E100" i="4"/>
  <c r="F100" i="4" s="1"/>
  <c r="E197" i="4"/>
  <c r="F197" i="4" s="1"/>
  <c r="E325" i="4"/>
  <c r="F325" i="4" s="1"/>
  <c r="E471" i="4"/>
  <c r="F471" i="4" s="1"/>
  <c r="E78" i="4"/>
  <c r="F78" i="4" s="1"/>
  <c r="E367" i="4"/>
  <c r="F367" i="4" s="1"/>
  <c r="E5" i="4"/>
  <c r="F5" i="4" s="1"/>
  <c r="E73" i="4"/>
  <c r="F73" i="4" s="1"/>
  <c r="E129" i="4"/>
  <c r="F129" i="4" s="1"/>
  <c r="E265" i="4"/>
  <c r="F265" i="4" s="1"/>
  <c r="E583" i="4"/>
  <c r="F583" i="4" s="1"/>
  <c r="E559" i="4"/>
  <c r="F559" i="4" s="1"/>
  <c r="E146" i="4"/>
  <c r="F146" i="4" s="1"/>
  <c r="E92" i="4"/>
  <c r="F92" i="4" s="1"/>
  <c r="E160" i="4"/>
  <c r="F160" i="4" s="1"/>
  <c r="E181" i="4"/>
  <c r="F181" i="4" s="1"/>
  <c r="E10" i="4"/>
  <c r="F10" i="4" s="1"/>
  <c r="E138" i="4"/>
  <c r="F138" i="4" s="1"/>
  <c r="E47" i="4"/>
  <c r="F47" i="4" s="1"/>
  <c r="E398" i="4"/>
  <c r="F398" i="4" s="1"/>
  <c r="E382" i="4"/>
  <c r="F382" i="4" s="1"/>
  <c r="E231" i="4"/>
  <c r="F231" i="4" s="1"/>
  <c r="E115" i="4"/>
  <c r="F115" i="4" s="1"/>
  <c r="E126" i="4"/>
  <c r="F126" i="4" s="1"/>
  <c r="E44" i="4"/>
  <c r="F44" i="4" s="1"/>
  <c r="E195" i="4"/>
  <c r="F195" i="4" s="1"/>
  <c r="E355" i="4"/>
  <c r="F355" i="4" s="1"/>
  <c r="E19" i="4"/>
  <c r="F19" i="4" s="1"/>
  <c r="E199" i="4"/>
  <c r="F199" i="4" s="1"/>
  <c r="E56" i="4"/>
  <c r="F56" i="4" s="1"/>
  <c r="E2" i="4"/>
  <c r="F2" i="4" s="1"/>
  <c r="E103" i="4"/>
  <c r="F103" i="4" s="1"/>
  <c r="E301" i="4"/>
  <c r="F301" i="4" s="1"/>
  <c r="E67" i="4"/>
  <c r="F67" i="4" s="1"/>
  <c r="E610" i="4"/>
  <c r="F610" i="4" s="1"/>
  <c r="E124" i="4"/>
  <c r="F124" i="4" s="1"/>
  <c r="E447" i="4"/>
  <c r="F447" i="4" s="1"/>
  <c r="E52" i="4"/>
  <c r="F52" i="4" s="1"/>
  <c r="E116" i="4"/>
  <c r="F116" i="4" s="1"/>
  <c r="E229" i="4"/>
  <c r="F229" i="4" s="1"/>
  <c r="E499" i="4"/>
  <c r="F499" i="4" s="1"/>
  <c r="E31" i="4"/>
  <c r="F31" i="4" s="1"/>
  <c r="E95" i="4"/>
  <c r="F95" i="4" s="1"/>
  <c r="E175" i="4"/>
  <c r="F175" i="4" s="1"/>
  <c r="E303" i="4"/>
  <c r="F303" i="4" s="1"/>
  <c r="E450" i="4"/>
  <c r="F450" i="4" s="1"/>
  <c r="E50" i="4"/>
  <c r="F50" i="4" s="1"/>
  <c r="E114" i="4"/>
  <c r="F114" i="4" s="1"/>
  <c r="E527" i="4"/>
  <c r="F527" i="4" s="1"/>
  <c r="E87" i="4"/>
  <c r="F87" i="4" s="1"/>
  <c r="E191" i="4"/>
  <c r="F191" i="4" s="1"/>
  <c r="E17" i="4"/>
  <c r="F17" i="4" s="1"/>
  <c r="E81" i="4"/>
  <c r="F81" i="4" s="1"/>
  <c r="E145" i="4"/>
  <c r="F145" i="4" s="1"/>
  <c r="E297" i="4"/>
  <c r="F297" i="4" s="1"/>
  <c r="E611" i="4"/>
  <c r="F611" i="4" s="1"/>
  <c r="E207" i="4"/>
  <c r="F207" i="4" s="1"/>
  <c r="E70" i="4"/>
  <c r="F70" i="4" s="1"/>
  <c r="E621" i="4"/>
  <c r="F621" i="4" s="1"/>
  <c r="E589" i="4"/>
  <c r="F589" i="4" s="1"/>
  <c r="E557" i="4"/>
  <c r="F557" i="4" s="1"/>
  <c r="E525" i="4"/>
  <c r="F525" i="4" s="1"/>
  <c r="E493" i="4"/>
  <c r="F493" i="4" s="1"/>
  <c r="E461" i="4"/>
  <c r="F461" i="4" s="1"/>
  <c r="E429" i="4"/>
  <c r="F429" i="4" s="1"/>
  <c r="E397" i="4"/>
  <c r="F397" i="4" s="1"/>
  <c r="E365" i="4"/>
  <c r="F365" i="4" s="1"/>
  <c r="E612" i="4"/>
  <c r="F612" i="4" s="1"/>
  <c r="E588" i="4"/>
  <c r="F588" i="4" s="1"/>
  <c r="E560" i="4"/>
  <c r="F560" i="4" s="1"/>
  <c r="E532" i="4"/>
  <c r="F532" i="4" s="1"/>
  <c r="E500" i="4"/>
  <c r="F500" i="4" s="1"/>
  <c r="E468" i="4"/>
  <c r="F468" i="4" s="1"/>
  <c r="E440" i="4"/>
  <c r="F440" i="4" s="1"/>
  <c r="E396" i="4"/>
  <c r="F396" i="4" s="1"/>
  <c r="E372" i="4"/>
  <c r="F372" i="4" s="1"/>
  <c r="E328" i="4"/>
  <c r="F328" i="4" s="1"/>
  <c r="E351" i="4"/>
  <c r="F351" i="4" s="1"/>
  <c r="E300" i="4"/>
  <c r="F300" i="4" s="1"/>
  <c r="E280" i="4"/>
  <c r="F280" i="4" s="1"/>
  <c r="E260" i="4"/>
  <c r="F260" i="4" s="1"/>
  <c r="E240" i="4"/>
  <c r="F240" i="4" s="1"/>
  <c r="E212" i="4"/>
  <c r="F212" i="4" s="1"/>
  <c r="E180" i="4"/>
  <c r="F180" i="4" s="1"/>
  <c r="E571" i="4"/>
  <c r="F571" i="4" s="1"/>
  <c r="E358" i="4"/>
  <c r="F358" i="4" s="1"/>
  <c r="E310" i="4"/>
  <c r="F310" i="4" s="1"/>
  <c r="E286" i="4"/>
  <c r="F286" i="4" s="1"/>
  <c r="E258" i="4"/>
  <c r="F258" i="4" s="1"/>
  <c r="E230" i="4"/>
  <c r="F230" i="4" s="1"/>
  <c r="E206" i="4"/>
  <c r="F206" i="4" s="1"/>
  <c r="E594" i="4"/>
  <c r="F594" i="4" s="1"/>
  <c r="E467" i="4"/>
  <c r="F467" i="4" s="1"/>
  <c r="E578" i="4"/>
  <c r="F578" i="4" s="1"/>
  <c r="E562" i="4"/>
  <c r="F562" i="4" s="1"/>
  <c r="E370" i="4"/>
  <c r="F370" i="4" s="1"/>
  <c r="E241" i="4"/>
  <c r="F241" i="4" s="1"/>
  <c r="E167" i="4"/>
  <c r="F167" i="4" s="1"/>
  <c r="E631" i="4"/>
  <c r="F631" i="4" s="1"/>
  <c r="E554" i="4"/>
  <c r="F554" i="4" s="1"/>
  <c r="E395" i="4"/>
  <c r="F395" i="4" s="1"/>
  <c r="E217" i="4"/>
  <c r="F217" i="4" s="1"/>
  <c r="E161" i="4"/>
  <c r="F161" i="4" s="1"/>
  <c r="E141" i="4"/>
  <c r="F141" i="4" s="1"/>
  <c r="E105" i="4"/>
  <c r="F105" i="4" s="1"/>
  <c r="E69" i="4"/>
  <c r="F69" i="4" s="1"/>
  <c r="E33" i="4"/>
  <c r="F33" i="4" s="1"/>
  <c r="E13" i="4"/>
  <c r="F13" i="4" s="1"/>
  <c r="E599" i="4"/>
  <c r="F599" i="4" s="1"/>
  <c r="E16" i="4"/>
  <c r="F16" i="4" s="1"/>
  <c r="E24" i="4"/>
  <c r="F24" i="4" s="1"/>
  <c r="E144" i="4"/>
  <c r="F144" i="4" s="1"/>
  <c r="E617" i="4"/>
  <c r="F617" i="4" s="1"/>
  <c r="E585" i="4"/>
  <c r="F585" i="4" s="1"/>
  <c r="E553" i="4"/>
  <c r="F553" i="4" s="1"/>
  <c r="E521" i="4"/>
  <c r="F521" i="4" s="1"/>
  <c r="E489" i="4"/>
  <c r="F489" i="4" s="1"/>
  <c r="E457" i="4"/>
  <c r="F457" i="4" s="1"/>
  <c r="E425" i="4"/>
  <c r="F425" i="4" s="1"/>
  <c r="E393" i="4"/>
  <c r="F393" i="4" s="1"/>
  <c r="E636" i="4"/>
  <c r="F636" i="4" s="1"/>
  <c r="E608" i="4"/>
  <c r="F608" i="4" s="1"/>
  <c r="E584" i="4"/>
  <c r="F584" i="4" s="1"/>
  <c r="E528" i="4"/>
  <c r="F528" i="4" s="1"/>
  <c r="E496" i="4"/>
  <c r="F496" i="4" s="1"/>
  <c r="E464" i="4"/>
  <c r="F464" i="4" s="1"/>
  <c r="E436" i="4"/>
  <c r="F436" i="4" s="1"/>
  <c r="E416" i="4"/>
  <c r="F416" i="4" s="1"/>
  <c r="E392" i="4"/>
  <c r="F392" i="4" s="1"/>
  <c r="E348" i="4"/>
  <c r="F348" i="4" s="1"/>
  <c r="E587" i="4"/>
  <c r="F587" i="4" s="1"/>
  <c r="E502" i="4"/>
  <c r="F502" i="4" s="1"/>
  <c r="E316" i="4"/>
  <c r="F316" i="4" s="1"/>
  <c r="E296" i="4"/>
  <c r="F296" i="4" s="1"/>
  <c r="E236" i="4"/>
  <c r="F236" i="4" s="1"/>
  <c r="E208" i="4"/>
  <c r="F208" i="4" s="1"/>
  <c r="E176" i="4"/>
  <c r="F176" i="4" s="1"/>
  <c r="E550" i="4"/>
  <c r="F550" i="4" s="1"/>
  <c r="E349" i="4"/>
  <c r="F349" i="4" s="1"/>
  <c r="E282" i="4"/>
  <c r="F282" i="4" s="1"/>
  <c r="E254" i="4"/>
  <c r="F254" i="4" s="1"/>
  <c r="E202" i="4"/>
  <c r="F202" i="4" s="1"/>
  <c r="E178" i="4"/>
  <c r="F178" i="4" s="1"/>
  <c r="E579" i="4"/>
  <c r="F579" i="4" s="1"/>
  <c r="E647" i="4"/>
  <c r="F647" i="4" s="1"/>
  <c r="E434" i="4"/>
  <c r="F434" i="4" s="1"/>
  <c r="E305" i="4"/>
  <c r="F305" i="4" s="1"/>
  <c r="E225" i="4"/>
  <c r="F225" i="4" s="1"/>
  <c r="E147" i="4"/>
  <c r="F147" i="4" s="1"/>
  <c r="E531" i="4"/>
  <c r="F531" i="4" s="1"/>
  <c r="E543" i="4"/>
  <c r="F543" i="4" s="1"/>
  <c r="E639" i="4"/>
  <c r="F639" i="4" s="1"/>
  <c r="E459" i="4"/>
  <c r="F459" i="4" s="1"/>
  <c r="E281" i="4"/>
  <c r="F281" i="4" s="1"/>
  <c r="E157" i="4"/>
  <c r="F157" i="4" s="1"/>
  <c r="E121" i="4"/>
  <c r="F121" i="4" s="1"/>
  <c r="E85" i="4"/>
  <c r="F85" i="4" s="1"/>
  <c r="E49" i="4"/>
  <c r="F49" i="4" s="1"/>
  <c r="E29" i="4"/>
  <c r="F29" i="4" s="1"/>
  <c r="E319" i="4"/>
  <c r="F319" i="4" s="1"/>
  <c r="E205" i="4"/>
  <c r="F205" i="4" s="1"/>
  <c r="E14" i="4"/>
  <c r="F14" i="4" s="1"/>
  <c r="E442" i="4"/>
  <c r="F442" i="4" s="1"/>
  <c r="E135" i="4"/>
  <c r="F135" i="4" s="1"/>
  <c r="E407" i="4"/>
  <c r="F407" i="4" s="1"/>
  <c r="E6" i="4"/>
  <c r="F6" i="4" s="1"/>
  <c r="E645" i="4"/>
  <c r="F645" i="4" s="1"/>
  <c r="E613" i="4"/>
  <c r="F613" i="4" s="1"/>
  <c r="E581" i="4"/>
  <c r="F581" i="4" s="1"/>
  <c r="E549" i="4"/>
  <c r="F549" i="4" s="1"/>
  <c r="E517" i="4"/>
  <c r="F517" i="4" s="1"/>
  <c r="E485" i="4"/>
  <c r="F485" i="4" s="1"/>
  <c r="E453" i="4"/>
  <c r="F453" i="4" s="1"/>
  <c r="E421" i="4"/>
  <c r="F421" i="4" s="1"/>
  <c r="E389" i="4"/>
  <c r="F389" i="4" s="1"/>
  <c r="E632" i="4"/>
  <c r="F632" i="4" s="1"/>
  <c r="E580" i="4"/>
  <c r="F580" i="4" s="1"/>
  <c r="E556" i="4"/>
  <c r="F556" i="4" s="1"/>
  <c r="E524" i="4"/>
  <c r="F524" i="4" s="1"/>
  <c r="E492" i="4"/>
  <c r="F492" i="4" s="1"/>
  <c r="E460" i="4"/>
  <c r="F460" i="4" s="1"/>
  <c r="E412" i="4"/>
  <c r="F412" i="4" s="1"/>
  <c r="E388" i="4"/>
  <c r="F388" i="4" s="1"/>
  <c r="E368" i="4"/>
  <c r="F368" i="4" s="1"/>
  <c r="E344" i="4"/>
  <c r="F344" i="4" s="1"/>
  <c r="E342" i="4"/>
  <c r="F342" i="4" s="1"/>
  <c r="E312" i="4"/>
  <c r="F312" i="4" s="1"/>
  <c r="E276" i="4"/>
  <c r="F276" i="4" s="1"/>
  <c r="E256" i="4"/>
  <c r="F256" i="4" s="1"/>
  <c r="E232" i="4"/>
  <c r="F232" i="4" s="1"/>
  <c r="E204" i="4"/>
  <c r="F204" i="4" s="1"/>
  <c r="E172" i="4"/>
  <c r="F172" i="4" s="1"/>
  <c r="E539" i="4"/>
  <c r="F539" i="4" s="1"/>
  <c r="E335" i="4"/>
  <c r="F335" i="4" s="1"/>
  <c r="E306" i="4"/>
  <c r="F306" i="4" s="1"/>
  <c r="E278" i="4"/>
  <c r="F278" i="4" s="1"/>
  <c r="E250" i="4"/>
  <c r="F250" i="4" s="1"/>
  <c r="E226" i="4"/>
  <c r="F226" i="4" s="1"/>
  <c r="E198" i="4"/>
  <c r="F198" i="4" s="1"/>
  <c r="E174" i="4"/>
  <c r="F174" i="4" s="1"/>
  <c r="E563" i="4"/>
  <c r="F563" i="4" s="1"/>
  <c r="E547" i="4"/>
  <c r="F547" i="4" s="1"/>
  <c r="E363" i="4"/>
  <c r="F363" i="4" s="1"/>
  <c r="E289" i="4"/>
  <c r="F289" i="4" s="1"/>
  <c r="E163" i="4"/>
  <c r="F163" i="4" s="1"/>
  <c r="E602" i="4"/>
  <c r="F602" i="4" s="1"/>
  <c r="E643" i="4"/>
  <c r="F643" i="4" s="1"/>
  <c r="E530" i="4"/>
  <c r="F530" i="4" s="1"/>
  <c r="E526" i="4"/>
  <c r="F526" i="4" s="1"/>
  <c r="E374" i="4"/>
  <c r="F374" i="4" s="1"/>
  <c r="E201" i="4"/>
  <c r="F201" i="4" s="1"/>
  <c r="E137" i="4"/>
  <c r="F137" i="4" s="1"/>
  <c r="E101" i="4"/>
  <c r="F101" i="4" s="1"/>
  <c r="E65" i="4"/>
  <c r="F65" i="4" s="1"/>
  <c r="E45" i="4"/>
  <c r="F45" i="4" s="1"/>
  <c r="E9" i="4"/>
  <c r="F9" i="4" s="1"/>
  <c r="E542" i="4"/>
  <c r="F542" i="4" s="1"/>
  <c r="E443" i="4"/>
  <c r="F443" i="4" s="1"/>
  <c r="E119" i="4"/>
  <c r="F119" i="4" s="1"/>
  <c r="E64" i="4"/>
  <c r="F64" i="4" s="1"/>
  <c r="E341" i="4"/>
  <c r="F341" i="4" s="1"/>
  <c r="E156" i="4"/>
  <c r="F156" i="4" s="1"/>
  <c r="E71" i="4"/>
  <c r="F71" i="4" s="1"/>
  <c r="E134" i="4"/>
  <c r="F134" i="4" s="1"/>
  <c r="E79" i="4"/>
  <c r="F79" i="4" s="1"/>
  <c r="E641" i="4"/>
  <c r="F641" i="4" s="1"/>
  <c r="E609" i="4"/>
  <c r="F609" i="4" s="1"/>
  <c r="E577" i="4"/>
  <c r="F577" i="4" s="1"/>
  <c r="E545" i="4"/>
  <c r="F545" i="4" s="1"/>
  <c r="E513" i="4"/>
  <c r="F513" i="4" s="1"/>
  <c r="E481" i="4"/>
  <c r="F481" i="4" s="1"/>
  <c r="E449" i="4"/>
  <c r="F449" i="4" s="1"/>
  <c r="E417" i="4"/>
  <c r="F417" i="4" s="1"/>
  <c r="E385" i="4"/>
  <c r="F385" i="4" s="1"/>
  <c r="E628" i="4"/>
  <c r="F628" i="4" s="1"/>
  <c r="E604" i="4"/>
  <c r="F604" i="4" s="1"/>
  <c r="E576" i="4"/>
  <c r="F576" i="4" s="1"/>
  <c r="E552" i="4"/>
  <c r="F552" i="4" s="1"/>
  <c r="E520" i="4"/>
  <c r="F520" i="4" s="1"/>
  <c r="E488" i="4"/>
  <c r="F488" i="4" s="1"/>
  <c r="E456" i="4"/>
  <c r="F456" i="4" s="1"/>
  <c r="E432" i="4"/>
  <c r="F432" i="4" s="1"/>
  <c r="E408" i="4"/>
  <c r="F408" i="4" s="1"/>
  <c r="E364" i="4"/>
  <c r="F364" i="4" s="1"/>
  <c r="E340" i="4"/>
  <c r="F340" i="4" s="1"/>
  <c r="E566" i="4"/>
  <c r="F566" i="4" s="1"/>
  <c r="E491" i="4"/>
  <c r="F491" i="4" s="1"/>
  <c r="E333" i="4"/>
  <c r="F333" i="4" s="1"/>
  <c r="E292" i="4"/>
  <c r="F292" i="4" s="1"/>
  <c r="E200" i="4"/>
  <c r="F200" i="4" s="1"/>
  <c r="E646" i="4"/>
  <c r="F646" i="4" s="1"/>
  <c r="E518" i="4"/>
  <c r="F518" i="4" s="1"/>
  <c r="E326" i="4"/>
  <c r="F326" i="4" s="1"/>
  <c r="E302" i="4"/>
  <c r="F302" i="4" s="1"/>
  <c r="E274" i="4"/>
  <c r="F274" i="4" s="1"/>
  <c r="E246" i="4"/>
  <c r="F246" i="4" s="1"/>
  <c r="E222" i="4"/>
  <c r="F222" i="4" s="1"/>
  <c r="E170" i="4"/>
  <c r="F170" i="4" s="1"/>
  <c r="E551" i="4"/>
  <c r="F551" i="4" s="1"/>
  <c r="E634" i="4"/>
  <c r="F634" i="4" s="1"/>
  <c r="E618" i="4"/>
  <c r="F618" i="4" s="1"/>
  <c r="E427" i="4"/>
  <c r="F427" i="4" s="1"/>
  <c r="E357" i="4"/>
  <c r="F357" i="4" s="1"/>
  <c r="E209" i="4"/>
  <c r="F209" i="4" s="1"/>
  <c r="E143" i="4"/>
  <c r="F143" i="4" s="1"/>
  <c r="E503" i="4"/>
  <c r="F503" i="4" s="1"/>
  <c r="E615" i="4"/>
  <c r="F615" i="4" s="1"/>
  <c r="E410" i="4"/>
  <c r="F410" i="4" s="1"/>
  <c r="E221" i="4"/>
  <c r="F221" i="4" s="1"/>
  <c r="E637" i="4"/>
  <c r="F637" i="4" s="1"/>
  <c r="E605" i="4"/>
  <c r="F605" i="4" s="1"/>
  <c r="E573" i="4"/>
  <c r="F573" i="4" s="1"/>
  <c r="E541" i="4"/>
  <c r="F541" i="4" s="1"/>
  <c r="E509" i="4"/>
  <c r="F509" i="4" s="1"/>
  <c r="E477" i="4"/>
  <c r="F477" i="4" s="1"/>
  <c r="E445" i="4"/>
  <c r="F445" i="4" s="1"/>
  <c r="E413" i="4"/>
  <c r="F413" i="4" s="1"/>
  <c r="E381" i="4"/>
  <c r="F381" i="4" s="1"/>
  <c r="E624" i="4"/>
  <c r="F624" i="4" s="1"/>
  <c r="E600" i="4"/>
  <c r="F600" i="4" s="1"/>
  <c r="E548" i="4"/>
  <c r="F548" i="4" s="1"/>
  <c r="E516" i="4"/>
  <c r="F516" i="4" s="1"/>
  <c r="E484" i="4"/>
  <c r="F484" i="4" s="1"/>
  <c r="E452" i="4"/>
  <c r="F452" i="4" s="1"/>
  <c r="E404" i="4"/>
  <c r="F404" i="4" s="1"/>
  <c r="E384" i="4"/>
  <c r="F384" i="4" s="1"/>
  <c r="E360" i="4"/>
  <c r="F360" i="4" s="1"/>
  <c r="E555" i="4"/>
  <c r="F555" i="4" s="1"/>
  <c r="E470" i="4"/>
  <c r="F470" i="4" s="1"/>
  <c r="E308" i="4"/>
  <c r="F308" i="4" s="1"/>
  <c r="E272" i="4"/>
  <c r="F272" i="4" s="1"/>
  <c r="E252" i="4"/>
  <c r="F252" i="4" s="1"/>
  <c r="E228" i="4"/>
  <c r="F228" i="4" s="1"/>
  <c r="E196" i="4"/>
  <c r="F196" i="4" s="1"/>
  <c r="E635" i="4"/>
  <c r="F635" i="4" s="1"/>
  <c r="E507" i="4"/>
  <c r="F507" i="4" s="1"/>
  <c r="E298" i="4"/>
  <c r="F298" i="4" s="1"/>
  <c r="E270" i="4"/>
  <c r="F270" i="4" s="1"/>
  <c r="E218" i="4"/>
  <c r="F218" i="4" s="1"/>
  <c r="E194" i="4"/>
  <c r="F194" i="4" s="1"/>
  <c r="E522" i="4"/>
  <c r="F522" i="4" s="1"/>
  <c r="E535" i="4"/>
  <c r="F535" i="4" s="1"/>
  <c r="E519" i="4"/>
  <c r="F519" i="4" s="1"/>
  <c r="E406" i="4"/>
  <c r="F406" i="4" s="1"/>
  <c r="E273" i="4"/>
  <c r="F273" i="4" s="1"/>
  <c r="E159" i="4"/>
  <c r="F159" i="4" s="1"/>
  <c r="E574" i="4"/>
  <c r="F574" i="4" s="1"/>
  <c r="E474" i="4"/>
  <c r="F474" i="4" s="1"/>
  <c r="E515" i="4"/>
  <c r="F515" i="4" s="1"/>
  <c r="E511" i="4"/>
  <c r="F511" i="4" s="1"/>
  <c r="E354" i="4"/>
  <c r="F354" i="4" s="1"/>
  <c r="E249" i="4"/>
  <c r="F249" i="4" s="1"/>
  <c r="E133" i="4"/>
  <c r="F133" i="4" s="1"/>
  <c r="E97" i="4"/>
  <c r="F97" i="4" s="1"/>
  <c r="E77" i="4"/>
  <c r="F77" i="4" s="1"/>
  <c r="E41" i="4"/>
  <c r="F41" i="4" s="1"/>
  <c r="E426" i="4"/>
  <c r="F426" i="4" s="1"/>
  <c r="E633" i="4"/>
  <c r="F633" i="4" s="1"/>
  <c r="E601" i="4"/>
  <c r="F601" i="4" s="1"/>
  <c r="E569" i="4"/>
  <c r="F569" i="4" s="1"/>
  <c r="E537" i="4"/>
  <c r="F537" i="4" s="1"/>
  <c r="E505" i="4"/>
  <c r="F505" i="4" s="1"/>
  <c r="E473" i="4"/>
  <c r="F473" i="4" s="1"/>
  <c r="E441" i="4"/>
  <c r="F441" i="4" s="1"/>
  <c r="E409" i="4"/>
  <c r="F409" i="4" s="1"/>
  <c r="E377" i="4"/>
  <c r="F377" i="4" s="1"/>
  <c r="E648" i="4"/>
  <c r="F648" i="4" s="1"/>
  <c r="E596" i="4"/>
  <c r="F596" i="4" s="1"/>
  <c r="E572" i="4"/>
  <c r="F572" i="4" s="1"/>
  <c r="E544" i="4"/>
  <c r="F544" i="4" s="1"/>
  <c r="E512" i="4"/>
  <c r="F512" i="4" s="1"/>
  <c r="E480" i="4"/>
  <c r="F480" i="4" s="1"/>
  <c r="E448" i="4"/>
  <c r="F448" i="4" s="1"/>
  <c r="E428" i="4"/>
  <c r="F428" i="4" s="1"/>
  <c r="E356" i="4"/>
  <c r="F356" i="4" s="1"/>
  <c r="E336" i="4"/>
  <c r="F336" i="4" s="1"/>
  <c r="E630" i="4"/>
  <c r="F630" i="4" s="1"/>
  <c r="E534" i="4"/>
  <c r="F534" i="4" s="1"/>
  <c r="E324" i="4"/>
  <c r="F324" i="4" s="1"/>
  <c r="E288" i="4"/>
  <c r="F288" i="4" s="1"/>
  <c r="E268" i="4"/>
  <c r="F268" i="4" s="1"/>
  <c r="E248" i="4"/>
  <c r="F248" i="4" s="1"/>
  <c r="E224" i="4"/>
  <c r="F224" i="4" s="1"/>
  <c r="E192" i="4"/>
  <c r="F192" i="4" s="1"/>
  <c r="E614" i="4"/>
  <c r="F614" i="4" s="1"/>
  <c r="E486" i="4"/>
  <c r="F486" i="4" s="1"/>
  <c r="E322" i="4"/>
  <c r="F322" i="4" s="1"/>
  <c r="E294" i="4"/>
  <c r="F294" i="4" s="1"/>
  <c r="E266" i="4"/>
  <c r="F266" i="4" s="1"/>
  <c r="E242" i="4"/>
  <c r="F242" i="4" s="1"/>
  <c r="E214" i="4"/>
  <c r="F214" i="4" s="1"/>
  <c r="E190" i="4"/>
  <c r="F190" i="4" s="1"/>
  <c r="E494" i="4"/>
  <c r="F494" i="4" s="1"/>
  <c r="E606" i="4"/>
  <c r="F606" i="4" s="1"/>
  <c r="E590" i="4"/>
  <c r="F590" i="4" s="1"/>
  <c r="E490" i="4"/>
  <c r="F490" i="4" s="1"/>
  <c r="E345" i="4"/>
  <c r="F345" i="4" s="1"/>
  <c r="E80" i="4"/>
  <c r="F80" i="4" s="1"/>
  <c r="E235" i="4"/>
  <c r="F235" i="4" s="1"/>
  <c r="E629" i="4"/>
  <c r="F629" i="4" s="1"/>
  <c r="E597" i="4"/>
  <c r="F597" i="4" s="1"/>
  <c r="E565" i="4"/>
  <c r="F565" i="4" s="1"/>
  <c r="E533" i="4"/>
  <c r="F533" i="4" s="1"/>
  <c r="E501" i="4"/>
  <c r="F501" i="4" s="1"/>
  <c r="E469" i="4"/>
  <c r="F469" i="4" s="1"/>
  <c r="E437" i="4"/>
  <c r="F437" i="4" s="1"/>
  <c r="E405" i="4"/>
  <c r="F405" i="4" s="1"/>
  <c r="E373" i="4"/>
  <c r="F373" i="4" s="1"/>
  <c r="E644" i="4"/>
  <c r="F644" i="4" s="1"/>
  <c r="E620" i="4"/>
  <c r="F620" i="4" s="1"/>
  <c r="E592" i="4"/>
  <c r="F592" i="4" s="1"/>
  <c r="E568" i="4"/>
  <c r="F568" i="4" s="1"/>
  <c r="E540" i="4"/>
  <c r="F540" i="4" s="1"/>
  <c r="E508" i="4"/>
  <c r="F508" i="4" s="1"/>
  <c r="E476" i="4"/>
  <c r="F476" i="4" s="1"/>
  <c r="E424" i="4"/>
  <c r="F424" i="4" s="1"/>
  <c r="E400" i="4"/>
  <c r="F400" i="4" s="1"/>
  <c r="E380" i="4"/>
  <c r="F380" i="4" s="1"/>
  <c r="E619" i="4"/>
  <c r="F619" i="4" s="1"/>
  <c r="E462" i="4"/>
  <c r="F462" i="4" s="1"/>
  <c r="E304" i="4"/>
  <c r="F304" i="4" s="1"/>
  <c r="E264" i="4"/>
  <c r="F264" i="4" s="1"/>
  <c r="E244" i="4"/>
  <c r="F244" i="4" s="1"/>
  <c r="E220" i="4"/>
  <c r="F220" i="4" s="1"/>
  <c r="E188" i="4"/>
  <c r="F188" i="4" s="1"/>
  <c r="E603" i="4"/>
  <c r="F603" i="4" s="1"/>
  <c r="E475" i="4"/>
  <c r="F475" i="4" s="1"/>
  <c r="E318" i="4"/>
  <c r="F318" i="4" s="1"/>
  <c r="E262" i="4"/>
  <c r="F262" i="4" s="1"/>
  <c r="E238" i="4"/>
  <c r="F238" i="4" s="1"/>
  <c r="E186" i="4"/>
  <c r="F186" i="4" s="1"/>
  <c r="E622" i="4"/>
  <c r="F622" i="4" s="1"/>
  <c r="E479" i="4"/>
  <c r="F479" i="4" s="1"/>
  <c r="E506" i="4"/>
  <c r="F506" i="4" s="1"/>
  <c r="E575" i="4"/>
  <c r="F575" i="4" s="1"/>
  <c r="E391" i="4"/>
  <c r="F391" i="4" s="1"/>
  <c r="E62" i="4"/>
  <c r="F62" i="4" s="1"/>
  <c r="E625" i="4"/>
  <c r="F625" i="4" s="1"/>
  <c r="E593" i="4"/>
  <c r="F593" i="4" s="1"/>
  <c r="E561" i="4"/>
  <c r="F561" i="4" s="1"/>
  <c r="E529" i="4"/>
  <c r="F529" i="4" s="1"/>
  <c r="E497" i="4"/>
  <c r="F497" i="4" s="1"/>
  <c r="E465" i="4"/>
  <c r="F465" i="4" s="1"/>
  <c r="E433" i="4"/>
  <c r="F433" i="4" s="1"/>
  <c r="E401" i="4"/>
  <c r="F401" i="4" s="1"/>
  <c r="E369" i="4"/>
  <c r="F369" i="4" s="1"/>
  <c r="E640" i="4"/>
  <c r="F640" i="4" s="1"/>
  <c r="E616" i="4"/>
  <c r="F616" i="4" s="1"/>
  <c r="E564" i="4"/>
  <c r="F564" i="4" s="1"/>
  <c r="E536" i="4"/>
  <c r="F536" i="4" s="1"/>
  <c r="E504" i="4"/>
  <c r="F504" i="4" s="1"/>
  <c r="E472" i="4"/>
  <c r="F472" i="4" s="1"/>
  <c r="E444" i="4"/>
  <c r="F444" i="4" s="1"/>
  <c r="E420" i="4"/>
  <c r="F420" i="4" s="1"/>
  <c r="E376" i="4"/>
  <c r="F376" i="4" s="1"/>
  <c r="E352" i="4"/>
  <c r="F352" i="4" s="1"/>
  <c r="E332" i="4"/>
  <c r="F332" i="4" s="1"/>
  <c r="E598" i="4"/>
  <c r="F598" i="4" s="1"/>
  <c r="E523" i="4"/>
  <c r="F523" i="4" s="1"/>
  <c r="E320" i="4"/>
  <c r="F320" i="4" s="1"/>
  <c r="E284" i="4"/>
  <c r="F284" i="4" s="1"/>
  <c r="E216" i="4"/>
  <c r="F216" i="4" s="1"/>
  <c r="E184" i="4"/>
  <c r="F184" i="4" s="1"/>
  <c r="E582" i="4"/>
  <c r="F582" i="4" s="1"/>
  <c r="E466" i="4"/>
  <c r="F466" i="4" s="1"/>
  <c r="E314" i="4"/>
  <c r="F314" i="4" s="1"/>
  <c r="E290" i="4"/>
  <c r="F290" i="4" s="1"/>
  <c r="E234" i="4"/>
  <c r="F234" i="4" s="1"/>
  <c r="E210" i="4"/>
  <c r="F210" i="4" s="1"/>
  <c r="E182" i="4"/>
  <c r="F182" i="4" s="1"/>
  <c r="E607" i="4"/>
  <c r="F607" i="4" s="1"/>
  <c r="E591" i="4"/>
  <c r="F591" i="4" s="1"/>
  <c r="E478" i="4"/>
  <c r="F478" i="4" s="1"/>
  <c r="E455" i="4"/>
  <c r="F455" i="4" s="1"/>
  <c r="E321" i="4"/>
  <c r="F321" i="4" s="1"/>
  <c r="E177" i="4"/>
  <c r="F177" i="4" s="1"/>
  <c r="E151" i="4"/>
  <c r="F151" i="4" s="1"/>
  <c r="E546" i="4"/>
  <c r="F546" i="4" s="1"/>
  <c r="I5" i="3"/>
  <c r="I5" i="2"/>
  <c r="E625" i="2"/>
  <c r="F625" i="2" s="1"/>
  <c r="E298" i="2"/>
  <c r="F298" i="2" s="1"/>
  <c r="E156" i="2"/>
  <c r="F156" i="2" s="1"/>
  <c r="E564" i="2"/>
  <c r="F564" i="2" s="1"/>
  <c r="E528" i="2"/>
  <c r="F528" i="2" s="1"/>
  <c r="E492" i="2"/>
  <c r="F492" i="2" s="1"/>
  <c r="E456" i="2"/>
  <c r="F456" i="2" s="1"/>
  <c r="E436" i="2"/>
  <c r="F436" i="2" s="1"/>
  <c r="E400" i="2"/>
  <c r="F400" i="2" s="1"/>
  <c r="E364" i="2"/>
  <c r="F364" i="2" s="1"/>
  <c r="E328" i="2"/>
  <c r="F328" i="2" s="1"/>
  <c r="E308" i="2"/>
  <c r="F308" i="2" s="1"/>
  <c r="E272" i="2"/>
  <c r="F272" i="2" s="1"/>
  <c r="E575" i="2"/>
  <c r="F575" i="2" s="1"/>
  <c r="E539" i="2"/>
  <c r="F539" i="2" s="1"/>
  <c r="E519" i="2"/>
  <c r="F519" i="2" s="1"/>
  <c r="E483" i="2"/>
  <c r="F483" i="2" s="1"/>
  <c r="E447" i="2"/>
  <c r="F447" i="2" s="1"/>
  <c r="E411" i="2"/>
  <c r="F411" i="2" s="1"/>
  <c r="E489" i="2"/>
  <c r="F489" i="2" s="1"/>
  <c r="E357" i="2"/>
  <c r="F357" i="2" s="1"/>
  <c r="E261" i="2"/>
  <c r="F261" i="2" s="1"/>
  <c r="E494" i="2"/>
  <c r="F494" i="2" s="1"/>
  <c r="E422" i="2"/>
  <c r="F422" i="2" s="1"/>
  <c r="E329" i="2"/>
  <c r="F329" i="2" s="1"/>
  <c r="E238" i="2"/>
  <c r="F238" i="2" s="1"/>
  <c r="E202" i="2"/>
  <c r="F202" i="2" s="1"/>
  <c r="E182" i="2"/>
  <c r="F182" i="2" s="1"/>
  <c r="E542" i="2"/>
  <c r="F542" i="2" s="1"/>
  <c r="E493" i="2"/>
  <c r="F493" i="2" s="1"/>
  <c r="E387" i="2"/>
  <c r="F387" i="2" s="1"/>
  <c r="E291" i="2"/>
  <c r="F291" i="2" s="1"/>
  <c r="E241" i="2"/>
  <c r="F241" i="2" s="1"/>
  <c r="E201" i="2"/>
  <c r="F201" i="2" s="1"/>
  <c r="E181" i="2"/>
  <c r="F181" i="2" s="1"/>
  <c r="E145" i="2"/>
  <c r="F145" i="2" s="1"/>
  <c r="E105" i="2"/>
  <c r="F105" i="2" s="1"/>
  <c r="E85" i="2"/>
  <c r="F85" i="2" s="1"/>
  <c r="E541" i="2"/>
  <c r="F541" i="2" s="1"/>
  <c r="E391" i="2"/>
  <c r="F391" i="2" s="1"/>
  <c r="E286" i="2"/>
  <c r="F286" i="2" s="1"/>
  <c r="E474" i="2"/>
  <c r="F474" i="2" s="1"/>
  <c r="E342" i="2"/>
  <c r="F342" i="2" s="1"/>
  <c r="E269" i="2"/>
  <c r="F269" i="2" s="1"/>
  <c r="E232" i="2"/>
  <c r="F232" i="2" s="1"/>
  <c r="E168" i="2"/>
  <c r="F168" i="2" s="1"/>
  <c r="E92" i="2"/>
  <c r="F92" i="2" s="1"/>
  <c r="E538" i="2"/>
  <c r="F538" i="2" s="1"/>
  <c r="E446" i="2"/>
  <c r="F446" i="2" s="1"/>
  <c r="E386" i="2"/>
  <c r="F386" i="2" s="1"/>
  <c r="E313" i="2"/>
  <c r="F313" i="2" s="1"/>
  <c r="E187" i="2"/>
  <c r="F187" i="2" s="1"/>
  <c r="E143" i="2"/>
  <c r="F143" i="2" s="1"/>
  <c r="E96" i="2"/>
  <c r="F96" i="2" s="1"/>
  <c r="E580" i="2"/>
  <c r="F580" i="2" s="1"/>
  <c r="E544" i="2"/>
  <c r="F544" i="2" s="1"/>
  <c r="E508" i="2"/>
  <c r="F508" i="2" s="1"/>
  <c r="E472" i="2"/>
  <c r="F472" i="2" s="1"/>
  <c r="E452" i="2"/>
  <c r="F452" i="2" s="1"/>
  <c r="E416" i="2"/>
  <c r="F416" i="2" s="1"/>
  <c r="E380" i="2"/>
  <c r="F380" i="2" s="1"/>
  <c r="E344" i="2"/>
  <c r="F344" i="2" s="1"/>
  <c r="E324" i="2"/>
  <c r="F324" i="2" s="1"/>
  <c r="E288" i="2"/>
  <c r="F288" i="2" s="1"/>
  <c r="E252" i="2"/>
  <c r="F252" i="2" s="1"/>
  <c r="E555" i="2"/>
  <c r="F555" i="2" s="1"/>
  <c r="E535" i="2"/>
  <c r="F535" i="2" s="1"/>
  <c r="E499" i="2"/>
  <c r="F499" i="2" s="1"/>
  <c r="E463" i="2"/>
  <c r="F463" i="2" s="1"/>
  <c r="E427" i="2"/>
  <c r="F427" i="2" s="1"/>
  <c r="E581" i="2"/>
  <c r="F581" i="2" s="1"/>
  <c r="E398" i="2"/>
  <c r="F398" i="2" s="1"/>
  <c r="E302" i="2"/>
  <c r="F302" i="2" s="1"/>
  <c r="E530" i="2"/>
  <c r="F530" i="2" s="1"/>
  <c r="E469" i="2"/>
  <c r="F469" i="2" s="1"/>
  <c r="E370" i="2"/>
  <c r="F370" i="2" s="1"/>
  <c r="E274" i="2"/>
  <c r="F274" i="2" s="1"/>
  <c r="E218" i="2"/>
  <c r="F218" i="2" s="1"/>
  <c r="E198" i="2"/>
  <c r="F198" i="2" s="1"/>
  <c r="E162" i="2"/>
  <c r="F162" i="2" s="1"/>
  <c r="E142" i="2"/>
  <c r="F142" i="2" s="1"/>
  <c r="E526" i="2"/>
  <c r="F526" i="2" s="1"/>
  <c r="E486" i="2"/>
  <c r="F486" i="2" s="1"/>
  <c r="E426" i="2"/>
  <c r="F426" i="2" s="1"/>
  <c r="E337" i="2"/>
  <c r="F337" i="2" s="1"/>
  <c r="E282" i="2"/>
  <c r="F282" i="2" s="1"/>
  <c r="E237" i="2"/>
  <c r="F237" i="2" s="1"/>
  <c r="E217" i="2"/>
  <c r="F217" i="2" s="1"/>
  <c r="E161" i="2"/>
  <c r="F161" i="2" s="1"/>
  <c r="E141" i="2"/>
  <c r="F141" i="2" s="1"/>
  <c r="E121" i="2"/>
  <c r="F121" i="2" s="1"/>
  <c r="E341" i="2"/>
  <c r="F341" i="2" s="1"/>
  <c r="E277" i="2"/>
  <c r="F277" i="2" s="1"/>
  <c r="E560" i="2"/>
  <c r="F560" i="2" s="1"/>
  <c r="E524" i="2"/>
  <c r="F524" i="2" s="1"/>
  <c r="E488" i="2"/>
  <c r="F488" i="2" s="1"/>
  <c r="E468" i="2"/>
  <c r="F468" i="2" s="1"/>
  <c r="E432" i="2"/>
  <c r="F432" i="2" s="1"/>
  <c r="E396" i="2"/>
  <c r="F396" i="2" s="1"/>
  <c r="E360" i="2"/>
  <c r="F360" i="2" s="1"/>
  <c r="E340" i="2"/>
  <c r="F340" i="2" s="1"/>
  <c r="E304" i="2"/>
  <c r="F304" i="2" s="1"/>
  <c r="E268" i="2"/>
  <c r="F268" i="2" s="1"/>
  <c r="E571" i="2"/>
  <c r="F571" i="2" s="1"/>
  <c r="E551" i="2"/>
  <c r="F551" i="2" s="1"/>
  <c r="E515" i="2"/>
  <c r="F515" i="2" s="1"/>
  <c r="E479" i="2"/>
  <c r="F479" i="2" s="1"/>
  <c r="E443" i="2"/>
  <c r="F443" i="2" s="1"/>
  <c r="E423" i="2"/>
  <c r="F423" i="2" s="1"/>
  <c r="E482" i="2"/>
  <c r="F482" i="2" s="1"/>
  <c r="E343" i="2"/>
  <c r="F343" i="2" s="1"/>
  <c r="E247" i="2"/>
  <c r="F247" i="2" s="1"/>
  <c r="E518" i="2"/>
  <c r="F518" i="2" s="1"/>
  <c r="E417" i="2"/>
  <c r="F417" i="2" s="1"/>
  <c r="E315" i="2"/>
  <c r="F315" i="2" s="1"/>
  <c r="E234" i="2"/>
  <c r="F234" i="2" s="1"/>
  <c r="E214" i="2"/>
  <c r="F214" i="2" s="1"/>
  <c r="E178" i="2"/>
  <c r="F178" i="2" s="1"/>
  <c r="E517" i="2"/>
  <c r="F517" i="2" s="1"/>
  <c r="E378" i="2"/>
  <c r="F378" i="2" s="1"/>
  <c r="E273" i="2"/>
  <c r="F273" i="2" s="1"/>
  <c r="E197" i="2"/>
  <c r="F197" i="2" s="1"/>
  <c r="E177" i="2"/>
  <c r="F177" i="2" s="1"/>
  <c r="E157" i="2"/>
  <c r="F157" i="2" s="1"/>
  <c r="E101" i="2"/>
  <c r="F101" i="2" s="1"/>
  <c r="E81" i="2"/>
  <c r="F81" i="2" s="1"/>
  <c r="E525" i="2"/>
  <c r="F525" i="2" s="1"/>
  <c r="E382" i="2"/>
  <c r="F382" i="2" s="1"/>
  <c r="E449" i="2"/>
  <c r="F449" i="2" s="1"/>
  <c r="E333" i="2"/>
  <c r="F333" i="2" s="1"/>
  <c r="E253" i="2"/>
  <c r="F253" i="2" s="1"/>
  <c r="E55" i="2"/>
  <c r="F55" i="2" s="1"/>
  <c r="E576" i="2"/>
  <c r="F576" i="2" s="1"/>
  <c r="E540" i="2"/>
  <c r="F540" i="2" s="1"/>
  <c r="E504" i="2"/>
  <c r="F504" i="2" s="1"/>
  <c r="E484" i="2"/>
  <c r="F484" i="2" s="1"/>
  <c r="E448" i="2"/>
  <c r="F448" i="2" s="1"/>
  <c r="E412" i="2"/>
  <c r="F412" i="2" s="1"/>
  <c r="E376" i="2"/>
  <c r="F376" i="2" s="1"/>
  <c r="E356" i="2"/>
  <c r="F356" i="2" s="1"/>
  <c r="E320" i="2"/>
  <c r="F320" i="2" s="1"/>
  <c r="E284" i="2"/>
  <c r="F284" i="2" s="1"/>
  <c r="E248" i="2"/>
  <c r="F248" i="2" s="1"/>
  <c r="E567" i="2"/>
  <c r="F567" i="2" s="1"/>
  <c r="E531" i="2"/>
  <c r="F531" i="2" s="1"/>
  <c r="E495" i="2"/>
  <c r="F495" i="2" s="1"/>
  <c r="E459" i="2"/>
  <c r="F459" i="2" s="1"/>
  <c r="E439" i="2"/>
  <c r="F439" i="2" s="1"/>
  <c r="E565" i="2"/>
  <c r="F565" i="2" s="1"/>
  <c r="E389" i="2"/>
  <c r="F389" i="2" s="1"/>
  <c r="E293" i="2"/>
  <c r="F293" i="2" s="1"/>
  <c r="E578" i="2"/>
  <c r="F578" i="2" s="1"/>
  <c r="E462" i="2"/>
  <c r="F462" i="2" s="1"/>
  <c r="E361" i="2"/>
  <c r="F361" i="2" s="1"/>
  <c r="E265" i="2"/>
  <c r="F265" i="2" s="1"/>
  <c r="E230" i="2"/>
  <c r="F230" i="2" s="1"/>
  <c r="E194" i="2"/>
  <c r="F194" i="2" s="1"/>
  <c r="E158" i="2"/>
  <c r="F158" i="2" s="1"/>
  <c r="E138" i="2"/>
  <c r="F138" i="2" s="1"/>
  <c r="E461" i="2"/>
  <c r="F461" i="2" s="1"/>
  <c r="E421" i="2"/>
  <c r="F421" i="2" s="1"/>
  <c r="E323" i="2"/>
  <c r="F323" i="2" s="1"/>
  <c r="E233" i="2"/>
  <c r="F233" i="2" s="1"/>
  <c r="E213" i="2"/>
  <c r="F213" i="2" s="1"/>
  <c r="E193" i="2"/>
  <c r="F193" i="2" s="1"/>
  <c r="E173" i="2"/>
  <c r="F173" i="2" s="1"/>
  <c r="E137" i="2"/>
  <c r="F137" i="2" s="1"/>
  <c r="E117" i="2"/>
  <c r="F117" i="2" s="1"/>
  <c r="E97" i="2"/>
  <c r="F97" i="2" s="1"/>
  <c r="E77" i="2"/>
  <c r="F77" i="2" s="1"/>
  <c r="E327" i="2"/>
  <c r="F327" i="2" s="1"/>
  <c r="E263" i="2"/>
  <c r="F263" i="2" s="1"/>
  <c r="E556" i="2"/>
  <c r="F556" i="2" s="1"/>
  <c r="E520" i="2"/>
  <c r="F520" i="2" s="1"/>
  <c r="E500" i="2"/>
  <c r="F500" i="2" s="1"/>
  <c r="E464" i="2"/>
  <c r="F464" i="2" s="1"/>
  <c r="E428" i="2"/>
  <c r="F428" i="2" s="1"/>
  <c r="E392" i="2"/>
  <c r="F392" i="2" s="1"/>
  <c r="E372" i="2"/>
  <c r="F372" i="2" s="1"/>
  <c r="E336" i="2"/>
  <c r="F336" i="2" s="1"/>
  <c r="E300" i="2"/>
  <c r="F300" i="2" s="1"/>
  <c r="E264" i="2"/>
  <c r="F264" i="2" s="1"/>
  <c r="E244" i="2"/>
  <c r="F244" i="2" s="1"/>
  <c r="E547" i="2"/>
  <c r="F547" i="2" s="1"/>
  <c r="E511" i="2"/>
  <c r="F511" i="2" s="1"/>
  <c r="E475" i="2"/>
  <c r="F475" i="2" s="1"/>
  <c r="E455" i="2"/>
  <c r="F455" i="2" s="1"/>
  <c r="E419" i="2"/>
  <c r="F419" i="2" s="1"/>
  <c r="E457" i="2"/>
  <c r="F457" i="2" s="1"/>
  <c r="E334" i="2"/>
  <c r="F334" i="2" s="1"/>
  <c r="E279" i="2"/>
  <c r="F279" i="2" s="1"/>
  <c r="E510" i="2"/>
  <c r="F510" i="2" s="1"/>
  <c r="E402" i="2"/>
  <c r="F402" i="2" s="1"/>
  <c r="E306" i="2"/>
  <c r="F306" i="2" s="1"/>
  <c r="E251" i="2"/>
  <c r="F251" i="2" s="1"/>
  <c r="E210" i="2"/>
  <c r="F210" i="2" s="1"/>
  <c r="E174" i="2"/>
  <c r="F174" i="2" s="1"/>
  <c r="E154" i="2"/>
  <c r="F154" i="2" s="1"/>
  <c r="E574" i="2"/>
  <c r="F574" i="2" s="1"/>
  <c r="E509" i="2"/>
  <c r="F509" i="2" s="1"/>
  <c r="E369" i="2"/>
  <c r="F369" i="2" s="1"/>
  <c r="E314" i="2"/>
  <c r="F314" i="2" s="1"/>
  <c r="E259" i="2"/>
  <c r="F259" i="2" s="1"/>
  <c r="E189" i="2"/>
  <c r="F189" i="2" s="1"/>
  <c r="E153" i="2"/>
  <c r="F153" i="2" s="1"/>
  <c r="E93" i="2"/>
  <c r="F93" i="2" s="1"/>
  <c r="E73" i="2"/>
  <c r="F73" i="2" s="1"/>
  <c r="E473" i="2"/>
  <c r="F473" i="2" s="1"/>
  <c r="E373" i="2"/>
  <c r="F373" i="2" s="1"/>
  <c r="E318" i="2"/>
  <c r="F318" i="2" s="1"/>
  <c r="E406" i="2"/>
  <c r="F406" i="2" s="1"/>
  <c r="E287" i="2"/>
  <c r="F287" i="2" s="1"/>
  <c r="E245" i="2"/>
  <c r="F245" i="2" s="1"/>
  <c r="E200" i="2"/>
  <c r="F200" i="2" s="1"/>
  <c r="E115" i="2"/>
  <c r="F115" i="2" s="1"/>
  <c r="E74" i="2"/>
  <c r="F74" i="2" s="1"/>
  <c r="E498" i="2"/>
  <c r="F498" i="2" s="1"/>
  <c r="E414" i="2"/>
  <c r="F414" i="2" s="1"/>
  <c r="E331" i="2"/>
  <c r="F331" i="2" s="1"/>
  <c r="E219" i="2"/>
  <c r="F219" i="2" s="1"/>
  <c r="E155" i="2"/>
  <c r="F155" i="2" s="1"/>
  <c r="E119" i="2"/>
  <c r="F119" i="2" s="1"/>
  <c r="E78" i="2"/>
  <c r="F78" i="2" s="1"/>
  <c r="E84" i="2"/>
  <c r="F84" i="2" s="1"/>
  <c r="E572" i="2"/>
  <c r="F572" i="2" s="1"/>
  <c r="E536" i="2"/>
  <c r="F536" i="2" s="1"/>
  <c r="E516" i="2"/>
  <c r="F516" i="2" s="1"/>
  <c r="E480" i="2"/>
  <c r="F480" i="2" s="1"/>
  <c r="E444" i="2"/>
  <c r="F444" i="2" s="1"/>
  <c r="E408" i="2"/>
  <c r="F408" i="2" s="1"/>
  <c r="E388" i="2"/>
  <c r="F388" i="2" s="1"/>
  <c r="E352" i="2"/>
  <c r="F352" i="2" s="1"/>
  <c r="E316" i="2"/>
  <c r="F316" i="2" s="1"/>
  <c r="E280" i="2"/>
  <c r="F280" i="2" s="1"/>
  <c r="E260" i="2"/>
  <c r="F260" i="2" s="1"/>
  <c r="E563" i="2"/>
  <c r="F563" i="2" s="1"/>
  <c r="E527" i="2"/>
  <c r="F527" i="2" s="1"/>
  <c r="E491" i="2"/>
  <c r="F491" i="2" s="1"/>
  <c r="E471" i="2"/>
  <c r="F471" i="2" s="1"/>
  <c r="E435" i="2"/>
  <c r="F435" i="2" s="1"/>
  <c r="E549" i="2"/>
  <c r="F549" i="2" s="1"/>
  <c r="E375" i="2"/>
  <c r="F375" i="2" s="1"/>
  <c r="E325" i="2"/>
  <c r="F325" i="2" s="1"/>
  <c r="E562" i="2"/>
  <c r="F562" i="2" s="1"/>
  <c r="E438" i="2"/>
  <c r="F438" i="2" s="1"/>
  <c r="E347" i="2"/>
  <c r="F347" i="2" s="1"/>
  <c r="E297" i="2"/>
  <c r="F297" i="2" s="1"/>
  <c r="E226" i="2"/>
  <c r="F226" i="2" s="1"/>
  <c r="E190" i="2"/>
  <c r="F190" i="2" s="1"/>
  <c r="E150" i="2"/>
  <c r="F150" i="2" s="1"/>
  <c r="E454" i="2"/>
  <c r="F454" i="2" s="1"/>
  <c r="E410" i="2"/>
  <c r="F410" i="2" s="1"/>
  <c r="E355" i="2"/>
  <c r="F355" i="2" s="1"/>
  <c r="E229" i="2"/>
  <c r="F229" i="2" s="1"/>
  <c r="E209" i="2"/>
  <c r="F209" i="2" s="1"/>
  <c r="E169" i="2"/>
  <c r="F169" i="2" s="1"/>
  <c r="E133" i="2"/>
  <c r="F133" i="2" s="1"/>
  <c r="E113" i="2"/>
  <c r="F113" i="2" s="1"/>
  <c r="E359" i="2"/>
  <c r="F359" i="2" s="1"/>
  <c r="E309" i="2"/>
  <c r="F309" i="2" s="1"/>
  <c r="E577" i="2"/>
  <c r="F577" i="2" s="1"/>
  <c r="E397" i="2"/>
  <c r="F397" i="2" s="1"/>
  <c r="E568" i="2"/>
  <c r="F568" i="2" s="1"/>
  <c r="E548" i="2"/>
  <c r="F548" i="2" s="1"/>
  <c r="E512" i="2"/>
  <c r="F512" i="2" s="1"/>
  <c r="E476" i="2"/>
  <c r="F476" i="2" s="1"/>
  <c r="E440" i="2"/>
  <c r="F440" i="2" s="1"/>
  <c r="E420" i="2"/>
  <c r="F420" i="2" s="1"/>
  <c r="E384" i="2"/>
  <c r="F384" i="2" s="1"/>
  <c r="E348" i="2"/>
  <c r="F348" i="2" s="1"/>
  <c r="E312" i="2"/>
  <c r="F312" i="2" s="1"/>
  <c r="E292" i="2"/>
  <c r="F292" i="2" s="1"/>
  <c r="E256" i="2"/>
  <c r="F256" i="2" s="1"/>
  <c r="E559" i="2"/>
  <c r="F559" i="2" s="1"/>
  <c r="E523" i="2"/>
  <c r="F523" i="2" s="1"/>
  <c r="E503" i="2"/>
  <c r="F503" i="2" s="1"/>
  <c r="E467" i="2"/>
  <c r="F467" i="2" s="1"/>
  <c r="E431" i="2"/>
  <c r="F431" i="2" s="1"/>
  <c r="E533" i="2"/>
  <c r="F533" i="2" s="1"/>
  <c r="E407" i="2"/>
  <c r="F407" i="2" s="1"/>
  <c r="E311" i="2"/>
  <c r="F311" i="2" s="1"/>
  <c r="E546" i="2"/>
  <c r="F546" i="2" s="1"/>
  <c r="E433" i="2"/>
  <c r="F433" i="2" s="1"/>
  <c r="E379" i="2"/>
  <c r="F379" i="2" s="1"/>
  <c r="E283" i="2"/>
  <c r="F283" i="2" s="1"/>
  <c r="E222" i="2"/>
  <c r="F222" i="2" s="1"/>
  <c r="E186" i="2"/>
  <c r="F186" i="2" s="1"/>
  <c r="E166" i="2"/>
  <c r="F166" i="2" s="1"/>
  <c r="E146" i="2"/>
  <c r="F146" i="2" s="1"/>
  <c r="E437" i="2"/>
  <c r="F437" i="2" s="1"/>
  <c r="E346" i="2"/>
  <c r="F346" i="2" s="1"/>
  <c r="E221" i="2"/>
  <c r="F221" i="2" s="1"/>
  <c r="E165" i="2"/>
  <c r="F165" i="2" s="1"/>
  <c r="E125" i="2"/>
  <c r="F125" i="2" s="1"/>
  <c r="E557" i="2"/>
  <c r="F557" i="2" s="1"/>
  <c r="E405" i="2"/>
  <c r="F405" i="2" s="1"/>
  <c r="E350" i="2"/>
  <c r="F350" i="2" s="1"/>
  <c r="E295" i="2"/>
  <c r="F295" i="2" s="1"/>
  <c r="E545" i="2"/>
  <c r="F545" i="2" s="1"/>
  <c r="E552" i="2"/>
  <c r="F552" i="2" s="1"/>
  <c r="E404" i="2"/>
  <c r="F404" i="2" s="1"/>
  <c r="E451" i="2"/>
  <c r="F451" i="2" s="1"/>
  <c r="E206" i="2"/>
  <c r="F206" i="2" s="1"/>
  <c r="E129" i="2"/>
  <c r="F129" i="2" s="1"/>
  <c r="E351" i="2"/>
  <c r="F351" i="2" s="1"/>
  <c r="E106" i="2"/>
  <c r="F106" i="2" s="1"/>
  <c r="E322" i="2"/>
  <c r="F322" i="2" s="1"/>
  <c r="E69" i="2"/>
  <c r="F69" i="2" s="1"/>
  <c r="E53" i="2"/>
  <c r="F53" i="2" s="1"/>
  <c r="E37" i="2"/>
  <c r="F37" i="2" s="1"/>
  <c r="E21" i="2"/>
  <c r="F21" i="2" s="1"/>
  <c r="E5" i="2"/>
  <c r="F5" i="2" s="1"/>
  <c r="E367" i="2"/>
  <c r="F367" i="2" s="1"/>
  <c r="E294" i="2"/>
  <c r="F294" i="2" s="1"/>
  <c r="E224" i="2"/>
  <c r="F224" i="2" s="1"/>
  <c r="E160" i="2"/>
  <c r="F160" i="2" s="1"/>
  <c r="E100" i="2"/>
  <c r="F100" i="2" s="1"/>
  <c r="E534" i="2"/>
  <c r="F534" i="2" s="1"/>
  <c r="E445" i="2"/>
  <c r="F445" i="2" s="1"/>
  <c r="E394" i="2"/>
  <c r="F394" i="2" s="1"/>
  <c r="E321" i="2"/>
  <c r="F321" i="2" s="1"/>
  <c r="E236" i="2"/>
  <c r="F236" i="2" s="1"/>
  <c r="E172" i="2"/>
  <c r="F172" i="2" s="1"/>
  <c r="E118" i="2"/>
  <c r="F118" i="2" s="1"/>
  <c r="E72" i="2"/>
  <c r="F72" i="2" s="1"/>
  <c r="E56" i="2"/>
  <c r="F56" i="2" s="1"/>
  <c r="E40" i="2"/>
  <c r="F40" i="2" s="1"/>
  <c r="E24" i="2"/>
  <c r="F24" i="2" s="1"/>
  <c r="E8" i="2"/>
  <c r="F8" i="2" s="1"/>
  <c r="E529" i="2"/>
  <c r="F529" i="2" s="1"/>
  <c r="E365" i="2"/>
  <c r="F365" i="2" s="1"/>
  <c r="E257" i="2"/>
  <c r="F257" i="2" s="1"/>
  <c r="E191" i="2"/>
  <c r="F191" i="2" s="1"/>
  <c r="E131" i="2"/>
  <c r="F131" i="2" s="1"/>
  <c r="E90" i="2"/>
  <c r="F90" i="2" s="1"/>
  <c r="E465" i="2"/>
  <c r="F465" i="2" s="1"/>
  <c r="E335" i="2"/>
  <c r="F335" i="2" s="1"/>
  <c r="E262" i="2"/>
  <c r="F262" i="2" s="1"/>
  <c r="E208" i="2"/>
  <c r="F208" i="2" s="1"/>
  <c r="E554" i="2"/>
  <c r="F554" i="2" s="1"/>
  <c r="E281" i="2"/>
  <c r="F281" i="2" s="1"/>
  <c r="E107" i="2"/>
  <c r="F107" i="2" s="1"/>
  <c r="E46" i="2"/>
  <c r="F46" i="2" s="1"/>
  <c r="E14" i="2"/>
  <c r="F14" i="2" s="1"/>
  <c r="E429" i="2"/>
  <c r="F429" i="2" s="1"/>
  <c r="E195" i="2"/>
  <c r="F195" i="2" s="1"/>
  <c r="E70" i="2"/>
  <c r="F70" i="2" s="1"/>
  <c r="E532" i="2"/>
  <c r="F532" i="2" s="1"/>
  <c r="E579" i="2"/>
  <c r="F579" i="2" s="1"/>
  <c r="E502" i="2"/>
  <c r="F502" i="2" s="1"/>
  <c r="E305" i="2"/>
  <c r="F305" i="2" s="1"/>
  <c r="E109" i="2"/>
  <c r="F109" i="2" s="1"/>
  <c r="E278" i="2"/>
  <c r="F278" i="2" s="1"/>
  <c r="E514" i="2"/>
  <c r="F514" i="2" s="1"/>
  <c r="E180" i="2"/>
  <c r="F180" i="2" s="1"/>
  <c r="E227" i="2"/>
  <c r="F227" i="2" s="1"/>
  <c r="E368" i="2"/>
  <c r="F368" i="2" s="1"/>
  <c r="E415" i="2"/>
  <c r="F415" i="2" s="1"/>
  <c r="E170" i="2"/>
  <c r="F170" i="2" s="1"/>
  <c r="E250" i="2"/>
  <c r="F250" i="2" s="1"/>
  <c r="E89" i="2"/>
  <c r="F89" i="2" s="1"/>
  <c r="E175" i="2"/>
  <c r="F175" i="2" s="1"/>
  <c r="E395" i="2"/>
  <c r="F395" i="2" s="1"/>
  <c r="E110" i="2"/>
  <c r="F110" i="2" s="1"/>
  <c r="E65" i="2"/>
  <c r="F65" i="2" s="1"/>
  <c r="E49" i="2"/>
  <c r="F49" i="2" s="1"/>
  <c r="E33" i="2"/>
  <c r="F33" i="2" s="1"/>
  <c r="E17" i="2"/>
  <c r="F17" i="2" s="1"/>
  <c r="E569" i="2"/>
  <c r="F569" i="2" s="1"/>
  <c r="E358" i="2"/>
  <c r="F358" i="2" s="1"/>
  <c r="E285" i="2"/>
  <c r="F285" i="2" s="1"/>
  <c r="E199" i="2"/>
  <c r="F199" i="2" s="1"/>
  <c r="E132" i="2"/>
  <c r="F132" i="2" s="1"/>
  <c r="E91" i="2"/>
  <c r="F91" i="2" s="1"/>
  <c r="E513" i="2"/>
  <c r="F513" i="2" s="1"/>
  <c r="E434" i="2"/>
  <c r="F434" i="2" s="1"/>
  <c r="E385" i="2"/>
  <c r="F385" i="2" s="1"/>
  <c r="E275" i="2"/>
  <c r="F275" i="2" s="1"/>
  <c r="E211" i="2"/>
  <c r="F211" i="2" s="1"/>
  <c r="E147" i="2"/>
  <c r="F147" i="2" s="1"/>
  <c r="E104" i="2"/>
  <c r="F104" i="2" s="1"/>
  <c r="E68" i="2"/>
  <c r="F68" i="2" s="1"/>
  <c r="E52" i="2"/>
  <c r="F52" i="2" s="1"/>
  <c r="E36" i="2"/>
  <c r="F36" i="2" s="1"/>
  <c r="E20" i="2"/>
  <c r="F20" i="2" s="1"/>
  <c r="E4" i="2"/>
  <c r="F4" i="2" s="1"/>
  <c r="E481" i="2"/>
  <c r="F481" i="2" s="1"/>
  <c r="E319" i="2"/>
  <c r="F319" i="2" s="1"/>
  <c r="E249" i="2"/>
  <c r="F249" i="2" s="1"/>
  <c r="E184" i="2"/>
  <c r="F184" i="2" s="1"/>
  <c r="E122" i="2"/>
  <c r="F122" i="2" s="1"/>
  <c r="E76" i="2"/>
  <c r="F76" i="2" s="1"/>
  <c r="E399" i="2"/>
  <c r="F399" i="2" s="1"/>
  <c r="E326" i="2"/>
  <c r="F326" i="2" s="1"/>
  <c r="E254" i="2"/>
  <c r="F254" i="2" s="1"/>
  <c r="E183" i="2"/>
  <c r="F183" i="2" s="1"/>
  <c r="E478" i="2"/>
  <c r="F478" i="2" s="1"/>
  <c r="E196" i="2"/>
  <c r="F196" i="2" s="1"/>
  <c r="E94" i="2"/>
  <c r="F94" i="2" s="1"/>
  <c r="E38" i="2"/>
  <c r="F38" i="2" s="1"/>
  <c r="E6" i="2"/>
  <c r="F6" i="2" s="1"/>
  <c r="E353" i="2"/>
  <c r="F353" i="2" s="1"/>
  <c r="E144" i="2"/>
  <c r="F144" i="2" s="1"/>
  <c r="E496" i="2"/>
  <c r="F496" i="2" s="1"/>
  <c r="E543" i="2"/>
  <c r="F543" i="2" s="1"/>
  <c r="E393" i="2"/>
  <c r="F393" i="2" s="1"/>
  <c r="E225" i="2"/>
  <c r="F225" i="2" s="1"/>
  <c r="E573" i="2"/>
  <c r="F573" i="2" s="1"/>
  <c r="E83" i="2"/>
  <c r="F83" i="2" s="1"/>
  <c r="E267" i="2"/>
  <c r="F267" i="2" s="1"/>
  <c r="E332" i="2"/>
  <c r="F332" i="2" s="1"/>
  <c r="E450" i="2"/>
  <c r="F450" i="2" s="1"/>
  <c r="E338" i="2"/>
  <c r="F338" i="2" s="1"/>
  <c r="E558" i="2"/>
  <c r="F558" i="2" s="1"/>
  <c r="E205" i="2"/>
  <c r="F205" i="2" s="1"/>
  <c r="E466" i="2"/>
  <c r="F466" i="2" s="1"/>
  <c r="E239" i="2"/>
  <c r="F239" i="2" s="1"/>
  <c r="E485" i="2"/>
  <c r="F485" i="2" s="1"/>
  <c r="E148" i="2"/>
  <c r="F148" i="2" s="1"/>
  <c r="E61" i="2"/>
  <c r="F61" i="2" s="1"/>
  <c r="E45" i="2"/>
  <c r="F45" i="2" s="1"/>
  <c r="E29" i="2"/>
  <c r="F29" i="2" s="1"/>
  <c r="E13" i="2"/>
  <c r="F13" i="2" s="1"/>
  <c r="E537" i="2"/>
  <c r="F537" i="2" s="1"/>
  <c r="E349" i="2"/>
  <c r="F349" i="2" s="1"/>
  <c r="E258" i="2"/>
  <c r="F258" i="2" s="1"/>
  <c r="E192" i="2"/>
  <c r="F192" i="2" s="1"/>
  <c r="E123" i="2"/>
  <c r="F123" i="2" s="1"/>
  <c r="E82" i="2"/>
  <c r="F82" i="2" s="1"/>
  <c r="E497" i="2"/>
  <c r="F497" i="2" s="1"/>
  <c r="E413" i="2"/>
  <c r="F413" i="2" s="1"/>
  <c r="E339" i="2"/>
  <c r="F339" i="2" s="1"/>
  <c r="E266" i="2"/>
  <c r="F266" i="2" s="1"/>
  <c r="E204" i="2"/>
  <c r="F204" i="2" s="1"/>
  <c r="E136" i="2"/>
  <c r="F136" i="2" s="1"/>
  <c r="E95" i="2"/>
  <c r="F95" i="2" s="1"/>
  <c r="E64" i="2"/>
  <c r="F64" i="2" s="1"/>
  <c r="E48" i="2"/>
  <c r="F48" i="2" s="1"/>
  <c r="E32" i="2"/>
  <c r="F32" i="2" s="1"/>
  <c r="E16" i="2"/>
  <c r="F16" i="2" s="1"/>
  <c r="E383" i="2"/>
  <c r="F383" i="2" s="1"/>
  <c r="E310" i="2"/>
  <c r="F310" i="2" s="1"/>
  <c r="E223" i="2"/>
  <c r="F223" i="2" s="1"/>
  <c r="E159" i="2"/>
  <c r="F159" i="2" s="1"/>
  <c r="E108" i="2"/>
  <c r="F108" i="2" s="1"/>
  <c r="E553" i="2"/>
  <c r="F553" i="2" s="1"/>
  <c r="E390" i="2"/>
  <c r="F390" i="2" s="1"/>
  <c r="E317" i="2"/>
  <c r="F317" i="2" s="1"/>
  <c r="E240" i="2"/>
  <c r="F240" i="2" s="1"/>
  <c r="E176" i="2"/>
  <c r="F176" i="2" s="1"/>
  <c r="E430" i="2"/>
  <c r="F430" i="2" s="1"/>
  <c r="E171" i="2"/>
  <c r="F171" i="2" s="1"/>
  <c r="E62" i="2"/>
  <c r="F62" i="2" s="1"/>
  <c r="E30" i="2"/>
  <c r="F30" i="2" s="1"/>
  <c r="E550" i="2"/>
  <c r="F550" i="2" s="1"/>
  <c r="E246" i="2"/>
  <c r="F246" i="2" s="1"/>
  <c r="E130" i="2"/>
  <c r="F130" i="2" s="1"/>
  <c r="E140" i="2"/>
  <c r="F140" i="2" s="1"/>
  <c r="E59" i="2"/>
  <c r="F59" i="2" s="1"/>
  <c r="E27" i="2"/>
  <c r="F27" i="2" s="1"/>
  <c r="E307" i="2"/>
  <c r="F307" i="2" s="1"/>
  <c r="E79" i="2"/>
  <c r="F79" i="2" s="1"/>
  <c r="E424" i="2"/>
  <c r="F424" i="2" s="1"/>
  <c r="E276" i="2"/>
  <c r="F276" i="2" s="1"/>
  <c r="E270" i="2"/>
  <c r="F270" i="2" s="1"/>
  <c r="E401" i="2"/>
  <c r="F401" i="2" s="1"/>
  <c r="E149" i="2"/>
  <c r="F149" i="2" s="1"/>
  <c r="E207" i="2"/>
  <c r="F207" i="2" s="1"/>
  <c r="E425" i="2"/>
  <c r="F425" i="2" s="1"/>
  <c r="E128" i="2"/>
  <c r="F128" i="2" s="1"/>
  <c r="I5" i="1"/>
  <c r="E590" i="1" s="1"/>
  <c r="F590" i="1" s="1"/>
  <c r="E40" i="1"/>
  <c r="F40" i="1" s="1"/>
  <c r="E107" i="1"/>
  <c r="F107" i="1" s="1"/>
  <c r="E509" i="1"/>
  <c r="F509" i="1" s="1"/>
  <c r="E29" i="1"/>
  <c r="F29" i="1" s="1"/>
  <c r="E147" i="1"/>
  <c r="F147" i="1" s="1"/>
  <c r="E572" i="1"/>
  <c r="F572" i="1" s="1"/>
  <c r="E529" i="1"/>
  <c r="F529" i="1" s="1"/>
  <c r="E7" i="1"/>
  <c r="F7" i="1" s="1"/>
  <c r="E111" i="1"/>
  <c r="F111" i="1" s="1"/>
  <c r="E542" i="1"/>
  <c r="F542" i="1" s="1"/>
  <c r="E51" i="1"/>
  <c r="F51" i="1" s="1"/>
  <c r="E76" i="1"/>
  <c r="F76" i="1" s="1"/>
  <c r="E10" i="1"/>
  <c r="F10" i="1" s="1"/>
  <c r="E336" i="1"/>
  <c r="F336" i="1" s="1"/>
  <c r="E207" i="1"/>
  <c r="F207" i="1" s="1"/>
  <c r="E237" i="1"/>
  <c r="F237" i="1" s="1"/>
  <c r="E536" i="1"/>
  <c r="F536" i="1" s="1"/>
  <c r="E537" i="1"/>
  <c r="F537" i="1" s="1"/>
  <c r="E53" i="1"/>
  <c r="F53" i="1" s="1"/>
  <c r="E14" i="1"/>
  <c r="F14" i="1" s="1"/>
  <c r="E371" i="1"/>
  <c r="F371" i="1" s="1"/>
  <c r="E74" i="1"/>
  <c r="F74" i="1" s="1"/>
  <c r="E494" i="1"/>
  <c r="F494" i="1" s="1"/>
  <c r="E474" i="1"/>
  <c r="F474" i="1" s="1"/>
  <c r="E379" i="1"/>
  <c r="F379" i="1" s="1"/>
  <c r="E543" i="1"/>
  <c r="F543" i="1" s="1"/>
  <c r="E582" i="1"/>
  <c r="F582" i="1" s="1"/>
  <c r="E36" i="1"/>
  <c r="F36" i="1" s="1"/>
  <c r="E22" i="1"/>
  <c r="F22" i="1" s="1"/>
  <c r="E375" i="1"/>
  <c r="F375" i="1" s="1"/>
  <c r="E195" i="1"/>
  <c r="F195" i="1" s="1"/>
  <c r="E176" i="1"/>
  <c r="F176" i="1" s="1"/>
  <c r="E483" i="1"/>
  <c r="F483" i="1" s="1"/>
  <c r="E450" i="1"/>
  <c r="F450" i="1" s="1"/>
  <c r="E347" i="1"/>
  <c r="F347" i="1" s="1"/>
  <c r="E554" i="1"/>
  <c r="F554" i="1" s="1"/>
  <c r="E77" i="1"/>
  <c r="F77" i="1" s="1"/>
  <c r="E164" i="1"/>
  <c r="F164" i="1" s="1"/>
  <c r="E108" i="1"/>
  <c r="F108" i="1" s="1"/>
  <c r="E114" i="1"/>
  <c r="F114" i="1" s="1"/>
  <c r="E465" i="1"/>
  <c r="F465" i="1" s="1"/>
  <c r="E17" i="1"/>
  <c r="F17" i="1" s="1"/>
  <c r="E71" i="1"/>
  <c r="F71" i="1" s="1"/>
  <c r="E415" i="1"/>
  <c r="F415" i="1" s="1"/>
  <c r="E469" i="1"/>
  <c r="F469" i="1" s="1"/>
  <c r="E325" i="1"/>
  <c r="F325" i="1" s="1"/>
  <c r="E213" i="1"/>
  <c r="F213" i="1" s="1"/>
  <c r="E103" i="1"/>
  <c r="F103" i="1" s="1"/>
  <c r="E485" i="1"/>
  <c r="F485" i="1" s="1"/>
  <c r="E224" i="1"/>
  <c r="F224" i="1" s="1"/>
  <c r="E487" i="1"/>
  <c r="F487" i="1" s="1"/>
  <c r="E247" i="1"/>
  <c r="F247" i="1" s="1"/>
  <c r="E389" i="1"/>
  <c r="F389" i="1" s="1"/>
  <c r="E321" i="5"/>
  <c r="F321" i="5" s="1"/>
  <c r="E337" i="5"/>
  <c r="F337" i="5" s="1"/>
  <c r="E353" i="5"/>
  <c r="F353" i="5" s="1"/>
  <c r="E369" i="5"/>
  <c r="F369" i="5" s="1"/>
  <c r="E385" i="5"/>
  <c r="F385" i="5" s="1"/>
  <c r="E401" i="5"/>
  <c r="F401" i="5" s="1"/>
  <c r="E417" i="5"/>
  <c r="F417" i="5" s="1"/>
  <c r="E433" i="5"/>
  <c r="F433" i="5" s="1"/>
  <c r="E449" i="5"/>
  <c r="F449" i="5" s="1"/>
  <c r="E465" i="5"/>
  <c r="F465" i="5" s="1"/>
  <c r="E481" i="5"/>
  <c r="F481" i="5" s="1"/>
  <c r="E497" i="5"/>
  <c r="F497" i="5" s="1"/>
  <c r="E513" i="5"/>
  <c r="F513" i="5" s="1"/>
  <c r="E529" i="5"/>
  <c r="F529" i="5" s="1"/>
  <c r="E545" i="5"/>
  <c r="F545" i="5" s="1"/>
  <c r="E561" i="5"/>
  <c r="F561" i="5" s="1"/>
  <c r="E313" i="5"/>
  <c r="F313" i="5" s="1"/>
  <c r="E329" i="5"/>
  <c r="F329" i="5" s="1"/>
  <c r="E345" i="5"/>
  <c r="F345" i="5" s="1"/>
  <c r="E361" i="5"/>
  <c r="F361" i="5" s="1"/>
  <c r="E377" i="5"/>
  <c r="F377" i="5" s="1"/>
  <c r="E393" i="5"/>
  <c r="F393" i="5" s="1"/>
  <c r="E409" i="5"/>
  <c r="F409" i="5" s="1"/>
  <c r="E425" i="5"/>
  <c r="F425" i="5" s="1"/>
  <c r="E441" i="5"/>
  <c r="F441" i="5" s="1"/>
  <c r="E457" i="5"/>
  <c r="F457" i="5" s="1"/>
  <c r="E473" i="5"/>
  <c r="F473" i="5" s="1"/>
  <c r="E489" i="5"/>
  <c r="F489" i="5" s="1"/>
  <c r="E505" i="5"/>
  <c r="F505" i="5" s="1"/>
  <c r="E521" i="5"/>
  <c r="F521" i="5" s="1"/>
  <c r="E537" i="5"/>
  <c r="F537" i="5" s="1"/>
  <c r="E553" i="5"/>
  <c r="F553" i="5" s="1"/>
  <c r="E569" i="5"/>
  <c r="F569" i="5" s="1"/>
  <c r="E218" i="3"/>
  <c r="F218" i="3" s="1"/>
  <c r="E37" i="3"/>
  <c r="F37" i="3" s="1"/>
  <c r="E334" i="3"/>
  <c r="F334" i="3" s="1"/>
  <c r="E79" i="3"/>
  <c r="F79" i="3" s="1"/>
  <c r="E178" i="3"/>
  <c r="F178" i="3" s="1"/>
  <c r="E388" i="3"/>
  <c r="F388" i="3" s="1"/>
  <c r="E143" i="3"/>
  <c r="F143" i="3" s="1"/>
  <c r="E100" i="3"/>
  <c r="F100" i="3" s="1"/>
  <c r="E336" i="3"/>
  <c r="F336" i="3" s="1"/>
  <c r="E122" i="3"/>
  <c r="F122" i="3" s="1"/>
  <c r="E121" i="3"/>
  <c r="F121" i="3" s="1"/>
  <c r="E266" i="3"/>
  <c r="F266" i="3" s="1"/>
  <c r="E55" i="3"/>
  <c r="F55" i="3" s="1"/>
  <c r="E212" i="3"/>
  <c r="F212" i="3" s="1"/>
  <c r="E322" i="3"/>
  <c r="F322" i="3" s="1"/>
  <c r="E135" i="3"/>
  <c r="F135" i="3" s="1"/>
  <c r="E186" i="3"/>
  <c r="F186" i="3" s="1"/>
  <c r="E36" i="3"/>
  <c r="F36" i="3" s="1"/>
  <c r="E293" i="3"/>
  <c r="F293" i="3" s="1"/>
  <c r="E111" i="3"/>
  <c r="F111" i="3" s="1"/>
  <c r="E224" i="3"/>
  <c r="F224" i="3" s="1"/>
  <c r="E58" i="3"/>
  <c r="F58" i="3" s="1"/>
  <c r="E366" i="3"/>
  <c r="F366" i="3" s="1"/>
  <c r="E130" i="3"/>
  <c r="F130" i="3" s="1"/>
  <c r="E262" i="3"/>
  <c r="F262" i="3" s="1"/>
  <c r="E84" i="3"/>
  <c r="F84" i="3" s="1"/>
  <c r="E87" i="3"/>
  <c r="F87" i="3" s="1"/>
  <c r="E240" i="3"/>
  <c r="F240" i="3" s="1"/>
  <c r="E164" i="3"/>
  <c r="F164" i="3" s="1"/>
  <c r="E255" i="3"/>
  <c r="F255" i="3" s="1"/>
  <c r="E106" i="3"/>
  <c r="F106" i="3" s="1"/>
  <c r="E412" i="3"/>
  <c r="F412" i="3" s="1"/>
  <c r="E151" i="3"/>
  <c r="F151" i="3" s="1"/>
  <c r="E234" i="3"/>
  <c r="F234" i="3" s="1"/>
  <c r="E63" i="3"/>
  <c r="F63" i="3" s="1"/>
  <c r="E183" i="3"/>
  <c r="F183" i="3" s="1"/>
  <c r="E23" i="3"/>
  <c r="F23" i="3" s="1"/>
  <c r="E267" i="3"/>
  <c r="F267" i="3" s="1"/>
  <c r="E98" i="3"/>
  <c r="F98" i="3" s="1"/>
  <c r="E203" i="3"/>
  <c r="F203" i="3" s="1"/>
  <c r="E52" i="3"/>
  <c r="F52" i="3" s="1"/>
  <c r="E198" i="3"/>
  <c r="F198" i="3" s="1"/>
  <c r="E50" i="3"/>
  <c r="F50" i="3" s="1"/>
  <c r="E306" i="3"/>
  <c r="F306" i="3" s="1"/>
  <c r="E74" i="3"/>
  <c r="F74" i="3" s="1"/>
  <c r="E146" i="3"/>
  <c r="F146" i="3" s="1"/>
  <c r="E272" i="3"/>
  <c r="F272" i="3" s="1"/>
  <c r="E20" i="3"/>
  <c r="F20" i="3" s="1"/>
  <c r="E105" i="3"/>
  <c r="F105" i="3" s="1"/>
  <c r="E175" i="3"/>
  <c r="F175" i="3" s="1"/>
  <c r="E277" i="3"/>
  <c r="F277" i="3" s="1"/>
  <c r="E499" i="3"/>
  <c r="F499" i="3" s="1"/>
  <c r="E31" i="3"/>
  <c r="F31" i="3" s="1"/>
  <c r="E314" i="3"/>
  <c r="F314" i="3" s="1"/>
  <c r="E487" i="3"/>
  <c r="F487" i="3" s="1"/>
  <c r="E471" i="3"/>
  <c r="F471" i="3" s="1"/>
  <c r="E455" i="3"/>
  <c r="F455" i="3" s="1"/>
  <c r="E439" i="3"/>
  <c r="F439" i="3" s="1"/>
  <c r="E423" i="3"/>
  <c r="F423" i="3" s="1"/>
  <c r="E407" i="3"/>
  <c r="F407" i="3" s="1"/>
  <c r="E391" i="3"/>
  <c r="F391" i="3" s="1"/>
  <c r="E375" i="3"/>
  <c r="F375" i="3" s="1"/>
  <c r="E359" i="3"/>
  <c r="F359" i="3" s="1"/>
  <c r="E343" i="3"/>
  <c r="F343" i="3" s="1"/>
  <c r="E497" i="3"/>
  <c r="F497" i="3" s="1"/>
  <c r="E456" i="3"/>
  <c r="F456" i="3" s="1"/>
  <c r="E410" i="3"/>
  <c r="F410" i="3" s="1"/>
  <c r="E369" i="3"/>
  <c r="F369" i="3" s="1"/>
  <c r="E490" i="3"/>
  <c r="F490" i="3" s="1"/>
  <c r="E449" i="3"/>
  <c r="F449" i="3" s="1"/>
  <c r="E408" i="3"/>
  <c r="F408" i="3" s="1"/>
  <c r="E362" i="3"/>
  <c r="F362" i="3" s="1"/>
  <c r="E486" i="3"/>
  <c r="F486" i="3" s="1"/>
  <c r="E425" i="3"/>
  <c r="F425" i="3" s="1"/>
  <c r="E364" i="3"/>
  <c r="F364" i="3" s="1"/>
  <c r="E328" i="3"/>
  <c r="F328" i="3" s="1"/>
  <c r="E296" i="3"/>
  <c r="F296" i="3" s="1"/>
  <c r="E400" i="3"/>
  <c r="F400" i="3" s="1"/>
  <c r="E191" i="3"/>
  <c r="F191" i="3" s="1"/>
  <c r="E503" i="3"/>
  <c r="F503" i="3" s="1"/>
  <c r="E301" i="3"/>
  <c r="F301" i="3" s="1"/>
  <c r="E26" i="3"/>
  <c r="F26" i="3" s="1"/>
  <c r="E137" i="3"/>
  <c r="F137" i="3" s="1"/>
  <c r="E223" i="3"/>
  <c r="F223" i="3" s="1"/>
  <c r="E4" i="3"/>
  <c r="F4" i="3" s="1"/>
  <c r="E154" i="3"/>
  <c r="F154" i="3" s="1"/>
  <c r="E159" i="3"/>
  <c r="F159" i="3" s="1"/>
  <c r="E119" i="3"/>
  <c r="F119" i="3" s="1"/>
  <c r="E409" i="3"/>
  <c r="F409" i="3" s="1"/>
  <c r="E483" i="3"/>
  <c r="F483" i="3" s="1"/>
  <c r="E467" i="3"/>
  <c r="F467" i="3" s="1"/>
  <c r="E451" i="3"/>
  <c r="F451" i="3" s="1"/>
  <c r="E435" i="3"/>
  <c r="F435" i="3" s="1"/>
  <c r="E419" i="3"/>
  <c r="F419" i="3" s="1"/>
  <c r="E403" i="3"/>
  <c r="F403" i="3" s="1"/>
  <c r="E387" i="3"/>
  <c r="F387" i="3" s="1"/>
  <c r="E371" i="3"/>
  <c r="F371" i="3" s="1"/>
  <c r="E355" i="3"/>
  <c r="F355" i="3" s="1"/>
  <c r="E339" i="3"/>
  <c r="F339" i="3" s="1"/>
  <c r="E488" i="3"/>
  <c r="F488" i="3" s="1"/>
  <c r="E442" i="3"/>
  <c r="F442" i="3" s="1"/>
  <c r="E401" i="3"/>
  <c r="F401" i="3" s="1"/>
  <c r="E360" i="3"/>
  <c r="F360" i="3" s="1"/>
  <c r="E73" i="3"/>
  <c r="F73" i="3" s="1"/>
  <c r="E208" i="3"/>
  <c r="F208" i="3" s="1"/>
  <c r="E89" i="3"/>
  <c r="F89" i="3" s="1"/>
  <c r="E461" i="3"/>
  <c r="F461" i="3" s="1"/>
  <c r="E34" i="3"/>
  <c r="F34" i="3" s="1"/>
  <c r="E219" i="3"/>
  <c r="F219" i="3" s="1"/>
  <c r="E116" i="3"/>
  <c r="F116" i="3" s="1"/>
  <c r="E47" i="3"/>
  <c r="F47" i="3" s="1"/>
  <c r="E246" i="3"/>
  <c r="F246" i="3" s="1"/>
  <c r="E511" i="3"/>
  <c r="F511" i="3" s="1"/>
  <c r="E337" i="3"/>
  <c r="F337" i="3" s="1"/>
  <c r="E481" i="3"/>
  <c r="F481" i="3" s="1"/>
  <c r="E426" i="3"/>
  <c r="F426" i="3" s="1"/>
  <c r="E480" i="3"/>
  <c r="F480" i="3" s="1"/>
  <c r="E352" i="3"/>
  <c r="F352" i="3" s="1"/>
  <c r="E275" i="3"/>
  <c r="F275" i="3" s="1"/>
  <c r="E460" i="3"/>
  <c r="F460" i="3" s="1"/>
  <c r="E405" i="3"/>
  <c r="F405" i="3" s="1"/>
  <c r="E338" i="3"/>
  <c r="F338" i="3" s="1"/>
  <c r="E311" i="3"/>
  <c r="F311" i="3" s="1"/>
  <c r="E279" i="3"/>
  <c r="F279" i="3" s="1"/>
  <c r="E501" i="3"/>
  <c r="F501" i="3" s="1"/>
  <c r="E434" i="3"/>
  <c r="F434" i="3" s="1"/>
  <c r="E404" i="3"/>
  <c r="F404" i="3" s="1"/>
  <c r="E331" i="3"/>
  <c r="F331" i="3" s="1"/>
  <c r="E299" i="3"/>
  <c r="F299" i="3" s="1"/>
  <c r="E469" i="3"/>
  <c r="F469" i="3" s="1"/>
  <c r="E402" i="3"/>
  <c r="F402" i="3" s="1"/>
  <c r="E372" i="3"/>
  <c r="F372" i="3" s="1"/>
  <c r="E308" i="3"/>
  <c r="F308" i="3" s="1"/>
  <c r="E276" i="3"/>
  <c r="F276" i="3" s="1"/>
  <c r="E484" i="3"/>
  <c r="F484" i="3" s="1"/>
  <c r="E326" i="3"/>
  <c r="F326" i="3" s="1"/>
  <c r="E257" i="3"/>
  <c r="F257" i="3" s="1"/>
  <c r="E225" i="3"/>
  <c r="F225" i="3" s="1"/>
  <c r="E193" i="3"/>
  <c r="F193" i="3" s="1"/>
  <c r="E429" i="3"/>
  <c r="F429" i="3" s="1"/>
  <c r="E321" i="3"/>
  <c r="F321" i="3" s="1"/>
  <c r="E269" i="3"/>
  <c r="F269" i="3" s="1"/>
  <c r="E237" i="3"/>
  <c r="F237" i="3" s="1"/>
  <c r="E205" i="3"/>
  <c r="F205" i="3" s="1"/>
  <c r="E452" i="3"/>
  <c r="F452" i="3" s="1"/>
  <c r="E438" i="3"/>
  <c r="F438" i="3" s="1"/>
  <c r="E281" i="3"/>
  <c r="F281" i="3" s="1"/>
  <c r="E236" i="3"/>
  <c r="F236" i="3" s="1"/>
  <c r="E194" i="3"/>
  <c r="F194" i="3" s="1"/>
  <c r="E160" i="3"/>
  <c r="F160" i="3" s="1"/>
  <c r="E128" i="3"/>
  <c r="F128" i="3" s="1"/>
  <c r="E96" i="3"/>
  <c r="F96" i="3" s="1"/>
  <c r="E64" i="3"/>
  <c r="F64" i="3" s="1"/>
  <c r="E32" i="3"/>
  <c r="F32" i="3" s="1"/>
  <c r="E9" i="3"/>
  <c r="F9" i="3" s="1"/>
  <c r="E8" i="3"/>
  <c r="F8" i="3" s="1"/>
  <c r="E244" i="3"/>
  <c r="F244" i="3" s="1"/>
  <c r="E475" i="3"/>
  <c r="F475" i="3" s="1"/>
  <c r="E443" i="3"/>
  <c r="F443" i="3" s="1"/>
  <c r="E411" i="3"/>
  <c r="F411" i="3" s="1"/>
  <c r="E379" i="3"/>
  <c r="F379" i="3" s="1"/>
  <c r="E347" i="3"/>
  <c r="F347" i="3" s="1"/>
  <c r="E465" i="3"/>
  <c r="F465" i="3" s="1"/>
  <c r="E392" i="3"/>
  <c r="F392" i="3" s="1"/>
  <c r="E472" i="3"/>
  <c r="F472" i="3" s="1"/>
  <c r="E376" i="3"/>
  <c r="F376" i="3" s="1"/>
  <c r="E510" i="3"/>
  <c r="F510" i="3" s="1"/>
  <c r="E382" i="3"/>
  <c r="F382" i="3" s="1"/>
  <c r="E307" i="3"/>
  <c r="F307" i="3" s="1"/>
  <c r="E57" i="3"/>
  <c r="F57" i="3" s="1"/>
  <c r="E12" i="3"/>
  <c r="F12" i="3" s="1"/>
  <c r="E90" i="3"/>
  <c r="F90" i="3" s="1"/>
  <c r="E507" i="3"/>
  <c r="F507" i="3" s="1"/>
  <c r="E417" i="3"/>
  <c r="F417" i="3" s="1"/>
  <c r="E468" i="3"/>
  <c r="F468" i="3" s="1"/>
  <c r="E340" i="3"/>
  <c r="F340" i="3" s="1"/>
  <c r="E509" i="3"/>
  <c r="F509" i="3" s="1"/>
  <c r="E454" i="3"/>
  <c r="F454" i="3" s="1"/>
  <c r="E393" i="3"/>
  <c r="F393" i="3" s="1"/>
  <c r="E332" i="3"/>
  <c r="F332" i="3" s="1"/>
  <c r="E300" i="3"/>
  <c r="F300" i="3" s="1"/>
  <c r="E274" i="3"/>
  <c r="F274" i="3" s="1"/>
  <c r="E489" i="3"/>
  <c r="F489" i="3" s="1"/>
  <c r="E428" i="3"/>
  <c r="F428" i="3" s="1"/>
  <c r="E373" i="3"/>
  <c r="F373" i="3" s="1"/>
  <c r="E320" i="3"/>
  <c r="F320" i="3" s="1"/>
  <c r="E288" i="3"/>
  <c r="F288" i="3" s="1"/>
  <c r="E457" i="3"/>
  <c r="F457" i="3" s="1"/>
  <c r="E396" i="3"/>
  <c r="F396" i="3" s="1"/>
  <c r="E341" i="3"/>
  <c r="F341" i="3" s="1"/>
  <c r="E303" i="3"/>
  <c r="F303" i="3" s="1"/>
  <c r="E398" i="3"/>
  <c r="F398" i="3" s="1"/>
  <c r="E305" i="3"/>
  <c r="F305" i="3" s="1"/>
  <c r="E249" i="3"/>
  <c r="F249" i="3" s="1"/>
  <c r="E217" i="3"/>
  <c r="F217" i="3" s="1"/>
  <c r="E430" i="3"/>
  <c r="F430" i="3" s="1"/>
  <c r="E502" i="3"/>
  <c r="F502" i="3" s="1"/>
  <c r="E380" i="3"/>
  <c r="F380" i="3" s="1"/>
  <c r="E310" i="3"/>
  <c r="F310" i="3" s="1"/>
  <c r="E261" i="3"/>
  <c r="F261" i="3" s="1"/>
  <c r="E229" i="3"/>
  <c r="F229" i="3" s="1"/>
  <c r="E197" i="3"/>
  <c r="F197" i="3" s="1"/>
  <c r="E66" i="3"/>
  <c r="F66" i="3" s="1"/>
  <c r="E169" i="3"/>
  <c r="F169" i="3" s="1"/>
  <c r="E148" i="3"/>
  <c r="F148" i="3" s="1"/>
  <c r="E473" i="3"/>
  <c r="F473" i="3" s="1"/>
  <c r="E495" i="3"/>
  <c r="F495" i="3" s="1"/>
  <c r="E463" i="3"/>
  <c r="F463" i="3" s="1"/>
  <c r="E431" i="3"/>
  <c r="F431" i="3" s="1"/>
  <c r="E399" i="3"/>
  <c r="F399" i="3" s="1"/>
  <c r="E367" i="3"/>
  <c r="F367" i="3" s="1"/>
  <c r="E335" i="3"/>
  <c r="F335" i="3" s="1"/>
  <c r="E378" i="3"/>
  <c r="F378" i="3" s="1"/>
  <c r="E513" i="3"/>
  <c r="F513" i="3" s="1"/>
  <c r="E458" i="3"/>
  <c r="F458" i="3" s="1"/>
  <c r="E498" i="3"/>
  <c r="F498" i="3" s="1"/>
  <c r="E370" i="3"/>
  <c r="F370" i="3" s="1"/>
  <c r="E185" i="3"/>
  <c r="F185" i="3" s="1"/>
  <c r="E162" i="3"/>
  <c r="F162" i="3" s="1"/>
  <c r="E491" i="3"/>
  <c r="F491" i="3" s="1"/>
  <c r="E459" i="3"/>
  <c r="F459" i="3" s="1"/>
  <c r="E427" i="3"/>
  <c r="F427" i="3" s="1"/>
  <c r="E395" i="3"/>
  <c r="F395" i="3" s="1"/>
  <c r="E363" i="3"/>
  <c r="F363" i="3" s="1"/>
  <c r="E506" i="3"/>
  <c r="F506" i="3" s="1"/>
  <c r="E504" i="3"/>
  <c r="F504" i="3" s="1"/>
  <c r="E394" i="3"/>
  <c r="F394" i="3" s="1"/>
  <c r="E492" i="3"/>
  <c r="F492" i="3" s="1"/>
  <c r="E323" i="3"/>
  <c r="F323" i="3" s="1"/>
  <c r="E377" i="3"/>
  <c r="F377" i="3" s="1"/>
  <c r="E132" i="3"/>
  <c r="F132" i="3" s="1"/>
  <c r="E424" i="3"/>
  <c r="F424" i="3" s="1"/>
  <c r="E346" i="3"/>
  <c r="F346" i="3" s="1"/>
  <c r="E440" i="3"/>
  <c r="F440" i="3" s="1"/>
  <c r="E344" i="3"/>
  <c r="F344" i="3" s="1"/>
  <c r="E358" i="3"/>
  <c r="F358" i="3" s="1"/>
  <c r="E280" i="3"/>
  <c r="F280" i="3" s="1"/>
  <c r="E466" i="3"/>
  <c r="F466" i="3" s="1"/>
  <c r="E436" i="3"/>
  <c r="F436" i="3" s="1"/>
  <c r="E350" i="3"/>
  <c r="F350" i="3" s="1"/>
  <c r="E316" i="3"/>
  <c r="F316" i="3" s="1"/>
  <c r="E284" i="3"/>
  <c r="F284" i="3" s="1"/>
  <c r="E446" i="3"/>
  <c r="F446" i="3" s="1"/>
  <c r="E416" i="3"/>
  <c r="F416" i="3" s="1"/>
  <c r="E349" i="3"/>
  <c r="F349" i="3" s="1"/>
  <c r="E304" i="3"/>
  <c r="F304" i="3" s="1"/>
  <c r="E273" i="3"/>
  <c r="F273" i="3" s="1"/>
  <c r="E500" i="3"/>
  <c r="F500" i="3" s="1"/>
  <c r="E414" i="3"/>
  <c r="F414" i="3" s="1"/>
  <c r="E384" i="3"/>
  <c r="F384" i="3" s="1"/>
  <c r="E319" i="3"/>
  <c r="F319" i="3" s="1"/>
  <c r="E287" i="3"/>
  <c r="F287" i="3" s="1"/>
  <c r="E496" i="3"/>
  <c r="F496" i="3" s="1"/>
  <c r="E374" i="3"/>
  <c r="F374" i="3" s="1"/>
  <c r="E265" i="3"/>
  <c r="F265" i="3" s="1"/>
  <c r="E233" i="3"/>
  <c r="F233" i="3" s="1"/>
  <c r="E201" i="3"/>
  <c r="F201" i="3" s="1"/>
  <c r="E406" i="3"/>
  <c r="F406" i="3" s="1"/>
  <c r="E441" i="3"/>
  <c r="F441" i="3" s="1"/>
  <c r="E356" i="3"/>
  <c r="F356" i="3" s="1"/>
  <c r="E278" i="3"/>
  <c r="F278" i="3" s="1"/>
  <c r="E245" i="3"/>
  <c r="F245" i="3" s="1"/>
  <c r="E213" i="3"/>
  <c r="F213" i="3" s="1"/>
  <c r="E464" i="3"/>
  <c r="F464" i="3" s="1"/>
  <c r="E353" i="3"/>
  <c r="F353" i="3" s="1"/>
  <c r="E437" i="3"/>
  <c r="F437" i="3" s="1"/>
  <c r="E422" i="3"/>
  <c r="F422" i="3" s="1"/>
  <c r="E315" i="3"/>
  <c r="F315" i="3" s="1"/>
  <c r="E512" i="3"/>
  <c r="F512" i="3" s="1"/>
  <c r="E390" i="3"/>
  <c r="F390" i="3" s="1"/>
  <c r="E292" i="3"/>
  <c r="F292" i="3" s="1"/>
  <c r="E508" i="3"/>
  <c r="F508" i="3" s="1"/>
  <c r="E294" i="3"/>
  <c r="F294" i="3" s="1"/>
  <c r="E209" i="3"/>
  <c r="F209" i="3" s="1"/>
  <c r="E368" i="3"/>
  <c r="F368" i="3" s="1"/>
  <c r="E226" i="3"/>
  <c r="F226" i="3" s="1"/>
  <c r="E144" i="3"/>
  <c r="F144" i="3" s="1"/>
  <c r="E69" i="3"/>
  <c r="F69" i="3" s="1"/>
  <c r="E348" i="3"/>
  <c r="F348" i="3" s="1"/>
  <c r="E264" i="3"/>
  <c r="F264" i="3" s="1"/>
  <c r="E222" i="3"/>
  <c r="F222" i="3" s="1"/>
  <c r="E174" i="3"/>
  <c r="F174" i="3" s="1"/>
  <c r="E142" i="3"/>
  <c r="F142" i="3" s="1"/>
  <c r="E110" i="3"/>
  <c r="F110" i="3" s="1"/>
  <c r="E78" i="3"/>
  <c r="F78" i="3" s="1"/>
  <c r="E46" i="3"/>
  <c r="F46" i="3" s="1"/>
  <c r="E450" i="3"/>
  <c r="F450" i="3" s="1"/>
  <c r="E263" i="3"/>
  <c r="F263" i="3" s="1"/>
  <c r="E220" i="3"/>
  <c r="F220" i="3" s="1"/>
  <c r="E184" i="3"/>
  <c r="F184" i="3" s="1"/>
  <c r="E152" i="3"/>
  <c r="F152" i="3" s="1"/>
  <c r="E120" i="3"/>
  <c r="F120" i="3" s="1"/>
  <c r="E88" i="3"/>
  <c r="F88" i="3" s="1"/>
  <c r="E56" i="3"/>
  <c r="F56" i="3" s="1"/>
  <c r="E24" i="3"/>
  <c r="F24" i="3" s="1"/>
  <c r="E7" i="3"/>
  <c r="F7" i="3" s="1"/>
  <c r="E421" i="3"/>
  <c r="F421" i="3" s="1"/>
  <c r="E298" i="3"/>
  <c r="F298" i="3" s="1"/>
  <c r="E250" i="3"/>
  <c r="F250" i="3" s="1"/>
  <c r="E207" i="3"/>
  <c r="F207" i="3" s="1"/>
  <c r="E172" i="3"/>
  <c r="F172" i="3" s="1"/>
  <c r="E140" i="3"/>
  <c r="F140" i="3" s="1"/>
  <c r="E108" i="3"/>
  <c r="F108" i="3" s="1"/>
  <c r="E76" i="3"/>
  <c r="F76" i="3" s="1"/>
  <c r="E44" i="3"/>
  <c r="F44" i="3" s="1"/>
  <c r="E14" i="3"/>
  <c r="F14" i="3" s="1"/>
  <c r="E420" i="3"/>
  <c r="F420" i="3" s="1"/>
  <c r="E282" i="3"/>
  <c r="F282" i="3" s="1"/>
  <c r="E238" i="3"/>
  <c r="F238" i="3" s="1"/>
  <c r="E195" i="3"/>
  <c r="F195" i="3" s="1"/>
  <c r="E166" i="3"/>
  <c r="F166" i="3" s="1"/>
  <c r="E134" i="3"/>
  <c r="F134" i="3" s="1"/>
  <c r="E102" i="3"/>
  <c r="F102" i="3" s="1"/>
  <c r="E70" i="3"/>
  <c r="F70" i="3" s="1"/>
  <c r="E38" i="3"/>
  <c r="F38" i="3" s="1"/>
  <c r="E25" i="3"/>
  <c r="F25" i="3" s="1"/>
  <c r="E95" i="3"/>
  <c r="F95" i="3" s="1"/>
  <c r="E202" i="3"/>
  <c r="F202" i="3" s="1"/>
  <c r="E383" i="3"/>
  <c r="F383" i="3" s="1"/>
  <c r="E474" i="3"/>
  <c r="F474" i="3" s="1"/>
  <c r="E413" i="3"/>
  <c r="F413" i="3" s="1"/>
  <c r="E478" i="3"/>
  <c r="F478" i="3" s="1"/>
  <c r="E268" i="3"/>
  <c r="F268" i="3" s="1"/>
  <c r="E176" i="3"/>
  <c r="F176" i="3" s="1"/>
  <c r="E101" i="3"/>
  <c r="F101" i="3" s="1"/>
  <c r="E5" i="3"/>
  <c r="F5" i="3" s="1"/>
  <c r="E433" i="3"/>
  <c r="F433" i="3" s="1"/>
  <c r="E327" i="3"/>
  <c r="F327" i="3" s="1"/>
  <c r="E253" i="3"/>
  <c r="F253" i="3" s="1"/>
  <c r="E389" i="3"/>
  <c r="F389" i="3" s="1"/>
  <c r="E215" i="3"/>
  <c r="F215" i="3" s="1"/>
  <c r="E133" i="3"/>
  <c r="F133" i="3" s="1"/>
  <c r="E21" i="3"/>
  <c r="F21" i="3" s="1"/>
  <c r="E505" i="3"/>
  <c r="F505" i="3" s="1"/>
  <c r="E333" i="3"/>
  <c r="F333" i="3" s="1"/>
  <c r="E254" i="3"/>
  <c r="F254" i="3" s="1"/>
  <c r="E211" i="3"/>
  <c r="F211" i="3" s="1"/>
  <c r="E163" i="3"/>
  <c r="F163" i="3" s="1"/>
  <c r="E131" i="3"/>
  <c r="F131" i="3" s="1"/>
  <c r="E99" i="3"/>
  <c r="F99" i="3" s="1"/>
  <c r="E67" i="3"/>
  <c r="F67" i="3" s="1"/>
  <c r="E35" i="3"/>
  <c r="F35" i="3" s="1"/>
  <c r="E330" i="3"/>
  <c r="F330" i="3" s="1"/>
  <c r="E252" i="3"/>
  <c r="F252" i="3" s="1"/>
  <c r="E210" i="3"/>
  <c r="F210" i="3" s="1"/>
  <c r="E173" i="3"/>
  <c r="F173" i="3" s="1"/>
  <c r="E141" i="3"/>
  <c r="F141" i="3" s="1"/>
  <c r="E109" i="3"/>
  <c r="F109" i="3" s="1"/>
  <c r="E77" i="3"/>
  <c r="F77" i="3" s="1"/>
  <c r="E45" i="3"/>
  <c r="F45" i="3" s="1"/>
  <c r="E19" i="3"/>
  <c r="F19" i="3" s="1"/>
  <c r="E3" i="3"/>
  <c r="F3" i="3" s="1"/>
  <c r="E397" i="3"/>
  <c r="F397" i="3" s="1"/>
  <c r="E285" i="3"/>
  <c r="F285" i="3" s="1"/>
  <c r="E239" i="3"/>
  <c r="F239" i="3" s="1"/>
  <c r="E196" i="3"/>
  <c r="F196" i="3" s="1"/>
  <c r="E161" i="3"/>
  <c r="F161" i="3" s="1"/>
  <c r="E129" i="3"/>
  <c r="F129" i="3" s="1"/>
  <c r="E97" i="3"/>
  <c r="F97" i="3" s="1"/>
  <c r="E65" i="3"/>
  <c r="F65" i="3" s="1"/>
  <c r="E33" i="3"/>
  <c r="F33" i="3" s="1"/>
  <c r="E10" i="3"/>
  <c r="F10" i="3" s="1"/>
  <c r="E357" i="3"/>
  <c r="F357" i="3" s="1"/>
  <c r="E270" i="3"/>
  <c r="F270" i="3" s="1"/>
  <c r="E227" i="3"/>
  <c r="F227" i="3" s="1"/>
  <c r="E187" i="3"/>
  <c r="F187" i="3" s="1"/>
  <c r="E155" i="3"/>
  <c r="F155" i="3" s="1"/>
  <c r="E123" i="3"/>
  <c r="F123" i="3" s="1"/>
  <c r="E91" i="3"/>
  <c r="F91" i="3" s="1"/>
  <c r="E59" i="3"/>
  <c r="F59" i="3" s="1"/>
  <c r="E27" i="3"/>
  <c r="F27" i="3" s="1"/>
  <c r="E39" i="3"/>
  <c r="F39" i="3" s="1"/>
  <c r="E138" i="3"/>
  <c r="F138" i="3" s="1"/>
  <c r="E230" i="3"/>
  <c r="F230" i="3" s="1"/>
  <c r="E479" i="3"/>
  <c r="F479" i="3" s="1"/>
  <c r="E351" i="3"/>
  <c r="F351" i="3" s="1"/>
  <c r="E258" i="3"/>
  <c r="F258" i="3" s="1"/>
  <c r="E165" i="3"/>
  <c r="F165" i="3" s="1"/>
  <c r="E53" i="3"/>
  <c r="F53" i="3" s="1"/>
  <c r="E447" i="3"/>
  <c r="F447" i="3" s="1"/>
  <c r="E295" i="3"/>
  <c r="F295" i="3" s="1"/>
  <c r="E289" i="3"/>
  <c r="F289" i="3" s="1"/>
  <c r="E247" i="3"/>
  <c r="F247" i="3" s="1"/>
  <c r="E83" i="3"/>
  <c r="F83" i="3" s="1"/>
  <c r="E30" i="3"/>
  <c r="F30" i="3" s="1"/>
  <c r="E125" i="3"/>
  <c r="F125" i="3" s="1"/>
  <c r="E72" i="3"/>
  <c r="F72" i="3" s="1"/>
  <c r="E145" i="3"/>
  <c r="F145" i="3" s="1"/>
  <c r="E92" i="3"/>
  <c r="F92" i="3" s="1"/>
  <c r="E127" i="3"/>
  <c r="F127" i="3" s="1"/>
  <c r="E149" i="3"/>
  <c r="F149" i="3" s="1"/>
  <c r="E80" i="3"/>
  <c r="F80" i="3" s="1"/>
  <c r="E13" i="3"/>
  <c r="F13" i="3" s="1"/>
  <c r="E290" i="3"/>
  <c r="F290" i="3" s="1"/>
  <c r="E179" i="3"/>
  <c r="F179" i="3" s="1"/>
  <c r="E126" i="3"/>
  <c r="F126" i="3" s="1"/>
  <c r="E231" i="3"/>
  <c r="F231" i="3" s="1"/>
  <c r="E168" i="3"/>
  <c r="F168" i="3" s="1"/>
  <c r="E260" i="3"/>
  <c r="F260" i="3" s="1"/>
  <c r="E188" i="3"/>
  <c r="F188" i="3" s="1"/>
  <c r="E2" i="3"/>
  <c r="F2" i="3" s="1"/>
  <c r="E325" i="3"/>
  <c r="F325" i="3" s="1"/>
  <c r="E248" i="3"/>
  <c r="F248" i="3" s="1"/>
  <c r="E150" i="3"/>
  <c r="F150" i="3" s="1"/>
  <c r="E107" i="3"/>
  <c r="F107" i="3" s="1"/>
  <c r="E22" i="3"/>
  <c r="F22" i="3" s="1"/>
  <c r="E68" i="3"/>
  <c r="F68" i="3" s="1"/>
  <c r="E167" i="3"/>
  <c r="F167" i="3" s="1"/>
  <c r="E415" i="3"/>
  <c r="F415" i="3" s="1"/>
  <c r="E462" i="3"/>
  <c r="F462" i="3" s="1"/>
  <c r="E317" i="3"/>
  <c r="F317" i="3" s="1"/>
  <c r="E61" i="3"/>
  <c r="F61" i="3" s="1"/>
  <c r="E15" i="3"/>
  <c r="F15" i="3" s="1"/>
  <c r="E342" i="3"/>
  <c r="F342" i="3" s="1"/>
  <c r="E81" i="3"/>
  <c r="F81" i="3" s="1"/>
  <c r="E28" i="3"/>
  <c r="F28" i="3" s="1"/>
  <c r="E448" i="3"/>
  <c r="F448" i="3" s="1"/>
  <c r="E361" i="3"/>
  <c r="F361" i="3" s="1"/>
  <c r="E324" i="3"/>
  <c r="F324" i="3" s="1"/>
  <c r="E386" i="3"/>
  <c r="F386" i="3" s="1"/>
  <c r="E453" i="3"/>
  <c r="F453" i="3" s="1"/>
  <c r="E354" i="3"/>
  <c r="F354" i="3" s="1"/>
  <c r="E204" i="3"/>
  <c r="F204" i="3" s="1"/>
  <c r="E432" i="3"/>
  <c r="F432" i="3" s="1"/>
  <c r="E243" i="3"/>
  <c r="F243" i="3" s="1"/>
  <c r="E115" i="3"/>
  <c r="F115" i="3" s="1"/>
  <c r="E62" i="3"/>
  <c r="F62" i="3" s="1"/>
  <c r="E157" i="3"/>
  <c r="F157" i="3" s="1"/>
  <c r="E104" i="3"/>
  <c r="F104" i="3" s="1"/>
  <c r="E177" i="3"/>
  <c r="F177" i="3" s="1"/>
  <c r="E124" i="3"/>
  <c r="F124" i="3" s="1"/>
  <c r="E493" i="3"/>
  <c r="F493" i="3" s="1"/>
  <c r="E297" i="3"/>
  <c r="F297" i="3" s="1"/>
  <c r="E182" i="3"/>
  <c r="F182" i="3" s="1"/>
  <c r="E139" i="3"/>
  <c r="F139" i="3" s="1"/>
  <c r="E54" i="3"/>
  <c r="F54" i="3" s="1"/>
  <c r="E82" i="3"/>
  <c r="F82" i="3" s="1"/>
  <c r="E158" i="3"/>
  <c r="F158" i="3" s="1"/>
  <c r="E485" i="3"/>
  <c r="F485" i="3" s="1"/>
  <c r="E312" i="3"/>
  <c r="F312" i="3" s="1"/>
  <c r="E117" i="3"/>
  <c r="F117" i="3" s="1"/>
  <c r="E48" i="3"/>
  <c r="F48" i="3" s="1"/>
  <c r="E302" i="3"/>
  <c r="F302" i="3" s="1"/>
  <c r="E199" i="3"/>
  <c r="F199" i="3" s="1"/>
  <c r="E11" i="3"/>
  <c r="F11" i="3" s="1"/>
  <c r="E313" i="3"/>
  <c r="F313" i="3" s="1"/>
  <c r="E228" i="3"/>
  <c r="F228" i="3" s="1"/>
  <c r="E18" i="3"/>
  <c r="F18" i="3" s="1"/>
  <c r="E494" i="3"/>
  <c r="F494" i="3" s="1"/>
  <c r="E40" i="3"/>
  <c r="F40" i="3" s="1"/>
  <c r="E17" i="3"/>
  <c r="F17" i="3" s="1"/>
  <c r="E221" i="3"/>
  <c r="F221" i="3" s="1"/>
  <c r="E241" i="3"/>
  <c r="F241" i="3" s="1"/>
  <c r="E329" i="3"/>
  <c r="F329" i="3" s="1"/>
  <c r="E259" i="3"/>
  <c r="F259" i="3" s="1"/>
  <c r="E242" i="3"/>
  <c r="F242" i="3" s="1"/>
  <c r="E51" i="3"/>
  <c r="F51" i="3" s="1"/>
  <c r="E118" i="3"/>
  <c r="F118" i="3" s="1"/>
  <c r="E189" i="3"/>
  <c r="F189" i="3" s="1"/>
  <c r="E381" i="3"/>
  <c r="F381" i="3" s="1"/>
  <c r="E103" i="3"/>
  <c r="F103" i="3" s="1"/>
  <c r="E271" i="3"/>
  <c r="F271" i="3" s="1"/>
  <c r="E93" i="3"/>
  <c r="F93" i="3" s="1"/>
  <c r="E232" i="3"/>
  <c r="F232" i="3" s="1"/>
  <c r="E85" i="3"/>
  <c r="F85" i="3" s="1"/>
  <c r="E309" i="3"/>
  <c r="F309" i="3" s="1"/>
  <c r="E251" i="3"/>
  <c r="F251" i="3" s="1"/>
  <c r="E256" i="3"/>
  <c r="F256" i="3" s="1"/>
  <c r="E43" i="3"/>
  <c r="F43" i="3" s="1"/>
  <c r="E6" i="3"/>
  <c r="F6" i="3" s="1"/>
  <c r="E113" i="3"/>
  <c r="F113" i="3" s="1"/>
  <c r="E94" i="3"/>
  <c r="F94" i="3" s="1"/>
  <c r="E318" i="3"/>
  <c r="F318" i="3" s="1"/>
  <c r="E112" i="3"/>
  <c r="F112" i="3" s="1"/>
  <c r="E477" i="3"/>
  <c r="F477" i="3" s="1"/>
  <c r="E291" i="3"/>
  <c r="F291" i="3" s="1"/>
  <c r="E42" i="3"/>
  <c r="F42" i="3" s="1"/>
  <c r="E153" i="3"/>
  <c r="F153" i="3" s="1"/>
  <c r="E75" i="3"/>
  <c r="F75" i="3" s="1"/>
  <c r="E171" i="3"/>
  <c r="F171" i="3" s="1"/>
  <c r="E136" i="3"/>
  <c r="F136" i="3" s="1"/>
  <c r="E476" i="3"/>
  <c r="F476" i="3" s="1"/>
  <c r="E418" i="3"/>
  <c r="F418" i="3" s="1"/>
  <c r="E156" i="3"/>
  <c r="F156" i="3" s="1"/>
  <c r="E470" i="3"/>
  <c r="F470" i="3" s="1"/>
  <c r="E29" i="3"/>
  <c r="F29" i="3" s="1"/>
  <c r="E365" i="3"/>
  <c r="F365" i="3" s="1"/>
  <c r="E445" i="3"/>
  <c r="F445" i="3" s="1"/>
  <c r="E385" i="3"/>
  <c r="F385" i="3" s="1"/>
  <c r="E516" i="3" l="1"/>
  <c r="F516" i="3" s="1"/>
  <c r="E524" i="3"/>
  <c r="F524" i="3" s="1"/>
  <c r="E532" i="3"/>
  <c r="F532" i="3" s="1"/>
  <c r="E540" i="3"/>
  <c r="F540" i="3" s="1"/>
  <c r="E548" i="3"/>
  <c r="F548" i="3" s="1"/>
  <c r="E556" i="3"/>
  <c r="F556" i="3" s="1"/>
  <c r="E564" i="3"/>
  <c r="F564" i="3" s="1"/>
  <c r="E572" i="3"/>
  <c r="F572" i="3" s="1"/>
  <c r="E580" i="3"/>
  <c r="F580" i="3" s="1"/>
  <c r="E588" i="3"/>
  <c r="F588" i="3" s="1"/>
  <c r="E596" i="3"/>
  <c r="F596" i="3" s="1"/>
  <c r="E604" i="3"/>
  <c r="F604" i="3" s="1"/>
  <c r="E612" i="3"/>
  <c r="F612" i="3" s="1"/>
  <c r="E620" i="3"/>
  <c r="F620" i="3" s="1"/>
  <c r="E628" i="3"/>
  <c r="F628" i="3" s="1"/>
  <c r="E636" i="3"/>
  <c r="F636" i="3" s="1"/>
  <c r="E644" i="3"/>
  <c r="F644" i="3" s="1"/>
  <c r="E652" i="3"/>
  <c r="F652" i="3" s="1"/>
  <c r="E660" i="3"/>
  <c r="F660" i="3" s="1"/>
  <c r="E668" i="3"/>
  <c r="F668" i="3" s="1"/>
  <c r="E676" i="3"/>
  <c r="F676" i="3" s="1"/>
  <c r="E684" i="3"/>
  <c r="F684" i="3" s="1"/>
  <c r="E692" i="3"/>
  <c r="F692" i="3" s="1"/>
  <c r="E700" i="3"/>
  <c r="F700" i="3" s="1"/>
  <c r="E708" i="3"/>
  <c r="F708" i="3" s="1"/>
  <c r="E716" i="3"/>
  <c r="F716" i="3" s="1"/>
  <c r="E724" i="3"/>
  <c r="F724" i="3" s="1"/>
  <c r="E732" i="3"/>
  <c r="F732" i="3" s="1"/>
  <c r="E740" i="3"/>
  <c r="F740" i="3" s="1"/>
  <c r="E748" i="3"/>
  <c r="F748" i="3" s="1"/>
  <c r="E756" i="3"/>
  <c r="F756" i="3" s="1"/>
  <c r="E764" i="3"/>
  <c r="F764" i="3" s="1"/>
  <c r="E772" i="3"/>
  <c r="F772" i="3" s="1"/>
  <c r="E780" i="3"/>
  <c r="F780" i="3" s="1"/>
  <c r="E788" i="3"/>
  <c r="F788" i="3" s="1"/>
  <c r="E796" i="3"/>
  <c r="F796" i="3" s="1"/>
  <c r="E804" i="3"/>
  <c r="F804" i="3" s="1"/>
  <c r="E812" i="3"/>
  <c r="F812" i="3" s="1"/>
  <c r="E820" i="3"/>
  <c r="F820" i="3" s="1"/>
  <c r="E828" i="3"/>
  <c r="F828" i="3" s="1"/>
  <c r="E836" i="3"/>
  <c r="F836" i="3" s="1"/>
  <c r="E844" i="3"/>
  <c r="F844" i="3" s="1"/>
  <c r="E852" i="3"/>
  <c r="F852" i="3" s="1"/>
  <c r="E517" i="3"/>
  <c r="F517" i="3" s="1"/>
  <c r="E525" i="3"/>
  <c r="F525" i="3" s="1"/>
  <c r="E533" i="3"/>
  <c r="F533" i="3" s="1"/>
  <c r="E541" i="3"/>
  <c r="F541" i="3" s="1"/>
  <c r="E549" i="3"/>
  <c r="F549" i="3" s="1"/>
  <c r="E557" i="3"/>
  <c r="F557" i="3" s="1"/>
  <c r="E565" i="3"/>
  <c r="F565" i="3" s="1"/>
  <c r="E573" i="3"/>
  <c r="F573" i="3" s="1"/>
  <c r="E581" i="3"/>
  <c r="F581" i="3" s="1"/>
  <c r="E589" i="3"/>
  <c r="F589" i="3" s="1"/>
  <c r="E597" i="3"/>
  <c r="F597" i="3" s="1"/>
  <c r="E605" i="3"/>
  <c r="F605" i="3" s="1"/>
  <c r="E613" i="3"/>
  <c r="F613" i="3" s="1"/>
  <c r="E621" i="3"/>
  <c r="F621" i="3" s="1"/>
  <c r="E629" i="3"/>
  <c r="F629" i="3" s="1"/>
  <c r="E637" i="3"/>
  <c r="F637" i="3" s="1"/>
  <c r="E645" i="3"/>
  <c r="F645" i="3" s="1"/>
  <c r="E653" i="3"/>
  <c r="F653" i="3" s="1"/>
  <c r="E661" i="3"/>
  <c r="F661" i="3" s="1"/>
  <c r="E669" i="3"/>
  <c r="F669" i="3" s="1"/>
  <c r="E677" i="3"/>
  <c r="F677" i="3" s="1"/>
  <c r="E685" i="3"/>
  <c r="F685" i="3" s="1"/>
  <c r="E693" i="3"/>
  <c r="F693" i="3" s="1"/>
  <c r="E701" i="3"/>
  <c r="F701" i="3" s="1"/>
  <c r="E709" i="3"/>
  <c r="F709" i="3" s="1"/>
  <c r="E717" i="3"/>
  <c r="F717" i="3" s="1"/>
  <c r="E725" i="3"/>
  <c r="F725" i="3" s="1"/>
  <c r="E733" i="3"/>
  <c r="F733" i="3" s="1"/>
  <c r="E741" i="3"/>
  <c r="F741" i="3" s="1"/>
  <c r="E749" i="3"/>
  <c r="F749" i="3" s="1"/>
  <c r="E757" i="3"/>
  <c r="F757" i="3" s="1"/>
  <c r="E765" i="3"/>
  <c r="F765" i="3" s="1"/>
  <c r="E773" i="3"/>
  <c r="F773" i="3" s="1"/>
  <c r="E781" i="3"/>
  <c r="F781" i="3" s="1"/>
  <c r="E789" i="3"/>
  <c r="F789" i="3" s="1"/>
  <c r="E797" i="3"/>
  <c r="F797" i="3" s="1"/>
  <c r="E805" i="3"/>
  <c r="F805" i="3" s="1"/>
  <c r="E813" i="3"/>
  <c r="F813" i="3" s="1"/>
  <c r="E821" i="3"/>
  <c r="F821" i="3" s="1"/>
  <c r="E829" i="3"/>
  <c r="F829" i="3" s="1"/>
  <c r="E837" i="3"/>
  <c r="F837" i="3" s="1"/>
  <c r="E845" i="3"/>
  <c r="F845" i="3" s="1"/>
  <c r="E853" i="3"/>
  <c r="F853" i="3" s="1"/>
  <c r="E518" i="3"/>
  <c r="F518" i="3" s="1"/>
  <c r="E526" i="3"/>
  <c r="F526" i="3" s="1"/>
  <c r="E534" i="3"/>
  <c r="F534" i="3" s="1"/>
  <c r="E542" i="3"/>
  <c r="F542" i="3" s="1"/>
  <c r="E550" i="3"/>
  <c r="F550" i="3" s="1"/>
  <c r="E558" i="3"/>
  <c r="F558" i="3" s="1"/>
  <c r="E566" i="3"/>
  <c r="F566" i="3" s="1"/>
  <c r="E574" i="3"/>
  <c r="F574" i="3" s="1"/>
  <c r="E582" i="3"/>
  <c r="F582" i="3" s="1"/>
  <c r="E590" i="3"/>
  <c r="F590" i="3" s="1"/>
  <c r="E598" i="3"/>
  <c r="F598" i="3" s="1"/>
  <c r="E606" i="3"/>
  <c r="F606" i="3" s="1"/>
  <c r="E614" i="3"/>
  <c r="F614" i="3" s="1"/>
  <c r="E622" i="3"/>
  <c r="F622" i="3" s="1"/>
  <c r="E630" i="3"/>
  <c r="F630" i="3" s="1"/>
  <c r="E638" i="3"/>
  <c r="F638" i="3" s="1"/>
  <c r="E646" i="3"/>
  <c r="F646" i="3" s="1"/>
  <c r="E654" i="3"/>
  <c r="F654" i="3" s="1"/>
  <c r="E662" i="3"/>
  <c r="F662" i="3" s="1"/>
  <c r="E670" i="3"/>
  <c r="F670" i="3" s="1"/>
  <c r="E678" i="3"/>
  <c r="F678" i="3" s="1"/>
  <c r="E686" i="3"/>
  <c r="F686" i="3" s="1"/>
  <c r="E694" i="3"/>
  <c r="F694" i="3" s="1"/>
  <c r="E702" i="3"/>
  <c r="F702" i="3" s="1"/>
  <c r="E710" i="3"/>
  <c r="F710" i="3" s="1"/>
  <c r="E718" i="3"/>
  <c r="F718" i="3" s="1"/>
  <c r="E726" i="3"/>
  <c r="F726" i="3" s="1"/>
  <c r="E734" i="3"/>
  <c r="F734" i="3" s="1"/>
  <c r="E742" i="3"/>
  <c r="F742" i="3" s="1"/>
  <c r="E750" i="3"/>
  <c r="F750" i="3" s="1"/>
  <c r="E758" i="3"/>
  <c r="F758" i="3" s="1"/>
  <c r="E766" i="3"/>
  <c r="F766" i="3" s="1"/>
  <c r="E774" i="3"/>
  <c r="F774" i="3" s="1"/>
  <c r="E782" i="3"/>
  <c r="F782" i="3" s="1"/>
  <c r="E790" i="3"/>
  <c r="F790" i="3" s="1"/>
  <c r="E798" i="3"/>
  <c r="F798" i="3" s="1"/>
  <c r="E806" i="3"/>
  <c r="F806" i="3" s="1"/>
  <c r="E814" i="3"/>
  <c r="F814" i="3" s="1"/>
  <c r="E822" i="3"/>
  <c r="F822" i="3" s="1"/>
  <c r="E830" i="3"/>
  <c r="F830" i="3" s="1"/>
  <c r="E838" i="3"/>
  <c r="F838" i="3" s="1"/>
  <c r="E846" i="3"/>
  <c r="F846" i="3" s="1"/>
  <c r="E519" i="3"/>
  <c r="F519" i="3" s="1"/>
  <c r="E527" i="3"/>
  <c r="F527" i="3" s="1"/>
  <c r="E535" i="3"/>
  <c r="F535" i="3" s="1"/>
  <c r="E543" i="3"/>
  <c r="F543" i="3" s="1"/>
  <c r="E551" i="3"/>
  <c r="F551" i="3" s="1"/>
  <c r="E559" i="3"/>
  <c r="F559" i="3" s="1"/>
  <c r="E567" i="3"/>
  <c r="F567" i="3" s="1"/>
  <c r="E575" i="3"/>
  <c r="F575" i="3" s="1"/>
  <c r="E583" i="3"/>
  <c r="F583" i="3" s="1"/>
  <c r="E591" i="3"/>
  <c r="F591" i="3" s="1"/>
  <c r="E599" i="3"/>
  <c r="F599" i="3" s="1"/>
  <c r="E607" i="3"/>
  <c r="F607" i="3" s="1"/>
  <c r="E615" i="3"/>
  <c r="F615" i="3" s="1"/>
  <c r="E623" i="3"/>
  <c r="F623" i="3" s="1"/>
  <c r="E631" i="3"/>
  <c r="F631" i="3" s="1"/>
  <c r="E639" i="3"/>
  <c r="F639" i="3" s="1"/>
  <c r="E647" i="3"/>
  <c r="F647" i="3" s="1"/>
  <c r="E655" i="3"/>
  <c r="F655" i="3" s="1"/>
  <c r="E663" i="3"/>
  <c r="F663" i="3" s="1"/>
  <c r="E671" i="3"/>
  <c r="F671" i="3" s="1"/>
  <c r="E679" i="3"/>
  <c r="F679" i="3" s="1"/>
  <c r="E687" i="3"/>
  <c r="F687" i="3" s="1"/>
  <c r="E695" i="3"/>
  <c r="F695" i="3" s="1"/>
  <c r="E703" i="3"/>
  <c r="F703" i="3" s="1"/>
  <c r="E711" i="3"/>
  <c r="F711" i="3" s="1"/>
  <c r="E719" i="3"/>
  <c r="F719" i="3" s="1"/>
  <c r="E727" i="3"/>
  <c r="F727" i="3" s="1"/>
  <c r="E735" i="3"/>
  <c r="F735" i="3" s="1"/>
  <c r="E743" i="3"/>
  <c r="F743" i="3" s="1"/>
  <c r="E751" i="3"/>
  <c r="F751" i="3" s="1"/>
  <c r="E759" i="3"/>
  <c r="F759" i="3" s="1"/>
  <c r="E767" i="3"/>
  <c r="F767" i="3" s="1"/>
  <c r="E775" i="3"/>
  <c r="F775" i="3" s="1"/>
  <c r="E783" i="3"/>
  <c r="F783" i="3" s="1"/>
  <c r="E791" i="3"/>
  <c r="F791" i="3" s="1"/>
  <c r="E799" i="3"/>
  <c r="F799" i="3" s="1"/>
  <c r="E807" i="3"/>
  <c r="F807" i="3" s="1"/>
  <c r="E815" i="3"/>
  <c r="F815" i="3" s="1"/>
  <c r="E823" i="3"/>
  <c r="F823" i="3" s="1"/>
  <c r="E831" i="3"/>
  <c r="F831" i="3" s="1"/>
  <c r="E839" i="3"/>
  <c r="F839" i="3" s="1"/>
  <c r="E847" i="3"/>
  <c r="F847" i="3" s="1"/>
  <c r="E521" i="3"/>
  <c r="F521" i="3" s="1"/>
  <c r="E529" i="3"/>
  <c r="F529" i="3" s="1"/>
  <c r="E537" i="3"/>
  <c r="F537" i="3" s="1"/>
  <c r="E545" i="3"/>
  <c r="F545" i="3" s="1"/>
  <c r="E553" i="3"/>
  <c r="F553" i="3" s="1"/>
  <c r="E561" i="3"/>
  <c r="F561" i="3" s="1"/>
  <c r="E569" i="3"/>
  <c r="F569" i="3" s="1"/>
  <c r="E577" i="3"/>
  <c r="F577" i="3" s="1"/>
  <c r="E585" i="3"/>
  <c r="F585" i="3" s="1"/>
  <c r="E593" i="3"/>
  <c r="F593" i="3" s="1"/>
  <c r="E601" i="3"/>
  <c r="F601" i="3" s="1"/>
  <c r="E609" i="3"/>
  <c r="F609" i="3" s="1"/>
  <c r="E617" i="3"/>
  <c r="F617" i="3" s="1"/>
  <c r="E625" i="3"/>
  <c r="F625" i="3" s="1"/>
  <c r="E633" i="3"/>
  <c r="F633" i="3" s="1"/>
  <c r="E641" i="3"/>
  <c r="F641" i="3" s="1"/>
  <c r="E649" i="3"/>
  <c r="F649" i="3" s="1"/>
  <c r="E657" i="3"/>
  <c r="F657" i="3" s="1"/>
  <c r="E665" i="3"/>
  <c r="F665" i="3" s="1"/>
  <c r="E673" i="3"/>
  <c r="F673" i="3" s="1"/>
  <c r="E681" i="3"/>
  <c r="F681" i="3" s="1"/>
  <c r="E689" i="3"/>
  <c r="F689" i="3" s="1"/>
  <c r="E697" i="3"/>
  <c r="F697" i="3" s="1"/>
  <c r="E705" i="3"/>
  <c r="F705" i="3" s="1"/>
  <c r="E713" i="3"/>
  <c r="F713" i="3" s="1"/>
  <c r="E721" i="3"/>
  <c r="F721" i="3" s="1"/>
  <c r="E729" i="3"/>
  <c r="F729" i="3" s="1"/>
  <c r="E737" i="3"/>
  <c r="F737" i="3" s="1"/>
  <c r="E745" i="3"/>
  <c r="F745" i="3" s="1"/>
  <c r="E753" i="3"/>
  <c r="F753" i="3" s="1"/>
  <c r="E761" i="3"/>
  <c r="F761" i="3" s="1"/>
  <c r="E769" i="3"/>
  <c r="F769" i="3" s="1"/>
  <c r="E777" i="3"/>
  <c r="F777" i="3" s="1"/>
  <c r="E785" i="3"/>
  <c r="F785" i="3" s="1"/>
  <c r="E793" i="3"/>
  <c r="F793" i="3" s="1"/>
  <c r="E801" i="3"/>
  <c r="F801" i="3" s="1"/>
  <c r="E809" i="3"/>
  <c r="F809" i="3" s="1"/>
  <c r="E817" i="3"/>
  <c r="F817" i="3" s="1"/>
  <c r="E825" i="3"/>
  <c r="F825" i="3" s="1"/>
  <c r="E833" i="3"/>
  <c r="F833" i="3" s="1"/>
  <c r="E841" i="3"/>
  <c r="F841" i="3" s="1"/>
  <c r="E849" i="3"/>
  <c r="F849" i="3" s="1"/>
  <c r="E514" i="3"/>
  <c r="F514" i="3" s="1"/>
  <c r="E522" i="3"/>
  <c r="F522" i="3" s="1"/>
  <c r="E530" i="3"/>
  <c r="F530" i="3" s="1"/>
  <c r="E538" i="3"/>
  <c r="F538" i="3" s="1"/>
  <c r="E546" i="3"/>
  <c r="F546" i="3" s="1"/>
  <c r="E554" i="3"/>
  <c r="F554" i="3" s="1"/>
  <c r="E562" i="3"/>
  <c r="F562" i="3" s="1"/>
  <c r="E570" i="3"/>
  <c r="F570" i="3" s="1"/>
  <c r="E578" i="3"/>
  <c r="F578" i="3" s="1"/>
  <c r="E586" i="3"/>
  <c r="F586" i="3" s="1"/>
  <c r="E594" i="3"/>
  <c r="F594" i="3" s="1"/>
  <c r="E602" i="3"/>
  <c r="F602" i="3" s="1"/>
  <c r="E610" i="3"/>
  <c r="F610" i="3" s="1"/>
  <c r="E618" i="3"/>
  <c r="F618" i="3" s="1"/>
  <c r="E626" i="3"/>
  <c r="F626" i="3" s="1"/>
  <c r="E634" i="3"/>
  <c r="F634" i="3" s="1"/>
  <c r="E642" i="3"/>
  <c r="F642" i="3" s="1"/>
  <c r="E650" i="3"/>
  <c r="F650" i="3" s="1"/>
  <c r="E658" i="3"/>
  <c r="F658" i="3" s="1"/>
  <c r="E666" i="3"/>
  <c r="F666" i="3" s="1"/>
  <c r="E674" i="3"/>
  <c r="F674" i="3" s="1"/>
  <c r="E682" i="3"/>
  <c r="F682" i="3" s="1"/>
  <c r="E690" i="3"/>
  <c r="F690" i="3" s="1"/>
  <c r="E698" i="3"/>
  <c r="F698" i="3" s="1"/>
  <c r="E706" i="3"/>
  <c r="F706" i="3" s="1"/>
  <c r="E714" i="3"/>
  <c r="F714" i="3" s="1"/>
  <c r="E722" i="3"/>
  <c r="F722" i="3" s="1"/>
  <c r="E730" i="3"/>
  <c r="F730" i="3" s="1"/>
  <c r="E738" i="3"/>
  <c r="F738" i="3" s="1"/>
  <c r="E746" i="3"/>
  <c r="F746" i="3" s="1"/>
  <c r="E754" i="3"/>
  <c r="F754" i="3" s="1"/>
  <c r="E762" i="3"/>
  <c r="F762" i="3" s="1"/>
  <c r="E770" i="3"/>
  <c r="F770" i="3" s="1"/>
  <c r="E778" i="3"/>
  <c r="F778" i="3" s="1"/>
  <c r="E786" i="3"/>
  <c r="F786" i="3" s="1"/>
  <c r="E794" i="3"/>
  <c r="F794" i="3" s="1"/>
  <c r="E802" i="3"/>
  <c r="F802" i="3" s="1"/>
  <c r="E810" i="3"/>
  <c r="F810" i="3" s="1"/>
  <c r="E818" i="3"/>
  <c r="F818" i="3" s="1"/>
  <c r="E826" i="3"/>
  <c r="F826" i="3" s="1"/>
  <c r="E834" i="3"/>
  <c r="F834" i="3" s="1"/>
  <c r="E842" i="3"/>
  <c r="F842" i="3" s="1"/>
  <c r="E850" i="3"/>
  <c r="F850" i="3" s="1"/>
  <c r="E523" i="3"/>
  <c r="F523" i="3" s="1"/>
  <c r="E555" i="3"/>
  <c r="F555" i="3" s="1"/>
  <c r="E587" i="3"/>
  <c r="F587" i="3" s="1"/>
  <c r="E619" i="3"/>
  <c r="F619" i="3" s="1"/>
  <c r="E651" i="3"/>
  <c r="F651" i="3" s="1"/>
  <c r="E683" i="3"/>
  <c r="F683" i="3" s="1"/>
  <c r="E715" i="3"/>
  <c r="F715" i="3" s="1"/>
  <c r="E747" i="3"/>
  <c r="F747" i="3" s="1"/>
  <c r="E779" i="3"/>
  <c r="F779" i="3" s="1"/>
  <c r="E811" i="3"/>
  <c r="F811" i="3" s="1"/>
  <c r="E843" i="3"/>
  <c r="F843" i="3" s="1"/>
  <c r="E819" i="3"/>
  <c r="F819" i="3" s="1"/>
  <c r="E539" i="3"/>
  <c r="F539" i="3" s="1"/>
  <c r="E667" i="3"/>
  <c r="F667" i="3" s="1"/>
  <c r="E763" i="3"/>
  <c r="F763" i="3" s="1"/>
  <c r="E576" i="3"/>
  <c r="F576" i="3" s="1"/>
  <c r="E672" i="3"/>
  <c r="F672" i="3" s="1"/>
  <c r="E800" i="3"/>
  <c r="F800" i="3" s="1"/>
  <c r="E515" i="3"/>
  <c r="F515" i="3" s="1"/>
  <c r="E707" i="3"/>
  <c r="F707" i="3" s="1"/>
  <c r="E835" i="3"/>
  <c r="F835" i="3" s="1"/>
  <c r="E528" i="3"/>
  <c r="F528" i="3" s="1"/>
  <c r="E560" i="3"/>
  <c r="F560" i="3" s="1"/>
  <c r="E592" i="3"/>
  <c r="F592" i="3" s="1"/>
  <c r="E624" i="3"/>
  <c r="F624" i="3" s="1"/>
  <c r="E656" i="3"/>
  <c r="F656" i="3" s="1"/>
  <c r="E688" i="3"/>
  <c r="F688" i="3" s="1"/>
  <c r="E720" i="3"/>
  <c r="F720" i="3" s="1"/>
  <c r="E752" i="3"/>
  <c r="F752" i="3" s="1"/>
  <c r="E784" i="3"/>
  <c r="F784" i="3" s="1"/>
  <c r="E816" i="3"/>
  <c r="F816" i="3" s="1"/>
  <c r="E848" i="3"/>
  <c r="F848" i="3" s="1"/>
  <c r="E643" i="3"/>
  <c r="F643" i="3" s="1"/>
  <c r="E531" i="3"/>
  <c r="F531" i="3" s="1"/>
  <c r="E563" i="3"/>
  <c r="F563" i="3" s="1"/>
  <c r="E595" i="3"/>
  <c r="F595" i="3" s="1"/>
  <c r="E627" i="3"/>
  <c r="F627" i="3" s="1"/>
  <c r="E659" i="3"/>
  <c r="F659" i="3" s="1"/>
  <c r="E691" i="3"/>
  <c r="F691" i="3" s="1"/>
  <c r="E723" i="3"/>
  <c r="F723" i="3" s="1"/>
  <c r="E755" i="3"/>
  <c r="F755" i="3" s="1"/>
  <c r="E787" i="3"/>
  <c r="F787" i="3" s="1"/>
  <c r="E851" i="3"/>
  <c r="F851" i="3" s="1"/>
  <c r="E603" i="3"/>
  <c r="F603" i="3" s="1"/>
  <c r="E699" i="3"/>
  <c r="F699" i="3" s="1"/>
  <c r="E827" i="3"/>
  <c r="F827" i="3" s="1"/>
  <c r="E640" i="3"/>
  <c r="F640" i="3" s="1"/>
  <c r="E768" i="3"/>
  <c r="F768" i="3" s="1"/>
  <c r="E611" i="3"/>
  <c r="F611" i="3" s="1"/>
  <c r="E803" i="3"/>
  <c r="F803" i="3" s="1"/>
  <c r="E536" i="3"/>
  <c r="F536" i="3" s="1"/>
  <c r="E568" i="3"/>
  <c r="F568" i="3" s="1"/>
  <c r="E600" i="3"/>
  <c r="F600" i="3" s="1"/>
  <c r="E632" i="3"/>
  <c r="F632" i="3" s="1"/>
  <c r="E664" i="3"/>
  <c r="F664" i="3" s="1"/>
  <c r="E696" i="3"/>
  <c r="F696" i="3" s="1"/>
  <c r="E728" i="3"/>
  <c r="F728" i="3" s="1"/>
  <c r="E760" i="3"/>
  <c r="F760" i="3" s="1"/>
  <c r="E792" i="3"/>
  <c r="F792" i="3" s="1"/>
  <c r="E824" i="3"/>
  <c r="F824" i="3" s="1"/>
  <c r="E635" i="3"/>
  <c r="F635" i="3" s="1"/>
  <c r="E731" i="3"/>
  <c r="F731" i="3" s="1"/>
  <c r="E608" i="3"/>
  <c r="F608" i="3" s="1"/>
  <c r="E704" i="3"/>
  <c r="F704" i="3" s="1"/>
  <c r="E832" i="3"/>
  <c r="F832" i="3" s="1"/>
  <c r="E579" i="3"/>
  <c r="F579" i="3" s="1"/>
  <c r="E739" i="3"/>
  <c r="F739" i="3" s="1"/>
  <c r="E571" i="3"/>
  <c r="F571" i="3" s="1"/>
  <c r="E795" i="3"/>
  <c r="F795" i="3" s="1"/>
  <c r="E544" i="3"/>
  <c r="F544" i="3" s="1"/>
  <c r="E736" i="3"/>
  <c r="F736" i="3" s="1"/>
  <c r="E547" i="3"/>
  <c r="F547" i="3" s="1"/>
  <c r="E675" i="3"/>
  <c r="F675" i="3" s="1"/>
  <c r="E771" i="3"/>
  <c r="F771" i="3" s="1"/>
  <c r="E520" i="3"/>
  <c r="F520" i="3" s="1"/>
  <c r="E552" i="3"/>
  <c r="F552" i="3" s="1"/>
  <c r="E584" i="3"/>
  <c r="F584" i="3" s="1"/>
  <c r="E616" i="3"/>
  <c r="F616" i="3" s="1"/>
  <c r="E648" i="3"/>
  <c r="F648" i="3" s="1"/>
  <c r="E680" i="3"/>
  <c r="F680" i="3" s="1"/>
  <c r="E712" i="3"/>
  <c r="F712" i="3" s="1"/>
  <c r="E744" i="3"/>
  <c r="F744" i="3" s="1"/>
  <c r="E776" i="3"/>
  <c r="F776" i="3" s="1"/>
  <c r="E808" i="3"/>
  <c r="F808" i="3" s="1"/>
  <c r="E840" i="3"/>
  <c r="F840" i="3" s="1"/>
  <c r="E384" i="1"/>
  <c r="F384" i="1" s="1"/>
  <c r="E37" i="1"/>
  <c r="F37" i="1" s="1"/>
  <c r="E495" i="1"/>
  <c r="F495" i="1" s="1"/>
  <c r="E423" i="1"/>
  <c r="F423" i="1" s="1"/>
  <c r="E240" i="1"/>
  <c r="F240" i="1" s="1"/>
  <c r="E192" i="1"/>
  <c r="F192" i="1" s="1"/>
  <c r="E61" i="1"/>
  <c r="F61" i="1" s="1"/>
  <c r="E430" i="1"/>
  <c r="F430" i="1" s="1"/>
  <c r="E28" i="1"/>
  <c r="F28" i="1" s="1"/>
  <c r="E335" i="1"/>
  <c r="F335" i="1" s="1"/>
  <c r="E535" i="1"/>
  <c r="F535" i="1" s="1"/>
  <c r="E453" i="1"/>
  <c r="F453" i="1" s="1"/>
  <c r="E567" i="1"/>
  <c r="F567" i="1" s="1"/>
  <c r="E231" i="1"/>
  <c r="F231" i="1" s="1"/>
  <c r="E490" i="1"/>
  <c r="F490" i="1" s="1"/>
  <c r="E546" i="1"/>
  <c r="F546" i="1" s="1"/>
  <c r="E576" i="1"/>
  <c r="F576" i="1" s="1"/>
  <c r="E119" i="1"/>
  <c r="F119" i="1" s="1"/>
  <c r="E65" i="1"/>
  <c r="F65" i="1" s="1"/>
  <c r="E35" i="1"/>
  <c r="F35" i="1" s="1"/>
  <c r="E439" i="1"/>
  <c r="F439" i="1" s="1"/>
  <c r="E295" i="1"/>
  <c r="F295" i="1" s="1"/>
  <c r="E8" i="1"/>
  <c r="F8" i="1" s="1"/>
  <c r="E27" i="1"/>
  <c r="F27" i="1" s="1"/>
  <c r="E287" i="1"/>
  <c r="F287" i="1" s="1"/>
  <c r="E544" i="1"/>
  <c r="F544" i="1" s="1"/>
  <c r="E99" i="1"/>
  <c r="F99" i="1" s="1"/>
  <c r="E593" i="1"/>
  <c r="F593" i="1" s="1"/>
  <c r="E519" i="1"/>
  <c r="F519" i="1" s="1"/>
  <c r="E482" i="1"/>
  <c r="F482" i="1" s="1"/>
  <c r="E279" i="1"/>
  <c r="F279" i="1" s="1"/>
  <c r="E203" i="1"/>
  <c r="F203" i="1" s="1"/>
  <c r="E331" i="1"/>
  <c r="F331" i="1" s="1"/>
  <c r="E285" i="1"/>
  <c r="F285" i="1" s="1"/>
  <c r="E283" i="1"/>
  <c r="F283" i="1" s="1"/>
  <c r="E488" i="1"/>
  <c r="F488" i="1" s="1"/>
  <c r="E506" i="1"/>
  <c r="F506" i="1" s="1"/>
  <c r="E32" i="1"/>
  <c r="F32" i="1" s="1"/>
  <c r="E493" i="1"/>
  <c r="F493" i="1" s="1"/>
  <c r="E475" i="1"/>
  <c r="F475" i="1" s="1"/>
  <c r="E445" i="1"/>
  <c r="F445" i="1" s="1"/>
  <c r="E167" i="1"/>
  <c r="F167" i="1" s="1"/>
  <c r="E458" i="1"/>
  <c r="F458" i="1" s="1"/>
  <c r="E417" i="1"/>
  <c r="F417" i="1" s="1"/>
  <c r="E553" i="1"/>
  <c r="F553" i="1" s="1"/>
  <c r="E323" i="1"/>
  <c r="F323" i="1" s="1"/>
  <c r="E267" i="1"/>
  <c r="F267" i="1" s="1"/>
  <c r="E511" i="1"/>
  <c r="F511" i="1" s="1"/>
  <c r="E395" i="1"/>
  <c r="F395" i="1" s="1"/>
  <c r="E45" i="1"/>
  <c r="F45" i="1" s="1"/>
  <c r="E125" i="1"/>
  <c r="F125" i="1" s="1"/>
  <c r="E54" i="1"/>
  <c r="F54" i="1" s="1"/>
  <c r="E351" i="1"/>
  <c r="F351" i="1" s="1"/>
  <c r="E397" i="1"/>
  <c r="F397" i="1" s="1"/>
  <c r="E245" i="1"/>
  <c r="F245" i="1" s="1"/>
  <c r="E369" i="1"/>
  <c r="F369" i="1" s="1"/>
  <c r="E373" i="1"/>
  <c r="F373" i="1" s="1"/>
  <c r="E383" i="1"/>
  <c r="F383" i="1" s="1"/>
  <c r="E215" i="1"/>
  <c r="F215" i="1" s="1"/>
  <c r="E510" i="1"/>
  <c r="F510" i="1" s="1"/>
  <c r="E80" i="1"/>
  <c r="F80" i="1" s="1"/>
  <c r="E513" i="1"/>
  <c r="F513" i="1" s="1"/>
  <c r="E228" i="1"/>
  <c r="F228" i="1" s="1"/>
  <c r="E589" i="1"/>
  <c r="F589" i="1" s="1"/>
  <c r="E522" i="1"/>
  <c r="F522" i="1" s="1"/>
  <c r="E159" i="1"/>
  <c r="F159" i="1" s="1"/>
  <c r="E309" i="1"/>
  <c r="F309" i="1" s="1"/>
  <c r="E563" i="1"/>
  <c r="F563" i="1" s="1"/>
  <c r="E581" i="1"/>
  <c r="F581" i="1" s="1"/>
  <c r="E471" i="1"/>
  <c r="F471" i="1" s="1"/>
  <c r="E320" i="1"/>
  <c r="F320" i="1" s="1"/>
  <c r="E467" i="1"/>
  <c r="F467" i="1" s="1"/>
  <c r="E531" i="1"/>
  <c r="F531" i="1" s="1"/>
  <c r="E580" i="1"/>
  <c r="F580" i="1" s="1"/>
  <c r="E109" i="1"/>
  <c r="F109" i="1" s="1"/>
  <c r="E442" i="1"/>
  <c r="F442" i="1" s="1"/>
  <c r="E479" i="1"/>
  <c r="F479" i="1" s="1"/>
  <c r="E20" i="1"/>
  <c r="F20" i="1" s="1"/>
  <c r="E584" i="1"/>
  <c r="F584" i="1" s="1"/>
  <c r="E368" i="1"/>
  <c r="F368" i="1" s="1"/>
  <c r="E223" i="1"/>
  <c r="F223" i="1" s="1"/>
  <c r="E49" i="1"/>
  <c r="F49" i="1" s="1"/>
  <c r="E2" i="1"/>
  <c r="F2" i="1" s="1"/>
  <c r="E527" i="1"/>
  <c r="F527" i="1" s="1"/>
  <c r="E418" i="1"/>
  <c r="F418" i="1" s="1"/>
  <c r="E399" i="1"/>
  <c r="F399" i="1" s="1"/>
  <c r="E60" i="1"/>
  <c r="F60" i="1" s="1"/>
  <c r="E157" i="1"/>
  <c r="F157" i="1" s="1"/>
  <c r="E311" i="1"/>
  <c r="F311" i="1" s="1"/>
  <c r="E128" i="1"/>
  <c r="F128" i="1" s="1"/>
  <c r="E69" i="1"/>
  <c r="F69" i="1" s="1"/>
  <c r="E145" i="1"/>
  <c r="F145" i="1" s="1"/>
  <c r="E425" i="1"/>
  <c r="F425" i="1" s="1"/>
  <c r="E405" i="1"/>
  <c r="F405" i="1" s="1"/>
  <c r="E434" i="1"/>
  <c r="F434" i="1" s="1"/>
  <c r="E165" i="1"/>
  <c r="F165" i="1" s="1"/>
  <c r="E456" i="1"/>
  <c r="F456" i="1" s="1"/>
  <c r="E87" i="1"/>
  <c r="F87" i="1" s="1"/>
  <c r="E121" i="1"/>
  <c r="F121" i="1" s="1"/>
  <c r="E226" i="1"/>
  <c r="F226" i="1" s="1"/>
  <c r="E13" i="1"/>
  <c r="F13" i="1" s="1"/>
  <c r="E552" i="1"/>
  <c r="F552" i="1" s="1"/>
  <c r="E26" i="1"/>
  <c r="F26" i="1" s="1"/>
  <c r="E410" i="1"/>
  <c r="F410" i="1" s="1"/>
  <c r="E261" i="1"/>
  <c r="F261" i="1" s="1"/>
  <c r="E67" i="1"/>
  <c r="F67" i="1" s="1"/>
  <c r="E586" i="1"/>
  <c r="F586" i="1" s="1"/>
  <c r="E304" i="1"/>
  <c r="F304" i="1" s="1"/>
  <c r="E191" i="1"/>
  <c r="F191" i="1" s="1"/>
  <c r="E478" i="1"/>
  <c r="F478" i="1" s="1"/>
  <c r="E59" i="1"/>
  <c r="F59" i="1" s="1"/>
  <c r="E541" i="1"/>
  <c r="F541" i="1" s="1"/>
  <c r="E349" i="1"/>
  <c r="F349" i="1" s="1"/>
  <c r="E115" i="1"/>
  <c r="F115" i="1" s="1"/>
  <c r="E414" i="1"/>
  <c r="F414" i="1" s="1"/>
  <c r="E569" i="1"/>
  <c r="F569" i="1" s="1"/>
  <c r="E23" i="1"/>
  <c r="F23" i="1" s="1"/>
  <c r="E253" i="1"/>
  <c r="F253" i="1" s="1"/>
  <c r="E131" i="1"/>
  <c r="F131" i="1" s="1"/>
  <c r="E229" i="1"/>
  <c r="F229" i="1" s="1"/>
  <c r="E68" i="1"/>
  <c r="F68" i="1" s="1"/>
  <c r="E534" i="1"/>
  <c r="F534" i="1" s="1"/>
  <c r="E422" i="1"/>
  <c r="F422" i="1" s="1"/>
  <c r="E413" i="1"/>
  <c r="F413" i="1" s="1"/>
  <c r="E568" i="1"/>
  <c r="F568" i="1" s="1"/>
  <c r="E472" i="1"/>
  <c r="F472" i="1" s="1"/>
  <c r="E532" i="1"/>
  <c r="F532" i="1" s="1"/>
  <c r="E112" i="1"/>
  <c r="F112" i="1" s="1"/>
  <c r="E137" i="1"/>
  <c r="F137" i="1" s="1"/>
  <c r="E217" i="1"/>
  <c r="F217" i="1" s="1"/>
  <c r="E24" i="1"/>
  <c r="F24" i="1" s="1"/>
  <c r="E341" i="1"/>
  <c r="F341" i="1" s="1"/>
  <c r="E355" i="1"/>
  <c r="F355" i="1" s="1"/>
  <c r="E343" i="1"/>
  <c r="F343" i="1" s="1"/>
  <c r="E151" i="1"/>
  <c r="F151" i="1" s="1"/>
  <c r="E293" i="1"/>
  <c r="F293" i="1" s="1"/>
  <c r="E185" i="1"/>
  <c r="F185" i="1" s="1"/>
  <c r="E282" i="1"/>
  <c r="F282" i="1" s="1"/>
  <c r="E52" i="1"/>
  <c r="F52" i="1" s="1"/>
  <c r="E551" i="1"/>
  <c r="F551" i="1" s="1"/>
  <c r="E189" i="1"/>
  <c r="F189" i="1" s="1"/>
  <c r="E79" i="1"/>
  <c r="F79" i="1" s="1"/>
  <c r="E327" i="1"/>
  <c r="F327" i="1" s="1"/>
  <c r="E11" i="1"/>
  <c r="F11" i="1" s="1"/>
  <c r="E550" i="1"/>
  <c r="F550" i="1" s="1"/>
  <c r="E93" i="1"/>
  <c r="F93" i="1" s="1"/>
  <c r="E319" i="1"/>
  <c r="F319" i="1" s="1"/>
  <c r="E437" i="1"/>
  <c r="F437" i="1" s="1"/>
  <c r="E555" i="1"/>
  <c r="F555" i="1" s="1"/>
  <c r="E592" i="1"/>
  <c r="F592" i="1" s="1"/>
  <c r="E440" i="1"/>
  <c r="F440" i="1" s="1"/>
  <c r="E227" i="1"/>
  <c r="F227" i="1" s="1"/>
  <c r="E359" i="1"/>
  <c r="F359" i="1" s="1"/>
  <c r="E574" i="1"/>
  <c r="F574" i="1" s="1"/>
  <c r="E187" i="1"/>
  <c r="F187" i="1" s="1"/>
  <c r="E365" i="1"/>
  <c r="F365" i="1" s="1"/>
  <c r="E243" i="1"/>
  <c r="F243" i="1" s="1"/>
  <c r="E225" i="1"/>
  <c r="F225" i="1" s="1"/>
  <c r="E43" i="1"/>
  <c r="F43" i="1" s="1"/>
  <c r="E585" i="1"/>
  <c r="F585" i="1" s="1"/>
  <c r="E141" i="1"/>
  <c r="F141" i="1" s="1"/>
  <c r="E117" i="1"/>
  <c r="F117" i="1" s="1"/>
  <c r="E525" i="1"/>
  <c r="F525" i="1" s="1"/>
  <c r="E127" i="1"/>
  <c r="F127" i="1" s="1"/>
  <c r="E21" i="1"/>
  <c r="F21" i="1" s="1"/>
  <c r="E398" i="1"/>
  <c r="F398" i="1" s="1"/>
  <c r="E257" i="1"/>
  <c r="F257" i="1" s="1"/>
  <c r="E337" i="1"/>
  <c r="F337" i="1" s="1"/>
  <c r="E520" i="1"/>
  <c r="F520" i="1" s="1"/>
  <c r="E259" i="1"/>
  <c r="F259" i="1" s="1"/>
  <c r="E277" i="1"/>
  <c r="F277" i="1" s="1"/>
  <c r="E149" i="1"/>
  <c r="F149" i="1" s="1"/>
  <c r="E455" i="1"/>
  <c r="F455" i="1" s="1"/>
  <c r="E305" i="1"/>
  <c r="F305" i="1" s="1"/>
  <c r="E346" i="1"/>
  <c r="F346" i="1" s="1"/>
  <c r="E4" i="1"/>
  <c r="F4" i="1" s="1"/>
  <c r="E123" i="1"/>
  <c r="F123" i="1" s="1"/>
  <c r="E301" i="1"/>
  <c r="F301" i="1" s="1"/>
  <c r="E517" i="1"/>
  <c r="F517" i="1" s="1"/>
  <c r="E101" i="1"/>
  <c r="F101" i="1" s="1"/>
  <c r="E583" i="1"/>
  <c r="F583" i="1" s="1"/>
  <c r="E549" i="1"/>
  <c r="F549" i="1" s="1"/>
  <c r="E221" i="1"/>
  <c r="F221" i="1" s="1"/>
  <c r="E431" i="1"/>
  <c r="F431" i="1" s="1"/>
  <c r="E357" i="1"/>
  <c r="F357" i="1" s="1"/>
  <c r="E538" i="1"/>
  <c r="F538" i="1" s="1"/>
  <c r="E591" i="1"/>
  <c r="F591" i="1" s="1"/>
  <c r="E504" i="1"/>
  <c r="F504" i="1" s="1"/>
  <c r="E387" i="1"/>
  <c r="F387" i="1" s="1"/>
  <c r="E62" i="1"/>
  <c r="F62" i="1" s="1"/>
  <c r="E528" i="1"/>
  <c r="F528" i="1" s="1"/>
  <c r="E299" i="1"/>
  <c r="F299" i="1" s="1"/>
  <c r="E451" i="1"/>
  <c r="F451" i="1" s="1"/>
  <c r="E400" i="1"/>
  <c r="F400" i="1" s="1"/>
  <c r="E169" i="1"/>
  <c r="F169" i="1" s="1"/>
  <c r="E570" i="1"/>
  <c r="F570" i="1" s="1"/>
  <c r="E533" i="1"/>
  <c r="F533" i="1" s="1"/>
  <c r="E269" i="1"/>
  <c r="F269" i="1" s="1"/>
  <c r="E133" i="1"/>
  <c r="F133" i="1" s="1"/>
  <c r="E578" i="1"/>
  <c r="F578" i="1" s="1"/>
  <c r="E163" i="1"/>
  <c r="F163" i="1" s="1"/>
  <c r="E556" i="1"/>
  <c r="F556" i="1" s="1"/>
  <c r="E179" i="1"/>
  <c r="F179" i="1" s="1"/>
  <c r="E41" i="1"/>
  <c r="F41" i="1" s="1"/>
  <c r="E161" i="1"/>
  <c r="F161" i="1" s="1"/>
  <c r="E48" i="1"/>
  <c r="F48" i="1" s="1"/>
  <c r="E135" i="1"/>
  <c r="F135" i="1" s="1"/>
  <c r="E464" i="1"/>
  <c r="F464" i="1" s="1"/>
  <c r="E499" i="1"/>
  <c r="F499" i="1" s="1"/>
  <c r="E263" i="1"/>
  <c r="F263" i="1" s="1"/>
  <c r="E175" i="1"/>
  <c r="F175" i="1" s="1"/>
  <c r="E361" i="1"/>
  <c r="F361" i="1" s="1"/>
  <c r="E548" i="1"/>
  <c r="F548" i="1" s="1"/>
  <c r="E524" i="1"/>
  <c r="F524" i="1" s="1"/>
  <c r="E235" i="1"/>
  <c r="F235" i="1" s="1"/>
  <c r="E419" i="1"/>
  <c r="F419" i="1" s="1"/>
  <c r="E42" i="1"/>
  <c r="F42" i="1" s="1"/>
  <c r="E78" i="1"/>
  <c r="F78" i="1" s="1"/>
  <c r="E545" i="1"/>
  <c r="F545" i="1" s="1"/>
  <c r="E155" i="1"/>
  <c r="F155" i="1" s="1"/>
  <c r="E333" i="1"/>
  <c r="F333" i="1" s="1"/>
  <c r="E272" i="1"/>
  <c r="F272" i="1" s="1"/>
  <c r="E70" i="1"/>
  <c r="F70" i="1" s="1"/>
  <c r="E575" i="1"/>
  <c r="F575" i="1" s="1"/>
  <c r="E171" i="1"/>
  <c r="F171" i="1" s="1"/>
  <c r="E95" i="1"/>
  <c r="F95" i="1" s="1"/>
  <c r="E466" i="1"/>
  <c r="F466" i="1" s="1"/>
  <c r="E6" i="1"/>
  <c r="F6" i="1" s="1"/>
  <c r="E573" i="1"/>
  <c r="F573" i="1" s="1"/>
  <c r="E407" i="1"/>
  <c r="F407" i="1" s="1"/>
  <c r="E515" i="1"/>
  <c r="F515" i="1" s="1"/>
  <c r="E477" i="1"/>
  <c r="F477" i="1" s="1"/>
  <c r="E105" i="1"/>
  <c r="F105" i="1" s="1"/>
  <c r="E530" i="1"/>
  <c r="F530" i="1" s="1"/>
  <c r="E577" i="1"/>
  <c r="F577" i="1" s="1"/>
  <c r="E462" i="1"/>
  <c r="F462" i="1" s="1"/>
  <c r="E447" i="1"/>
  <c r="F447" i="1" s="1"/>
  <c r="E91" i="1"/>
  <c r="F91" i="1" s="1"/>
  <c r="E291" i="1"/>
  <c r="F291" i="1" s="1"/>
  <c r="E566" i="1"/>
  <c r="F566" i="1" s="1"/>
  <c r="E307" i="1"/>
  <c r="F307" i="1" s="1"/>
  <c r="E83" i="1"/>
  <c r="F83" i="1" s="1"/>
  <c r="E251" i="1"/>
  <c r="F251" i="1" s="1"/>
  <c r="E19" i="1"/>
  <c r="F19" i="1" s="1"/>
  <c r="E97" i="1"/>
  <c r="F97" i="1" s="1"/>
  <c r="E233" i="1"/>
  <c r="F233" i="1" s="1"/>
  <c r="E381" i="1"/>
  <c r="F381" i="1" s="1"/>
  <c r="E498" i="1"/>
  <c r="F498" i="1" s="1"/>
  <c r="E12" i="1"/>
  <c r="F12" i="1" s="1"/>
  <c r="E219" i="1"/>
  <c r="F219" i="1" s="1"/>
  <c r="E432" i="1"/>
  <c r="F432" i="1" s="1"/>
  <c r="E181" i="1"/>
  <c r="F181" i="1" s="1"/>
  <c r="E560" i="1"/>
  <c r="F560" i="1" s="1"/>
  <c r="E408" i="1"/>
  <c r="F408" i="1" s="1"/>
  <c r="E518" i="1"/>
  <c r="F518" i="1" s="1"/>
  <c r="E473" i="1"/>
  <c r="F473" i="1" s="1"/>
  <c r="E265" i="1"/>
  <c r="F265" i="1" s="1"/>
  <c r="E441" i="1"/>
  <c r="F441" i="1" s="1"/>
  <c r="E46" i="1"/>
  <c r="F46" i="1" s="1"/>
  <c r="E329" i="1"/>
  <c r="F329" i="1" s="1"/>
  <c r="E489" i="1"/>
  <c r="F489" i="1" s="1"/>
  <c r="E303" i="1"/>
  <c r="F303" i="1" s="1"/>
  <c r="E315" i="1"/>
  <c r="F315" i="1" s="1"/>
  <c r="E239" i="1"/>
  <c r="F239" i="1" s="1"/>
  <c r="E183" i="1"/>
  <c r="F183" i="1" s="1"/>
  <c r="E562" i="1"/>
  <c r="F562" i="1" s="1"/>
  <c r="E429" i="1"/>
  <c r="F429" i="1" s="1"/>
  <c r="E255" i="1"/>
  <c r="F255" i="1" s="1"/>
  <c r="E55" i="1"/>
  <c r="F55" i="1" s="1"/>
  <c r="E526" i="1"/>
  <c r="F526" i="1" s="1"/>
  <c r="E507" i="1"/>
  <c r="F507" i="1" s="1"/>
  <c r="E403" i="1"/>
  <c r="F403" i="1" s="1"/>
  <c r="E234" i="1"/>
  <c r="F234" i="1" s="1"/>
  <c r="E481" i="1"/>
  <c r="F481" i="1" s="1"/>
  <c r="E363" i="1"/>
  <c r="F363" i="1" s="1"/>
  <c r="E16" i="1"/>
  <c r="F16" i="1" s="1"/>
  <c r="E561" i="1"/>
  <c r="F561" i="1" s="1"/>
  <c r="E503" i="1"/>
  <c r="F503" i="1" s="1"/>
  <c r="E443" i="1"/>
  <c r="F443" i="1" s="1"/>
  <c r="E85" i="1"/>
  <c r="F85" i="1" s="1"/>
  <c r="E565" i="1"/>
  <c r="F565" i="1" s="1"/>
  <c r="E143" i="1"/>
  <c r="F143" i="1" s="1"/>
  <c r="E211" i="1"/>
  <c r="F211" i="1" s="1"/>
  <c r="E362" i="1"/>
  <c r="F362" i="1" s="1"/>
  <c r="E461" i="1"/>
  <c r="F461" i="1" s="1"/>
  <c r="E30" i="1"/>
  <c r="F30" i="1" s="1"/>
  <c r="E446" i="1"/>
  <c r="F446" i="1" s="1"/>
  <c r="G25" i="6"/>
  <c r="F25" i="6"/>
  <c r="E41" i="3"/>
  <c r="F41" i="3" s="1"/>
  <c r="E216" i="3"/>
  <c r="F216" i="3" s="1"/>
  <c r="E283" i="3"/>
  <c r="F283" i="3" s="1"/>
  <c r="E71" i="3"/>
  <c r="F71" i="3" s="1"/>
  <c r="E482" i="3"/>
  <c r="F482" i="3" s="1"/>
  <c r="E235" i="3"/>
  <c r="F235" i="3" s="1"/>
  <c r="E200" i="3"/>
  <c r="F200" i="3" s="1"/>
  <c r="E16" i="3"/>
  <c r="F16" i="3" s="1"/>
  <c r="E286" i="3"/>
  <c r="F286" i="3" s="1"/>
  <c r="E60" i="3"/>
  <c r="F60" i="3" s="1"/>
  <c r="E345" i="3"/>
  <c r="F345" i="3" s="1"/>
  <c r="E180" i="3"/>
  <c r="F180" i="3" s="1"/>
  <c r="E192" i="3"/>
  <c r="F192" i="3" s="1"/>
  <c r="E114" i="3"/>
  <c r="F114" i="3" s="1"/>
  <c r="E190" i="3"/>
  <c r="F190" i="3" s="1"/>
  <c r="E444" i="3"/>
  <c r="F444" i="3" s="1"/>
  <c r="E170" i="3"/>
  <c r="F170" i="3" s="1"/>
  <c r="E49" i="3"/>
  <c r="F49" i="3" s="1"/>
  <c r="E214" i="3"/>
  <c r="F214" i="3" s="1"/>
  <c r="E206" i="3"/>
  <c r="F206" i="3" s="1"/>
  <c r="E86" i="3"/>
  <c r="F86" i="3" s="1"/>
  <c r="E181" i="3"/>
  <c r="F181" i="3" s="1"/>
  <c r="E147" i="3"/>
  <c r="F147" i="3" s="1"/>
  <c r="E15" i="2"/>
  <c r="F15" i="2" s="1"/>
  <c r="E442" i="2"/>
  <c r="F442" i="2" s="1"/>
  <c r="E167" i="2"/>
  <c r="F167" i="2" s="1"/>
  <c r="E127" i="2"/>
  <c r="F127" i="2" s="1"/>
  <c r="E301" i="2"/>
  <c r="F301" i="2" s="1"/>
  <c r="E151" i="2"/>
  <c r="F151" i="2" s="1"/>
  <c r="E220" i="2"/>
  <c r="F220" i="2" s="1"/>
  <c r="E164" i="2"/>
  <c r="F164" i="2" s="1"/>
  <c r="E43" i="2"/>
  <c r="F43" i="2" s="1"/>
  <c r="E299" i="2"/>
  <c r="F299" i="2" s="1"/>
  <c r="E66" i="2"/>
  <c r="F66" i="2" s="1"/>
  <c r="E362" i="2"/>
  <c r="F362" i="2" s="1"/>
  <c r="E135" i="2"/>
  <c r="F135" i="2" s="1"/>
  <c r="E505" i="2"/>
  <c r="F505" i="2" s="1"/>
  <c r="E622" i="2"/>
  <c r="F622" i="2" s="1"/>
  <c r="E623" i="2"/>
  <c r="F623" i="2" s="1"/>
  <c r="E585" i="2"/>
  <c r="F585" i="2" s="1"/>
  <c r="E594" i="2"/>
  <c r="F594" i="2" s="1"/>
  <c r="E611" i="2"/>
  <c r="F611" i="2" s="1"/>
  <c r="E39" i="2"/>
  <c r="F39" i="2" s="1"/>
  <c r="E215" i="2"/>
  <c r="F215" i="2" s="1"/>
  <c r="E2" i="2"/>
  <c r="F2" i="2" s="1"/>
  <c r="E603" i="2"/>
  <c r="F603" i="2" s="1"/>
  <c r="E460" i="2"/>
  <c r="F460" i="2" s="1"/>
  <c r="E185" i="2"/>
  <c r="F185" i="2" s="1"/>
  <c r="E57" i="2"/>
  <c r="F57" i="2" s="1"/>
  <c r="E114" i="2"/>
  <c r="F114" i="2" s="1"/>
  <c r="E86" i="2"/>
  <c r="F86" i="2" s="1"/>
  <c r="E216" i="2"/>
  <c r="F216" i="2" s="1"/>
  <c r="E354" i="2"/>
  <c r="F354" i="2" s="1"/>
  <c r="E116" i="2"/>
  <c r="F116" i="2" s="1"/>
  <c r="E521" i="2"/>
  <c r="F521" i="2" s="1"/>
  <c r="E126" i="2"/>
  <c r="F126" i="2" s="1"/>
  <c r="E235" i="2"/>
  <c r="F235" i="2" s="1"/>
  <c r="E26" i="2"/>
  <c r="F26" i="2" s="1"/>
  <c r="E23" i="2"/>
  <c r="F23" i="2" s="1"/>
  <c r="E31" i="2"/>
  <c r="F31" i="2" s="1"/>
  <c r="E228" i="2"/>
  <c r="F228" i="2" s="1"/>
  <c r="E584" i="2"/>
  <c r="F584" i="2" s="1"/>
  <c r="E619" i="2"/>
  <c r="F619" i="2" s="1"/>
  <c r="E589" i="2"/>
  <c r="F589" i="2" s="1"/>
  <c r="E597" i="2"/>
  <c r="F597" i="2" s="1"/>
  <c r="E610" i="2"/>
  <c r="F610" i="2" s="1"/>
  <c r="E179" i="2"/>
  <c r="F179" i="2" s="1"/>
  <c r="E441" i="2"/>
  <c r="F441" i="2" s="1"/>
  <c r="E614" i="2"/>
  <c r="F614" i="2" s="1"/>
  <c r="E88" i="2"/>
  <c r="F88" i="2" s="1"/>
  <c r="E296" i="2"/>
  <c r="F296" i="2" s="1"/>
  <c r="E124" i="2"/>
  <c r="F124" i="2" s="1"/>
  <c r="E41" i="2"/>
  <c r="F41" i="2" s="1"/>
  <c r="E566" i="2"/>
  <c r="F566" i="2" s="1"/>
  <c r="E60" i="2"/>
  <c r="F60" i="2" s="1"/>
  <c r="E152" i="2"/>
  <c r="F152" i="2" s="1"/>
  <c r="E120" i="2"/>
  <c r="F120" i="2" s="1"/>
  <c r="E80" i="2"/>
  <c r="F80" i="2" s="1"/>
  <c r="E103" i="2"/>
  <c r="F103" i="2" s="1"/>
  <c r="E35" i="2"/>
  <c r="F35" i="2" s="1"/>
  <c r="E506" i="2"/>
  <c r="F506" i="2" s="1"/>
  <c r="E58" i="2"/>
  <c r="F58" i="2" s="1"/>
  <c r="E47" i="2"/>
  <c r="F47" i="2" s="1"/>
  <c r="E203" i="2"/>
  <c r="F203" i="2" s="1"/>
  <c r="E75" i="2"/>
  <c r="F75" i="2" s="1"/>
  <c r="E582" i="2"/>
  <c r="F582" i="2" s="1"/>
  <c r="E583" i="2"/>
  <c r="F583" i="2" s="1"/>
  <c r="E592" i="2"/>
  <c r="F592" i="2" s="1"/>
  <c r="E593" i="2"/>
  <c r="F593" i="2" s="1"/>
  <c r="E602" i="2"/>
  <c r="F602" i="2" s="1"/>
  <c r="E588" i="2"/>
  <c r="F588" i="2" s="1"/>
  <c r="E600" i="2"/>
  <c r="F600" i="2" s="1"/>
  <c r="E605" i="2"/>
  <c r="F605" i="2" s="1"/>
  <c r="E501" i="2"/>
  <c r="F501" i="2" s="1"/>
  <c r="E34" i="2"/>
  <c r="F34" i="2" s="1"/>
  <c r="E624" i="2"/>
  <c r="F624" i="2" s="1"/>
  <c r="E507" i="2"/>
  <c r="F507" i="2" s="1"/>
  <c r="E25" i="2"/>
  <c r="F25" i="2" s="1"/>
  <c r="E470" i="2"/>
  <c r="F470" i="2" s="1"/>
  <c r="E44" i="2"/>
  <c r="F44" i="2" s="1"/>
  <c r="E99" i="2"/>
  <c r="F99" i="2" s="1"/>
  <c r="E54" i="2"/>
  <c r="F54" i="2" s="1"/>
  <c r="E418" i="2"/>
  <c r="F418" i="2" s="1"/>
  <c r="E139" i="2"/>
  <c r="F139" i="2" s="1"/>
  <c r="E18" i="2"/>
  <c r="F18" i="2" s="1"/>
  <c r="E98" i="2"/>
  <c r="F98" i="2" s="1"/>
  <c r="E590" i="2"/>
  <c r="F590" i="2" s="1"/>
  <c r="E591" i="2"/>
  <c r="F591" i="2" s="1"/>
  <c r="E601" i="2"/>
  <c r="F601" i="2" s="1"/>
  <c r="E487" i="2"/>
  <c r="F487" i="2" s="1"/>
  <c r="E570" i="2"/>
  <c r="F570" i="2" s="1"/>
  <c r="E9" i="2"/>
  <c r="F9" i="2" s="1"/>
  <c r="E403" i="2"/>
  <c r="F403" i="2" s="1"/>
  <c r="E28" i="2"/>
  <c r="F28" i="2" s="1"/>
  <c r="E490" i="2"/>
  <c r="F490" i="2" s="1"/>
  <c r="E522" i="2"/>
  <c r="F522" i="2" s="1"/>
  <c r="E67" i="2"/>
  <c r="F67" i="2" s="1"/>
  <c r="E19" i="2"/>
  <c r="F19" i="2" s="1"/>
  <c r="E453" i="2"/>
  <c r="F453" i="2" s="1"/>
  <c r="E50" i="2"/>
  <c r="F50" i="2" s="1"/>
  <c r="E71" i="2"/>
  <c r="F71" i="2" s="1"/>
  <c r="E289" i="2"/>
  <c r="F289" i="2" s="1"/>
  <c r="E111" i="2"/>
  <c r="F111" i="2" s="1"/>
  <c r="E599" i="2"/>
  <c r="F599" i="2" s="1"/>
  <c r="E608" i="2"/>
  <c r="F608" i="2" s="1"/>
  <c r="E609" i="2"/>
  <c r="F609" i="2" s="1"/>
  <c r="E618" i="2"/>
  <c r="F618" i="2" s="1"/>
  <c r="E596" i="2"/>
  <c r="F596" i="2" s="1"/>
  <c r="E231" i="2"/>
  <c r="F231" i="2" s="1"/>
  <c r="E163" i="2"/>
  <c r="F163" i="2" s="1"/>
  <c r="E7" i="2"/>
  <c r="F7" i="2" s="1"/>
  <c r="E586" i="2"/>
  <c r="F586" i="2" s="1"/>
  <c r="E366" i="2"/>
  <c r="F366" i="2" s="1"/>
  <c r="E377" i="2"/>
  <c r="F377" i="2" s="1"/>
  <c r="E458" i="2"/>
  <c r="F458" i="2" s="1"/>
  <c r="E330" i="2"/>
  <c r="F330" i="2" s="1"/>
  <c r="E12" i="2"/>
  <c r="F12" i="2" s="1"/>
  <c r="E381" i="2"/>
  <c r="F381" i="2" s="1"/>
  <c r="E22" i="2"/>
  <c r="F22" i="2" s="1"/>
  <c r="E188" i="2"/>
  <c r="F188" i="2" s="1"/>
  <c r="E112" i="2"/>
  <c r="F112" i="2" s="1"/>
  <c r="E10" i="2"/>
  <c r="F10" i="2" s="1"/>
  <c r="E134" i="2"/>
  <c r="F134" i="2" s="1"/>
  <c r="E363" i="2"/>
  <c r="F363" i="2" s="1"/>
  <c r="E598" i="2"/>
  <c r="F598" i="2" s="1"/>
  <c r="E617" i="2"/>
  <c r="F617" i="2" s="1"/>
  <c r="E587" i="2"/>
  <c r="F587" i="2" s="1"/>
  <c r="E604" i="2"/>
  <c r="F604" i="2" s="1"/>
  <c r="E613" i="2"/>
  <c r="F613" i="2" s="1"/>
  <c r="E621" i="2"/>
  <c r="F621" i="2" s="1"/>
  <c r="E374" i="2"/>
  <c r="F374" i="2" s="1"/>
  <c r="E3" i="2"/>
  <c r="F3" i="2" s="1"/>
  <c r="E615" i="2"/>
  <c r="F615" i="2" s="1"/>
  <c r="E242" i="2"/>
  <c r="F242" i="2" s="1"/>
  <c r="E212" i="2"/>
  <c r="F212" i="2" s="1"/>
  <c r="E303" i="2"/>
  <c r="F303" i="2" s="1"/>
  <c r="E243" i="2"/>
  <c r="F243" i="2" s="1"/>
  <c r="E561" i="2"/>
  <c r="F561" i="2" s="1"/>
  <c r="E271" i="2"/>
  <c r="F271" i="2" s="1"/>
  <c r="E345" i="2"/>
  <c r="F345" i="2" s="1"/>
  <c r="E51" i="2"/>
  <c r="F51" i="2" s="1"/>
  <c r="E11" i="2"/>
  <c r="F11" i="2" s="1"/>
  <c r="E409" i="2"/>
  <c r="F409" i="2" s="1"/>
  <c r="E42" i="2"/>
  <c r="F42" i="2" s="1"/>
  <c r="E63" i="2"/>
  <c r="F63" i="2" s="1"/>
  <c r="E255" i="2"/>
  <c r="F255" i="2" s="1"/>
  <c r="E371" i="2"/>
  <c r="F371" i="2" s="1"/>
  <c r="E290" i="2"/>
  <c r="F290" i="2" s="1"/>
  <c r="E606" i="2"/>
  <c r="F606" i="2" s="1"/>
  <c r="E607" i="2"/>
  <c r="F607" i="2" s="1"/>
  <c r="E616" i="2"/>
  <c r="F616" i="2" s="1"/>
  <c r="E595" i="2"/>
  <c r="F595" i="2" s="1"/>
  <c r="E612" i="2"/>
  <c r="F612" i="2" s="1"/>
  <c r="E87" i="2"/>
  <c r="F87" i="2" s="1"/>
  <c r="E477" i="2"/>
  <c r="F477" i="2" s="1"/>
  <c r="E102" i="2"/>
  <c r="F102" i="2" s="1"/>
  <c r="E620" i="2"/>
  <c r="F620" i="2" s="1"/>
  <c r="E256" i="1"/>
  <c r="F256" i="1" s="1"/>
  <c r="E321" i="1"/>
  <c r="F321" i="1" s="1"/>
  <c r="E435" i="1"/>
  <c r="F435" i="1" s="1"/>
  <c r="E209" i="1"/>
  <c r="F209" i="1" s="1"/>
  <c r="E557" i="1"/>
  <c r="F557" i="1" s="1"/>
  <c r="E385" i="1"/>
  <c r="F385" i="1" s="1"/>
  <c r="E56" i="1"/>
  <c r="F56" i="1" s="1"/>
  <c r="E339" i="1"/>
  <c r="F339" i="1" s="1"/>
  <c r="E64" i="1"/>
  <c r="F64" i="1" s="1"/>
  <c r="E3" i="1"/>
  <c r="F3" i="1" s="1"/>
  <c r="E130" i="1"/>
  <c r="F130" i="1" s="1"/>
  <c r="E588" i="1"/>
  <c r="F588" i="1" s="1"/>
  <c r="E377" i="1"/>
  <c r="F377" i="1" s="1"/>
  <c r="E89" i="1"/>
  <c r="F89" i="1" s="1"/>
  <c r="E424" i="1"/>
  <c r="F424" i="1" s="1"/>
  <c r="E421" i="1"/>
  <c r="F421" i="1" s="1"/>
  <c r="E33" i="1"/>
  <c r="F33" i="1" s="1"/>
  <c r="E539" i="1"/>
  <c r="F539" i="1" s="1"/>
  <c r="E514" i="1"/>
  <c r="F514" i="1" s="1"/>
  <c r="E271" i="1"/>
  <c r="F271" i="1" s="1"/>
  <c r="E199" i="1"/>
  <c r="F199" i="1" s="1"/>
  <c r="E58" i="1"/>
  <c r="F58" i="1" s="1"/>
  <c r="E178" i="1"/>
  <c r="F178" i="1" s="1"/>
  <c r="E44" i="1"/>
  <c r="F44" i="1" s="1"/>
  <c r="E433" i="1"/>
  <c r="F433" i="1" s="1"/>
  <c r="E153" i="1"/>
  <c r="F153" i="1" s="1"/>
  <c r="E160" i="1"/>
  <c r="F160" i="1" s="1"/>
  <c r="E317" i="1"/>
  <c r="F317" i="1" s="1"/>
  <c r="E205" i="1"/>
  <c r="F205" i="1" s="1"/>
  <c r="E289" i="1"/>
  <c r="F289" i="1" s="1"/>
  <c r="E275" i="1"/>
  <c r="F275" i="1" s="1"/>
  <c r="E564" i="1"/>
  <c r="F564" i="1" s="1"/>
  <c r="E579" i="1"/>
  <c r="F579" i="1" s="1"/>
  <c r="E34" i="1"/>
  <c r="F34" i="1" s="1"/>
  <c r="E367" i="1"/>
  <c r="F367" i="1" s="1"/>
  <c r="E197" i="1"/>
  <c r="F197" i="1" s="1"/>
  <c r="E559" i="1"/>
  <c r="F559" i="1" s="1"/>
  <c r="E173" i="1"/>
  <c r="F173" i="1" s="1"/>
  <c r="E496" i="1"/>
  <c r="F496" i="1" s="1"/>
  <c r="E501" i="1"/>
  <c r="F501" i="1" s="1"/>
  <c r="E201" i="1"/>
  <c r="F201" i="1" s="1"/>
  <c r="E298" i="1"/>
  <c r="F298" i="1" s="1"/>
  <c r="E81" i="1"/>
  <c r="F81" i="1" s="1"/>
  <c r="E426" i="1"/>
  <c r="F426" i="1" s="1"/>
  <c r="E273" i="1"/>
  <c r="F273" i="1" s="1"/>
  <c r="E75" i="1"/>
  <c r="F75" i="1" s="1"/>
  <c r="E558" i="1"/>
  <c r="F558" i="1" s="1"/>
  <c r="E241" i="1"/>
  <c r="F241" i="1" s="1"/>
  <c r="E391" i="1"/>
  <c r="F391" i="1" s="1"/>
  <c r="E113" i="1"/>
  <c r="F113" i="1" s="1"/>
  <c r="E345" i="1"/>
  <c r="F345" i="1" s="1"/>
  <c r="E497" i="1"/>
  <c r="F497" i="1" s="1"/>
  <c r="E106" i="1"/>
  <c r="F106" i="1" s="1"/>
  <c r="E194" i="1"/>
  <c r="F194" i="1" s="1"/>
  <c r="E274" i="1"/>
  <c r="F274" i="1" s="1"/>
  <c r="E370" i="1"/>
  <c r="F370" i="1" s="1"/>
  <c r="E66" i="1"/>
  <c r="F66" i="1" s="1"/>
  <c r="E148" i="1"/>
  <c r="F148" i="1" s="1"/>
  <c r="E220" i="1"/>
  <c r="F220" i="1" s="1"/>
  <c r="E292" i="1"/>
  <c r="F292" i="1" s="1"/>
  <c r="E356" i="1"/>
  <c r="F356" i="1" s="1"/>
  <c r="E420" i="1"/>
  <c r="F420" i="1" s="1"/>
  <c r="E484" i="1"/>
  <c r="F484" i="1" s="1"/>
  <c r="E86" i="1"/>
  <c r="F86" i="1" s="1"/>
  <c r="E150" i="1"/>
  <c r="F150" i="1" s="1"/>
  <c r="E214" i="1"/>
  <c r="F214" i="1" s="1"/>
  <c r="E278" i="1"/>
  <c r="F278" i="1" s="1"/>
  <c r="E334" i="1"/>
  <c r="F334" i="1" s="1"/>
  <c r="E486" i="1"/>
  <c r="F486" i="1" s="1"/>
  <c r="E516" i="1"/>
  <c r="F516" i="1" s="1"/>
  <c r="E480" i="1"/>
  <c r="F480" i="1" s="1"/>
  <c r="E406" i="1"/>
  <c r="F406" i="1" s="1"/>
  <c r="E296" i="1"/>
  <c r="F296" i="1" s="1"/>
  <c r="E184" i="1"/>
  <c r="F184" i="1" s="1"/>
  <c r="E15" i="1"/>
  <c r="F15" i="1" s="1"/>
  <c r="E72" i="1"/>
  <c r="F72" i="1" s="1"/>
  <c r="E98" i="1"/>
  <c r="F98" i="1" s="1"/>
  <c r="E266" i="1"/>
  <c r="F266" i="1" s="1"/>
  <c r="E47" i="1"/>
  <c r="F47" i="1" s="1"/>
  <c r="E212" i="1"/>
  <c r="F212" i="1" s="1"/>
  <c r="E348" i="1"/>
  <c r="F348" i="1" s="1"/>
  <c r="E73" i="1"/>
  <c r="F73" i="1" s="1"/>
  <c r="E206" i="1"/>
  <c r="F206" i="1" s="1"/>
  <c r="E96" i="1"/>
  <c r="F96" i="1" s="1"/>
  <c r="E416" i="1"/>
  <c r="F416" i="1" s="1"/>
  <c r="E139" i="1"/>
  <c r="F139" i="1" s="1"/>
  <c r="E129" i="1"/>
  <c r="F129" i="1" s="1"/>
  <c r="E353" i="1"/>
  <c r="F353" i="1" s="1"/>
  <c r="E505" i="1"/>
  <c r="F505" i="1" s="1"/>
  <c r="E122" i="1"/>
  <c r="F122" i="1" s="1"/>
  <c r="E202" i="1"/>
  <c r="F202" i="1" s="1"/>
  <c r="E290" i="1"/>
  <c r="F290" i="1" s="1"/>
  <c r="E378" i="1"/>
  <c r="F378" i="1" s="1"/>
  <c r="E84" i="1"/>
  <c r="F84" i="1" s="1"/>
  <c r="E156" i="1"/>
  <c r="F156" i="1" s="1"/>
  <c r="E236" i="1"/>
  <c r="F236" i="1" s="1"/>
  <c r="E300" i="1"/>
  <c r="F300" i="1" s="1"/>
  <c r="E364" i="1"/>
  <c r="F364" i="1" s="1"/>
  <c r="E428" i="1"/>
  <c r="F428" i="1" s="1"/>
  <c r="E492" i="1"/>
  <c r="F492" i="1" s="1"/>
  <c r="E94" i="1"/>
  <c r="F94" i="1" s="1"/>
  <c r="E158" i="1"/>
  <c r="F158" i="1" s="1"/>
  <c r="E222" i="1"/>
  <c r="F222" i="1" s="1"/>
  <c r="E342" i="1"/>
  <c r="F342" i="1" s="1"/>
  <c r="E454" i="1"/>
  <c r="F454" i="1" s="1"/>
  <c r="E463" i="1"/>
  <c r="F463" i="1" s="1"/>
  <c r="E470" i="1"/>
  <c r="F470" i="1" s="1"/>
  <c r="E392" i="1"/>
  <c r="F392" i="1" s="1"/>
  <c r="E280" i="1"/>
  <c r="F280" i="1" s="1"/>
  <c r="E168" i="1"/>
  <c r="F168" i="1" s="1"/>
  <c r="E587" i="1"/>
  <c r="F587" i="1" s="1"/>
  <c r="E177" i="1"/>
  <c r="F177" i="1" s="1"/>
  <c r="E393" i="1"/>
  <c r="F393" i="1" s="1"/>
  <c r="E547" i="1"/>
  <c r="F547" i="1" s="1"/>
  <c r="E138" i="1"/>
  <c r="F138" i="1" s="1"/>
  <c r="E210" i="1"/>
  <c r="F210" i="1" s="1"/>
  <c r="E306" i="1"/>
  <c r="F306" i="1" s="1"/>
  <c r="E386" i="1"/>
  <c r="F386" i="1" s="1"/>
  <c r="E92" i="1"/>
  <c r="F92" i="1" s="1"/>
  <c r="E172" i="1"/>
  <c r="F172" i="1" s="1"/>
  <c r="E244" i="1"/>
  <c r="F244" i="1" s="1"/>
  <c r="E308" i="1"/>
  <c r="F308" i="1" s="1"/>
  <c r="E372" i="1"/>
  <c r="F372" i="1" s="1"/>
  <c r="E436" i="1"/>
  <c r="F436" i="1" s="1"/>
  <c r="E500" i="1"/>
  <c r="F500" i="1" s="1"/>
  <c r="E102" i="1"/>
  <c r="F102" i="1" s="1"/>
  <c r="E166" i="1"/>
  <c r="F166" i="1" s="1"/>
  <c r="E230" i="1"/>
  <c r="F230" i="1" s="1"/>
  <c r="E286" i="1"/>
  <c r="F286" i="1" s="1"/>
  <c r="E350" i="1"/>
  <c r="F350" i="1" s="1"/>
  <c r="E411" i="1"/>
  <c r="F411" i="1" s="1"/>
  <c r="E523" i="1"/>
  <c r="F523" i="1" s="1"/>
  <c r="E459" i="1"/>
  <c r="F459" i="1" s="1"/>
  <c r="E376" i="1"/>
  <c r="F376" i="1" s="1"/>
  <c r="E264" i="1"/>
  <c r="F264" i="1" s="1"/>
  <c r="E152" i="1"/>
  <c r="F152" i="1" s="1"/>
  <c r="E297" i="1"/>
  <c r="F297" i="1" s="1"/>
  <c r="E170" i="1"/>
  <c r="F170" i="1" s="1"/>
  <c r="E338" i="1"/>
  <c r="F338" i="1" s="1"/>
  <c r="E132" i="1"/>
  <c r="F132" i="1" s="1"/>
  <c r="E204" i="1"/>
  <c r="F204" i="1" s="1"/>
  <c r="E340" i="1"/>
  <c r="F340" i="1" s="1"/>
  <c r="E468" i="1"/>
  <c r="F468" i="1" s="1"/>
  <c r="E134" i="1"/>
  <c r="F134" i="1" s="1"/>
  <c r="E262" i="1"/>
  <c r="F262" i="1" s="1"/>
  <c r="E382" i="1"/>
  <c r="F382" i="1" s="1"/>
  <c r="E502" i="1"/>
  <c r="F502" i="1" s="1"/>
  <c r="E216" i="1"/>
  <c r="F216" i="1" s="1"/>
  <c r="E39" i="1"/>
  <c r="F39" i="1" s="1"/>
  <c r="E270" i="1"/>
  <c r="F270" i="1" s="1"/>
  <c r="E312" i="1"/>
  <c r="F312" i="1" s="1"/>
  <c r="E5" i="1"/>
  <c r="F5" i="1" s="1"/>
  <c r="E193" i="1"/>
  <c r="F193" i="1" s="1"/>
  <c r="E401" i="1"/>
  <c r="F401" i="1" s="1"/>
  <c r="E18" i="1"/>
  <c r="F18" i="1" s="1"/>
  <c r="E146" i="1"/>
  <c r="F146" i="1" s="1"/>
  <c r="E218" i="1"/>
  <c r="F218" i="1" s="1"/>
  <c r="E314" i="1"/>
  <c r="F314" i="1" s="1"/>
  <c r="E394" i="1"/>
  <c r="F394" i="1" s="1"/>
  <c r="E100" i="1"/>
  <c r="F100" i="1" s="1"/>
  <c r="E180" i="1"/>
  <c r="F180" i="1" s="1"/>
  <c r="E252" i="1"/>
  <c r="F252" i="1" s="1"/>
  <c r="E316" i="1"/>
  <c r="F316" i="1" s="1"/>
  <c r="E380" i="1"/>
  <c r="F380" i="1" s="1"/>
  <c r="E444" i="1"/>
  <c r="F444" i="1" s="1"/>
  <c r="E508" i="1"/>
  <c r="F508" i="1" s="1"/>
  <c r="E110" i="1"/>
  <c r="F110" i="1" s="1"/>
  <c r="E174" i="1"/>
  <c r="F174" i="1" s="1"/>
  <c r="E238" i="1"/>
  <c r="F238" i="1" s="1"/>
  <c r="E294" i="1"/>
  <c r="F294" i="1" s="1"/>
  <c r="E358" i="1"/>
  <c r="F358" i="1" s="1"/>
  <c r="E352" i="1"/>
  <c r="F352" i="1" s="1"/>
  <c r="E521" i="1"/>
  <c r="F521" i="1" s="1"/>
  <c r="E448" i="1"/>
  <c r="F448" i="1" s="1"/>
  <c r="E360" i="1"/>
  <c r="F360" i="1" s="1"/>
  <c r="E248" i="1"/>
  <c r="F248" i="1" s="1"/>
  <c r="E136" i="1"/>
  <c r="F136" i="1" s="1"/>
  <c r="E457" i="1"/>
  <c r="F457" i="1" s="1"/>
  <c r="E313" i="1"/>
  <c r="F313" i="1" s="1"/>
  <c r="E38" i="1"/>
  <c r="F38" i="1" s="1"/>
  <c r="E249" i="1"/>
  <c r="F249" i="1" s="1"/>
  <c r="E409" i="1"/>
  <c r="F409" i="1" s="1"/>
  <c r="E63" i="1"/>
  <c r="F63" i="1" s="1"/>
  <c r="E154" i="1"/>
  <c r="F154" i="1" s="1"/>
  <c r="E242" i="1"/>
  <c r="F242" i="1" s="1"/>
  <c r="E322" i="1"/>
  <c r="F322" i="1" s="1"/>
  <c r="E402" i="1"/>
  <c r="F402" i="1" s="1"/>
  <c r="E116" i="1"/>
  <c r="F116" i="1" s="1"/>
  <c r="E188" i="1"/>
  <c r="F188" i="1" s="1"/>
  <c r="E260" i="1"/>
  <c r="F260" i="1" s="1"/>
  <c r="E324" i="1"/>
  <c r="F324" i="1" s="1"/>
  <c r="E388" i="1"/>
  <c r="F388" i="1" s="1"/>
  <c r="E452" i="1"/>
  <c r="F452" i="1" s="1"/>
  <c r="E9" i="1"/>
  <c r="F9" i="1" s="1"/>
  <c r="E118" i="1"/>
  <c r="F118" i="1" s="1"/>
  <c r="E182" i="1"/>
  <c r="F182" i="1" s="1"/>
  <c r="E246" i="1"/>
  <c r="F246" i="1" s="1"/>
  <c r="E302" i="1"/>
  <c r="F302" i="1" s="1"/>
  <c r="E366" i="1"/>
  <c r="F366" i="1" s="1"/>
  <c r="E288" i="1"/>
  <c r="F288" i="1" s="1"/>
  <c r="E120" i="1"/>
  <c r="F120" i="1" s="1"/>
  <c r="E88" i="1"/>
  <c r="F88" i="1" s="1"/>
  <c r="E186" i="1"/>
  <c r="F186" i="1" s="1"/>
  <c r="E354" i="1"/>
  <c r="F354" i="1" s="1"/>
  <c r="E140" i="1"/>
  <c r="F140" i="1" s="1"/>
  <c r="E284" i="1"/>
  <c r="F284" i="1" s="1"/>
  <c r="E412" i="1"/>
  <c r="F412" i="1" s="1"/>
  <c r="E142" i="1"/>
  <c r="F142" i="1" s="1"/>
  <c r="E326" i="1"/>
  <c r="F326" i="1" s="1"/>
  <c r="E491" i="1"/>
  <c r="F491" i="1" s="1"/>
  <c r="E57" i="1"/>
  <c r="F57" i="1" s="1"/>
  <c r="E540" i="1"/>
  <c r="F540" i="1" s="1"/>
  <c r="E281" i="1"/>
  <c r="F281" i="1" s="1"/>
  <c r="E449" i="1"/>
  <c r="F449" i="1" s="1"/>
  <c r="E82" i="1"/>
  <c r="F82" i="1" s="1"/>
  <c r="E162" i="1"/>
  <c r="F162" i="1" s="1"/>
  <c r="E250" i="1"/>
  <c r="F250" i="1" s="1"/>
  <c r="E330" i="1"/>
  <c r="F330" i="1" s="1"/>
  <c r="E571" i="1"/>
  <c r="F571" i="1" s="1"/>
  <c r="E124" i="1"/>
  <c r="F124" i="1" s="1"/>
  <c r="E196" i="1"/>
  <c r="F196" i="1" s="1"/>
  <c r="E268" i="1"/>
  <c r="F268" i="1" s="1"/>
  <c r="E332" i="1"/>
  <c r="F332" i="1" s="1"/>
  <c r="E396" i="1"/>
  <c r="F396" i="1" s="1"/>
  <c r="E460" i="1"/>
  <c r="F460" i="1" s="1"/>
  <c r="E31" i="1"/>
  <c r="F31" i="1" s="1"/>
  <c r="E126" i="1"/>
  <c r="F126" i="1" s="1"/>
  <c r="E190" i="1"/>
  <c r="F190" i="1" s="1"/>
  <c r="E254" i="1"/>
  <c r="F254" i="1" s="1"/>
  <c r="E310" i="1"/>
  <c r="F310" i="1" s="1"/>
  <c r="E374" i="1"/>
  <c r="F374" i="1" s="1"/>
  <c r="E208" i="1"/>
  <c r="F208" i="1" s="1"/>
  <c r="E512" i="1"/>
  <c r="F512" i="1" s="1"/>
  <c r="E438" i="1"/>
  <c r="F438" i="1" s="1"/>
  <c r="E344" i="1"/>
  <c r="F344" i="1" s="1"/>
  <c r="E232" i="1"/>
  <c r="F232" i="1" s="1"/>
  <c r="E104" i="1"/>
  <c r="F104" i="1" s="1"/>
  <c r="E90" i="1"/>
  <c r="F90" i="1" s="1"/>
  <c r="E258" i="1"/>
  <c r="F258" i="1" s="1"/>
  <c r="E25" i="1"/>
  <c r="F25" i="1" s="1"/>
  <c r="E276" i="1"/>
  <c r="F276" i="1" s="1"/>
  <c r="E404" i="1"/>
  <c r="F404" i="1" s="1"/>
  <c r="E50" i="1"/>
  <c r="F50" i="1" s="1"/>
  <c r="E198" i="1"/>
  <c r="F198" i="1" s="1"/>
  <c r="E318" i="1"/>
  <c r="F318" i="1" s="1"/>
  <c r="E144" i="1"/>
  <c r="F144" i="1" s="1"/>
  <c r="E427" i="1"/>
  <c r="F427" i="1" s="1"/>
  <c r="E328" i="1"/>
  <c r="F328" i="1" s="1"/>
  <c r="E476" i="1"/>
  <c r="F476" i="1" s="1"/>
  <c r="E390" i="1"/>
  <c r="F390" i="1" s="1"/>
  <c r="E200" i="1"/>
  <c r="F200" i="1" s="1"/>
</calcChain>
</file>

<file path=xl/sharedStrings.xml><?xml version="1.0" encoding="utf-8"?>
<sst xmlns="http://schemas.openxmlformats.org/spreadsheetml/2006/main" count="68" uniqueCount="18">
  <si>
    <t>Tempo (s)</t>
  </si>
  <si>
    <t>Alongamento (mm/mm)</t>
  </si>
  <si>
    <t>Deformação(mm/mm)</t>
  </si>
  <si>
    <t>Força (N)</t>
  </si>
  <si>
    <t>Tensão (Pa)</t>
  </si>
  <si>
    <t>Tensão (MPa)</t>
  </si>
  <si>
    <t>Unidade</t>
  </si>
  <si>
    <t>Comprimento</t>
  </si>
  <si>
    <t>Largura</t>
  </si>
  <si>
    <t>Espessura</t>
  </si>
  <si>
    <t>mm</t>
  </si>
  <si>
    <t>m</t>
  </si>
  <si>
    <t>Área (m^2)</t>
  </si>
  <si>
    <t>Tempo(s)</t>
  </si>
  <si>
    <t>Deformação(mm/mm)2</t>
  </si>
  <si>
    <t>Desvio Padrão</t>
  </si>
  <si>
    <t>Média</t>
  </si>
  <si>
    <t>media força maxima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</si>
</sst>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71">
    <dxf>
      <numFmt numFmtId="2" formatCode="0.0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'A10-1'!$C$2:$C$593</c:f>
              <c:numCache>
                <c:formatCode>0.00</c:formatCode>
                <c:ptCount val="592"/>
                <c:pt idx="0">
                  <c:v>1.16508E-3</c:v>
                </c:pt>
                <c:pt idx="1">
                  <c:v>1.193E-3</c:v>
                </c:pt>
                <c:pt idx="2">
                  <c:v>2.2664E-2</c:v>
                </c:pt>
                <c:pt idx="3">
                  <c:v>2.2860000000000002E-2</c:v>
                </c:pt>
                <c:pt idx="4">
                  <c:v>2.3054000000000002E-2</c:v>
                </c:pt>
                <c:pt idx="5">
                  <c:v>2.3248000000000001E-2</c:v>
                </c:pt>
                <c:pt idx="6">
                  <c:v>2.3444E-2</c:v>
                </c:pt>
                <c:pt idx="7">
                  <c:v>2.3636000000000001E-2</c:v>
                </c:pt>
                <c:pt idx="8">
                  <c:v>2.383E-2</c:v>
                </c:pt>
                <c:pt idx="9">
                  <c:v>2.4024E-2</c:v>
                </c:pt>
                <c:pt idx="10">
                  <c:v>2.4220000000000002E-2</c:v>
                </c:pt>
                <c:pt idx="11">
                  <c:v>2.4413999999999998E-2</c:v>
                </c:pt>
                <c:pt idx="12">
                  <c:v>2.461E-2</c:v>
                </c:pt>
                <c:pt idx="13">
                  <c:v>2.4804E-2</c:v>
                </c:pt>
                <c:pt idx="14">
                  <c:v>2.4997999999999999E-2</c:v>
                </c:pt>
                <c:pt idx="15">
                  <c:v>2.5192000000000003E-2</c:v>
                </c:pt>
                <c:pt idx="16">
                  <c:v>2.5388000000000001E-2</c:v>
                </c:pt>
                <c:pt idx="17">
                  <c:v>2.5610000000000001E-2</c:v>
                </c:pt>
                <c:pt idx="18">
                  <c:v>2.5832000000000001E-2</c:v>
                </c:pt>
                <c:pt idx="19">
                  <c:v>2.6054000000000001E-2</c:v>
                </c:pt>
                <c:pt idx="20">
                  <c:v>2.6276000000000001E-2</c:v>
                </c:pt>
                <c:pt idx="21">
                  <c:v>2.6498000000000001E-2</c:v>
                </c:pt>
                <c:pt idx="22">
                  <c:v>2.6718000000000002E-2</c:v>
                </c:pt>
                <c:pt idx="23">
                  <c:v>2.6942000000000001E-2</c:v>
                </c:pt>
                <c:pt idx="24">
                  <c:v>2.7166000000000003E-2</c:v>
                </c:pt>
                <c:pt idx="25">
                  <c:v>2.7386000000000001E-2</c:v>
                </c:pt>
                <c:pt idx="26">
                  <c:v>2.7608000000000001E-2</c:v>
                </c:pt>
                <c:pt idx="27">
                  <c:v>2.7831999999999999E-2</c:v>
                </c:pt>
                <c:pt idx="28">
                  <c:v>2.8054000000000003E-2</c:v>
                </c:pt>
                <c:pt idx="29">
                  <c:v>2.8274000000000001E-2</c:v>
                </c:pt>
                <c:pt idx="30">
                  <c:v>2.8498000000000002E-2</c:v>
                </c:pt>
                <c:pt idx="31">
                  <c:v>2.8719999999999999E-2</c:v>
                </c:pt>
                <c:pt idx="32">
                  <c:v>2.8944000000000001E-2</c:v>
                </c:pt>
                <c:pt idx="33">
                  <c:v>2.9190000000000001E-2</c:v>
                </c:pt>
                <c:pt idx="34">
                  <c:v>2.9443999999999998E-2</c:v>
                </c:pt>
                <c:pt idx="35">
                  <c:v>2.9692E-2</c:v>
                </c:pt>
                <c:pt idx="36">
                  <c:v>2.9942000000000003E-2</c:v>
                </c:pt>
                <c:pt idx="37">
                  <c:v>3.0194000000000002E-2</c:v>
                </c:pt>
                <c:pt idx="38">
                  <c:v>3.0442E-2</c:v>
                </c:pt>
                <c:pt idx="39">
                  <c:v>3.0692000000000001E-2</c:v>
                </c:pt>
                <c:pt idx="40">
                  <c:v>3.0941999999999997E-2</c:v>
                </c:pt>
                <c:pt idx="41">
                  <c:v>3.1192000000000001E-2</c:v>
                </c:pt>
                <c:pt idx="42">
                  <c:v>3.1441999999999998E-2</c:v>
                </c:pt>
                <c:pt idx="43">
                  <c:v>3.1691999999999998E-2</c:v>
                </c:pt>
                <c:pt idx="44">
                  <c:v>3.1944E-2</c:v>
                </c:pt>
                <c:pt idx="45">
                  <c:v>3.2191999999999998E-2</c:v>
                </c:pt>
                <c:pt idx="46">
                  <c:v>3.2469999999999999E-2</c:v>
                </c:pt>
                <c:pt idx="47">
                  <c:v>3.2747999999999999E-2</c:v>
                </c:pt>
                <c:pt idx="48">
                  <c:v>3.3023999999999998E-2</c:v>
                </c:pt>
                <c:pt idx="49">
                  <c:v>3.3304E-2</c:v>
                </c:pt>
                <c:pt idx="50">
                  <c:v>3.3582000000000001E-2</c:v>
                </c:pt>
                <c:pt idx="51">
                  <c:v>3.3857999999999999E-2</c:v>
                </c:pt>
                <c:pt idx="52">
                  <c:v>3.4136E-2</c:v>
                </c:pt>
                <c:pt idx="53">
                  <c:v>3.4414E-2</c:v>
                </c:pt>
                <c:pt idx="54">
                  <c:v>3.4693999999999996E-2</c:v>
                </c:pt>
                <c:pt idx="55">
                  <c:v>3.4970000000000001E-2</c:v>
                </c:pt>
                <c:pt idx="56">
                  <c:v>3.5248000000000002E-2</c:v>
                </c:pt>
                <c:pt idx="57">
                  <c:v>3.5526000000000002E-2</c:v>
                </c:pt>
                <c:pt idx="58">
                  <c:v>3.5804000000000002E-2</c:v>
                </c:pt>
                <c:pt idx="59">
                  <c:v>3.6082000000000003E-2</c:v>
                </c:pt>
                <c:pt idx="60">
                  <c:v>3.6387999999999997E-2</c:v>
                </c:pt>
                <c:pt idx="61">
                  <c:v>3.6692000000000002E-2</c:v>
                </c:pt>
                <c:pt idx="62">
                  <c:v>3.6998000000000003E-2</c:v>
                </c:pt>
                <c:pt idx="63">
                  <c:v>3.7305999999999999E-2</c:v>
                </c:pt>
                <c:pt idx="64">
                  <c:v>3.7608000000000003E-2</c:v>
                </c:pt>
                <c:pt idx="65">
                  <c:v>3.7915999999999998E-2</c:v>
                </c:pt>
                <c:pt idx="66">
                  <c:v>3.8220000000000004E-2</c:v>
                </c:pt>
                <c:pt idx="67">
                  <c:v>3.8525999999999998E-2</c:v>
                </c:pt>
                <c:pt idx="68">
                  <c:v>3.8831999999999998E-2</c:v>
                </c:pt>
                <c:pt idx="69">
                  <c:v>3.9136000000000004E-2</c:v>
                </c:pt>
                <c:pt idx="70">
                  <c:v>3.9441999999999998E-2</c:v>
                </c:pt>
                <c:pt idx="71">
                  <c:v>3.9775999999999999E-2</c:v>
                </c:pt>
                <c:pt idx="72">
                  <c:v>4.011E-2</c:v>
                </c:pt>
                <c:pt idx="73">
                  <c:v>4.0444000000000008E-2</c:v>
                </c:pt>
                <c:pt idx="74">
                  <c:v>4.0773999999999998E-2</c:v>
                </c:pt>
                <c:pt idx="75">
                  <c:v>4.1110000000000001E-2</c:v>
                </c:pt>
                <c:pt idx="76">
                  <c:v>4.1413999999999999E-2</c:v>
                </c:pt>
                <c:pt idx="77">
                  <c:v>4.1748E-2</c:v>
                </c:pt>
                <c:pt idx="78">
                  <c:v>4.2081999999999994E-2</c:v>
                </c:pt>
                <c:pt idx="79">
                  <c:v>4.2358E-2</c:v>
                </c:pt>
                <c:pt idx="80">
                  <c:v>4.2694000000000003E-2</c:v>
                </c:pt>
                <c:pt idx="81">
                  <c:v>4.3026000000000002E-2</c:v>
                </c:pt>
                <c:pt idx="82">
                  <c:v>4.3358000000000001E-2</c:v>
                </c:pt>
                <c:pt idx="83">
                  <c:v>4.3720000000000002E-2</c:v>
                </c:pt>
                <c:pt idx="84">
                  <c:v>4.4054000000000003E-2</c:v>
                </c:pt>
                <c:pt idx="85">
                  <c:v>4.4413999999999995E-2</c:v>
                </c:pt>
                <c:pt idx="86">
                  <c:v>4.4691999999999996E-2</c:v>
                </c:pt>
                <c:pt idx="87">
                  <c:v>4.4943999999999998E-2</c:v>
                </c:pt>
                <c:pt idx="88">
                  <c:v>4.5275999999999997E-2</c:v>
                </c:pt>
                <c:pt idx="89">
                  <c:v>4.5609999999999998E-2</c:v>
                </c:pt>
                <c:pt idx="90">
                  <c:v>4.5914000000000003E-2</c:v>
                </c:pt>
                <c:pt idx="91">
                  <c:v>4.6135999999999996E-2</c:v>
                </c:pt>
                <c:pt idx="92">
                  <c:v>4.6441999999999997E-2</c:v>
                </c:pt>
                <c:pt idx="93">
                  <c:v>4.6748000000000005E-2</c:v>
                </c:pt>
                <c:pt idx="94">
                  <c:v>4.7110000000000006E-2</c:v>
                </c:pt>
                <c:pt idx="95">
                  <c:v>4.7413999999999998E-2</c:v>
                </c:pt>
                <c:pt idx="96">
                  <c:v>4.7666000000000007E-2</c:v>
                </c:pt>
                <c:pt idx="97">
                  <c:v>4.7914000000000005E-2</c:v>
                </c:pt>
                <c:pt idx="98">
                  <c:v>4.8137999999999993E-2</c:v>
                </c:pt>
                <c:pt idx="99">
                  <c:v>4.836E-2</c:v>
                </c:pt>
                <c:pt idx="100">
                  <c:v>4.8582E-2</c:v>
                </c:pt>
                <c:pt idx="101">
                  <c:v>4.8806000000000002E-2</c:v>
                </c:pt>
                <c:pt idx="102">
                  <c:v>4.9051999999999998E-2</c:v>
                </c:pt>
                <c:pt idx="103">
                  <c:v>4.9248E-2</c:v>
                </c:pt>
                <c:pt idx="104">
                  <c:v>4.947E-2</c:v>
                </c:pt>
                <c:pt idx="105">
                  <c:v>4.9692E-2</c:v>
                </c:pt>
                <c:pt idx="106">
                  <c:v>4.9886E-2</c:v>
                </c:pt>
                <c:pt idx="107">
                  <c:v>5.008E-2</c:v>
                </c:pt>
                <c:pt idx="108">
                  <c:v>5.0273999999999999E-2</c:v>
                </c:pt>
                <c:pt idx="109">
                  <c:v>5.0469999999999994E-2</c:v>
                </c:pt>
                <c:pt idx="110">
                  <c:v>5.0664000000000001E-2</c:v>
                </c:pt>
                <c:pt idx="111">
                  <c:v>5.0831999999999995E-2</c:v>
                </c:pt>
                <c:pt idx="112">
                  <c:v>5.1025999999999995E-2</c:v>
                </c:pt>
                <c:pt idx="113">
                  <c:v>5.1193999999999996E-2</c:v>
                </c:pt>
                <c:pt idx="114">
                  <c:v>5.1387999999999996E-2</c:v>
                </c:pt>
                <c:pt idx="115">
                  <c:v>5.1609999999999996E-2</c:v>
                </c:pt>
                <c:pt idx="116">
                  <c:v>5.1803999999999996E-2</c:v>
                </c:pt>
                <c:pt idx="117">
                  <c:v>5.1997999999999996E-2</c:v>
                </c:pt>
                <c:pt idx="118">
                  <c:v>5.2164000000000002E-2</c:v>
                </c:pt>
                <c:pt idx="119">
                  <c:v>5.2332000000000004E-2</c:v>
                </c:pt>
                <c:pt idx="120">
                  <c:v>5.2497999999999996E-2</c:v>
                </c:pt>
                <c:pt idx="121">
                  <c:v>5.2693999999999998E-2</c:v>
                </c:pt>
                <c:pt idx="122">
                  <c:v>5.2858000000000002E-2</c:v>
                </c:pt>
                <c:pt idx="123">
                  <c:v>5.3025999999999997E-2</c:v>
                </c:pt>
                <c:pt idx="124">
                  <c:v>5.3192000000000003E-2</c:v>
                </c:pt>
                <c:pt idx="125">
                  <c:v>5.3360000000000005E-2</c:v>
                </c:pt>
                <c:pt idx="126">
                  <c:v>5.3554000000000004E-2</c:v>
                </c:pt>
                <c:pt idx="127">
                  <c:v>5.3719999999999997E-2</c:v>
                </c:pt>
                <c:pt idx="128">
                  <c:v>5.3886000000000003E-2</c:v>
                </c:pt>
                <c:pt idx="129">
                  <c:v>5.4081999999999998E-2</c:v>
                </c:pt>
                <c:pt idx="130">
                  <c:v>5.4278000000000007E-2</c:v>
                </c:pt>
                <c:pt idx="131">
                  <c:v>5.4442000000000004E-2</c:v>
                </c:pt>
                <c:pt idx="132">
                  <c:v>5.4635999999999997E-2</c:v>
                </c:pt>
                <c:pt idx="133">
                  <c:v>5.4829999999999997E-2</c:v>
                </c:pt>
                <c:pt idx="134">
                  <c:v>5.5E-2</c:v>
                </c:pt>
                <c:pt idx="135">
                  <c:v>5.5191999999999998E-2</c:v>
                </c:pt>
                <c:pt idx="136">
                  <c:v>5.5357999999999997E-2</c:v>
                </c:pt>
                <c:pt idx="137">
                  <c:v>5.5525999999999999E-2</c:v>
                </c:pt>
                <c:pt idx="138">
                  <c:v>5.5692000000000005E-2</c:v>
                </c:pt>
                <c:pt idx="139">
                  <c:v>5.5857999999999998E-2</c:v>
                </c:pt>
                <c:pt idx="140">
                  <c:v>5.5997999999999999E-2</c:v>
                </c:pt>
                <c:pt idx="141">
                  <c:v>5.6163999999999999E-2</c:v>
                </c:pt>
                <c:pt idx="142">
                  <c:v>5.6304E-2</c:v>
                </c:pt>
                <c:pt idx="143">
                  <c:v>5.6469999999999999E-2</c:v>
                </c:pt>
                <c:pt idx="144">
                  <c:v>5.6635999999999999E-2</c:v>
                </c:pt>
                <c:pt idx="145">
                  <c:v>5.6773999999999998E-2</c:v>
                </c:pt>
                <c:pt idx="146">
                  <c:v>5.6942000000000006E-2</c:v>
                </c:pt>
                <c:pt idx="147">
                  <c:v>5.7081999999999994E-2</c:v>
                </c:pt>
                <c:pt idx="148">
                  <c:v>5.7220000000000007E-2</c:v>
                </c:pt>
                <c:pt idx="149">
                  <c:v>5.7359999999999994E-2</c:v>
                </c:pt>
                <c:pt idx="150">
                  <c:v>5.7497999999999994E-2</c:v>
                </c:pt>
                <c:pt idx="151">
                  <c:v>5.7607999999999999E-2</c:v>
                </c:pt>
                <c:pt idx="152">
                  <c:v>5.7748000000000001E-2</c:v>
                </c:pt>
                <c:pt idx="153">
                  <c:v>5.7888000000000002E-2</c:v>
                </c:pt>
                <c:pt idx="154">
                  <c:v>5.7999999999999996E-2</c:v>
                </c:pt>
                <c:pt idx="155">
                  <c:v>5.8136E-2</c:v>
                </c:pt>
                <c:pt idx="156">
                  <c:v>5.8276000000000001E-2</c:v>
                </c:pt>
                <c:pt idx="157">
                  <c:v>5.8385999999999993E-2</c:v>
                </c:pt>
                <c:pt idx="158">
                  <c:v>5.8525999999999995E-2</c:v>
                </c:pt>
                <c:pt idx="159">
                  <c:v>5.8636000000000001E-2</c:v>
                </c:pt>
                <c:pt idx="160">
                  <c:v>5.8749999999999997E-2</c:v>
                </c:pt>
                <c:pt idx="161">
                  <c:v>5.8887999999999996E-2</c:v>
                </c:pt>
                <c:pt idx="162">
                  <c:v>5.8998000000000002E-2</c:v>
                </c:pt>
                <c:pt idx="163">
                  <c:v>5.9108000000000001E-2</c:v>
                </c:pt>
                <c:pt idx="164">
                  <c:v>5.9248000000000002E-2</c:v>
                </c:pt>
                <c:pt idx="165">
                  <c:v>5.9359999999999996E-2</c:v>
                </c:pt>
                <c:pt idx="166">
                  <c:v>5.9470000000000002E-2</c:v>
                </c:pt>
                <c:pt idx="167">
                  <c:v>5.9580000000000001E-2</c:v>
                </c:pt>
                <c:pt idx="168">
                  <c:v>5.9691999999999995E-2</c:v>
                </c:pt>
                <c:pt idx="169">
                  <c:v>5.9832000000000003E-2</c:v>
                </c:pt>
                <c:pt idx="170">
                  <c:v>5.9942000000000002E-2</c:v>
                </c:pt>
                <c:pt idx="171">
                  <c:v>6.0053999999999996E-2</c:v>
                </c:pt>
                <c:pt idx="172">
                  <c:v>6.0166000000000004E-2</c:v>
                </c:pt>
                <c:pt idx="173">
                  <c:v>6.0277999999999998E-2</c:v>
                </c:pt>
                <c:pt idx="174">
                  <c:v>6.0388000000000004E-2</c:v>
                </c:pt>
                <c:pt idx="175">
                  <c:v>6.0498000000000003E-2</c:v>
                </c:pt>
                <c:pt idx="176">
                  <c:v>6.0608000000000002E-2</c:v>
                </c:pt>
                <c:pt idx="177">
                  <c:v>6.0720000000000003E-2</c:v>
                </c:pt>
                <c:pt idx="178">
                  <c:v>6.0830000000000002E-2</c:v>
                </c:pt>
                <c:pt idx="179">
                  <c:v>6.0941999999999996E-2</c:v>
                </c:pt>
                <c:pt idx="180">
                  <c:v>6.1054000000000004E-2</c:v>
                </c:pt>
                <c:pt idx="181">
                  <c:v>6.1163999999999996E-2</c:v>
                </c:pt>
                <c:pt idx="182">
                  <c:v>6.1273999999999995E-2</c:v>
                </c:pt>
                <c:pt idx="183">
                  <c:v>6.1387999999999998E-2</c:v>
                </c:pt>
                <c:pt idx="184">
                  <c:v>6.1497999999999997E-2</c:v>
                </c:pt>
                <c:pt idx="185">
                  <c:v>6.1609999999999998E-2</c:v>
                </c:pt>
                <c:pt idx="186">
                  <c:v>6.1721999999999999E-2</c:v>
                </c:pt>
                <c:pt idx="187">
                  <c:v>6.1803999999999998E-2</c:v>
                </c:pt>
                <c:pt idx="188">
                  <c:v>6.1915999999999999E-2</c:v>
                </c:pt>
                <c:pt idx="189">
                  <c:v>6.2026000000000005E-2</c:v>
                </c:pt>
                <c:pt idx="190">
                  <c:v>6.2107999999999997E-2</c:v>
                </c:pt>
                <c:pt idx="191">
                  <c:v>6.2220000000000004E-2</c:v>
                </c:pt>
                <c:pt idx="192">
                  <c:v>6.2331999999999999E-2</c:v>
                </c:pt>
                <c:pt idx="193">
                  <c:v>6.2415999999999999E-2</c:v>
                </c:pt>
                <c:pt idx="194">
                  <c:v>6.2525999999999998E-2</c:v>
                </c:pt>
                <c:pt idx="195">
                  <c:v>6.2609999999999999E-2</c:v>
                </c:pt>
                <c:pt idx="196">
                  <c:v>6.2722E-2</c:v>
                </c:pt>
                <c:pt idx="197">
                  <c:v>6.2829999999999997E-2</c:v>
                </c:pt>
                <c:pt idx="198">
                  <c:v>6.2913999999999998E-2</c:v>
                </c:pt>
                <c:pt idx="199">
                  <c:v>6.3025999999999999E-2</c:v>
                </c:pt>
                <c:pt idx="200">
                  <c:v>6.3107999999999997E-2</c:v>
                </c:pt>
                <c:pt idx="201">
                  <c:v>6.3219999999999998E-2</c:v>
                </c:pt>
                <c:pt idx="202">
                  <c:v>6.3301999999999997E-2</c:v>
                </c:pt>
                <c:pt idx="203">
                  <c:v>6.3416E-2</c:v>
                </c:pt>
                <c:pt idx="204">
                  <c:v>6.3525999999999999E-2</c:v>
                </c:pt>
                <c:pt idx="205">
                  <c:v>6.3607999999999998E-2</c:v>
                </c:pt>
                <c:pt idx="206">
                  <c:v>6.3719999999999999E-2</c:v>
                </c:pt>
                <c:pt idx="207">
                  <c:v>6.3832E-2</c:v>
                </c:pt>
                <c:pt idx="208">
                  <c:v>6.3913999999999999E-2</c:v>
                </c:pt>
                <c:pt idx="209">
                  <c:v>6.4026E-2</c:v>
                </c:pt>
                <c:pt idx="210">
                  <c:v>6.411E-2</c:v>
                </c:pt>
                <c:pt idx="211">
                  <c:v>6.4194000000000001E-2</c:v>
                </c:pt>
                <c:pt idx="212">
                  <c:v>6.4304E-2</c:v>
                </c:pt>
                <c:pt idx="213">
                  <c:v>6.4385999999999999E-2</c:v>
                </c:pt>
                <c:pt idx="214">
                  <c:v>6.447E-2</c:v>
                </c:pt>
                <c:pt idx="215">
                  <c:v>6.4551999999999998E-2</c:v>
                </c:pt>
                <c:pt idx="216">
                  <c:v>6.4635999999999999E-2</c:v>
                </c:pt>
                <c:pt idx="217">
                  <c:v>6.4748E-2</c:v>
                </c:pt>
                <c:pt idx="218">
                  <c:v>6.4857999999999999E-2</c:v>
                </c:pt>
                <c:pt idx="219">
                  <c:v>6.497E-2</c:v>
                </c:pt>
                <c:pt idx="220">
                  <c:v>6.5054000000000001E-2</c:v>
                </c:pt>
                <c:pt idx="221">
                  <c:v>6.5161999999999998E-2</c:v>
                </c:pt>
                <c:pt idx="222">
                  <c:v>6.5248E-2</c:v>
                </c:pt>
                <c:pt idx="223">
                  <c:v>6.5332000000000001E-2</c:v>
                </c:pt>
                <c:pt idx="224">
                  <c:v>6.5416000000000002E-2</c:v>
                </c:pt>
                <c:pt idx="225">
                  <c:v>6.5498000000000001E-2</c:v>
                </c:pt>
                <c:pt idx="226">
                  <c:v>6.5579999999999999E-2</c:v>
                </c:pt>
                <c:pt idx="227">
                  <c:v>6.5666000000000002E-2</c:v>
                </c:pt>
                <c:pt idx="228">
                  <c:v>6.5750000000000003E-2</c:v>
                </c:pt>
                <c:pt idx="229">
                  <c:v>6.5832000000000002E-2</c:v>
                </c:pt>
                <c:pt idx="230">
                  <c:v>6.5914E-2</c:v>
                </c:pt>
                <c:pt idx="231">
                  <c:v>6.5995999999999999E-2</c:v>
                </c:pt>
                <c:pt idx="232">
                  <c:v>6.608E-2</c:v>
                </c:pt>
                <c:pt idx="233">
                  <c:v>6.6166000000000003E-2</c:v>
                </c:pt>
                <c:pt idx="234">
                  <c:v>6.6248000000000001E-2</c:v>
                </c:pt>
                <c:pt idx="235">
                  <c:v>6.6332000000000002E-2</c:v>
                </c:pt>
                <c:pt idx="236">
                  <c:v>6.6414000000000001E-2</c:v>
                </c:pt>
                <c:pt idx="237">
                  <c:v>6.6498000000000002E-2</c:v>
                </c:pt>
                <c:pt idx="238">
                  <c:v>6.6636000000000001E-2</c:v>
                </c:pt>
                <c:pt idx="239">
                  <c:v>6.6776000000000002E-2</c:v>
                </c:pt>
                <c:pt idx="240">
                  <c:v>6.6914000000000001E-2</c:v>
                </c:pt>
                <c:pt idx="241">
                  <c:v>6.7024E-2</c:v>
                </c:pt>
                <c:pt idx="242">
                  <c:v>6.7166000000000003E-2</c:v>
                </c:pt>
                <c:pt idx="243">
                  <c:v>6.7278000000000004E-2</c:v>
                </c:pt>
                <c:pt idx="244">
                  <c:v>6.7414000000000002E-2</c:v>
                </c:pt>
                <c:pt idx="245">
                  <c:v>6.7526000000000003E-2</c:v>
                </c:pt>
                <c:pt idx="246">
                  <c:v>6.7664000000000002E-2</c:v>
                </c:pt>
                <c:pt idx="247">
                  <c:v>6.7776000000000003E-2</c:v>
                </c:pt>
                <c:pt idx="248">
                  <c:v>6.7888000000000004E-2</c:v>
                </c:pt>
                <c:pt idx="249">
                  <c:v>6.8000000000000005E-2</c:v>
                </c:pt>
                <c:pt idx="250">
                  <c:v>6.8110000000000004E-2</c:v>
                </c:pt>
                <c:pt idx="251">
                  <c:v>6.8220000000000003E-2</c:v>
                </c:pt>
                <c:pt idx="252">
                  <c:v>6.8332000000000004E-2</c:v>
                </c:pt>
                <c:pt idx="253">
                  <c:v>6.8442000000000003E-2</c:v>
                </c:pt>
                <c:pt idx="254">
                  <c:v>6.8554000000000004E-2</c:v>
                </c:pt>
                <c:pt idx="255">
                  <c:v>6.8666000000000005E-2</c:v>
                </c:pt>
                <c:pt idx="256">
                  <c:v>6.8776000000000004E-2</c:v>
                </c:pt>
                <c:pt idx="257">
                  <c:v>6.8886000000000003E-2</c:v>
                </c:pt>
                <c:pt idx="258">
                  <c:v>6.8998000000000004E-2</c:v>
                </c:pt>
                <c:pt idx="259">
                  <c:v>6.9108000000000003E-2</c:v>
                </c:pt>
                <c:pt idx="260">
                  <c:v>6.9220000000000004E-2</c:v>
                </c:pt>
                <c:pt idx="261">
                  <c:v>6.9332000000000005E-2</c:v>
                </c:pt>
                <c:pt idx="262">
                  <c:v>6.9414000000000003E-2</c:v>
                </c:pt>
                <c:pt idx="263">
                  <c:v>6.9526000000000004E-2</c:v>
                </c:pt>
                <c:pt idx="264">
                  <c:v>6.9638000000000005E-2</c:v>
                </c:pt>
                <c:pt idx="265">
                  <c:v>6.9748000000000004E-2</c:v>
                </c:pt>
                <c:pt idx="266">
                  <c:v>6.9859999999999992E-2</c:v>
                </c:pt>
                <c:pt idx="267">
                  <c:v>6.9970000000000004E-2</c:v>
                </c:pt>
                <c:pt idx="268">
                  <c:v>7.0082000000000005E-2</c:v>
                </c:pt>
                <c:pt idx="269">
                  <c:v>7.0164000000000004E-2</c:v>
                </c:pt>
                <c:pt idx="270">
                  <c:v>7.0275999999999991E-2</c:v>
                </c:pt>
                <c:pt idx="271">
                  <c:v>7.0388000000000006E-2</c:v>
                </c:pt>
                <c:pt idx="272">
                  <c:v>7.0469999999999991E-2</c:v>
                </c:pt>
                <c:pt idx="273">
                  <c:v>7.0580000000000004E-2</c:v>
                </c:pt>
                <c:pt idx="274">
                  <c:v>7.0692000000000005E-2</c:v>
                </c:pt>
                <c:pt idx="275">
                  <c:v>7.0804000000000006E-2</c:v>
                </c:pt>
                <c:pt idx="276">
                  <c:v>7.0915999999999993E-2</c:v>
                </c:pt>
                <c:pt idx="277">
                  <c:v>7.1052000000000004E-2</c:v>
                </c:pt>
                <c:pt idx="278">
                  <c:v>7.1193999999999993E-2</c:v>
                </c:pt>
                <c:pt idx="279">
                  <c:v>7.1332000000000007E-2</c:v>
                </c:pt>
                <c:pt idx="280">
                  <c:v>7.1441999999999992E-2</c:v>
                </c:pt>
                <c:pt idx="281">
                  <c:v>7.1580000000000005E-2</c:v>
                </c:pt>
                <c:pt idx="282">
                  <c:v>7.1692000000000006E-2</c:v>
                </c:pt>
                <c:pt idx="283">
                  <c:v>7.1832000000000007E-2</c:v>
                </c:pt>
                <c:pt idx="284">
                  <c:v>7.1971999999999994E-2</c:v>
                </c:pt>
                <c:pt idx="285">
                  <c:v>7.2108000000000005E-2</c:v>
                </c:pt>
                <c:pt idx="286">
                  <c:v>7.2248000000000007E-2</c:v>
                </c:pt>
                <c:pt idx="287">
                  <c:v>7.2359999999999994E-2</c:v>
                </c:pt>
                <c:pt idx="288">
                  <c:v>7.2497999999999993E-2</c:v>
                </c:pt>
                <c:pt idx="289">
                  <c:v>7.2637999999999994E-2</c:v>
                </c:pt>
                <c:pt idx="290">
                  <c:v>7.2775999999999993E-2</c:v>
                </c:pt>
                <c:pt idx="291">
                  <c:v>7.2912000000000005E-2</c:v>
                </c:pt>
                <c:pt idx="292">
                  <c:v>7.3023999999999992E-2</c:v>
                </c:pt>
                <c:pt idx="293">
                  <c:v>7.3163999999999993E-2</c:v>
                </c:pt>
                <c:pt idx="294">
                  <c:v>7.3303999999999994E-2</c:v>
                </c:pt>
                <c:pt idx="295">
                  <c:v>7.3441999999999993E-2</c:v>
                </c:pt>
                <c:pt idx="296">
                  <c:v>7.3554000000000008E-2</c:v>
                </c:pt>
                <c:pt idx="297">
                  <c:v>7.3692000000000007E-2</c:v>
                </c:pt>
                <c:pt idx="298">
                  <c:v>7.3803999999999995E-2</c:v>
                </c:pt>
                <c:pt idx="299">
                  <c:v>7.3916000000000009E-2</c:v>
                </c:pt>
                <c:pt idx="300">
                  <c:v>7.4054000000000009E-2</c:v>
                </c:pt>
                <c:pt idx="301">
                  <c:v>7.4164000000000008E-2</c:v>
                </c:pt>
                <c:pt idx="302">
                  <c:v>7.4275999999999995E-2</c:v>
                </c:pt>
                <c:pt idx="303">
                  <c:v>7.4386000000000008E-2</c:v>
                </c:pt>
                <c:pt idx="304">
                  <c:v>7.4497999999999995E-2</c:v>
                </c:pt>
                <c:pt idx="305">
                  <c:v>7.461000000000001E-2</c:v>
                </c:pt>
                <c:pt idx="306">
                  <c:v>7.4721999999999997E-2</c:v>
                </c:pt>
                <c:pt idx="307">
                  <c:v>7.4859999999999996E-2</c:v>
                </c:pt>
                <c:pt idx="308">
                  <c:v>7.4997999999999995E-2</c:v>
                </c:pt>
                <c:pt idx="309">
                  <c:v>7.5136000000000008E-2</c:v>
                </c:pt>
                <c:pt idx="310">
                  <c:v>7.5275999999999996E-2</c:v>
                </c:pt>
                <c:pt idx="311">
                  <c:v>7.5414000000000009E-2</c:v>
                </c:pt>
                <c:pt idx="312">
                  <c:v>7.5553999999999996E-2</c:v>
                </c:pt>
                <c:pt idx="313">
                  <c:v>7.5693999999999997E-2</c:v>
                </c:pt>
                <c:pt idx="314">
                  <c:v>7.5831999999999997E-2</c:v>
                </c:pt>
                <c:pt idx="315">
                  <c:v>7.597000000000001E-2</c:v>
                </c:pt>
                <c:pt idx="316">
                  <c:v>7.6108000000000009E-2</c:v>
                </c:pt>
                <c:pt idx="317">
                  <c:v>7.6247999999999996E-2</c:v>
                </c:pt>
                <c:pt idx="318">
                  <c:v>7.6387999999999998E-2</c:v>
                </c:pt>
                <c:pt idx="319">
                  <c:v>7.6525999999999997E-2</c:v>
                </c:pt>
                <c:pt idx="320">
                  <c:v>7.666400000000001E-2</c:v>
                </c:pt>
                <c:pt idx="321">
                  <c:v>7.6801999999999995E-2</c:v>
                </c:pt>
                <c:pt idx="322">
                  <c:v>7.6913999999999996E-2</c:v>
                </c:pt>
                <c:pt idx="323">
                  <c:v>7.7025999999999997E-2</c:v>
                </c:pt>
                <c:pt idx="324">
                  <c:v>7.7137999999999998E-2</c:v>
                </c:pt>
                <c:pt idx="325">
                  <c:v>7.7247999999999997E-2</c:v>
                </c:pt>
                <c:pt idx="326">
                  <c:v>7.7359999999999998E-2</c:v>
                </c:pt>
                <c:pt idx="327">
                  <c:v>7.7469999999999997E-2</c:v>
                </c:pt>
                <c:pt idx="328">
                  <c:v>7.7579999999999996E-2</c:v>
                </c:pt>
                <c:pt idx="329">
                  <c:v>7.7691999999999997E-2</c:v>
                </c:pt>
                <c:pt idx="330">
                  <c:v>7.7831999999999998E-2</c:v>
                </c:pt>
                <c:pt idx="331">
                  <c:v>7.7969999999999998E-2</c:v>
                </c:pt>
                <c:pt idx="332">
                  <c:v>7.8109999999999999E-2</c:v>
                </c:pt>
                <c:pt idx="333">
                  <c:v>7.8247999999999998E-2</c:v>
                </c:pt>
                <c:pt idx="334">
                  <c:v>7.8387999999999999E-2</c:v>
                </c:pt>
                <c:pt idx="335">
                  <c:v>7.8523999999999997E-2</c:v>
                </c:pt>
                <c:pt idx="336">
                  <c:v>7.8666E-2</c:v>
                </c:pt>
                <c:pt idx="337">
                  <c:v>7.8803999999999999E-2</c:v>
                </c:pt>
                <c:pt idx="338">
                  <c:v>7.8941999999999998E-2</c:v>
                </c:pt>
                <c:pt idx="339">
                  <c:v>7.9082E-2</c:v>
                </c:pt>
                <c:pt idx="340">
                  <c:v>7.9219999999999999E-2</c:v>
                </c:pt>
                <c:pt idx="341">
                  <c:v>7.936E-2</c:v>
                </c:pt>
                <c:pt idx="342">
                  <c:v>7.9500000000000001E-2</c:v>
                </c:pt>
                <c:pt idx="343">
                  <c:v>7.9635999999999998E-2</c:v>
                </c:pt>
                <c:pt idx="344">
                  <c:v>7.9773999999999998E-2</c:v>
                </c:pt>
                <c:pt idx="345">
                  <c:v>7.9913999999999999E-2</c:v>
                </c:pt>
                <c:pt idx="346">
                  <c:v>8.0025999999999986E-2</c:v>
                </c:pt>
                <c:pt idx="347">
                  <c:v>8.0164000000000013E-2</c:v>
                </c:pt>
                <c:pt idx="348">
                  <c:v>8.0304E-2</c:v>
                </c:pt>
                <c:pt idx="349">
                  <c:v>8.0444000000000002E-2</c:v>
                </c:pt>
                <c:pt idx="350">
                  <c:v>8.0579999999999999E-2</c:v>
                </c:pt>
                <c:pt idx="351">
                  <c:v>8.0719999999999986E-2</c:v>
                </c:pt>
                <c:pt idx="352">
                  <c:v>8.0860000000000001E-2</c:v>
                </c:pt>
                <c:pt idx="353">
                  <c:v>8.0998000000000001E-2</c:v>
                </c:pt>
                <c:pt idx="354">
                  <c:v>8.1137999999999988E-2</c:v>
                </c:pt>
                <c:pt idx="355">
                  <c:v>8.1275999999999987E-2</c:v>
                </c:pt>
                <c:pt idx="356">
                  <c:v>8.1414000000000014E-2</c:v>
                </c:pt>
                <c:pt idx="357">
                  <c:v>8.1554000000000001E-2</c:v>
                </c:pt>
                <c:pt idx="358">
                  <c:v>8.1692000000000001E-2</c:v>
                </c:pt>
                <c:pt idx="359">
                  <c:v>8.1831999999999988E-2</c:v>
                </c:pt>
                <c:pt idx="360">
                  <c:v>8.1972000000000003E-2</c:v>
                </c:pt>
                <c:pt idx="361">
                  <c:v>8.2108000000000014E-2</c:v>
                </c:pt>
                <c:pt idx="362">
                  <c:v>8.2246E-2</c:v>
                </c:pt>
                <c:pt idx="363">
                  <c:v>8.2387999999999989E-2</c:v>
                </c:pt>
                <c:pt idx="364">
                  <c:v>8.2525999999999988E-2</c:v>
                </c:pt>
                <c:pt idx="365">
                  <c:v>8.2664000000000015E-2</c:v>
                </c:pt>
                <c:pt idx="366">
                  <c:v>8.2804000000000003E-2</c:v>
                </c:pt>
                <c:pt idx="367">
                  <c:v>8.2970000000000002E-2</c:v>
                </c:pt>
                <c:pt idx="368">
                  <c:v>8.3138000000000004E-2</c:v>
                </c:pt>
                <c:pt idx="369">
                  <c:v>8.3303999999999989E-2</c:v>
                </c:pt>
                <c:pt idx="370">
                  <c:v>8.3444000000000004E-2</c:v>
                </c:pt>
                <c:pt idx="371">
                  <c:v>8.3607999999999988E-2</c:v>
                </c:pt>
                <c:pt idx="372">
                  <c:v>8.3774000000000001E-2</c:v>
                </c:pt>
                <c:pt idx="373">
                  <c:v>8.3943999999999991E-2</c:v>
                </c:pt>
                <c:pt idx="374">
                  <c:v>8.4079999999999988E-2</c:v>
                </c:pt>
                <c:pt idx="375">
                  <c:v>8.424799999999999E-2</c:v>
                </c:pt>
                <c:pt idx="376">
                  <c:v>8.4384000000000001E-2</c:v>
                </c:pt>
                <c:pt idx="377">
                  <c:v>8.4552000000000002E-2</c:v>
                </c:pt>
                <c:pt idx="378">
                  <c:v>8.4692000000000003E-2</c:v>
                </c:pt>
                <c:pt idx="379">
                  <c:v>8.4832000000000005E-2</c:v>
                </c:pt>
                <c:pt idx="380">
                  <c:v>8.4971999999999992E-2</c:v>
                </c:pt>
                <c:pt idx="381">
                  <c:v>8.5108000000000003E-2</c:v>
                </c:pt>
                <c:pt idx="382">
                  <c:v>8.5275999999999991E-2</c:v>
                </c:pt>
                <c:pt idx="383">
                  <c:v>8.5442000000000004E-2</c:v>
                </c:pt>
                <c:pt idx="384">
                  <c:v>8.5610000000000006E-2</c:v>
                </c:pt>
                <c:pt idx="385">
                  <c:v>8.5777999999999993E-2</c:v>
                </c:pt>
                <c:pt idx="386">
                  <c:v>8.5939999999999989E-2</c:v>
                </c:pt>
                <c:pt idx="387">
                  <c:v>8.6110000000000006E-2</c:v>
                </c:pt>
                <c:pt idx="388">
                  <c:v>8.6274000000000003E-2</c:v>
                </c:pt>
                <c:pt idx="389">
                  <c:v>8.6443999999999993E-2</c:v>
                </c:pt>
                <c:pt idx="390">
                  <c:v>8.6609999999999993E-2</c:v>
                </c:pt>
                <c:pt idx="391">
                  <c:v>8.6774000000000004E-2</c:v>
                </c:pt>
                <c:pt idx="392">
                  <c:v>8.6942000000000005E-2</c:v>
                </c:pt>
                <c:pt idx="393">
                  <c:v>8.7110000000000007E-2</c:v>
                </c:pt>
                <c:pt idx="394">
                  <c:v>8.7276000000000006E-2</c:v>
                </c:pt>
                <c:pt idx="395">
                  <c:v>8.7441999999999992E-2</c:v>
                </c:pt>
                <c:pt idx="396">
                  <c:v>8.7607999999999991E-2</c:v>
                </c:pt>
                <c:pt idx="397">
                  <c:v>8.7775999999999993E-2</c:v>
                </c:pt>
                <c:pt idx="398">
                  <c:v>8.7942000000000006E-2</c:v>
                </c:pt>
                <c:pt idx="399">
                  <c:v>8.8108000000000006E-2</c:v>
                </c:pt>
                <c:pt idx="400">
                  <c:v>8.8274000000000005E-2</c:v>
                </c:pt>
                <c:pt idx="401">
                  <c:v>8.8442000000000007E-2</c:v>
                </c:pt>
                <c:pt idx="402">
                  <c:v>8.8610000000000008E-2</c:v>
                </c:pt>
                <c:pt idx="403">
                  <c:v>8.8775999999999994E-2</c:v>
                </c:pt>
                <c:pt idx="404">
                  <c:v>8.8941999999999993E-2</c:v>
                </c:pt>
                <c:pt idx="405">
                  <c:v>8.9109999999999995E-2</c:v>
                </c:pt>
                <c:pt idx="406">
                  <c:v>8.9275999999999994E-2</c:v>
                </c:pt>
                <c:pt idx="407">
                  <c:v>8.9469999999999994E-2</c:v>
                </c:pt>
                <c:pt idx="408">
                  <c:v>8.9664000000000008E-2</c:v>
                </c:pt>
                <c:pt idx="409">
                  <c:v>8.9860000000000009E-2</c:v>
                </c:pt>
                <c:pt idx="410">
                  <c:v>9.0053999999999995E-2</c:v>
                </c:pt>
                <c:pt idx="411">
                  <c:v>9.0249999999999997E-2</c:v>
                </c:pt>
                <c:pt idx="412">
                  <c:v>9.0443999999999997E-2</c:v>
                </c:pt>
                <c:pt idx="413">
                  <c:v>9.0635999999999994E-2</c:v>
                </c:pt>
                <c:pt idx="414">
                  <c:v>9.0831999999999996E-2</c:v>
                </c:pt>
                <c:pt idx="415">
                  <c:v>9.1023999999999994E-2</c:v>
                </c:pt>
                <c:pt idx="416">
                  <c:v>9.1219999999999996E-2</c:v>
                </c:pt>
                <c:pt idx="417">
                  <c:v>9.1414000000000009E-2</c:v>
                </c:pt>
                <c:pt idx="418">
                  <c:v>9.1609999999999997E-2</c:v>
                </c:pt>
                <c:pt idx="419">
                  <c:v>9.1804000000000011E-2</c:v>
                </c:pt>
                <c:pt idx="420">
                  <c:v>9.1997999999999996E-2</c:v>
                </c:pt>
                <c:pt idx="421">
                  <c:v>9.219200000000001E-2</c:v>
                </c:pt>
                <c:pt idx="422">
                  <c:v>9.2387999999999998E-2</c:v>
                </c:pt>
                <c:pt idx="423">
                  <c:v>9.2581999999999998E-2</c:v>
                </c:pt>
                <c:pt idx="424">
                  <c:v>9.2775999999999997E-2</c:v>
                </c:pt>
                <c:pt idx="425">
                  <c:v>9.2970000000000011E-2</c:v>
                </c:pt>
                <c:pt idx="426">
                  <c:v>9.3165999999999999E-2</c:v>
                </c:pt>
                <c:pt idx="427">
                  <c:v>9.3359999999999999E-2</c:v>
                </c:pt>
                <c:pt idx="428">
                  <c:v>9.3581999999999999E-2</c:v>
                </c:pt>
                <c:pt idx="429">
                  <c:v>9.3801999999999996E-2</c:v>
                </c:pt>
                <c:pt idx="430">
                  <c:v>9.4023999999999996E-2</c:v>
                </c:pt>
                <c:pt idx="431">
                  <c:v>9.425E-2</c:v>
                </c:pt>
                <c:pt idx="432">
                  <c:v>9.4441999999999998E-2</c:v>
                </c:pt>
                <c:pt idx="433">
                  <c:v>9.4635999999999998E-2</c:v>
                </c:pt>
                <c:pt idx="434">
                  <c:v>9.4832E-2</c:v>
                </c:pt>
                <c:pt idx="435">
                  <c:v>9.5028000000000001E-2</c:v>
                </c:pt>
                <c:pt idx="436">
                  <c:v>9.5219999999999999E-2</c:v>
                </c:pt>
                <c:pt idx="437">
                  <c:v>9.5413999999999999E-2</c:v>
                </c:pt>
                <c:pt idx="438">
                  <c:v>9.5638000000000001E-2</c:v>
                </c:pt>
                <c:pt idx="439">
                  <c:v>9.5860000000000001E-2</c:v>
                </c:pt>
                <c:pt idx="440">
                  <c:v>9.6079999999999999E-2</c:v>
                </c:pt>
                <c:pt idx="441">
                  <c:v>9.6304000000000001E-2</c:v>
                </c:pt>
                <c:pt idx="442">
                  <c:v>9.6526000000000001E-2</c:v>
                </c:pt>
                <c:pt idx="443">
                  <c:v>9.6748000000000001E-2</c:v>
                </c:pt>
                <c:pt idx="444">
                  <c:v>9.6942E-2</c:v>
                </c:pt>
                <c:pt idx="445">
                  <c:v>9.7136E-2</c:v>
                </c:pt>
                <c:pt idx="446">
                  <c:v>9.7360000000000002E-2</c:v>
                </c:pt>
                <c:pt idx="447">
                  <c:v>9.7579999999999986E-2</c:v>
                </c:pt>
                <c:pt idx="448">
                  <c:v>9.7806000000000004E-2</c:v>
                </c:pt>
                <c:pt idx="449">
                  <c:v>9.8026000000000002E-2</c:v>
                </c:pt>
                <c:pt idx="450">
                  <c:v>9.8246E-2</c:v>
                </c:pt>
                <c:pt idx="451">
                  <c:v>9.8470000000000002E-2</c:v>
                </c:pt>
                <c:pt idx="452">
                  <c:v>9.8691999999999988E-2</c:v>
                </c:pt>
                <c:pt idx="453">
                  <c:v>9.8916000000000004E-2</c:v>
                </c:pt>
                <c:pt idx="454">
                  <c:v>9.9136000000000002E-2</c:v>
                </c:pt>
                <c:pt idx="455">
                  <c:v>9.9360000000000004E-2</c:v>
                </c:pt>
                <c:pt idx="456">
                  <c:v>9.9582000000000004E-2</c:v>
                </c:pt>
                <c:pt idx="457">
                  <c:v>9.9832000000000004E-2</c:v>
                </c:pt>
                <c:pt idx="458">
                  <c:v>0.100054</c:v>
                </c:pt>
                <c:pt idx="459">
                  <c:v>0.10027599999999999</c:v>
                </c:pt>
                <c:pt idx="460">
                  <c:v>0.10049799999999999</c:v>
                </c:pt>
                <c:pt idx="461">
                  <c:v>0.10071999999999999</c:v>
                </c:pt>
                <c:pt idx="462">
                  <c:v>0.10097200000000001</c:v>
                </c:pt>
                <c:pt idx="463">
                  <c:v>0.10122199999999999</c:v>
                </c:pt>
                <c:pt idx="464">
                  <c:v>0.10147</c:v>
                </c:pt>
                <c:pt idx="465">
                  <c:v>0.10172200000000001</c:v>
                </c:pt>
                <c:pt idx="466">
                  <c:v>0.10196999999999999</c:v>
                </c:pt>
                <c:pt idx="467">
                  <c:v>0.10221999999999999</c:v>
                </c:pt>
                <c:pt idx="468">
                  <c:v>0.10247199999999999</c:v>
                </c:pt>
                <c:pt idx="469">
                  <c:v>0.10272000000000001</c:v>
                </c:pt>
                <c:pt idx="470">
                  <c:v>0.10297000000000001</c:v>
                </c:pt>
                <c:pt idx="471">
                  <c:v>0.10321999999999999</c:v>
                </c:pt>
                <c:pt idx="472">
                  <c:v>0.10347200000000001</c:v>
                </c:pt>
                <c:pt idx="473">
                  <c:v>0.10371999999999999</c:v>
                </c:pt>
                <c:pt idx="474">
                  <c:v>0.10397000000000001</c:v>
                </c:pt>
                <c:pt idx="475">
                  <c:v>0.104222</c:v>
                </c:pt>
                <c:pt idx="476">
                  <c:v>0.10449799999999999</c:v>
                </c:pt>
                <c:pt idx="477">
                  <c:v>0.10477600000000001</c:v>
                </c:pt>
                <c:pt idx="478">
                  <c:v>0.10505399999999999</c:v>
                </c:pt>
                <c:pt idx="479">
                  <c:v>0.10530200000000001</c:v>
                </c:pt>
                <c:pt idx="480">
                  <c:v>0.10555400000000001</c:v>
                </c:pt>
                <c:pt idx="481">
                  <c:v>0.105804</c:v>
                </c:pt>
                <c:pt idx="482">
                  <c:v>0.106054</c:v>
                </c:pt>
                <c:pt idx="483">
                  <c:v>0.10633200000000001</c:v>
                </c:pt>
                <c:pt idx="484">
                  <c:v>0.10658200000000001</c:v>
                </c:pt>
                <c:pt idx="485">
                  <c:v>0.10685800000000001</c:v>
                </c:pt>
                <c:pt idx="486">
                  <c:v>0.107112</c:v>
                </c:pt>
                <c:pt idx="487">
                  <c:v>0.107358</c:v>
                </c:pt>
                <c:pt idx="488">
                  <c:v>0.10761</c:v>
                </c:pt>
                <c:pt idx="489">
                  <c:v>0.10788600000000001</c:v>
                </c:pt>
                <c:pt idx="490">
                  <c:v>0.108166</c:v>
                </c:pt>
                <c:pt idx="491">
                  <c:v>0.10844200000000001</c:v>
                </c:pt>
                <c:pt idx="492">
                  <c:v>0.10872</c:v>
                </c:pt>
                <c:pt idx="493">
                  <c:v>0.10899800000000001</c:v>
                </c:pt>
                <c:pt idx="494">
                  <c:v>0.109276</c:v>
                </c:pt>
                <c:pt idx="495">
                  <c:v>0.10955399999999998</c:v>
                </c:pt>
                <c:pt idx="496">
                  <c:v>0.10983000000000001</c:v>
                </c:pt>
                <c:pt idx="497">
                  <c:v>0.11010999999999999</c:v>
                </c:pt>
                <c:pt idx="498">
                  <c:v>0.110388</c:v>
                </c:pt>
                <c:pt idx="499">
                  <c:v>0.110664</c:v>
                </c:pt>
                <c:pt idx="500">
                  <c:v>0.11097</c:v>
                </c:pt>
                <c:pt idx="501">
                  <c:v>0.11127599999999999</c:v>
                </c:pt>
                <c:pt idx="502">
                  <c:v>0.11158</c:v>
                </c:pt>
                <c:pt idx="503">
                  <c:v>0.111888</c:v>
                </c:pt>
                <c:pt idx="504">
                  <c:v>0.11219200000000001</c:v>
                </c:pt>
                <c:pt idx="505">
                  <c:v>0.112498</c:v>
                </c:pt>
                <c:pt idx="506">
                  <c:v>0.112804</c:v>
                </c:pt>
                <c:pt idx="507">
                  <c:v>0.113108</c:v>
                </c:pt>
                <c:pt idx="508">
                  <c:v>0.113416</c:v>
                </c:pt>
                <c:pt idx="509">
                  <c:v>0.11372</c:v>
                </c:pt>
                <c:pt idx="510">
                  <c:v>0.114026</c:v>
                </c:pt>
                <c:pt idx="511">
                  <c:v>0.114358</c:v>
                </c:pt>
                <c:pt idx="512">
                  <c:v>0.114692</c:v>
                </c:pt>
                <c:pt idx="513">
                  <c:v>0.11502599999999999</c:v>
                </c:pt>
                <c:pt idx="514">
                  <c:v>0.11532999999999999</c:v>
                </c:pt>
                <c:pt idx="515">
                  <c:v>0.11566599999999999</c:v>
                </c:pt>
                <c:pt idx="516">
                  <c:v>0.115998</c:v>
                </c:pt>
                <c:pt idx="517">
                  <c:v>0.116332</c:v>
                </c:pt>
                <c:pt idx="518">
                  <c:v>0.11666399999999999</c:v>
                </c:pt>
                <c:pt idx="519">
                  <c:v>0.11699799999999999</c:v>
                </c:pt>
                <c:pt idx="520">
                  <c:v>0.11730399999999999</c:v>
                </c:pt>
                <c:pt idx="521">
                  <c:v>0.117636</c:v>
                </c:pt>
                <c:pt idx="522">
                  <c:v>0.11797200000000001</c:v>
                </c:pt>
                <c:pt idx="523">
                  <c:v>0.11830399999999999</c:v>
                </c:pt>
                <c:pt idx="524">
                  <c:v>0.11863600000000001</c:v>
                </c:pt>
                <c:pt idx="525">
                  <c:v>0.11899800000000001</c:v>
                </c:pt>
                <c:pt idx="526">
                  <c:v>0.11935999999999999</c:v>
                </c:pt>
                <c:pt idx="527">
                  <c:v>0.11971999999999999</c:v>
                </c:pt>
                <c:pt idx="528">
                  <c:v>0.12007999999999999</c:v>
                </c:pt>
                <c:pt idx="529">
                  <c:v>0.120444</c:v>
                </c:pt>
                <c:pt idx="530">
                  <c:v>0.12080199999999999</c:v>
                </c:pt>
                <c:pt idx="531">
                  <c:v>0.121166</c:v>
                </c:pt>
                <c:pt idx="532">
                  <c:v>0.12152400000000001</c:v>
                </c:pt>
                <c:pt idx="533">
                  <c:v>0.12188800000000001</c:v>
                </c:pt>
                <c:pt idx="534">
                  <c:v>0.12224600000000001</c:v>
                </c:pt>
                <c:pt idx="535">
                  <c:v>0.122638</c:v>
                </c:pt>
                <c:pt idx="536">
                  <c:v>0.122998</c:v>
                </c:pt>
                <c:pt idx="537">
                  <c:v>0.12338800000000001</c:v>
                </c:pt>
                <c:pt idx="538">
                  <c:v>0.123776</c:v>
                </c:pt>
                <c:pt idx="539">
                  <c:v>0.12416600000000001</c:v>
                </c:pt>
                <c:pt idx="540">
                  <c:v>0.124552</c:v>
                </c:pt>
                <c:pt idx="541">
                  <c:v>0.124942</c:v>
                </c:pt>
                <c:pt idx="542">
                  <c:v>0.12533</c:v>
                </c:pt>
                <c:pt idx="543">
                  <c:v>0.12575</c:v>
                </c:pt>
                <c:pt idx="544">
                  <c:v>0.126136</c:v>
                </c:pt>
                <c:pt idx="545">
                  <c:v>0.126526</c:v>
                </c:pt>
                <c:pt idx="546">
                  <c:v>0.126942</c:v>
                </c:pt>
                <c:pt idx="547">
                  <c:v>0.12736</c:v>
                </c:pt>
                <c:pt idx="548">
                  <c:v>0.127776</c:v>
                </c:pt>
                <c:pt idx="549">
                  <c:v>0.128166</c:v>
                </c:pt>
                <c:pt idx="550">
                  <c:v>0.128582</c:v>
                </c:pt>
                <c:pt idx="551">
                  <c:v>0.128998</c:v>
                </c:pt>
                <c:pt idx="552">
                  <c:v>0.129416</c:v>
                </c:pt>
                <c:pt idx="553">
                  <c:v>0.129858</c:v>
                </c:pt>
                <c:pt idx="554">
                  <c:v>0.130304</c:v>
                </c:pt>
                <c:pt idx="555">
                  <c:v>0.130748</c:v>
                </c:pt>
                <c:pt idx="556">
                  <c:v>0.13119400000000001</c:v>
                </c:pt>
                <c:pt idx="557">
                  <c:v>0.131636</c:v>
                </c:pt>
                <c:pt idx="558">
                  <c:v>0.13208</c:v>
                </c:pt>
                <c:pt idx="559">
                  <c:v>0.132526</c:v>
                </c:pt>
                <c:pt idx="560">
                  <c:v>0.13297</c:v>
                </c:pt>
                <c:pt idx="561">
                  <c:v>0.13344400000000001</c:v>
                </c:pt>
                <c:pt idx="562">
                  <c:v>0.13391400000000001</c:v>
                </c:pt>
                <c:pt idx="563">
                  <c:v>0.13438600000000001</c:v>
                </c:pt>
                <c:pt idx="564">
                  <c:v>0.13488800000000001</c:v>
                </c:pt>
                <c:pt idx="565">
                  <c:v>0.13538600000000001</c:v>
                </c:pt>
                <c:pt idx="566">
                  <c:v>0.13586000000000001</c:v>
                </c:pt>
                <c:pt idx="567">
                  <c:v>0.13635999999999998</c:v>
                </c:pt>
                <c:pt idx="568">
                  <c:v>0.13686000000000001</c:v>
                </c:pt>
                <c:pt idx="569">
                  <c:v>0.13733200000000001</c:v>
                </c:pt>
                <c:pt idx="570">
                  <c:v>0.13783200000000001</c:v>
                </c:pt>
                <c:pt idx="571">
                  <c:v>0.13833200000000001</c:v>
                </c:pt>
                <c:pt idx="572">
                  <c:v>0.13883200000000001</c:v>
                </c:pt>
                <c:pt idx="573">
                  <c:v>0.13936000000000001</c:v>
                </c:pt>
                <c:pt idx="574">
                  <c:v>0.13988799999999998</c:v>
                </c:pt>
                <c:pt idx="575">
                  <c:v>0.14041600000000001</c:v>
                </c:pt>
                <c:pt idx="576">
                  <c:v>0.14096999999999998</c:v>
                </c:pt>
                <c:pt idx="577">
                  <c:v>0.14152599999999999</c:v>
                </c:pt>
                <c:pt idx="578">
                  <c:v>0.14208000000000001</c:v>
                </c:pt>
                <c:pt idx="579">
                  <c:v>0.14266600000000002</c:v>
                </c:pt>
                <c:pt idx="580">
                  <c:v>0.14324799999999999</c:v>
                </c:pt>
                <c:pt idx="581">
                  <c:v>0.14385799999999999</c:v>
                </c:pt>
                <c:pt idx="582">
                  <c:v>0.14638799999999999</c:v>
                </c:pt>
                <c:pt idx="583">
                  <c:v>0.14721999999999999</c:v>
                </c:pt>
                <c:pt idx="584">
                  <c:v>0.14805400000000002</c:v>
                </c:pt>
                <c:pt idx="585">
                  <c:v>0.14888799999999999</c:v>
                </c:pt>
                <c:pt idx="586">
                  <c:v>0.14972200000000002</c:v>
                </c:pt>
                <c:pt idx="587">
                  <c:v>0.15055399999999999</c:v>
                </c:pt>
                <c:pt idx="588">
                  <c:v>0.15138799999999999</c:v>
                </c:pt>
                <c:pt idx="589">
                  <c:v>0.15221999999999999</c:v>
                </c:pt>
                <c:pt idx="590">
                  <c:v>0.153054</c:v>
                </c:pt>
                <c:pt idx="591">
                  <c:v>0.153888</c:v>
                </c:pt>
              </c:numCache>
            </c:numRef>
          </c:cat>
          <c:val>
            <c:numRef>
              <c:f>'A10-1'!$F$2:$F$593</c:f>
              <c:numCache>
                <c:formatCode>0.00</c:formatCode>
                <c:ptCount val="592"/>
                <c:pt idx="0">
                  <c:v>7.0461625132555673E-3</c:v>
                </c:pt>
                <c:pt idx="1">
                  <c:v>7.0461625132555673E-3</c:v>
                </c:pt>
                <c:pt idx="2">
                  <c:v>0.24309467788971367</c:v>
                </c:pt>
                <c:pt idx="3">
                  <c:v>0.25013669803817601</c:v>
                </c:pt>
                <c:pt idx="4">
                  <c:v>0.26069972826086951</c:v>
                </c:pt>
                <c:pt idx="5">
                  <c:v>0.26069972826086951</c:v>
                </c:pt>
                <c:pt idx="6">
                  <c:v>0.26069972826086951</c:v>
                </c:pt>
                <c:pt idx="7">
                  <c:v>0.26422073833510068</c:v>
                </c:pt>
                <c:pt idx="8">
                  <c:v>0.26776246023329803</c:v>
                </c:pt>
                <c:pt idx="9">
                  <c:v>0.27832549045599153</c:v>
                </c:pt>
                <c:pt idx="10">
                  <c:v>0.2818465005302227</c:v>
                </c:pt>
                <c:pt idx="11">
                  <c:v>0.2818465005302227</c:v>
                </c:pt>
                <c:pt idx="12">
                  <c:v>0.28536751060445387</c:v>
                </c:pt>
                <c:pt idx="13">
                  <c:v>0.28888852067868503</c:v>
                </c:pt>
                <c:pt idx="14">
                  <c:v>0.29240953075291626</c:v>
                </c:pt>
                <c:pt idx="15">
                  <c:v>0.29593054082714737</c:v>
                </c:pt>
                <c:pt idx="16">
                  <c:v>0.29945155090137854</c:v>
                </c:pt>
                <c:pt idx="17">
                  <c:v>0.30651428287380694</c:v>
                </c:pt>
                <c:pt idx="18">
                  <c:v>0.30297256097560976</c:v>
                </c:pt>
                <c:pt idx="19">
                  <c:v>0.30651428287380694</c:v>
                </c:pt>
                <c:pt idx="20">
                  <c:v>0.30297256097560976</c:v>
                </c:pt>
                <c:pt idx="21">
                  <c:v>0.30651428287380694</c:v>
                </c:pt>
                <c:pt idx="22">
                  <c:v>0.31355630302226933</c:v>
                </c:pt>
                <c:pt idx="23">
                  <c:v>0.32411933324496284</c:v>
                </c:pt>
                <c:pt idx="24">
                  <c:v>0.32764034331919406</c:v>
                </c:pt>
                <c:pt idx="25">
                  <c:v>0.33468236346765634</c:v>
                </c:pt>
                <c:pt idx="26">
                  <c:v>0.33468236346765634</c:v>
                </c:pt>
                <c:pt idx="27">
                  <c:v>0.33468236346765634</c:v>
                </c:pt>
                <c:pt idx="28">
                  <c:v>0.33820337354188762</c:v>
                </c:pt>
                <c:pt idx="29">
                  <c:v>0.33468236346765634</c:v>
                </c:pt>
                <c:pt idx="30">
                  <c:v>0.33468236346765634</c:v>
                </c:pt>
                <c:pt idx="31">
                  <c:v>0.33468236346765634</c:v>
                </c:pt>
                <c:pt idx="32">
                  <c:v>0.33468236346765634</c:v>
                </c:pt>
                <c:pt idx="33">
                  <c:v>0.33820337354188762</c:v>
                </c:pt>
                <c:pt idx="34">
                  <c:v>0.33820337354188762</c:v>
                </c:pt>
                <c:pt idx="35">
                  <c:v>0.33820337354188762</c:v>
                </c:pt>
                <c:pt idx="36">
                  <c:v>0.33820337354188762</c:v>
                </c:pt>
                <c:pt idx="37">
                  <c:v>0.33820337354188762</c:v>
                </c:pt>
                <c:pt idx="38">
                  <c:v>0.33820337354188762</c:v>
                </c:pt>
                <c:pt idx="39">
                  <c:v>0.3417450954400848</c:v>
                </c:pt>
                <c:pt idx="40">
                  <c:v>0.3417450954400848</c:v>
                </c:pt>
                <c:pt idx="41">
                  <c:v>0.34526610551431602</c:v>
                </c:pt>
                <c:pt idx="42">
                  <c:v>0.34878711558854719</c:v>
                </c:pt>
                <c:pt idx="43">
                  <c:v>0.35230812566277842</c:v>
                </c:pt>
                <c:pt idx="44">
                  <c:v>0.35582913573700953</c:v>
                </c:pt>
                <c:pt idx="45">
                  <c:v>0.3593501458112407</c:v>
                </c:pt>
                <c:pt idx="46">
                  <c:v>0.36639216595970309</c:v>
                </c:pt>
                <c:pt idx="47">
                  <c:v>0.36991317603393425</c:v>
                </c:pt>
                <c:pt idx="48">
                  <c:v>0.36991317603393425</c:v>
                </c:pt>
                <c:pt idx="49">
                  <c:v>0.37343418610816542</c:v>
                </c:pt>
                <c:pt idx="50">
                  <c:v>0.37343418610816542</c:v>
                </c:pt>
                <c:pt idx="51">
                  <c:v>0.37343418610816542</c:v>
                </c:pt>
                <c:pt idx="52">
                  <c:v>0.37697590800636266</c:v>
                </c:pt>
                <c:pt idx="53">
                  <c:v>0.37697590800636266</c:v>
                </c:pt>
                <c:pt idx="54">
                  <c:v>0.37697590800636266</c:v>
                </c:pt>
                <c:pt idx="55">
                  <c:v>0.37697590800636266</c:v>
                </c:pt>
                <c:pt idx="56">
                  <c:v>0.37697590800636266</c:v>
                </c:pt>
                <c:pt idx="57">
                  <c:v>0.37697590800636266</c:v>
                </c:pt>
                <c:pt idx="58">
                  <c:v>0.37697590800636266</c:v>
                </c:pt>
                <c:pt idx="59">
                  <c:v>0.37697590800636266</c:v>
                </c:pt>
                <c:pt idx="60">
                  <c:v>0.37697590800636266</c:v>
                </c:pt>
                <c:pt idx="61">
                  <c:v>0.38049691808059383</c:v>
                </c:pt>
                <c:pt idx="62">
                  <c:v>0.38049691808059383</c:v>
                </c:pt>
                <c:pt idx="63">
                  <c:v>0.38049691808059383</c:v>
                </c:pt>
                <c:pt idx="64">
                  <c:v>0.38049691808059383</c:v>
                </c:pt>
                <c:pt idx="65">
                  <c:v>0.38049691808059383</c:v>
                </c:pt>
                <c:pt idx="66">
                  <c:v>0.38049691808059383</c:v>
                </c:pt>
                <c:pt idx="67">
                  <c:v>0.38401792815482499</c:v>
                </c:pt>
                <c:pt idx="68">
                  <c:v>0.38401792815482499</c:v>
                </c:pt>
                <c:pt idx="69">
                  <c:v>0.38401792815482499</c:v>
                </c:pt>
                <c:pt idx="70">
                  <c:v>0.38401792815482499</c:v>
                </c:pt>
                <c:pt idx="71">
                  <c:v>0.39105994830328739</c:v>
                </c:pt>
                <c:pt idx="72">
                  <c:v>0.3945809583775185</c:v>
                </c:pt>
                <c:pt idx="73">
                  <c:v>0.40162297852598083</c:v>
                </c:pt>
                <c:pt idx="74">
                  <c:v>0.41572773064687168</c:v>
                </c:pt>
                <c:pt idx="75">
                  <c:v>0.42629076086956519</c:v>
                </c:pt>
                <c:pt idx="76">
                  <c:v>0.44037480116648992</c:v>
                </c:pt>
                <c:pt idx="77">
                  <c:v>0.45095854321314949</c:v>
                </c:pt>
                <c:pt idx="78">
                  <c:v>0.46152157343584305</c:v>
                </c:pt>
                <c:pt idx="79">
                  <c:v>0.47560561373276777</c:v>
                </c:pt>
                <c:pt idx="80">
                  <c:v>0.48618935577942735</c:v>
                </c:pt>
                <c:pt idx="81">
                  <c:v>0.4967523860021209</c:v>
                </c:pt>
                <c:pt idx="82">
                  <c:v>0.51083642629904558</c:v>
                </c:pt>
                <c:pt idx="83">
                  <c:v>0.52142016834570515</c:v>
                </c:pt>
                <c:pt idx="84">
                  <c:v>0.53550420864262993</c:v>
                </c:pt>
                <c:pt idx="85">
                  <c:v>0.54254622879109227</c:v>
                </c:pt>
                <c:pt idx="86">
                  <c:v>0.55665098091198306</c:v>
                </c:pt>
                <c:pt idx="87">
                  <c:v>0.57073502120890773</c:v>
                </c:pt>
                <c:pt idx="88">
                  <c:v>0.58481906150583252</c:v>
                </c:pt>
                <c:pt idx="89">
                  <c:v>0.5989238136267232</c:v>
                </c:pt>
                <c:pt idx="90">
                  <c:v>0.61300785392364787</c:v>
                </c:pt>
                <c:pt idx="91">
                  <c:v>0.62711260604453867</c:v>
                </c:pt>
                <c:pt idx="92">
                  <c:v>0.64119664634146334</c:v>
                </c:pt>
                <c:pt idx="93">
                  <c:v>0.65528068663838812</c:v>
                </c:pt>
                <c:pt idx="94">
                  <c:v>0.66938543875927892</c:v>
                </c:pt>
                <c:pt idx="95">
                  <c:v>0.68346947905620359</c:v>
                </c:pt>
                <c:pt idx="96">
                  <c:v>0.69757423117709438</c:v>
                </c:pt>
                <c:pt idx="97">
                  <c:v>0.71165827147401906</c:v>
                </c:pt>
                <c:pt idx="98">
                  <c:v>0.72574231177094373</c:v>
                </c:pt>
                <c:pt idx="99">
                  <c:v>0.73984706389183441</c:v>
                </c:pt>
                <c:pt idx="100">
                  <c:v>0.7539311041887593</c:v>
                </c:pt>
                <c:pt idx="101">
                  <c:v>0.76803585630964999</c:v>
                </c:pt>
                <c:pt idx="102">
                  <c:v>0.78211989660657477</c:v>
                </c:pt>
                <c:pt idx="103">
                  <c:v>0.79620393690349944</c:v>
                </c:pt>
                <c:pt idx="104">
                  <c:v>0.81030868902439024</c:v>
                </c:pt>
                <c:pt idx="105">
                  <c:v>0.8243927293213148</c:v>
                </c:pt>
                <c:pt idx="106">
                  <c:v>0.83849748144220571</c:v>
                </c:pt>
                <c:pt idx="107">
                  <c:v>0.85258152173913038</c:v>
                </c:pt>
                <c:pt idx="108">
                  <c:v>0.86666556203605516</c:v>
                </c:pt>
                <c:pt idx="109">
                  <c:v>0.88077031415694584</c:v>
                </c:pt>
                <c:pt idx="110">
                  <c:v>0.89485435445387052</c:v>
                </c:pt>
                <c:pt idx="111">
                  <c:v>0.90893839475079519</c:v>
                </c:pt>
                <c:pt idx="112">
                  <c:v>0.92304314687168609</c:v>
                </c:pt>
                <c:pt idx="113">
                  <c:v>0.93712718716861088</c:v>
                </c:pt>
                <c:pt idx="114">
                  <c:v>0.95123193928950156</c:v>
                </c:pt>
                <c:pt idx="115">
                  <c:v>0.96531597958642623</c:v>
                </c:pt>
                <c:pt idx="116">
                  <c:v>0.9794000198833509</c:v>
                </c:pt>
                <c:pt idx="117">
                  <c:v>0.99350477200424181</c:v>
                </c:pt>
                <c:pt idx="118">
                  <c:v>1.0075888123011665</c:v>
                </c:pt>
                <c:pt idx="119">
                  <c:v>1.0216935644220573</c:v>
                </c:pt>
                <c:pt idx="120">
                  <c:v>1.0357776047189819</c:v>
                </c:pt>
                <c:pt idx="121">
                  <c:v>1.0498616450159066</c:v>
                </c:pt>
                <c:pt idx="122">
                  <c:v>1.0639663971367974</c:v>
                </c:pt>
                <c:pt idx="123">
                  <c:v>1.0780504374337219</c:v>
                </c:pt>
                <c:pt idx="124">
                  <c:v>1.0921551895546129</c:v>
                </c:pt>
                <c:pt idx="125">
                  <c:v>1.1062392298515376</c:v>
                </c:pt>
                <c:pt idx="126">
                  <c:v>1.1203232701484624</c:v>
                </c:pt>
                <c:pt idx="127">
                  <c:v>1.134428022269353</c:v>
                </c:pt>
                <c:pt idx="128">
                  <c:v>1.1485120625662779</c:v>
                </c:pt>
                <c:pt idx="129">
                  <c:v>1.1626168146871687</c:v>
                </c:pt>
                <c:pt idx="130">
                  <c:v>1.1767008549840932</c:v>
                </c:pt>
                <c:pt idx="131">
                  <c:v>1.1907848952810181</c:v>
                </c:pt>
                <c:pt idx="132">
                  <c:v>1.2048896474019086</c:v>
                </c:pt>
                <c:pt idx="133">
                  <c:v>1.2189736876988335</c:v>
                </c:pt>
                <c:pt idx="134">
                  <c:v>1.2330784398197241</c:v>
                </c:pt>
                <c:pt idx="135">
                  <c:v>1.247162480116649</c:v>
                </c:pt>
                <c:pt idx="136">
                  <c:v>1.2612465204135737</c:v>
                </c:pt>
                <c:pt idx="137">
                  <c:v>1.2753512725344645</c:v>
                </c:pt>
                <c:pt idx="138">
                  <c:v>1.2894353128313891</c:v>
                </c:pt>
                <c:pt idx="139">
                  <c:v>1.3035400649522799</c:v>
                </c:pt>
                <c:pt idx="140">
                  <c:v>1.3176241052492044</c:v>
                </c:pt>
                <c:pt idx="141">
                  <c:v>1.3317081455461293</c:v>
                </c:pt>
                <c:pt idx="142">
                  <c:v>1.3458128976670198</c:v>
                </c:pt>
                <c:pt idx="143">
                  <c:v>1.359896937963945</c:v>
                </c:pt>
                <c:pt idx="144">
                  <c:v>1.3740016900848355</c:v>
                </c:pt>
                <c:pt idx="145">
                  <c:v>1.3880857303817602</c:v>
                </c:pt>
                <c:pt idx="146">
                  <c:v>1.4021697706786851</c:v>
                </c:pt>
                <c:pt idx="147">
                  <c:v>1.4162745227995757</c:v>
                </c:pt>
                <c:pt idx="148">
                  <c:v>1.4303585630965006</c:v>
                </c:pt>
                <c:pt idx="149">
                  <c:v>1.4444633152173911</c:v>
                </c:pt>
                <c:pt idx="150">
                  <c:v>1.458547355514316</c:v>
                </c:pt>
                <c:pt idx="151">
                  <c:v>1.4726313958112407</c:v>
                </c:pt>
                <c:pt idx="152">
                  <c:v>1.4867361479321313</c:v>
                </c:pt>
                <c:pt idx="153">
                  <c:v>1.5008201882290564</c:v>
                </c:pt>
                <c:pt idx="154">
                  <c:v>1.5149042285259808</c:v>
                </c:pt>
                <c:pt idx="155">
                  <c:v>1.5290089806468714</c:v>
                </c:pt>
                <c:pt idx="156">
                  <c:v>1.5430930209437963</c:v>
                </c:pt>
                <c:pt idx="157">
                  <c:v>1.5571977730646871</c:v>
                </c:pt>
                <c:pt idx="158">
                  <c:v>1.571281813361612</c:v>
                </c:pt>
                <c:pt idx="159">
                  <c:v>1.5853658536585364</c:v>
                </c:pt>
                <c:pt idx="160">
                  <c:v>1.599470605779427</c:v>
                </c:pt>
                <c:pt idx="161">
                  <c:v>1.6135546460763521</c:v>
                </c:pt>
                <c:pt idx="162">
                  <c:v>1.6276593981972427</c:v>
                </c:pt>
                <c:pt idx="163">
                  <c:v>1.6417434384941676</c:v>
                </c:pt>
                <c:pt idx="164">
                  <c:v>1.655827478791092</c:v>
                </c:pt>
                <c:pt idx="165">
                  <c:v>1.6699322309119828</c:v>
                </c:pt>
                <c:pt idx="166">
                  <c:v>1.6840162712089077</c:v>
                </c:pt>
                <c:pt idx="167">
                  <c:v>1.6981210233297983</c:v>
                </c:pt>
                <c:pt idx="168">
                  <c:v>1.7122050636267234</c:v>
                </c:pt>
                <c:pt idx="169">
                  <c:v>1.7262891039236479</c:v>
                </c:pt>
                <c:pt idx="170">
                  <c:v>1.7403938560445384</c:v>
                </c:pt>
                <c:pt idx="171">
                  <c:v>1.7544778963414633</c:v>
                </c:pt>
                <c:pt idx="172">
                  <c:v>1.7685826484623541</c:v>
                </c:pt>
                <c:pt idx="173">
                  <c:v>1.7826666887592788</c:v>
                </c:pt>
                <c:pt idx="174">
                  <c:v>1.7967507290562035</c:v>
                </c:pt>
                <c:pt idx="175">
                  <c:v>1.8108554811770941</c:v>
                </c:pt>
                <c:pt idx="176">
                  <c:v>1.8249395214740192</c:v>
                </c:pt>
                <c:pt idx="177">
                  <c:v>1.8390442735949097</c:v>
                </c:pt>
                <c:pt idx="178">
                  <c:v>1.8531283138918344</c:v>
                </c:pt>
                <c:pt idx="179">
                  <c:v>1.8672123541887591</c:v>
                </c:pt>
                <c:pt idx="180">
                  <c:v>1.8813171063096501</c:v>
                </c:pt>
                <c:pt idx="181">
                  <c:v>1.8954011466065748</c:v>
                </c:pt>
                <c:pt idx="182">
                  <c:v>1.9095058987274653</c:v>
                </c:pt>
                <c:pt idx="183">
                  <c:v>1.92358993902439</c:v>
                </c:pt>
                <c:pt idx="184">
                  <c:v>1.941194989395546</c:v>
                </c:pt>
                <c:pt idx="185">
                  <c:v>1.9552997415164368</c:v>
                </c:pt>
                <c:pt idx="186">
                  <c:v>1.9693837818133615</c:v>
                </c:pt>
                <c:pt idx="187">
                  <c:v>1.9834885339342523</c:v>
                </c:pt>
                <c:pt idx="188">
                  <c:v>1.997572574231177</c:v>
                </c:pt>
                <c:pt idx="189">
                  <c:v>2.0116566145281021</c:v>
                </c:pt>
                <c:pt idx="190">
                  <c:v>2.0257613666489926</c:v>
                </c:pt>
                <c:pt idx="191">
                  <c:v>2.0398454069459171</c:v>
                </c:pt>
                <c:pt idx="192">
                  <c:v>2.0539501590668081</c:v>
                </c:pt>
                <c:pt idx="193">
                  <c:v>2.0680341993637326</c:v>
                </c:pt>
                <c:pt idx="194">
                  <c:v>2.0821596633085897</c:v>
                </c:pt>
                <c:pt idx="195">
                  <c:v>2.0962437036055142</c:v>
                </c:pt>
                <c:pt idx="196">
                  <c:v>2.1138487539766699</c:v>
                </c:pt>
                <c:pt idx="197">
                  <c:v>2.1279327942735948</c:v>
                </c:pt>
                <c:pt idx="198">
                  <c:v>2.1420168345705197</c:v>
                </c:pt>
                <c:pt idx="199">
                  <c:v>2.1561008748674437</c:v>
                </c:pt>
                <c:pt idx="200">
                  <c:v>2.1701849151643691</c:v>
                </c:pt>
                <c:pt idx="201">
                  <c:v>2.1842689554612935</c:v>
                </c:pt>
                <c:pt idx="202">
                  <c:v>2.1983529957582184</c:v>
                </c:pt>
                <c:pt idx="203">
                  <c:v>2.2159580461293742</c:v>
                </c:pt>
                <c:pt idx="204">
                  <c:v>2.2300420864262991</c:v>
                </c:pt>
                <c:pt idx="205">
                  <c:v>2.2441261267232235</c:v>
                </c:pt>
                <c:pt idx="206">
                  <c:v>2.2617311770943793</c:v>
                </c:pt>
                <c:pt idx="207">
                  <c:v>2.2758152173913042</c:v>
                </c:pt>
                <c:pt idx="208">
                  <c:v>2.2898992576882291</c:v>
                </c:pt>
                <c:pt idx="209">
                  <c:v>2.3039832979851536</c:v>
                </c:pt>
                <c:pt idx="210">
                  <c:v>2.3182744565217392</c:v>
                </c:pt>
                <c:pt idx="211">
                  <c:v>2.3323584968186637</c:v>
                </c:pt>
                <c:pt idx="212">
                  <c:v>2.3464425371155886</c:v>
                </c:pt>
                <c:pt idx="213">
                  <c:v>2.360526577412513</c:v>
                </c:pt>
                <c:pt idx="214">
                  <c:v>2.3746106177094379</c:v>
                </c:pt>
                <c:pt idx="215">
                  <c:v>2.3886946580063628</c:v>
                </c:pt>
                <c:pt idx="216">
                  <c:v>2.4027786983032873</c:v>
                </c:pt>
                <c:pt idx="217">
                  <c:v>2.4203837486744431</c:v>
                </c:pt>
                <c:pt idx="218">
                  <c:v>2.4379887990455993</c:v>
                </c:pt>
                <c:pt idx="219">
                  <c:v>2.4555938494167551</c:v>
                </c:pt>
                <c:pt idx="220">
                  <c:v>2.4696778897136795</c:v>
                </c:pt>
                <c:pt idx="221">
                  <c:v>2.4872829400848353</c:v>
                </c:pt>
                <c:pt idx="222">
                  <c:v>2.5013669803817602</c:v>
                </c:pt>
                <c:pt idx="223">
                  <c:v>2.5154510206786851</c:v>
                </c:pt>
                <c:pt idx="224">
                  <c:v>2.5295350609756095</c:v>
                </c:pt>
                <c:pt idx="225">
                  <c:v>2.5436191012725344</c:v>
                </c:pt>
                <c:pt idx="226">
                  <c:v>2.5577031415694589</c:v>
                </c:pt>
                <c:pt idx="227">
                  <c:v>2.5717871818663838</c:v>
                </c:pt>
                <c:pt idx="228">
                  <c:v>2.5858712221633082</c:v>
                </c:pt>
                <c:pt idx="229">
                  <c:v>2.5999552624602331</c:v>
                </c:pt>
                <c:pt idx="230">
                  <c:v>2.614039302757158</c:v>
                </c:pt>
                <c:pt idx="231">
                  <c:v>2.6281233430540829</c:v>
                </c:pt>
                <c:pt idx="232">
                  <c:v>2.6422073833510069</c:v>
                </c:pt>
                <c:pt idx="233">
                  <c:v>2.6562914236479322</c:v>
                </c:pt>
                <c:pt idx="234">
                  <c:v>2.6703754639448571</c:v>
                </c:pt>
                <c:pt idx="235">
                  <c:v>2.6846666224814419</c:v>
                </c:pt>
                <c:pt idx="236">
                  <c:v>2.6987506627783668</c:v>
                </c:pt>
                <c:pt idx="237">
                  <c:v>2.7128347030752913</c:v>
                </c:pt>
                <c:pt idx="238">
                  <c:v>2.7374817735949093</c:v>
                </c:pt>
                <c:pt idx="239">
                  <c:v>2.7621288441145282</c:v>
                </c:pt>
                <c:pt idx="240">
                  <c:v>2.7832549045599149</c:v>
                </c:pt>
                <c:pt idx="241">
                  <c:v>2.8043809650053024</c:v>
                </c:pt>
                <c:pt idx="242">
                  <c:v>2.8255070254506887</c:v>
                </c:pt>
                <c:pt idx="243">
                  <c:v>2.8466330858960762</c:v>
                </c:pt>
                <c:pt idx="244">
                  <c:v>2.8712801564156942</c:v>
                </c:pt>
                <c:pt idx="245">
                  <c:v>2.8924062168610818</c:v>
                </c:pt>
                <c:pt idx="246">
                  <c:v>2.9170532873806998</c:v>
                </c:pt>
                <c:pt idx="247">
                  <c:v>2.9381793478260869</c:v>
                </c:pt>
                <c:pt idx="248">
                  <c:v>2.959305408271474</c:v>
                </c:pt>
                <c:pt idx="249">
                  <c:v>2.9804314687168612</c:v>
                </c:pt>
                <c:pt idx="250">
                  <c:v>3.0015575291622478</c:v>
                </c:pt>
                <c:pt idx="251">
                  <c:v>3.0226835896076349</c:v>
                </c:pt>
                <c:pt idx="252">
                  <c:v>3.0475377783669138</c:v>
                </c:pt>
                <c:pt idx="253">
                  <c:v>3.0721848488865322</c:v>
                </c:pt>
                <c:pt idx="254">
                  <c:v>3.0968319194061507</c:v>
                </c:pt>
                <c:pt idx="255">
                  <c:v>3.1214789899257687</c:v>
                </c:pt>
                <c:pt idx="256">
                  <c:v>3.1461260604453871</c:v>
                </c:pt>
                <c:pt idx="257">
                  <c:v>3.1707731309650051</c:v>
                </c:pt>
                <c:pt idx="258">
                  <c:v>3.1954202014846236</c:v>
                </c:pt>
                <c:pt idx="259">
                  <c:v>3.2200672720042416</c:v>
                </c:pt>
                <c:pt idx="260">
                  <c:v>3.2447143425238596</c:v>
                </c:pt>
                <c:pt idx="261">
                  <c:v>3.2658404029692472</c:v>
                </c:pt>
                <c:pt idx="262">
                  <c:v>3.2869664634146338</c:v>
                </c:pt>
                <c:pt idx="263">
                  <c:v>3.3116135339342518</c:v>
                </c:pt>
                <c:pt idx="264">
                  <c:v>3.3362606044538707</c:v>
                </c:pt>
                <c:pt idx="265">
                  <c:v>3.3609076749734887</c:v>
                </c:pt>
                <c:pt idx="266">
                  <c:v>3.3855547454931072</c:v>
                </c:pt>
                <c:pt idx="267">
                  <c:v>3.410408934252386</c:v>
                </c:pt>
                <c:pt idx="268">
                  <c:v>3.4315349946977727</c:v>
                </c:pt>
                <c:pt idx="269">
                  <c:v>3.4526610551431598</c:v>
                </c:pt>
                <c:pt idx="270">
                  <c:v>3.4773081256627782</c:v>
                </c:pt>
                <c:pt idx="271">
                  <c:v>3.4984341861081654</c:v>
                </c:pt>
                <c:pt idx="272">
                  <c:v>3.5195602465535525</c:v>
                </c:pt>
                <c:pt idx="273">
                  <c:v>3.5442073170731705</c:v>
                </c:pt>
                <c:pt idx="274">
                  <c:v>3.5688543875927889</c:v>
                </c:pt>
                <c:pt idx="275">
                  <c:v>3.593501458112407</c:v>
                </c:pt>
                <c:pt idx="276">
                  <c:v>3.6181485286320254</c:v>
                </c:pt>
                <c:pt idx="277">
                  <c:v>3.6498376193001061</c:v>
                </c:pt>
                <c:pt idx="278">
                  <c:v>3.6815267099681863</c:v>
                </c:pt>
                <c:pt idx="279">
                  <c:v>3.7096947905620361</c:v>
                </c:pt>
                <c:pt idx="280">
                  <c:v>3.7378628711558854</c:v>
                </c:pt>
                <c:pt idx="281">
                  <c:v>3.7662380699893951</c:v>
                </c:pt>
                <c:pt idx="282">
                  <c:v>3.7944061505832445</c:v>
                </c:pt>
                <c:pt idx="283">
                  <c:v>3.8260952412513252</c:v>
                </c:pt>
                <c:pt idx="284">
                  <c:v>3.8577843319194054</c:v>
                </c:pt>
                <c:pt idx="285">
                  <c:v>3.8894734225874865</c:v>
                </c:pt>
                <c:pt idx="286">
                  <c:v>3.9211625132555668</c:v>
                </c:pt>
                <c:pt idx="287">
                  <c:v>3.949330593849417</c:v>
                </c:pt>
                <c:pt idx="288">
                  <c:v>3.9810196845174972</c:v>
                </c:pt>
                <c:pt idx="289">
                  <c:v>4.0127087751855779</c:v>
                </c:pt>
                <c:pt idx="290">
                  <c:v>4.0443978658536581</c:v>
                </c:pt>
                <c:pt idx="291">
                  <c:v>4.0760869565217392</c:v>
                </c:pt>
                <c:pt idx="292">
                  <c:v>4.1044621553552485</c:v>
                </c:pt>
                <c:pt idx="293">
                  <c:v>4.1361512460233296</c:v>
                </c:pt>
                <c:pt idx="294">
                  <c:v>4.1678403366914099</c:v>
                </c:pt>
                <c:pt idx="295">
                  <c:v>4.199529427359491</c:v>
                </c:pt>
                <c:pt idx="296">
                  <c:v>4.2276975079533399</c:v>
                </c:pt>
                <c:pt idx="297">
                  <c:v>4.259386598621421</c:v>
                </c:pt>
                <c:pt idx="298">
                  <c:v>4.2875546792152699</c:v>
                </c:pt>
                <c:pt idx="299">
                  <c:v>4.3157227598091197</c:v>
                </c:pt>
                <c:pt idx="300">
                  <c:v>4.3474118504771999</c:v>
                </c:pt>
                <c:pt idx="301">
                  <c:v>4.3755799310710497</c:v>
                </c:pt>
                <c:pt idx="302">
                  <c:v>4.4037480116648995</c:v>
                </c:pt>
                <c:pt idx="303">
                  <c:v>4.4354371023329797</c:v>
                </c:pt>
                <c:pt idx="304">
                  <c:v>4.4638123011664899</c:v>
                </c:pt>
                <c:pt idx="305">
                  <c:v>4.495501391834571</c:v>
                </c:pt>
                <c:pt idx="306">
                  <c:v>4.5236694724284199</c:v>
                </c:pt>
                <c:pt idx="307">
                  <c:v>4.5624005832449628</c:v>
                </c:pt>
                <c:pt idx="308">
                  <c:v>4.5976106839872735</c:v>
                </c:pt>
                <c:pt idx="309">
                  <c:v>4.6363417948038173</c:v>
                </c:pt>
                <c:pt idx="310">
                  <c:v>4.675072905620361</c:v>
                </c:pt>
                <c:pt idx="311">
                  <c:v>4.7102830063626717</c:v>
                </c:pt>
                <c:pt idx="312">
                  <c:v>4.7525351272534468</c:v>
                </c:pt>
                <c:pt idx="313">
                  <c:v>4.7912662380699897</c:v>
                </c:pt>
                <c:pt idx="314">
                  <c:v>4.8302044671261921</c:v>
                </c:pt>
                <c:pt idx="315">
                  <c:v>4.8724565880169672</c:v>
                </c:pt>
                <c:pt idx="316">
                  <c:v>4.9147087089077415</c:v>
                </c:pt>
                <c:pt idx="317">
                  <c:v>4.9569608297985157</c:v>
                </c:pt>
                <c:pt idx="318">
                  <c:v>4.9992129506892899</c:v>
                </c:pt>
                <c:pt idx="319">
                  <c:v>5.0414650715800633</c:v>
                </c:pt>
                <c:pt idx="320">
                  <c:v>5.0837171924708375</c:v>
                </c:pt>
                <c:pt idx="321">
                  <c:v>5.1259693133616118</c:v>
                </c:pt>
                <c:pt idx="322">
                  <c:v>5.1611794141039233</c:v>
                </c:pt>
                <c:pt idx="323">
                  <c:v>5.1965966330858961</c:v>
                </c:pt>
                <c:pt idx="324">
                  <c:v>5.2318067338282077</c:v>
                </c:pt>
                <c:pt idx="325">
                  <c:v>5.2670168345705193</c:v>
                </c:pt>
                <c:pt idx="326">
                  <c:v>5.3022269353128308</c:v>
                </c:pt>
                <c:pt idx="327">
                  <c:v>5.3409580461293737</c:v>
                </c:pt>
                <c:pt idx="328">
                  <c:v>5.3761681468716862</c:v>
                </c:pt>
                <c:pt idx="329">
                  <c:v>5.4113782476139969</c:v>
                </c:pt>
                <c:pt idx="330">
                  <c:v>5.4606723886532338</c:v>
                </c:pt>
                <c:pt idx="331">
                  <c:v>5.5064455196182394</c:v>
                </c:pt>
                <c:pt idx="332">
                  <c:v>5.5524257688229044</c:v>
                </c:pt>
                <c:pt idx="333">
                  <c:v>5.5981988997879109</c:v>
                </c:pt>
                <c:pt idx="334">
                  <c:v>5.6474930408271478</c:v>
                </c:pt>
                <c:pt idx="335">
                  <c:v>5.6932661717921524</c:v>
                </c:pt>
                <c:pt idx="336">
                  <c:v>5.7425603128313885</c:v>
                </c:pt>
                <c:pt idx="337">
                  <c:v>5.788333443796394</c:v>
                </c:pt>
                <c:pt idx="338">
                  <c:v>5.8376275848356309</c:v>
                </c:pt>
                <c:pt idx="339">
                  <c:v>5.883607834040296</c:v>
                </c:pt>
                <c:pt idx="340">
                  <c:v>5.9329019750795329</c:v>
                </c:pt>
                <c:pt idx="341">
                  <c:v>5.9821961161187689</c:v>
                </c:pt>
                <c:pt idx="342">
                  <c:v>6.0314902571580058</c:v>
                </c:pt>
                <c:pt idx="343">
                  <c:v>6.0807843981972418</c:v>
                </c:pt>
                <c:pt idx="344">
                  <c:v>6.1300785392364796</c:v>
                </c:pt>
                <c:pt idx="345">
                  <c:v>6.1793726802757156</c:v>
                </c:pt>
                <c:pt idx="346">
                  <c:v>6.2216248011664899</c:v>
                </c:pt>
                <c:pt idx="347">
                  <c:v>6.2711260604453862</c:v>
                </c:pt>
                <c:pt idx="348">
                  <c:v>6.3204202014846231</c:v>
                </c:pt>
                <c:pt idx="349">
                  <c:v>6.36971434252386</c:v>
                </c:pt>
                <c:pt idx="350">
                  <c:v>6.4190084835630961</c:v>
                </c:pt>
                <c:pt idx="351">
                  <c:v>6.468302624602333</c:v>
                </c:pt>
                <c:pt idx="352">
                  <c:v>6.517596765641569</c:v>
                </c:pt>
                <c:pt idx="353">
                  <c:v>6.5704119167550372</c:v>
                </c:pt>
                <c:pt idx="354">
                  <c:v>6.6199131760339336</c:v>
                </c:pt>
                <c:pt idx="355">
                  <c:v>6.6692073170731705</c:v>
                </c:pt>
                <c:pt idx="356">
                  <c:v>6.7185014581124065</c:v>
                </c:pt>
                <c:pt idx="357">
                  <c:v>6.7713166092258747</c:v>
                </c:pt>
                <c:pt idx="358">
                  <c:v>6.824131760339343</c:v>
                </c:pt>
                <c:pt idx="359">
                  <c:v>6.8769469114528095</c:v>
                </c:pt>
                <c:pt idx="360">
                  <c:v>6.9297620625662777</c:v>
                </c:pt>
                <c:pt idx="361">
                  <c:v>6.9827843319194054</c:v>
                </c:pt>
                <c:pt idx="362">
                  <c:v>7.0320784729586423</c:v>
                </c:pt>
                <c:pt idx="363">
                  <c:v>7.0848936240721105</c:v>
                </c:pt>
                <c:pt idx="364">
                  <c:v>7.1377087751855779</c:v>
                </c:pt>
                <c:pt idx="365">
                  <c:v>7.1905239262990461</c:v>
                </c:pt>
                <c:pt idx="366">
                  <c:v>7.2433390774125135</c:v>
                </c:pt>
                <c:pt idx="367">
                  <c:v>7.3067172587486739</c:v>
                </c:pt>
                <c:pt idx="368">
                  <c:v>7.3703025583244965</c:v>
                </c:pt>
                <c:pt idx="369">
                  <c:v>7.4336807396606579</c:v>
                </c:pt>
                <c:pt idx="370">
                  <c:v>7.4900169008483557</c:v>
                </c:pt>
                <c:pt idx="371">
                  <c:v>7.5533950821845171</c:v>
                </c:pt>
                <c:pt idx="372">
                  <c:v>7.6202942735949106</c:v>
                </c:pt>
                <c:pt idx="373">
                  <c:v>7.6838795731707314</c:v>
                </c:pt>
                <c:pt idx="374">
                  <c:v>7.7402157343584301</c:v>
                </c:pt>
                <c:pt idx="375">
                  <c:v>7.8035939156945906</c:v>
                </c:pt>
                <c:pt idx="376">
                  <c:v>7.8599300768822911</c:v>
                </c:pt>
                <c:pt idx="377">
                  <c:v>7.9233082582184515</c:v>
                </c:pt>
                <c:pt idx="378">
                  <c:v>7.9796444194061493</c:v>
                </c:pt>
                <c:pt idx="379">
                  <c:v>8.0361876988335101</c:v>
                </c:pt>
                <c:pt idx="380">
                  <c:v>8.0925238600212097</c:v>
                </c:pt>
                <c:pt idx="381">
                  <c:v>8.1488600212089075</c:v>
                </c:pt>
                <c:pt idx="382">
                  <c:v>8.2157592126193002</c:v>
                </c:pt>
                <c:pt idx="383">
                  <c:v>8.2826584040296911</c:v>
                </c:pt>
                <c:pt idx="384">
                  <c:v>8.353078605514316</c:v>
                </c:pt>
                <c:pt idx="385">
                  <c:v>8.4201849151643682</c:v>
                </c:pt>
                <c:pt idx="386">
                  <c:v>8.4906051166489931</c:v>
                </c:pt>
                <c:pt idx="387">
                  <c:v>8.5575043080593858</c:v>
                </c:pt>
                <c:pt idx="388">
                  <c:v>8.6279245095440071</c:v>
                </c:pt>
                <c:pt idx="389">
                  <c:v>8.698344711028632</c:v>
                </c:pt>
                <c:pt idx="390">
                  <c:v>8.7689720307529164</c:v>
                </c:pt>
                <c:pt idx="391">
                  <c:v>8.8393922322375378</c:v>
                </c:pt>
                <c:pt idx="392">
                  <c:v>8.9098124337221627</c:v>
                </c:pt>
                <c:pt idx="393">
                  <c:v>8.9802326352067876</c:v>
                </c:pt>
                <c:pt idx="394">
                  <c:v>9.0506528366914107</c:v>
                </c:pt>
                <c:pt idx="395">
                  <c:v>9.1248011664899256</c:v>
                </c:pt>
                <c:pt idx="396">
                  <c:v>9.1987423780487791</c:v>
                </c:pt>
                <c:pt idx="397">
                  <c:v>9.2691625795334041</c:v>
                </c:pt>
                <c:pt idx="398">
                  <c:v>9.3431037910922576</c:v>
                </c:pt>
                <c:pt idx="399">
                  <c:v>9.4135239925768825</c:v>
                </c:pt>
                <c:pt idx="400">
                  <c:v>9.4841513123011669</c:v>
                </c:pt>
                <c:pt idx="401">
                  <c:v>9.5580925238600205</c:v>
                </c:pt>
                <c:pt idx="402">
                  <c:v>9.6285127253446454</c:v>
                </c:pt>
                <c:pt idx="403">
                  <c:v>9.702453936903499</c:v>
                </c:pt>
                <c:pt idx="404">
                  <c:v>9.7728741383881239</c:v>
                </c:pt>
                <c:pt idx="405">
                  <c:v>9.847022468186637</c:v>
                </c:pt>
                <c:pt idx="406">
                  <c:v>9.9209636797454941</c:v>
                </c:pt>
                <c:pt idx="407">
                  <c:v>10.005467921527041</c:v>
                </c:pt>
                <c:pt idx="408">
                  <c:v>10.089972163308589</c:v>
                </c:pt>
                <c:pt idx="409">
                  <c:v>10.174683523329799</c:v>
                </c:pt>
                <c:pt idx="410">
                  <c:v>10.259187765111346</c:v>
                </c:pt>
                <c:pt idx="411">
                  <c:v>10.343692006892896</c:v>
                </c:pt>
                <c:pt idx="412">
                  <c:v>10.428196248674443</c:v>
                </c:pt>
                <c:pt idx="413">
                  <c:v>10.516221500530223</c:v>
                </c:pt>
                <c:pt idx="414">
                  <c:v>10.600932860551429</c:v>
                </c:pt>
                <c:pt idx="415">
                  <c:v>10.688958112407212</c:v>
                </c:pt>
                <c:pt idx="416">
                  <c:v>10.776983364262991</c:v>
                </c:pt>
                <c:pt idx="417">
                  <c:v>10.861487606044538</c:v>
                </c:pt>
                <c:pt idx="418">
                  <c:v>10.949719976139978</c:v>
                </c:pt>
                <c:pt idx="419">
                  <c:v>11.037745227995757</c:v>
                </c:pt>
                <c:pt idx="420">
                  <c:v>11.125770479851537</c:v>
                </c:pt>
                <c:pt idx="421">
                  <c:v>11.210274721633086</c:v>
                </c:pt>
                <c:pt idx="422">
                  <c:v>11.298507091728526</c:v>
                </c:pt>
                <c:pt idx="423">
                  <c:v>11.386532343584305</c:v>
                </c:pt>
                <c:pt idx="424">
                  <c:v>11.474557595440084</c:v>
                </c:pt>
                <c:pt idx="425">
                  <c:v>11.566103857370093</c:v>
                </c:pt>
                <c:pt idx="426">
                  <c:v>11.654336227465537</c:v>
                </c:pt>
                <c:pt idx="427">
                  <c:v>11.745882489395546</c:v>
                </c:pt>
                <c:pt idx="428">
                  <c:v>11.847991781548249</c:v>
                </c:pt>
                <c:pt idx="429">
                  <c:v>11.950308191940614</c:v>
                </c:pt>
                <c:pt idx="430">
                  <c:v>12.052417484093318</c:v>
                </c:pt>
                <c:pt idx="431">
                  <c:v>12.154526776246025</c:v>
                </c:pt>
                <c:pt idx="432">
                  <c:v>12.246073038176034</c:v>
                </c:pt>
                <c:pt idx="433">
                  <c:v>12.341347428419937</c:v>
                </c:pt>
                <c:pt idx="434">
                  <c:v>12.432893690349946</c:v>
                </c:pt>
                <c:pt idx="435">
                  <c:v>12.527960962354189</c:v>
                </c:pt>
                <c:pt idx="436">
                  <c:v>12.623028234358429</c:v>
                </c:pt>
                <c:pt idx="437">
                  <c:v>12.71830262460233</c:v>
                </c:pt>
                <c:pt idx="438">
                  <c:v>12.827453936903499</c:v>
                </c:pt>
                <c:pt idx="439">
                  <c:v>12.933084239130434</c:v>
                </c:pt>
                <c:pt idx="440">
                  <c:v>13.045963679745492</c:v>
                </c:pt>
                <c:pt idx="441">
                  <c:v>13.155114992046657</c:v>
                </c:pt>
                <c:pt idx="442">
                  <c:v>13.264266304347824</c:v>
                </c:pt>
                <c:pt idx="443">
                  <c:v>13.373624734888654</c:v>
                </c:pt>
                <c:pt idx="444">
                  <c:v>13.472213016967126</c:v>
                </c:pt>
                <c:pt idx="445">
                  <c:v>13.5708012990456</c:v>
                </c:pt>
                <c:pt idx="446">
                  <c:v>13.679952611346765</c:v>
                </c:pt>
                <c:pt idx="447">
                  <c:v>13.789311041887592</c:v>
                </c:pt>
                <c:pt idx="448">
                  <c:v>13.901983364262991</c:v>
                </c:pt>
                <c:pt idx="449">
                  <c:v>14.014655686638386</c:v>
                </c:pt>
                <c:pt idx="450">
                  <c:v>14.127535127253447</c:v>
                </c:pt>
                <c:pt idx="451">
                  <c:v>14.236686439554614</c:v>
                </c:pt>
                <c:pt idx="452">
                  <c:v>14.349358761930009</c:v>
                </c:pt>
                <c:pt idx="453">
                  <c:v>14.462238202545068</c:v>
                </c:pt>
                <c:pt idx="454">
                  <c:v>14.574910524920467</c:v>
                </c:pt>
                <c:pt idx="455">
                  <c:v>14.687582847295863</c:v>
                </c:pt>
                <c:pt idx="456">
                  <c:v>14.800462287910923</c:v>
                </c:pt>
                <c:pt idx="457">
                  <c:v>14.923697640509014</c:v>
                </c:pt>
                <c:pt idx="458">
                  <c:v>15.036369962884411</c:v>
                </c:pt>
                <c:pt idx="459">
                  <c:v>15.149042285259808</c:v>
                </c:pt>
                <c:pt idx="460">
                  <c:v>15.261921725874867</c:v>
                </c:pt>
                <c:pt idx="461">
                  <c:v>15.378115058324495</c:v>
                </c:pt>
                <c:pt idx="462">
                  <c:v>15.504871420996819</c:v>
                </c:pt>
                <c:pt idx="463">
                  <c:v>15.628313891834567</c:v>
                </c:pt>
                <c:pt idx="464">
                  <c:v>15.755070254506892</c:v>
                </c:pt>
                <c:pt idx="465">
                  <c:v>15.882033735418874</c:v>
                </c:pt>
                <c:pt idx="466">
                  <c:v>16.012311108165431</c:v>
                </c:pt>
                <c:pt idx="467">
                  <c:v>16.142588480911982</c:v>
                </c:pt>
                <c:pt idx="468">
                  <c:v>16.269551961823964</c:v>
                </c:pt>
                <c:pt idx="469">
                  <c:v>16.399829334570519</c:v>
                </c:pt>
                <c:pt idx="470">
                  <c:v>16.530106707317074</c:v>
                </c:pt>
                <c:pt idx="471">
                  <c:v>16.660591198303287</c:v>
                </c:pt>
                <c:pt idx="472">
                  <c:v>16.790868571049842</c:v>
                </c:pt>
                <c:pt idx="473">
                  <c:v>16.924666953870624</c:v>
                </c:pt>
                <c:pt idx="474">
                  <c:v>17.05515144485684</c:v>
                </c:pt>
                <c:pt idx="475">
                  <c:v>17.188949827677622</c:v>
                </c:pt>
                <c:pt idx="476">
                  <c:v>17.333518358960763</c:v>
                </c:pt>
                <c:pt idx="477">
                  <c:v>17.48140078207847</c:v>
                </c:pt>
                <c:pt idx="478">
                  <c:v>17.625762195121951</c:v>
                </c:pt>
                <c:pt idx="479">
                  <c:v>17.759767696182397</c:v>
                </c:pt>
                <c:pt idx="480">
                  <c:v>17.893566079003183</c:v>
                </c:pt>
                <c:pt idx="481">
                  <c:v>18.03109259013786</c:v>
                </c:pt>
                <c:pt idx="482">
                  <c:v>18.164890972958641</c:v>
                </c:pt>
                <c:pt idx="483">
                  <c:v>18.316294406150583</c:v>
                </c:pt>
                <c:pt idx="484">
                  <c:v>18.45734192735949</c:v>
                </c:pt>
                <c:pt idx="485">
                  <c:v>18.608745360551431</c:v>
                </c:pt>
                <c:pt idx="486">
                  <c:v>18.749792881760335</c:v>
                </c:pt>
                <c:pt idx="487">
                  <c:v>18.890633284729585</c:v>
                </c:pt>
                <c:pt idx="488">
                  <c:v>19.031473687698835</c:v>
                </c:pt>
                <c:pt idx="489">
                  <c:v>19.190126259278898</c:v>
                </c:pt>
                <c:pt idx="490">
                  <c:v>19.348571712619297</c:v>
                </c:pt>
                <c:pt idx="491">
                  <c:v>19.503703274125133</c:v>
                </c:pt>
                <c:pt idx="492">
                  <c:v>19.658627717391305</c:v>
                </c:pt>
                <c:pt idx="493">
                  <c:v>19.817280288971364</c:v>
                </c:pt>
                <c:pt idx="494">
                  <c:v>19.975725742311774</c:v>
                </c:pt>
                <c:pt idx="495">
                  <c:v>20.137692205726403</c:v>
                </c:pt>
                <c:pt idx="496">
                  <c:v>20.296344777306466</c:v>
                </c:pt>
                <c:pt idx="497">
                  <c:v>20.454790230646871</c:v>
                </c:pt>
                <c:pt idx="498">
                  <c:v>20.609921792152704</c:v>
                </c:pt>
                <c:pt idx="499">
                  <c:v>20.765674708377517</c:v>
                </c:pt>
                <c:pt idx="500">
                  <c:v>20.93344048250265</c:v>
                </c:pt>
                <c:pt idx="501">
                  <c:v>21.099135074231178</c:v>
                </c:pt>
                <c:pt idx="502">
                  <c:v>21.273114395546127</c:v>
                </c:pt>
                <c:pt idx="503">
                  <c:v>21.440880169671264</c:v>
                </c:pt>
                <c:pt idx="504">
                  <c:v>21.614859490986213</c:v>
                </c:pt>
                <c:pt idx="505">
                  <c:v>21.782625265111346</c:v>
                </c:pt>
                <c:pt idx="506">
                  <c:v>21.952462221633088</c:v>
                </c:pt>
                <c:pt idx="507">
                  <c:v>22.124370360551431</c:v>
                </c:pt>
                <c:pt idx="508">
                  <c:v>22.29834968186638</c:v>
                </c:pt>
                <c:pt idx="509">
                  <c:v>22.470257820784727</c:v>
                </c:pt>
                <c:pt idx="510">
                  <c:v>22.642165959703078</c:v>
                </c:pt>
                <c:pt idx="511">
                  <c:v>22.828572375397666</c:v>
                </c:pt>
                <c:pt idx="512">
                  <c:v>23.017049973488863</c:v>
                </c:pt>
                <c:pt idx="513">
                  <c:v>23.205527571580063</c:v>
                </c:pt>
                <c:pt idx="514">
                  <c:v>23.381578075291621</c:v>
                </c:pt>
                <c:pt idx="515">
                  <c:v>23.572126855779423</c:v>
                </c:pt>
                <c:pt idx="516">
                  <c:v>23.758533271474015</c:v>
                </c:pt>
                <c:pt idx="517">
                  <c:v>23.94908205196182</c:v>
                </c:pt>
                <c:pt idx="518">
                  <c:v>24.139630832449626</c:v>
                </c:pt>
                <c:pt idx="519">
                  <c:v>24.334321977730646</c:v>
                </c:pt>
                <c:pt idx="520">
                  <c:v>24.516586028632027</c:v>
                </c:pt>
                <c:pt idx="521">
                  <c:v>24.711277173913039</c:v>
                </c:pt>
                <c:pt idx="522">
                  <c:v>24.908039501590665</c:v>
                </c:pt>
                <c:pt idx="523">
                  <c:v>25.102730646871684</c:v>
                </c:pt>
                <c:pt idx="524">
                  <c:v>25.29949297454931</c:v>
                </c:pt>
                <c:pt idx="525">
                  <c:v>25.510753579003183</c:v>
                </c:pt>
                <c:pt idx="526">
                  <c:v>25.722014183457055</c:v>
                </c:pt>
                <c:pt idx="527">
                  <c:v>25.929132423117707</c:v>
                </c:pt>
                <c:pt idx="528">
                  <c:v>26.138321845174971</c:v>
                </c:pt>
                <c:pt idx="529">
                  <c:v>26.34544008483563</c:v>
                </c:pt>
                <c:pt idx="530">
                  <c:v>26.552558324496289</c:v>
                </c:pt>
                <c:pt idx="531">
                  <c:v>26.761747746553549</c:v>
                </c:pt>
                <c:pt idx="532">
                  <c:v>26.964723621420998</c:v>
                </c:pt>
                <c:pt idx="533">
                  <c:v>27.173913043478258</c:v>
                </c:pt>
                <c:pt idx="534">
                  <c:v>27.385173647932131</c:v>
                </c:pt>
                <c:pt idx="535">
                  <c:v>27.606790164369034</c:v>
                </c:pt>
                <c:pt idx="536">
                  <c:v>27.8180507688229</c:v>
                </c:pt>
                <c:pt idx="537">
                  <c:v>28.039667285259807</c:v>
                </c:pt>
                <c:pt idx="538">
                  <c:v>28.265426166489924</c:v>
                </c:pt>
                <c:pt idx="539">
                  <c:v>28.491185047720041</c:v>
                </c:pt>
                <c:pt idx="540">
                  <c:v>28.716943928950158</c:v>
                </c:pt>
                <c:pt idx="541">
                  <c:v>28.938560445387061</c:v>
                </c:pt>
                <c:pt idx="542">
                  <c:v>29.164319326617179</c:v>
                </c:pt>
                <c:pt idx="543">
                  <c:v>29.402505302226931</c:v>
                </c:pt>
                <c:pt idx="544">
                  <c:v>29.628264183457052</c:v>
                </c:pt>
                <c:pt idx="545">
                  <c:v>29.858165429480376</c:v>
                </c:pt>
                <c:pt idx="546">
                  <c:v>30.10049376988335</c:v>
                </c:pt>
                <c:pt idx="547">
                  <c:v>30.344893292682922</c:v>
                </c:pt>
                <c:pt idx="548">
                  <c:v>30.591363997879107</c:v>
                </c:pt>
                <c:pt idx="549">
                  <c:v>30.823336426299047</c:v>
                </c:pt>
                <c:pt idx="550">
                  <c:v>31.076020678685047</c:v>
                </c:pt>
                <c:pt idx="551">
                  <c:v>31.322491383881225</c:v>
                </c:pt>
                <c:pt idx="552">
                  <c:v>31.571033271474015</c:v>
                </c:pt>
                <c:pt idx="553">
                  <c:v>31.829931071049838</c:v>
                </c:pt>
                <c:pt idx="554">
                  <c:v>32.088828870625662</c:v>
                </c:pt>
                <c:pt idx="555">
                  <c:v>32.345655487804876</c:v>
                </c:pt>
                <c:pt idx="556">
                  <c:v>32.59833974019088</c:v>
                </c:pt>
                <c:pt idx="557">
                  <c:v>32.85309517497349</c:v>
                </c:pt>
                <c:pt idx="558">
                  <c:v>33.109921792152697</c:v>
                </c:pt>
                <c:pt idx="559">
                  <c:v>33.362606044538701</c:v>
                </c:pt>
                <c:pt idx="560">
                  <c:v>33.61736147932131</c:v>
                </c:pt>
                <c:pt idx="561">
                  <c:v>33.884544008483559</c:v>
                </c:pt>
                <c:pt idx="562">
                  <c:v>34.155868902439018</c:v>
                </c:pt>
                <c:pt idx="563">
                  <c:v>34.423051431601273</c:v>
                </c:pt>
                <c:pt idx="564">
                  <c:v>34.704732237539758</c:v>
                </c:pt>
                <c:pt idx="565">
                  <c:v>34.988484225874863</c:v>
                </c:pt>
                <c:pt idx="566">
                  <c:v>35.257737937433717</c:v>
                </c:pt>
                <c:pt idx="567">
                  <c:v>35.543561108165427</c:v>
                </c:pt>
                <c:pt idx="568">
                  <c:v>35.833526643690348</c:v>
                </c:pt>
                <c:pt idx="569">
                  <c:v>36.115207449628848</c:v>
                </c:pt>
                <c:pt idx="570">
                  <c:v>36.407244167550367</c:v>
                </c:pt>
                <c:pt idx="571">
                  <c:v>36.695138520678682</c:v>
                </c:pt>
                <c:pt idx="572">
                  <c:v>36.980961691410393</c:v>
                </c:pt>
                <c:pt idx="573">
                  <c:v>37.281283138918347</c:v>
                </c:pt>
                <c:pt idx="574">
                  <c:v>37.579533404029689</c:v>
                </c:pt>
                <c:pt idx="575">
                  <c:v>37.879854851537644</c:v>
                </c:pt>
                <c:pt idx="576">
                  <c:v>38.186389846235414</c:v>
                </c:pt>
                <c:pt idx="577">
                  <c:v>38.492924840933192</c:v>
                </c:pt>
                <c:pt idx="578">
                  <c:v>38.795317470837752</c:v>
                </c:pt>
                <c:pt idx="579">
                  <c:v>39.110137195121951</c:v>
                </c:pt>
                <c:pt idx="580">
                  <c:v>39.422885737009551</c:v>
                </c:pt>
                <c:pt idx="581">
                  <c:v>39.733563096500532</c:v>
                </c:pt>
                <c:pt idx="582">
                  <c:v>43.488616781548245</c:v>
                </c:pt>
                <c:pt idx="583">
                  <c:v>43.7247315747614</c:v>
                </c:pt>
                <c:pt idx="584">
                  <c:v>43.929778632025453</c:v>
                </c:pt>
                <c:pt idx="585">
                  <c:v>44.105829135737011</c:v>
                </c:pt>
                <c:pt idx="586">
                  <c:v>44.248740721102862</c:v>
                </c:pt>
                <c:pt idx="587">
                  <c:v>44.366798117709436</c:v>
                </c:pt>
                <c:pt idx="588">
                  <c:v>44.457930143160127</c:v>
                </c:pt>
                <c:pt idx="589">
                  <c:v>44.513852067868498</c:v>
                </c:pt>
                <c:pt idx="590">
                  <c:v>44.549062168610817</c:v>
                </c:pt>
                <c:pt idx="591">
                  <c:v>44.567702810180279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BD-4BA7-A9E1-D1C1F4594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981631"/>
        <c:axId val="448972303"/>
      </c:lineChart>
      <c:catAx>
        <c:axId val="9209816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972303"/>
        <c:crosses val="autoZero"/>
        <c:auto val="1"/>
        <c:lblAlgn val="ctr"/>
        <c:lblOffset val="100"/>
        <c:noMultiLvlLbl val="0"/>
      </c:catAx>
      <c:valAx>
        <c:axId val="44897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98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Tensão x Deformação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'A10-2'!$C$2:$C$625</c:f>
              <c:numCache>
                <c:formatCode>0.00</c:formatCode>
                <c:ptCount val="624"/>
                <c:pt idx="0">
                  <c:v>0</c:v>
                </c:pt>
                <c:pt idx="1">
                  <c:v>1.5185200000000001E-2</c:v>
                </c:pt>
                <c:pt idx="2">
                  <c:v>1.5323E-2</c:v>
                </c:pt>
                <c:pt idx="3">
                  <c:v>1.54644E-2</c:v>
                </c:pt>
                <c:pt idx="4">
                  <c:v>1.56022E-2</c:v>
                </c:pt>
                <c:pt idx="5">
                  <c:v>1.5739799999999998E-2</c:v>
                </c:pt>
                <c:pt idx="6">
                  <c:v>1.5881199999999998E-2</c:v>
                </c:pt>
                <c:pt idx="7">
                  <c:v>1.6019000000000002E-2</c:v>
                </c:pt>
                <c:pt idx="8">
                  <c:v>1.6156799999999999E-2</c:v>
                </c:pt>
                <c:pt idx="9">
                  <c:v>1.6296399999999999E-2</c:v>
                </c:pt>
                <c:pt idx="10">
                  <c:v>1.6435999999999999E-2</c:v>
                </c:pt>
                <c:pt idx="11">
                  <c:v>1.6573600000000001E-2</c:v>
                </c:pt>
                <c:pt idx="12">
                  <c:v>1.6713199999999998E-2</c:v>
                </c:pt>
                <c:pt idx="13">
                  <c:v>1.6852799999999998E-2</c:v>
                </c:pt>
                <c:pt idx="14">
                  <c:v>1.6990600000000002E-2</c:v>
                </c:pt>
                <c:pt idx="15">
                  <c:v>1.7130199999999998E-2</c:v>
                </c:pt>
                <c:pt idx="16">
                  <c:v>1.72678E-2</c:v>
                </c:pt>
                <c:pt idx="17">
                  <c:v>1.74056E-2</c:v>
                </c:pt>
                <c:pt idx="18">
                  <c:v>1.7547E-2</c:v>
                </c:pt>
                <c:pt idx="19">
                  <c:v>1.7684800000000001E-2</c:v>
                </c:pt>
                <c:pt idx="20">
                  <c:v>1.7824400000000001E-2</c:v>
                </c:pt>
                <c:pt idx="21">
                  <c:v>1.7964000000000001E-2</c:v>
                </c:pt>
                <c:pt idx="22">
                  <c:v>1.8129599999999999E-2</c:v>
                </c:pt>
                <c:pt idx="23">
                  <c:v>1.8297000000000001E-2</c:v>
                </c:pt>
                <c:pt idx="24">
                  <c:v>1.8462799999999998E-2</c:v>
                </c:pt>
                <c:pt idx="25">
                  <c:v>1.86284E-2</c:v>
                </c:pt>
                <c:pt idx="26">
                  <c:v>1.87978E-2</c:v>
                </c:pt>
                <c:pt idx="27">
                  <c:v>1.8963399999999998E-2</c:v>
                </c:pt>
                <c:pt idx="28">
                  <c:v>1.91308E-2</c:v>
                </c:pt>
                <c:pt idx="29">
                  <c:v>1.9296600000000001E-2</c:v>
                </c:pt>
                <c:pt idx="30">
                  <c:v>1.9462199999999999E-2</c:v>
                </c:pt>
                <c:pt idx="31">
                  <c:v>1.9631599999999999E-2</c:v>
                </c:pt>
                <c:pt idx="32">
                  <c:v>1.9797200000000001E-2</c:v>
                </c:pt>
                <c:pt idx="33">
                  <c:v>1.9964599999999999E-2</c:v>
                </c:pt>
                <c:pt idx="34">
                  <c:v>2.0129999999999999E-2</c:v>
                </c:pt>
                <c:pt idx="35">
                  <c:v>2.0295999999999998E-2</c:v>
                </c:pt>
                <c:pt idx="36">
                  <c:v>2.0464000000000003E-2</c:v>
                </c:pt>
                <c:pt idx="37">
                  <c:v>2.0630000000000003E-2</c:v>
                </c:pt>
                <c:pt idx="38">
                  <c:v>2.0794E-2</c:v>
                </c:pt>
                <c:pt idx="39">
                  <c:v>2.0962000000000001E-2</c:v>
                </c:pt>
                <c:pt idx="40">
                  <c:v>2.1128000000000001E-2</c:v>
                </c:pt>
                <c:pt idx="41">
                  <c:v>2.1297999999999997E-2</c:v>
                </c:pt>
                <c:pt idx="42">
                  <c:v>2.1463999999999997E-2</c:v>
                </c:pt>
                <c:pt idx="43">
                  <c:v>2.1658E-2</c:v>
                </c:pt>
                <c:pt idx="44">
                  <c:v>2.1852E-2</c:v>
                </c:pt>
                <c:pt idx="45">
                  <c:v>2.2046E-2</c:v>
                </c:pt>
                <c:pt idx="46">
                  <c:v>2.2240000000000003E-2</c:v>
                </c:pt>
                <c:pt idx="47">
                  <c:v>2.2435999999999998E-2</c:v>
                </c:pt>
                <c:pt idx="48">
                  <c:v>2.2629999999999997E-2</c:v>
                </c:pt>
                <c:pt idx="49">
                  <c:v>2.2824000000000001E-2</c:v>
                </c:pt>
                <c:pt idx="50">
                  <c:v>2.3018E-2</c:v>
                </c:pt>
                <c:pt idx="51">
                  <c:v>2.3214000000000002E-2</c:v>
                </c:pt>
                <c:pt idx="52">
                  <c:v>2.3408000000000002E-2</c:v>
                </c:pt>
                <c:pt idx="53">
                  <c:v>2.3601999999999998E-2</c:v>
                </c:pt>
                <c:pt idx="54">
                  <c:v>2.3795999999999998E-2</c:v>
                </c:pt>
                <c:pt idx="55">
                  <c:v>2.3991999999999999E-2</c:v>
                </c:pt>
                <c:pt idx="56">
                  <c:v>2.4185999999999999E-2</c:v>
                </c:pt>
                <c:pt idx="57">
                  <c:v>2.4382000000000001E-2</c:v>
                </c:pt>
                <c:pt idx="58">
                  <c:v>2.4573999999999999E-2</c:v>
                </c:pt>
                <c:pt idx="59">
                  <c:v>2.4767999999999998E-2</c:v>
                </c:pt>
                <c:pt idx="60">
                  <c:v>2.4961999999999998E-2</c:v>
                </c:pt>
                <c:pt idx="61">
                  <c:v>2.5158E-2</c:v>
                </c:pt>
                <c:pt idx="62">
                  <c:v>2.538E-2</c:v>
                </c:pt>
                <c:pt idx="63">
                  <c:v>2.5602E-2</c:v>
                </c:pt>
                <c:pt idx="64">
                  <c:v>2.5825999999999998E-2</c:v>
                </c:pt>
                <c:pt idx="65">
                  <c:v>2.6046E-2</c:v>
                </c:pt>
                <c:pt idx="66">
                  <c:v>2.6268E-2</c:v>
                </c:pt>
                <c:pt idx="67">
                  <c:v>2.649E-2</c:v>
                </c:pt>
                <c:pt idx="68">
                  <c:v>2.6714000000000002E-2</c:v>
                </c:pt>
                <c:pt idx="69">
                  <c:v>2.6936000000000002E-2</c:v>
                </c:pt>
                <c:pt idx="70">
                  <c:v>2.7158000000000002E-2</c:v>
                </c:pt>
                <c:pt idx="71">
                  <c:v>2.7382E-2</c:v>
                </c:pt>
                <c:pt idx="72">
                  <c:v>2.7602000000000002E-2</c:v>
                </c:pt>
                <c:pt idx="73">
                  <c:v>2.7824000000000002E-2</c:v>
                </c:pt>
                <c:pt idx="74">
                  <c:v>2.8046000000000001E-2</c:v>
                </c:pt>
                <c:pt idx="75">
                  <c:v>2.8268000000000001E-2</c:v>
                </c:pt>
                <c:pt idx="76">
                  <c:v>2.8492000000000003E-2</c:v>
                </c:pt>
                <c:pt idx="77">
                  <c:v>2.8714E-2</c:v>
                </c:pt>
                <c:pt idx="78">
                  <c:v>2.8938000000000002E-2</c:v>
                </c:pt>
                <c:pt idx="79">
                  <c:v>2.9184000000000002E-2</c:v>
                </c:pt>
                <c:pt idx="80">
                  <c:v>2.9436E-2</c:v>
                </c:pt>
                <c:pt idx="81">
                  <c:v>2.9686000000000001E-2</c:v>
                </c:pt>
                <c:pt idx="82">
                  <c:v>2.9935999999999997E-2</c:v>
                </c:pt>
                <c:pt idx="83">
                  <c:v>3.0186000000000001E-2</c:v>
                </c:pt>
                <c:pt idx="84">
                  <c:v>3.0436000000000001E-2</c:v>
                </c:pt>
                <c:pt idx="85">
                  <c:v>3.0686000000000001E-2</c:v>
                </c:pt>
                <c:pt idx="86">
                  <c:v>3.0934E-2</c:v>
                </c:pt>
                <c:pt idx="87">
                  <c:v>3.1185999999999998E-2</c:v>
                </c:pt>
                <c:pt idx="88">
                  <c:v>3.1434000000000004E-2</c:v>
                </c:pt>
                <c:pt idx="89">
                  <c:v>3.1601999999999998E-2</c:v>
                </c:pt>
                <c:pt idx="90">
                  <c:v>3.1826E-2</c:v>
                </c:pt>
                <c:pt idx="91">
                  <c:v>3.2073999999999998E-2</c:v>
                </c:pt>
                <c:pt idx="92">
                  <c:v>3.2323999999999999E-2</c:v>
                </c:pt>
                <c:pt idx="93">
                  <c:v>3.2601999999999999E-2</c:v>
                </c:pt>
                <c:pt idx="94">
                  <c:v>3.2881999999999995E-2</c:v>
                </c:pt>
                <c:pt idx="95">
                  <c:v>3.3158E-2</c:v>
                </c:pt>
                <c:pt idx="96">
                  <c:v>3.3436E-2</c:v>
                </c:pt>
                <c:pt idx="97">
                  <c:v>3.3714000000000001E-2</c:v>
                </c:pt>
                <c:pt idx="98">
                  <c:v>3.3989999999999999E-2</c:v>
                </c:pt>
                <c:pt idx="99">
                  <c:v>3.4268E-2</c:v>
                </c:pt>
                <c:pt idx="100">
                  <c:v>3.4546E-2</c:v>
                </c:pt>
                <c:pt idx="101">
                  <c:v>3.4826000000000003E-2</c:v>
                </c:pt>
                <c:pt idx="102">
                  <c:v>3.5104000000000003E-2</c:v>
                </c:pt>
                <c:pt idx="103">
                  <c:v>3.5378E-2</c:v>
                </c:pt>
                <c:pt idx="104">
                  <c:v>3.5657999999999995E-2</c:v>
                </c:pt>
                <c:pt idx="105">
                  <c:v>3.5937999999999998E-2</c:v>
                </c:pt>
                <c:pt idx="106">
                  <c:v>3.6242000000000003E-2</c:v>
                </c:pt>
                <c:pt idx="107">
                  <c:v>3.6547999999999997E-2</c:v>
                </c:pt>
                <c:pt idx="108">
                  <c:v>3.6852000000000003E-2</c:v>
                </c:pt>
                <c:pt idx="109">
                  <c:v>3.7158000000000004E-2</c:v>
                </c:pt>
                <c:pt idx="110">
                  <c:v>3.7463999999999997E-2</c:v>
                </c:pt>
                <c:pt idx="111">
                  <c:v>3.7768000000000003E-2</c:v>
                </c:pt>
                <c:pt idx="112">
                  <c:v>3.8047999999999998E-2</c:v>
                </c:pt>
                <c:pt idx="113">
                  <c:v>3.8351999999999997E-2</c:v>
                </c:pt>
                <c:pt idx="114">
                  <c:v>3.8657999999999998E-2</c:v>
                </c:pt>
                <c:pt idx="115">
                  <c:v>3.8963999999999999E-2</c:v>
                </c:pt>
                <c:pt idx="116">
                  <c:v>3.9267999999999997E-2</c:v>
                </c:pt>
                <c:pt idx="117">
                  <c:v>3.9573999999999998E-2</c:v>
                </c:pt>
                <c:pt idx="118">
                  <c:v>3.9906000000000004E-2</c:v>
                </c:pt>
                <c:pt idx="119">
                  <c:v>4.0239999999999998E-2</c:v>
                </c:pt>
                <c:pt idx="120">
                  <c:v>4.0576000000000001E-2</c:v>
                </c:pt>
                <c:pt idx="121">
                  <c:v>4.088E-2</c:v>
                </c:pt>
                <c:pt idx="122">
                  <c:v>4.1214000000000001E-2</c:v>
                </c:pt>
                <c:pt idx="123">
                  <c:v>4.1546E-2</c:v>
                </c:pt>
                <c:pt idx="124">
                  <c:v>4.1796E-2</c:v>
                </c:pt>
                <c:pt idx="125">
                  <c:v>4.2131999999999996E-2</c:v>
                </c:pt>
                <c:pt idx="126">
                  <c:v>4.2436000000000001E-2</c:v>
                </c:pt>
                <c:pt idx="127">
                  <c:v>4.2770000000000002E-2</c:v>
                </c:pt>
                <c:pt idx="128">
                  <c:v>4.3102000000000001E-2</c:v>
                </c:pt>
                <c:pt idx="129">
                  <c:v>4.3407999999999995E-2</c:v>
                </c:pt>
                <c:pt idx="130">
                  <c:v>4.3714000000000003E-2</c:v>
                </c:pt>
                <c:pt idx="131">
                  <c:v>4.3992000000000003E-2</c:v>
                </c:pt>
                <c:pt idx="132">
                  <c:v>4.4268000000000002E-2</c:v>
                </c:pt>
                <c:pt idx="133">
                  <c:v>4.4546000000000002E-2</c:v>
                </c:pt>
                <c:pt idx="134">
                  <c:v>4.4824000000000003E-2</c:v>
                </c:pt>
                <c:pt idx="135">
                  <c:v>4.5129999999999997E-2</c:v>
                </c:pt>
                <c:pt idx="136">
                  <c:v>4.5380000000000004E-2</c:v>
                </c:pt>
                <c:pt idx="137">
                  <c:v>4.5658000000000004E-2</c:v>
                </c:pt>
                <c:pt idx="138">
                  <c:v>4.5963999999999998E-2</c:v>
                </c:pt>
                <c:pt idx="139">
                  <c:v>4.6239999999999996E-2</c:v>
                </c:pt>
                <c:pt idx="140">
                  <c:v>4.6519999999999999E-2</c:v>
                </c:pt>
                <c:pt idx="141">
                  <c:v>4.6769999999999999E-2</c:v>
                </c:pt>
                <c:pt idx="142">
                  <c:v>4.7018000000000004E-2</c:v>
                </c:pt>
                <c:pt idx="143">
                  <c:v>4.7295999999999998E-2</c:v>
                </c:pt>
                <c:pt idx="144">
                  <c:v>4.7548000000000007E-2</c:v>
                </c:pt>
                <c:pt idx="145">
                  <c:v>4.7793999999999996E-2</c:v>
                </c:pt>
                <c:pt idx="146">
                  <c:v>4.8074000000000006E-2</c:v>
                </c:pt>
                <c:pt idx="147">
                  <c:v>4.8297999999999994E-2</c:v>
                </c:pt>
                <c:pt idx="148">
                  <c:v>4.8545999999999999E-2</c:v>
                </c:pt>
                <c:pt idx="149">
                  <c:v>4.8770000000000001E-2</c:v>
                </c:pt>
                <c:pt idx="150">
                  <c:v>4.8992000000000008E-2</c:v>
                </c:pt>
                <c:pt idx="151">
                  <c:v>4.9240000000000006E-2</c:v>
                </c:pt>
                <c:pt idx="152">
                  <c:v>4.9463999999999994E-2</c:v>
                </c:pt>
                <c:pt idx="153">
                  <c:v>4.9656000000000006E-2</c:v>
                </c:pt>
                <c:pt idx="154">
                  <c:v>4.9854000000000002E-2</c:v>
                </c:pt>
                <c:pt idx="155">
                  <c:v>5.0073999999999994E-2</c:v>
                </c:pt>
                <c:pt idx="156">
                  <c:v>5.0268E-2</c:v>
                </c:pt>
                <c:pt idx="157">
                  <c:v>5.0438000000000004E-2</c:v>
                </c:pt>
                <c:pt idx="158">
                  <c:v>5.0602000000000001E-2</c:v>
                </c:pt>
                <c:pt idx="159">
                  <c:v>5.0796000000000001E-2</c:v>
                </c:pt>
                <c:pt idx="160">
                  <c:v>5.0964000000000002E-2</c:v>
                </c:pt>
                <c:pt idx="161">
                  <c:v>5.1158000000000002E-2</c:v>
                </c:pt>
                <c:pt idx="162">
                  <c:v>5.1326000000000004E-2</c:v>
                </c:pt>
                <c:pt idx="163">
                  <c:v>5.1490000000000001E-2</c:v>
                </c:pt>
                <c:pt idx="164">
                  <c:v>5.1685999999999996E-2</c:v>
                </c:pt>
                <c:pt idx="165">
                  <c:v>5.1852000000000002E-2</c:v>
                </c:pt>
                <c:pt idx="166">
                  <c:v>5.2047999999999997E-2</c:v>
                </c:pt>
                <c:pt idx="167">
                  <c:v>5.2214000000000003E-2</c:v>
                </c:pt>
                <c:pt idx="168">
                  <c:v>5.2380000000000003E-2</c:v>
                </c:pt>
                <c:pt idx="169">
                  <c:v>5.2546000000000002E-2</c:v>
                </c:pt>
                <c:pt idx="170">
                  <c:v>5.2713999999999997E-2</c:v>
                </c:pt>
                <c:pt idx="171">
                  <c:v>5.2880000000000003E-2</c:v>
                </c:pt>
                <c:pt idx="172">
                  <c:v>5.3045999999999996E-2</c:v>
                </c:pt>
                <c:pt idx="173">
                  <c:v>5.3213999999999997E-2</c:v>
                </c:pt>
                <c:pt idx="174">
                  <c:v>5.3377999999999995E-2</c:v>
                </c:pt>
                <c:pt idx="175">
                  <c:v>5.3520000000000005E-2</c:v>
                </c:pt>
                <c:pt idx="176">
                  <c:v>5.3685999999999998E-2</c:v>
                </c:pt>
                <c:pt idx="177">
                  <c:v>5.3852000000000004E-2</c:v>
                </c:pt>
                <c:pt idx="178">
                  <c:v>5.3990000000000003E-2</c:v>
                </c:pt>
                <c:pt idx="179">
                  <c:v>5.4130000000000005E-2</c:v>
                </c:pt>
                <c:pt idx="180">
                  <c:v>5.4295999999999997E-2</c:v>
                </c:pt>
                <c:pt idx="181">
                  <c:v>5.4435999999999998E-2</c:v>
                </c:pt>
                <c:pt idx="182">
                  <c:v>5.4573999999999998E-2</c:v>
                </c:pt>
                <c:pt idx="183">
                  <c:v>5.4711999999999997E-2</c:v>
                </c:pt>
                <c:pt idx="184">
                  <c:v>5.4851999999999998E-2</c:v>
                </c:pt>
                <c:pt idx="185">
                  <c:v>5.4993999999999994E-2</c:v>
                </c:pt>
                <c:pt idx="186">
                  <c:v>5.5160000000000001E-2</c:v>
                </c:pt>
                <c:pt idx="187">
                  <c:v>5.5296000000000005E-2</c:v>
                </c:pt>
                <c:pt idx="188">
                  <c:v>5.5434000000000004E-2</c:v>
                </c:pt>
                <c:pt idx="189">
                  <c:v>5.5601999999999999E-2</c:v>
                </c:pt>
                <c:pt idx="190">
                  <c:v>5.5739999999999998E-2</c:v>
                </c:pt>
                <c:pt idx="191">
                  <c:v>5.5879999999999999E-2</c:v>
                </c:pt>
                <c:pt idx="192">
                  <c:v>5.602E-2</c:v>
                </c:pt>
                <c:pt idx="193">
                  <c:v>5.6184000000000005E-2</c:v>
                </c:pt>
                <c:pt idx="194">
                  <c:v>5.6323999999999999E-2</c:v>
                </c:pt>
                <c:pt idx="195">
                  <c:v>5.6462000000000005E-2</c:v>
                </c:pt>
                <c:pt idx="196">
                  <c:v>5.6602E-2</c:v>
                </c:pt>
                <c:pt idx="197">
                  <c:v>5.6742000000000001E-2</c:v>
                </c:pt>
                <c:pt idx="198">
                  <c:v>5.688E-2</c:v>
                </c:pt>
                <c:pt idx="199">
                  <c:v>5.7020000000000001E-2</c:v>
                </c:pt>
                <c:pt idx="200">
                  <c:v>5.713E-2</c:v>
                </c:pt>
                <c:pt idx="201">
                  <c:v>5.7241999999999994E-2</c:v>
                </c:pt>
                <c:pt idx="202">
                  <c:v>5.7382000000000002E-2</c:v>
                </c:pt>
                <c:pt idx="203">
                  <c:v>5.7492000000000001E-2</c:v>
                </c:pt>
                <c:pt idx="204">
                  <c:v>5.7602E-2</c:v>
                </c:pt>
                <c:pt idx="205">
                  <c:v>5.7712000000000006E-2</c:v>
                </c:pt>
                <c:pt idx="206">
                  <c:v>5.7824E-2</c:v>
                </c:pt>
                <c:pt idx="207">
                  <c:v>5.7935999999999994E-2</c:v>
                </c:pt>
                <c:pt idx="208">
                  <c:v>5.8046E-2</c:v>
                </c:pt>
                <c:pt idx="209">
                  <c:v>5.8129999999999994E-2</c:v>
                </c:pt>
                <c:pt idx="210">
                  <c:v>5.8242000000000002E-2</c:v>
                </c:pt>
                <c:pt idx="211">
                  <c:v>5.8352000000000001E-2</c:v>
                </c:pt>
                <c:pt idx="212">
                  <c:v>5.8434E-2</c:v>
                </c:pt>
                <c:pt idx="213">
                  <c:v>5.8545999999999994E-2</c:v>
                </c:pt>
                <c:pt idx="214">
                  <c:v>5.8656E-2</c:v>
                </c:pt>
                <c:pt idx="215">
                  <c:v>5.8742000000000003E-2</c:v>
                </c:pt>
                <c:pt idx="216">
                  <c:v>5.8852000000000002E-2</c:v>
                </c:pt>
                <c:pt idx="217">
                  <c:v>5.8962000000000001E-2</c:v>
                </c:pt>
                <c:pt idx="218">
                  <c:v>5.9047999999999996E-2</c:v>
                </c:pt>
                <c:pt idx="219">
                  <c:v>5.9156000000000007E-2</c:v>
                </c:pt>
                <c:pt idx="220">
                  <c:v>5.9240000000000001E-2</c:v>
                </c:pt>
                <c:pt idx="221">
                  <c:v>5.9352000000000002E-2</c:v>
                </c:pt>
                <c:pt idx="222">
                  <c:v>5.9462000000000001E-2</c:v>
                </c:pt>
                <c:pt idx="223">
                  <c:v>5.9547999999999997E-2</c:v>
                </c:pt>
                <c:pt idx="224">
                  <c:v>5.9631999999999998E-2</c:v>
                </c:pt>
                <c:pt idx="225">
                  <c:v>5.9741999999999996E-2</c:v>
                </c:pt>
                <c:pt idx="226">
                  <c:v>5.9825999999999997E-2</c:v>
                </c:pt>
                <c:pt idx="227">
                  <c:v>5.9935999999999996E-2</c:v>
                </c:pt>
                <c:pt idx="228">
                  <c:v>6.0018000000000002E-2</c:v>
                </c:pt>
                <c:pt idx="229">
                  <c:v>6.0129999999999996E-2</c:v>
                </c:pt>
                <c:pt idx="230">
                  <c:v>6.0212000000000002E-2</c:v>
                </c:pt>
                <c:pt idx="231">
                  <c:v>6.0324000000000003E-2</c:v>
                </c:pt>
                <c:pt idx="232">
                  <c:v>6.0407999999999996E-2</c:v>
                </c:pt>
                <c:pt idx="233">
                  <c:v>6.0519999999999997E-2</c:v>
                </c:pt>
                <c:pt idx="234">
                  <c:v>6.0631999999999998E-2</c:v>
                </c:pt>
                <c:pt idx="235">
                  <c:v>6.0712000000000002E-2</c:v>
                </c:pt>
                <c:pt idx="236">
                  <c:v>6.0822000000000001E-2</c:v>
                </c:pt>
                <c:pt idx="237">
                  <c:v>6.0907999999999997E-2</c:v>
                </c:pt>
                <c:pt idx="238">
                  <c:v>6.1017999999999996E-2</c:v>
                </c:pt>
                <c:pt idx="239">
                  <c:v>6.1101999999999997E-2</c:v>
                </c:pt>
                <c:pt idx="240">
                  <c:v>6.1214000000000005E-2</c:v>
                </c:pt>
                <c:pt idx="241">
                  <c:v>6.1298000000000005E-2</c:v>
                </c:pt>
                <c:pt idx="242">
                  <c:v>6.1407999999999997E-2</c:v>
                </c:pt>
                <c:pt idx="243">
                  <c:v>6.1519999999999998E-2</c:v>
                </c:pt>
                <c:pt idx="244">
                  <c:v>6.1601999999999997E-2</c:v>
                </c:pt>
                <c:pt idx="245">
                  <c:v>6.1714000000000005E-2</c:v>
                </c:pt>
                <c:pt idx="246">
                  <c:v>6.1795999999999997E-2</c:v>
                </c:pt>
                <c:pt idx="247">
                  <c:v>6.1879999999999998E-2</c:v>
                </c:pt>
                <c:pt idx="248">
                  <c:v>6.1992000000000005E-2</c:v>
                </c:pt>
                <c:pt idx="249">
                  <c:v>6.2073999999999997E-2</c:v>
                </c:pt>
                <c:pt idx="250">
                  <c:v>6.2186000000000005E-2</c:v>
                </c:pt>
                <c:pt idx="251">
                  <c:v>6.2267999999999997E-2</c:v>
                </c:pt>
                <c:pt idx="252">
                  <c:v>6.2351999999999998E-2</c:v>
                </c:pt>
                <c:pt idx="253">
                  <c:v>6.2464000000000006E-2</c:v>
                </c:pt>
                <c:pt idx="254">
                  <c:v>6.2548000000000006E-2</c:v>
                </c:pt>
                <c:pt idx="255">
                  <c:v>6.2632000000000007E-2</c:v>
                </c:pt>
                <c:pt idx="256">
                  <c:v>6.2742000000000006E-2</c:v>
                </c:pt>
                <c:pt idx="257">
                  <c:v>6.2824000000000005E-2</c:v>
                </c:pt>
                <c:pt idx="258">
                  <c:v>6.2908000000000006E-2</c:v>
                </c:pt>
                <c:pt idx="259">
                  <c:v>6.3018000000000005E-2</c:v>
                </c:pt>
                <c:pt idx="260">
                  <c:v>6.3129999999999992E-2</c:v>
                </c:pt>
                <c:pt idx="261">
                  <c:v>6.3212000000000004E-2</c:v>
                </c:pt>
                <c:pt idx="262">
                  <c:v>6.3296000000000005E-2</c:v>
                </c:pt>
                <c:pt idx="263">
                  <c:v>6.3381999999999994E-2</c:v>
                </c:pt>
                <c:pt idx="264">
                  <c:v>6.3464000000000007E-2</c:v>
                </c:pt>
                <c:pt idx="265">
                  <c:v>6.3575999999999994E-2</c:v>
                </c:pt>
                <c:pt idx="266">
                  <c:v>6.3658000000000006E-2</c:v>
                </c:pt>
                <c:pt idx="267">
                  <c:v>6.3796000000000005E-2</c:v>
                </c:pt>
                <c:pt idx="268">
                  <c:v>6.3933999999999991E-2</c:v>
                </c:pt>
                <c:pt idx="269">
                  <c:v>6.4046000000000006E-2</c:v>
                </c:pt>
                <c:pt idx="270">
                  <c:v>6.4185999999999993E-2</c:v>
                </c:pt>
                <c:pt idx="271">
                  <c:v>6.4325999999999994E-2</c:v>
                </c:pt>
                <c:pt idx="272">
                  <c:v>6.4463999999999994E-2</c:v>
                </c:pt>
                <c:pt idx="273">
                  <c:v>6.4573999999999993E-2</c:v>
                </c:pt>
                <c:pt idx="274">
                  <c:v>6.4713999999999994E-2</c:v>
                </c:pt>
                <c:pt idx="275">
                  <c:v>6.4824000000000007E-2</c:v>
                </c:pt>
                <c:pt idx="276">
                  <c:v>6.4962000000000006E-2</c:v>
                </c:pt>
                <c:pt idx="277">
                  <c:v>6.5075999999999995E-2</c:v>
                </c:pt>
                <c:pt idx="278">
                  <c:v>6.5215999999999996E-2</c:v>
                </c:pt>
                <c:pt idx="279">
                  <c:v>6.5323999999999993E-2</c:v>
                </c:pt>
                <c:pt idx="280">
                  <c:v>6.5435999999999994E-2</c:v>
                </c:pt>
                <c:pt idx="281">
                  <c:v>6.5574000000000007E-2</c:v>
                </c:pt>
                <c:pt idx="282">
                  <c:v>6.5683999999999992E-2</c:v>
                </c:pt>
                <c:pt idx="283">
                  <c:v>6.5796000000000007E-2</c:v>
                </c:pt>
                <c:pt idx="284">
                  <c:v>6.5936000000000008E-2</c:v>
                </c:pt>
                <c:pt idx="285">
                  <c:v>6.6074000000000008E-2</c:v>
                </c:pt>
                <c:pt idx="286">
                  <c:v>6.6211999999999993E-2</c:v>
                </c:pt>
                <c:pt idx="287">
                  <c:v>6.6353999999999996E-2</c:v>
                </c:pt>
                <c:pt idx="288">
                  <c:v>6.6492000000000009E-2</c:v>
                </c:pt>
                <c:pt idx="289">
                  <c:v>6.6601999999999995E-2</c:v>
                </c:pt>
                <c:pt idx="290">
                  <c:v>6.6741999999999996E-2</c:v>
                </c:pt>
                <c:pt idx="291">
                  <c:v>6.6851999999999995E-2</c:v>
                </c:pt>
                <c:pt idx="292">
                  <c:v>6.6963999999999996E-2</c:v>
                </c:pt>
                <c:pt idx="293">
                  <c:v>6.7075999999999997E-2</c:v>
                </c:pt>
                <c:pt idx="294">
                  <c:v>6.718600000000001E-2</c:v>
                </c:pt>
                <c:pt idx="295">
                  <c:v>6.7297999999999997E-2</c:v>
                </c:pt>
                <c:pt idx="296">
                  <c:v>6.7407999999999996E-2</c:v>
                </c:pt>
                <c:pt idx="297">
                  <c:v>6.7519999999999997E-2</c:v>
                </c:pt>
                <c:pt idx="298">
                  <c:v>6.7628000000000008E-2</c:v>
                </c:pt>
                <c:pt idx="299">
                  <c:v>6.7739999999999995E-2</c:v>
                </c:pt>
                <c:pt idx="300">
                  <c:v>6.7851999999999996E-2</c:v>
                </c:pt>
                <c:pt idx="301">
                  <c:v>6.7961999999999995E-2</c:v>
                </c:pt>
                <c:pt idx="302">
                  <c:v>6.807400000000001E-2</c:v>
                </c:pt>
                <c:pt idx="303">
                  <c:v>6.8185999999999997E-2</c:v>
                </c:pt>
                <c:pt idx="304">
                  <c:v>6.8297999999999998E-2</c:v>
                </c:pt>
                <c:pt idx="305">
                  <c:v>6.8407999999999997E-2</c:v>
                </c:pt>
                <c:pt idx="306">
                  <c:v>6.8519999999999998E-2</c:v>
                </c:pt>
                <c:pt idx="307">
                  <c:v>6.863000000000001E-2</c:v>
                </c:pt>
                <c:pt idx="308">
                  <c:v>6.8767999999999996E-2</c:v>
                </c:pt>
                <c:pt idx="309">
                  <c:v>6.8907999999999997E-2</c:v>
                </c:pt>
                <c:pt idx="310">
                  <c:v>6.9047999999999998E-2</c:v>
                </c:pt>
                <c:pt idx="311">
                  <c:v>6.9183999999999996E-2</c:v>
                </c:pt>
                <c:pt idx="312">
                  <c:v>6.9323999999999997E-2</c:v>
                </c:pt>
                <c:pt idx="313">
                  <c:v>6.9463999999999998E-2</c:v>
                </c:pt>
                <c:pt idx="314">
                  <c:v>6.9601999999999997E-2</c:v>
                </c:pt>
                <c:pt idx="315">
                  <c:v>6.9741999999999998E-2</c:v>
                </c:pt>
                <c:pt idx="316">
                  <c:v>6.9879999999999998E-2</c:v>
                </c:pt>
                <c:pt idx="317">
                  <c:v>7.0017999999999997E-2</c:v>
                </c:pt>
                <c:pt idx="318">
                  <c:v>7.0157999999999998E-2</c:v>
                </c:pt>
                <c:pt idx="319">
                  <c:v>7.0295999999999997E-2</c:v>
                </c:pt>
                <c:pt idx="320">
                  <c:v>7.0433999999999997E-2</c:v>
                </c:pt>
                <c:pt idx="321">
                  <c:v>7.0573999999999998E-2</c:v>
                </c:pt>
                <c:pt idx="322">
                  <c:v>7.0713999999999999E-2</c:v>
                </c:pt>
                <c:pt idx="323">
                  <c:v>7.0851999999999998E-2</c:v>
                </c:pt>
                <c:pt idx="324">
                  <c:v>7.0992E-2</c:v>
                </c:pt>
                <c:pt idx="325">
                  <c:v>7.1129999999999999E-2</c:v>
                </c:pt>
                <c:pt idx="326">
                  <c:v>7.1267999999999998E-2</c:v>
                </c:pt>
                <c:pt idx="327">
                  <c:v>7.1407999999999999E-2</c:v>
                </c:pt>
                <c:pt idx="328">
                  <c:v>7.1545999999999998E-2</c:v>
                </c:pt>
                <c:pt idx="329">
                  <c:v>7.1683999999999998E-2</c:v>
                </c:pt>
                <c:pt idx="330">
                  <c:v>7.1795999999999999E-2</c:v>
                </c:pt>
                <c:pt idx="331">
                  <c:v>7.1936E-2</c:v>
                </c:pt>
                <c:pt idx="332">
                  <c:v>7.2076000000000001E-2</c:v>
                </c:pt>
                <c:pt idx="333">
                  <c:v>7.2214E-2</c:v>
                </c:pt>
                <c:pt idx="334">
                  <c:v>7.2352E-2</c:v>
                </c:pt>
                <c:pt idx="335">
                  <c:v>7.2489999999999999E-2</c:v>
                </c:pt>
                <c:pt idx="336">
                  <c:v>7.2602E-2</c:v>
                </c:pt>
                <c:pt idx="337">
                  <c:v>7.2770000000000001E-2</c:v>
                </c:pt>
                <c:pt idx="338">
                  <c:v>7.2936000000000001E-2</c:v>
                </c:pt>
                <c:pt idx="339">
                  <c:v>7.3074E-2</c:v>
                </c:pt>
                <c:pt idx="340">
                  <c:v>7.3211999999999999E-2</c:v>
                </c:pt>
                <c:pt idx="341">
                  <c:v>7.3380000000000001E-2</c:v>
                </c:pt>
                <c:pt idx="342">
                  <c:v>7.3520000000000002E-2</c:v>
                </c:pt>
                <c:pt idx="343">
                  <c:v>7.3658000000000001E-2</c:v>
                </c:pt>
                <c:pt idx="344">
                  <c:v>7.3798000000000002E-2</c:v>
                </c:pt>
                <c:pt idx="345">
                  <c:v>7.3962E-2</c:v>
                </c:pt>
                <c:pt idx="346">
                  <c:v>7.4102000000000001E-2</c:v>
                </c:pt>
                <c:pt idx="347">
                  <c:v>7.4242000000000002E-2</c:v>
                </c:pt>
                <c:pt idx="348">
                  <c:v>7.4380000000000002E-2</c:v>
                </c:pt>
                <c:pt idx="349">
                  <c:v>7.4520000000000003E-2</c:v>
                </c:pt>
                <c:pt idx="350">
                  <c:v>7.4658000000000002E-2</c:v>
                </c:pt>
                <c:pt idx="351">
                  <c:v>7.4796000000000001E-2</c:v>
                </c:pt>
                <c:pt idx="352">
                  <c:v>7.4936000000000003E-2</c:v>
                </c:pt>
                <c:pt idx="353">
                  <c:v>7.5074000000000002E-2</c:v>
                </c:pt>
                <c:pt idx="354">
                  <c:v>7.5214000000000003E-2</c:v>
                </c:pt>
                <c:pt idx="355">
                  <c:v>7.5352000000000002E-2</c:v>
                </c:pt>
                <c:pt idx="356">
                  <c:v>7.5492000000000004E-2</c:v>
                </c:pt>
                <c:pt idx="357">
                  <c:v>7.5630000000000003E-2</c:v>
                </c:pt>
                <c:pt idx="358">
                  <c:v>7.5770000000000004E-2</c:v>
                </c:pt>
                <c:pt idx="359">
                  <c:v>7.5908000000000003E-2</c:v>
                </c:pt>
                <c:pt idx="360">
                  <c:v>7.6046000000000002E-2</c:v>
                </c:pt>
                <c:pt idx="361">
                  <c:v>7.6184000000000002E-2</c:v>
                </c:pt>
                <c:pt idx="362">
                  <c:v>7.6352000000000003E-2</c:v>
                </c:pt>
                <c:pt idx="363">
                  <c:v>7.6520000000000005E-2</c:v>
                </c:pt>
                <c:pt idx="364">
                  <c:v>7.668599999999999E-2</c:v>
                </c:pt>
                <c:pt idx="365">
                  <c:v>7.6852000000000004E-2</c:v>
                </c:pt>
                <c:pt idx="366">
                  <c:v>7.7018000000000003E-2</c:v>
                </c:pt>
                <c:pt idx="367">
                  <c:v>7.7186000000000005E-2</c:v>
                </c:pt>
                <c:pt idx="368">
                  <c:v>7.7325999999999992E-2</c:v>
                </c:pt>
                <c:pt idx="369">
                  <c:v>7.7492000000000005E-2</c:v>
                </c:pt>
                <c:pt idx="370">
                  <c:v>7.7656000000000003E-2</c:v>
                </c:pt>
                <c:pt idx="371">
                  <c:v>7.7796000000000004E-2</c:v>
                </c:pt>
                <c:pt idx="372">
                  <c:v>7.7935999999999991E-2</c:v>
                </c:pt>
                <c:pt idx="373">
                  <c:v>7.8102000000000005E-2</c:v>
                </c:pt>
                <c:pt idx="374">
                  <c:v>7.8243999999999994E-2</c:v>
                </c:pt>
                <c:pt idx="375">
                  <c:v>7.8406000000000003E-2</c:v>
                </c:pt>
                <c:pt idx="376">
                  <c:v>7.8545999999999991E-2</c:v>
                </c:pt>
                <c:pt idx="377">
                  <c:v>7.8685999999999992E-2</c:v>
                </c:pt>
                <c:pt idx="378">
                  <c:v>7.8852000000000005E-2</c:v>
                </c:pt>
                <c:pt idx="379">
                  <c:v>7.8992000000000007E-2</c:v>
                </c:pt>
                <c:pt idx="380">
                  <c:v>7.9130000000000006E-2</c:v>
                </c:pt>
                <c:pt idx="381">
                  <c:v>7.9268000000000005E-2</c:v>
                </c:pt>
                <c:pt idx="382">
                  <c:v>7.9408000000000006E-2</c:v>
                </c:pt>
                <c:pt idx="383">
                  <c:v>7.9576000000000008E-2</c:v>
                </c:pt>
                <c:pt idx="384">
                  <c:v>7.9740000000000005E-2</c:v>
                </c:pt>
                <c:pt idx="385">
                  <c:v>7.9908000000000007E-2</c:v>
                </c:pt>
                <c:pt idx="386">
                  <c:v>8.0074000000000006E-2</c:v>
                </c:pt>
                <c:pt idx="387">
                  <c:v>8.0242000000000008E-2</c:v>
                </c:pt>
                <c:pt idx="388">
                  <c:v>8.0408000000000007E-2</c:v>
                </c:pt>
                <c:pt idx="389">
                  <c:v>8.0573999999999993E-2</c:v>
                </c:pt>
                <c:pt idx="390">
                  <c:v>8.0739999999999992E-2</c:v>
                </c:pt>
                <c:pt idx="391">
                  <c:v>8.0907999999999994E-2</c:v>
                </c:pt>
                <c:pt idx="392">
                  <c:v>8.1074000000000007E-2</c:v>
                </c:pt>
                <c:pt idx="393">
                  <c:v>8.1241999999999995E-2</c:v>
                </c:pt>
                <c:pt idx="394">
                  <c:v>8.1408000000000008E-2</c:v>
                </c:pt>
                <c:pt idx="395">
                  <c:v>8.1574000000000008E-2</c:v>
                </c:pt>
                <c:pt idx="396">
                  <c:v>8.1739999999999993E-2</c:v>
                </c:pt>
                <c:pt idx="397">
                  <c:v>8.1907999999999995E-2</c:v>
                </c:pt>
                <c:pt idx="398">
                  <c:v>8.2075999999999996E-2</c:v>
                </c:pt>
                <c:pt idx="399">
                  <c:v>8.2240000000000008E-2</c:v>
                </c:pt>
                <c:pt idx="400">
                  <c:v>8.2433999999999993E-2</c:v>
                </c:pt>
                <c:pt idx="401">
                  <c:v>8.2629999999999995E-2</c:v>
                </c:pt>
                <c:pt idx="402">
                  <c:v>8.2824000000000009E-2</c:v>
                </c:pt>
                <c:pt idx="403">
                  <c:v>8.2989999999999994E-2</c:v>
                </c:pt>
                <c:pt idx="404">
                  <c:v>8.3184000000000008E-2</c:v>
                </c:pt>
                <c:pt idx="405">
                  <c:v>8.3379999999999996E-2</c:v>
                </c:pt>
                <c:pt idx="406">
                  <c:v>8.3573999999999996E-2</c:v>
                </c:pt>
                <c:pt idx="407">
                  <c:v>8.3767999999999995E-2</c:v>
                </c:pt>
                <c:pt idx="408">
                  <c:v>8.3963999999999997E-2</c:v>
                </c:pt>
                <c:pt idx="409">
                  <c:v>8.4129999999999996E-2</c:v>
                </c:pt>
                <c:pt idx="410">
                  <c:v>8.4326000000000012E-2</c:v>
                </c:pt>
                <c:pt idx="411">
                  <c:v>8.451800000000001E-2</c:v>
                </c:pt>
                <c:pt idx="412">
                  <c:v>8.4684000000000009E-2</c:v>
                </c:pt>
                <c:pt idx="413">
                  <c:v>8.4879999999999997E-2</c:v>
                </c:pt>
                <c:pt idx="414">
                  <c:v>8.5047999999999999E-2</c:v>
                </c:pt>
                <c:pt idx="415">
                  <c:v>8.5241999999999998E-2</c:v>
                </c:pt>
                <c:pt idx="416">
                  <c:v>8.5433999999999996E-2</c:v>
                </c:pt>
                <c:pt idx="417">
                  <c:v>8.5630000000000012E-2</c:v>
                </c:pt>
                <c:pt idx="418">
                  <c:v>8.5826E-2</c:v>
                </c:pt>
                <c:pt idx="419">
                  <c:v>8.6019999999999999E-2</c:v>
                </c:pt>
                <c:pt idx="420">
                  <c:v>8.6213999999999999E-2</c:v>
                </c:pt>
                <c:pt idx="421">
                  <c:v>8.6407999999999999E-2</c:v>
                </c:pt>
                <c:pt idx="422">
                  <c:v>8.6603999999999987E-2</c:v>
                </c:pt>
                <c:pt idx="423">
                  <c:v>8.6798E-2</c:v>
                </c:pt>
                <c:pt idx="424">
                  <c:v>8.6989999999999998E-2</c:v>
                </c:pt>
                <c:pt idx="425">
                  <c:v>8.7184000000000011E-2</c:v>
                </c:pt>
                <c:pt idx="426">
                  <c:v>8.7379999999999999E-2</c:v>
                </c:pt>
                <c:pt idx="427">
                  <c:v>8.7576000000000001E-2</c:v>
                </c:pt>
                <c:pt idx="428">
                  <c:v>8.7769999999999987E-2</c:v>
                </c:pt>
                <c:pt idx="429">
                  <c:v>8.7962000000000012E-2</c:v>
                </c:pt>
                <c:pt idx="430">
                  <c:v>8.8158E-2</c:v>
                </c:pt>
                <c:pt idx="431">
                  <c:v>8.8352E-2</c:v>
                </c:pt>
                <c:pt idx="432">
                  <c:v>8.8546E-2</c:v>
                </c:pt>
                <c:pt idx="433">
                  <c:v>8.8739999999999999E-2</c:v>
                </c:pt>
                <c:pt idx="434">
                  <c:v>8.8935999999999987E-2</c:v>
                </c:pt>
                <c:pt idx="435">
                  <c:v>8.9130000000000001E-2</c:v>
                </c:pt>
                <c:pt idx="436">
                  <c:v>8.9324000000000001E-2</c:v>
                </c:pt>
                <c:pt idx="437">
                  <c:v>8.9520000000000002E-2</c:v>
                </c:pt>
                <c:pt idx="438">
                  <c:v>8.9713999999999988E-2</c:v>
                </c:pt>
                <c:pt idx="439">
                  <c:v>8.9908000000000002E-2</c:v>
                </c:pt>
                <c:pt idx="440">
                  <c:v>9.0101999999999988E-2</c:v>
                </c:pt>
                <c:pt idx="441">
                  <c:v>9.0296000000000001E-2</c:v>
                </c:pt>
                <c:pt idx="442">
                  <c:v>9.0492000000000003E-2</c:v>
                </c:pt>
                <c:pt idx="443">
                  <c:v>9.0711999999999987E-2</c:v>
                </c:pt>
                <c:pt idx="444">
                  <c:v>9.0906000000000001E-2</c:v>
                </c:pt>
                <c:pt idx="445">
                  <c:v>9.1129999999999989E-2</c:v>
                </c:pt>
                <c:pt idx="446">
                  <c:v>9.1354000000000005E-2</c:v>
                </c:pt>
                <c:pt idx="447">
                  <c:v>9.1544000000000014E-2</c:v>
                </c:pt>
                <c:pt idx="448">
                  <c:v>9.1739999999999988E-2</c:v>
                </c:pt>
                <c:pt idx="449">
                  <c:v>9.1936000000000004E-2</c:v>
                </c:pt>
                <c:pt idx="450">
                  <c:v>9.212999999999999E-2</c:v>
                </c:pt>
                <c:pt idx="451">
                  <c:v>9.2324000000000003E-2</c:v>
                </c:pt>
                <c:pt idx="452">
                  <c:v>9.2546000000000003E-2</c:v>
                </c:pt>
                <c:pt idx="453">
                  <c:v>9.2768000000000003E-2</c:v>
                </c:pt>
                <c:pt idx="454">
                  <c:v>9.2989999999999989E-2</c:v>
                </c:pt>
                <c:pt idx="455">
                  <c:v>9.3214000000000005E-2</c:v>
                </c:pt>
                <c:pt idx="456">
                  <c:v>9.3436000000000005E-2</c:v>
                </c:pt>
                <c:pt idx="457">
                  <c:v>9.3659999999999993E-2</c:v>
                </c:pt>
                <c:pt idx="458">
                  <c:v>9.3880000000000005E-2</c:v>
                </c:pt>
                <c:pt idx="459">
                  <c:v>9.4101999999999991E-2</c:v>
                </c:pt>
                <c:pt idx="460">
                  <c:v>9.4323999999999991E-2</c:v>
                </c:pt>
                <c:pt idx="461">
                  <c:v>9.4519999999999993E-2</c:v>
                </c:pt>
                <c:pt idx="462">
                  <c:v>9.4740000000000005E-2</c:v>
                </c:pt>
                <c:pt idx="463">
                  <c:v>9.4963999999999993E-2</c:v>
                </c:pt>
                <c:pt idx="464">
                  <c:v>9.5188000000000009E-2</c:v>
                </c:pt>
                <c:pt idx="465">
                  <c:v>9.5405999999999991E-2</c:v>
                </c:pt>
                <c:pt idx="466">
                  <c:v>9.5630000000000007E-2</c:v>
                </c:pt>
                <c:pt idx="467">
                  <c:v>9.5852000000000007E-2</c:v>
                </c:pt>
                <c:pt idx="468">
                  <c:v>9.6074000000000007E-2</c:v>
                </c:pt>
                <c:pt idx="469">
                  <c:v>9.6295999999999993E-2</c:v>
                </c:pt>
                <c:pt idx="470">
                  <c:v>9.6517999999999993E-2</c:v>
                </c:pt>
                <c:pt idx="471">
                  <c:v>9.6742000000000009E-2</c:v>
                </c:pt>
                <c:pt idx="472">
                  <c:v>9.6964000000000009E-2</c:v>
                </c:pt>
                <c:pt idx="473">
                  <c:v>9.7186000000000008E-2</c:v>
                </c:pt>
                <c:pt idx="474">
                  <c:v>9.7407999999999995E-2</c:v>
                </c:pt>
                <c:pt idx="475">
                  <c:v>9.7629999999999995E-2</c:v>
                </c:pt>
                <c:pt idx="476">
                  <c:v>9.7851999999999995E-2</c:v>
                </c:pt>
                <c:pt idx="477">
                  <c:v>9.8073999999999995E-2</c:v>
                </c:pt>
                <c:pt idx="478">
                  <c:v>9.829800000000001E-2</c:v>
                </c:pt>
                <c:pt idx="479">
                  <c:v>9.8518000000000008E-2</c:v>
                </c:pt>
                <c:pt idx="480">
                  <c:v>9.8767999999999995E-2</c:v>
                </c:pt>
                <c:pt idx="481">
                  <c:v>9.8989999999999995E-2</c:v>
                </c:pt>
                <c:pt idx="482">
                  <c:v>9.9239999999999995E-2</c:v>
                </c:pt>
                <c:pt idx="483">
                  <c:v>9.9489999999999995E-2</c:v>
                </c:pt>
                <c:pt idx="484">
                  <c:v>9.9741999999999997E-2</c:v>
                </c:pt>
                <c:pt idx="485">
                  <c:v>9.9990000000000009E-2</c:v>
                </c:pt>
                <c:pt idx="486">
                  <c:v>0.10024</c:v>
                </c:pt>
                <c:pt idx="487">
                  <c:v>0.10049200000000001</c:v>
                </c:pt>
                <c:pt idx="488">
                  <c:v>0.10074</c:v>
                </c:pt>
                <c:pt idx="489">
                  <c:v>0.10099</c:v>
                </c:pt>
                <c:pt idx="490">
                  <c:v>0.101242</c:v>
                </c:pt>
                <c:pt idx="491">
                  <c:v>0.101492</c:v>
                </c:pt>
                <c:pt idx="492">
                  <c:v>0.10174200000000001</c:v>
                </c:pt>
                <c:pt idx="493">
                  <c:v>0.101992</c:v>
                </c:pt>
                <c:pt idx="494">
                  <c:v>0.10224</c:v>
                </c:pt>
                <c:pt idx="495">
                  <c:v>0.10249000000000001</c:v>
                </c:pt>
                <c:pt idx="496">
                  <c:v>0.102742</c:v>
                </c:pt>
                <c:pt idx="497">
                  <c:v>0.103018</c:v>
                </c:pt>
                <c:pt idx="498">
                  <c:v>0.10327</c:v>
                </c:pt>
                <c:pt idx="499">
                  <c:v>0.10352</c:v>
                </c:pt>
                <c:pt idx="500">
                  <c:v>0.103796</c:v>
                </c:pt>
                <c:pt idx="501">
                  <c:v>0.104046</c:v>
                </c:pt>
                <c:pt idx="502">
                  <c:v>0.104298</c:v>
                </c:pt>
                <c:pt idx="503">
                  <c:v>0.104572</c:v>
                </c:pt>
                <c:pt idx="504">
                  <c:v>0.104852</c:v>
                </c:pt>
                <c:pt idx="505">
                  <c:v>0.10513199999999999</c:v>
                </c:pt>
                <c:pt idx="506">
                  <c:v>0.105408</c:v>
                </c:pt>
                <c:pt idx="507">
                  <c:v>0.105686</c:v>
                </c:pt>
                <c:pt idx="508">
                  <c:v>0.10596399999999999</c:v>
                </c:pt>
                <c:pt idx="509">
                  <c:v>0.10624</c:v>
                </c:pt>
                <c:pt idx="510">
                  <c:v>0.106518</c:v>
                </c:pt>
                <c:pt idx="511">
                  <c:v>0.106798</c:v>
                </c:pt>
                <c:pt idx="512">
                  <c:v>0.107074</c:v>
                </c:pt>
                <c:pt idx="513">
                  <c:v>0.10735</c:v>
                </c:pt>
                <c:pt idx="514">
                  <c:v>0.10763</c:v>
                </c:pt>
                <c:pt idx="515">
                  <c:v>0.107908</c:v>
                </c:pt>
                <c:pt idx="516">
                  <c:v>0.108186</c:v>
                </c:pt>
                <c:pt idx="517">
                  <c:v>0.108462</c:v>
                </c:pt>
                <c:pt idx="518">
                  <c:v>0.10874200000000001</c:v>
                </c:pt>
                <c:pt idx="519">
                  <c:v>0.10901999999999999</c:v>
                </c:pt>
                <c:pt idx="520">
                  <c:v>0.109296</c:v>
                </c:pt>
                <c:pt idx="521">
                  <c:v>0.10957599999999999</c:v>
                </c:pt>
                <c:pt idx="522">
                  <c:v>0.10985200000000001</c:v>
                </c:pt>
                <c:pt idx="523">
                  <c:v>0.11015599999999999</c:v>
                </c:pt>
                <c:pt idx="524">
                  <c:v>0.110462</c:v>
                </c:pt>
                <c:pt idx="525">
                  <c:v>0.11076800000000001</c:v>
                </c:pt>
                <c:pt idx="526">
                  <c:v>0.11107400000000001</c:v>
                </c:pt>
                <c:pt idx="527">
                  <c:v>0.11137999999999999</c:v>
                </c:pt>
                <c:pt idx="528">
                  <c:v>0.11168400000000001</c:v>
                </c:pt>
                <c:pt idx="529">
                  <c:v>0.11198999999999999</c:v>
                </c:pt>
                <c:pt idx="530">
                  <c:v>0.11229599999999999</c:v>
                </c:pt>
                <c:pt idx="531">
                  <c:v>0.11260199999999999</c:v>
                </c:pt>
                <c:pt idx="532">
                  <c:v>0.11290800000000001</c:v>
                </c:pt>
                <c:pt idx="533">
                  <c:v>0.11321400000000001</c:v>
                </c:pt>
                <c:pt idx="534">
                  <c:v>0.11354599999999999</c:v>
                </c:pt>
                <c:pt idx="535">
                  <c:v>0.11387800000000001</c:v>
                </c:pt>
                <c:pt idx="536">
                  <c:v>0.11418400000000001</c:v>
                </c:pt>
                <c:pt idx="537">
                  <c:v>0.11452</c:v>
                </c:pt>
                <c:pt idx="538">
                  <c:v>0.11485200000000001</c:v>
                </c:pt>
                <c:pt idx="539">
                  <c:v>0.115186</c:v>
                </c:pt>
                <c:pt idx="540">
                  <c:v>0.115518</c:v>
                </c:pt>
                <c:pt idx="541">
                  <c:v>0.11585200000000001</c:v>
                </c:pt>
                <c:pt idx="542">
                  <c:v>0.116184</c:v>
                </c:pt>
                <c:pt idx="543">
                  <c:v>0.11652</c:v>
                </c:pt>
                <c:pt idx="544">
                  <c:v>0.116852</c:v>
                </c:pt>
                <c:pt idx="545">
                  <c:v>0.117186</c:v>
                </c:pt>
                <c:pt idx="546">
                  <c:v>0.117522</c:v>
                </c:pt>
                <c:pt idx="547">
                  <c:v>0.117852</c:v>
                </c:pt>
                <c:pt idx="548">
                  <c:v>0.118186</c:v>
                </c:pt>
                <c:pt idx="549">
                  <c:v>0.118516</c:v>
                </c:pt>
                <c:pt idx="550">
                  <c:v>0.118852</c:v>
                </c:pt>
                <c:pt idx="551">
                  <c:v>0.119186</c:v>
                </c:pt>
                <c:pt idx="552">
                  <c:v>0.11952</c:v>
                </c:pt>
                <c:pt idx="553">
                  <c:v>0.11985200000000001</c:v>
                </c:pt>
                <c:pt idx="554">
                  <c:v>0.12018599999999999</c:v>
                </c:pt>
                <c:pt idx="555">
                  <c:v>0.120548</c:v>
                </c:pt>
                <c:pt idx="556">
                  <c:v>0.120908</c:v>
                </c:pt>
                <c:pt idx="557">
                  <c:v>0.12127</c:v>
                </c:pt>
                <c:pt idx="558">
                  <c:v>0.12162800000000001</c:v>
                </c:pt>
                <c:pt idx="559">
                  <c:v>0.12199400000000001</c:v>
                </c:pt>
                <c:pt idx="560">
                  <c:v>0.12235</c:v>
                </c:pt>
                <c:pt idx="561">
                  <c:v>0.122714</c:v>
                </c:pt>
                <c:pt idx="562">
                  <c:v>0.12307399999999999</c:v>
                </c:pt>
                <c:pt idx="563">
                  <c:v>0.123436</c:v>
                </c:pt>
                <c:pt idx="564">
                  <c:v>0.123824</c:v>
                </c:pt>
                <c:pt idx="565">
                  <c:v>0.12418599999999999</c:v>
                </c:pt>
                <c:pt idx="566">
                  <c:v>0.124574</c:v>
                </c:pt>
                <c:pt idx="567">
                  <c:v>0.12496399999999999</c:v>
                </c:pt>
                <c:pt idx="568">
                  <c:v>0.12534999999999999</c:v>
                </c:pt>
                <c:pt idx="569">
                  <c:v>0.12574199999999999</c:v>
                </c:pt>
                <c:pt idx="570">
                  <c:v>0.12612999999999999</c:v>
                </c:pt>
                <c:pt idx="571">
                  <c:v>0.12651999999999999</c:v>
                </c:pt>
                <c:pt idx="572">
                  <c:v>0.12690599999999999</c:v>
                </c:pt>
                <c:pt idx="573">
                  <c:v>0.12729599999999999</c:v>
                </c:pt>
                <c:pt idx="574">
                  <c:v>0.12768599999999999</c:v>
                </c:pt>
                <c:pt idx="575">
                  <c:v>0.128076</c:v>
                </c:pt>
                <c:pt idx="576">
                  <c:v>0.128492</c:v>
                </c:pt>
                <c:pt idx="577">
                  <c:v>0.12890799999999999</c:v>
                </c:pt>
                <c:pt idx="578">
                  <c:v>0.12932399999999999</c:v>
                </c:pt>
                <c:pt idx="579">
                  <c:v>0.129742</c:v>
                </c:pt>
                <c:pt idx="580">
                  <c:v>0.130158</c:v>
                </c:pt>
                <c:pt idx="581">
                  <c:v>0.130576</c:v>
                </c:pt>
                <c:pt idx="582">
                  <c:v>0.130992</c:v>
                </c:pt>
                <c:pt idx="583">
                  <c:v>0.13141</c:v>
                </c:pt>
                <c:pt idx="584">
                  <c:v>0.131852</c:v>
                </c:pt>
                <c:pt idx="585">
                  <c:v>0.132296</c:v>
                </c:pt>
                <c:pt idx="586">
                  <c:v>0.132742</c:v>
                </c:pt>
                <c:pt idx="587">
                  <c:v>0.133186</c:v>
                </c:pt>
                <c:pt idx="588">
                  <c:v>0.13363</c:v>
                </c:pt>
                <c:pt idx="589">
                  <c:v>0.134104</c:v>
                </c:pt>
                <c:pt idx="590">
                  <c:v>0.134546</c:v>
                </c:pt>
                <c:pt idx="591">
                  <c:v>0.13502</c:v>
                </c:pt>
                <c:pt idx="592">
                  <c:v>0.135492</c:v>
                </c:pt>
                <c:pt idx="593">
                  <c:v>0.135966</c:v>
                </c:pt>
                <c:pt idx="594">
                  <c:v>0.136436</c:v>
                </c:pt>
                <c:pt idx="595">
                  <c:v>0.136908</c:v>
                </c:pt>
                <c:pt idx="596">
                  <c:v>0.137352</c:v>
                </c:pt>
                <c:pt idx="597">
                  <c:v>0.137826</c:v>
                </c:pt>
                <c:pt idx="598">
                  <c:v>0.138298</c:v>
                </c:pt>
                <c:pt idx="599">
                  <c:v>0.13877</c:v>
                </c:pt>
                <c:pt idx="600">
                  <c:v>0.139242</c:v>
                </c:pt>
                <c:pt idx="601">
                  <c:v>0.139714</c:v>
                </c:pt>
                <c:pt idx="602">
                  <c:v>0.140212</c:v>
                </c:pt>
                <c:pt idx="603">
                  <c:v>0.14071400000000001</c:v>
                </c:pt>
                <c:pt idx="604">
                  <c:v>0.14121400000000001</c:v>
                </c:pt>
                <c:pt idx="605">
                  <c:v>0.14171400000000001</c:v>
                </c:pt>
                <c:pt idx="606">
                  <c:v>0.14224200000000001</c:v>
                </c:pt>
                <c:pt idx="607">
                  <c:v>0.14276999999999998</c:v>
                </c:pt>
                <c:pt idx="608">
                  <c:v>0.14329599999999998</c:v>
                </c:pt>
                <c:pt idx="609">
                  <c:v>0.14382400000000001</c:v>
                </c:pt>
                <c:pt idx="610">
                  <c:v>0.14438000000000001</c:v>
                </c:pt>
                <c:pt idx="611">
                  <c:v>0.14493600000000001</c:v>
                </c:pt>
                <c:pt idx="612">
                  <c:v>0.14549000000000001</c:v>
                </c:pt>
                <c:pt idx="613">
                  <c:v>0.14604799999999998</c:v>
                </c:pt>
                <c:pt idx="614">
                  <c:v>0.14663000000000001</c:v>
                </c:pt>
                <c:pt idx="615">
                  <c:v>0.14721399999999998</c:v>
                </c:pt>
                <c:pt idx="616">
                  <c:v>0.14779600000000001</c:v>
                </c:pt>
                <c:pt idx="617">
                  <c:v>0.14837999999999998</c:v>
                </c:pt>
                <c:pt idx="618">
                  <c:v>0.14896599999999999</c:v>
                </c:pt>
                <c:pt idx="619">
                  <c:v>0.14957399999999998</c:v>
                </c:pt>
                <c:pt idx="620">
                  <c:v>0.15018599999999999</c:v>
                </c:pt>
                <c:pt idx="621">
                  <c:v>0.15082399999999999</c:v>
                </c:pt>
                <c:pt idx="622">
                  <c:v>0.15148999999999999</c:v>
                </c:pt>
                <c:pt idx="623">
                  <c:v>0.15218600000000002</c:v>
                </c:pt>
              </c:numCache>
            </c:numRef>
          </c:cat>
          <c:val>
            <c:numRef>
              <c:f>'A10-2'!$F$2:$F$625</c:f>
              <c:numCache>
                <c:formatCode>0.00</c:formatCode>
                <c:ptCount val="624"/>
                <c:pt idx="0">
                  <c:v>0</c:v>
                </c:pt>
                <c:pt idx="1">
                  <c:v>0.25768307285559827</c:v>
                </c:pt>
                <c:pt idx="2">
                  <c:v>0.26121098800301323</c:v>
                </c:pt>
                <c:pt idx="3">
                  <c:v>0.2647389031504282</c:v>
                </c:pt>
                <c:pt idx="4">
                  <c:v>0.26828757073988679</c:v>
                </c:pt>
                <c:pt idx="5">
                  <c:v>0.26828757073988679</c:v>
                </c:pt>
                <c:pt idx="6">
                  <c:v>0.26828757073988679</c:v>
                </c:pt>
                <c:pt idx="7">
                  <c:v>0.2647389031504282</c:v>
                </c:pt>
                <c:pt idx="8">
                  <c:v>0.26828757073988679</c:v>
                </c:pt>
                <c:pt idx="9">
                  <c:v>0.26828757073988679</c:v>
                </c:pt>
                <c:pt idx="10">
                  <c:v>0.26828757073988679</c:v>
                </c:pt>
                <c:pt idx="11">
                  <c:v>0.27181548588730181</c:v>
                </c:pt>
                <c:pt idx="12">
                  <c:v>0.27181548588730181</c:v>
                </c:pt>
                <c:pt idx="13">
                  <c:v>0.27181548588730181</c:v>
                </c:pt>
                <c:pt idx="14">
                  <c:v>0.27181548588730181</c:v>
                </c:pt>
                <c:pt idx="15">
                  <c:v>0.27181548588730181</c:v>
                </c:pt>
                <c:pt idx="16">
                  <c:v>0.27534340103471677</c:v>
                </c:pt>
                <c:pt idx="17">
                  <c:v>0.27534340103471677</c:v>
                </c:pt>
                <c:pt idx="18">
                  <c:v>0.27534340103471677</c:v>
                </c:pt>
                <c:pt idx="19">
                  <c:v>0.27534340103471677</c:v>
                </c:pt>
                <c:pt idx="20">
                  <c:v>0.27181548588730181</c:v>
                </c:pt>
                <c:pt idx="21">
                  <c:v>0.26828757073988679</c:v>
                </c:pt>
                <c:pt idx="22">
                  <c:v>0.26828757073988679</c:v>
                </c:pt>
                <c:pt idx="23">
                  <c:v>0.26828757073988679</c:v>
                </c:pt>
                <c:pt idx="24">
                  <c:v>0.27181548588730181</c:v>
                </c:pt>
                <c:pt idx="25">
                  <c:v>0.27181548588730181</c:v>
                </c:pt>
                <c:pt idx="26">
                  <c:v>0.27181548588730181</c:v>
                </c:pt>
                <c:pt idx="27">
                  <c:v>0.27181548588730181</c:v>
                </c:pt>
                <c:pt idx="28">
                  <c:v>0.27181548588730181</c:v>
                </c:pt>
                <c:pt idx="29">
                  <c:v>0.27181548588730181</c:v>
                </c:pt>
                <c:pt idx="30">
                  <c:v>0.27887131618213168</c:v>
                </c:pt>
                <c:pt idx="31">
                  <c:v>0.27887131618213168</c:v>
                </c:pt>
                <c:pt idx="32">
                  <c:v>0.27887131618213168</c:v>
                </c:pt>
                <c:pt idx="33">
                  <c:v>0.27887131618213168</c:v>
                </c:pt>
                <c:pt idx="34">
                  <c:v>0.27534340103471677</c:v>
                </c:pt>
                <c:pt idx="35">
                  <c:v>0.27887131618213168</c:v>
                </c:pt>
                <c:pt idx="36">
                  <c:v>0.28239923132954664</c:v>
                </c:pt>
                <c:pt idx="37">
                  <c:v>0.27534340103471677</c:v>
                </c:pt>
                <c:pt idx="38">
                  <c:v>0.27181548588730181</c:v>
                </c:pt>
                <c:pt idx="39">
                  <c:v>0.27181548588730181</c:v>
                </c:pt>
                <c:pt idx="40">
                  <c:v>0.27181548588730181</c:v>
                </c:pt>
                <c:pt idx="41">
                  <c:v>0.27181548588730181</c:v>
                </c:pt>
                <c:pt idx="42">
                  <c:v>0.27534340103471677</c:v>
                </c:pt>
                <c:pt idx="43">
                  <c:v>0.27887131618213168</c:v>
                </c:pt>
                <c:pt idx="44">
                  <c:v>0.28592714647696166</c:v>
                </c:pt>
                <c:pt idx="45">
                  <c:v>0.2965108919192066</c:v>
                </c:pt>
                <c:pt idx="46">
                  <c:v>0.30356672221403652</c:v>
                </c:pt>
                <c:pt idx="47">
                  <c:v>0.30711538980349506</c:v>
                </c:pt>
                <c:pt idx="48">
                  <c:v>0.31064330495091003</c:v>
                </c:pt>
                <c:pt idx="49">
                  <c:v>0.31064330495091003</c:v>
                </c:pt>
                <c:pt idx="50">
                  <c:v>0.31417122009832504</c:v>
                </c:pt>
                <c:pt idx="51">
                  <c:v>0.31417122009832504</c:v>
                </c:pt>
                <c:pt idx="52">
                  <c:v>0.31769913524574001</c:v>
                </c:pt>
                <c:pt idx="53">
                  <c:v>0.31769913524574001</c:v>
                </c:pt>
                <c:pt idx="54">
                  <c:v>0.31769913524574001</c:v>
                </c:pt>
                <c:pt idx="55">
                  <c:v>0.31769913524574001</c:v>
                </c:pt>
                <c:pt idx="56">
                  <c:v>0.32122705039315497</c:v>
                </c:pt>
                <c:pt idx="57">
                  <c:v>0.32475496554056993</c:v>
                </c:pt>
                <c:pt idx="58">
                  <c:v>0.32475496554056993</c:v>
                </c:pt>
                <c:pt idx="59">
                  <c:v>0.32475496554056993</c:v>
                </c:pt>
                <c:pt idx="60">
                  <c:v>0.32475496554056993</c:v>
                </c:pt>
                <c:pt idx="61">
                  <c:v>0.32122705039315497</c:v>
                </c:pt>
                <c:pt idx="62">
                  <c:v>0.32122705039315497</c:v>
                </c:pt>
                <c:pt idx="63">
                  <c:v>0.32122705039315497</c:v>
                </c:pt>
                <c:pt idx="64">
                  <c:v>0.32122705039315497</c:v>
                </c:pt>
                <c:pt idx="65">
                  <c:v>0.32475496554056993</c:v>
                </c:pt>
                <c:pt idx="66">
                  <c:v>0.32122705039315497</c:v>
                </c:pt>
                <c:pt idx="67">
                  <c:v>0.31769913524574001</c:v>
                </c:pt>
                <c:pt idx="68">
                  <c:v>0.32122705039315497</c:v>
                </c:pt>
                <c:pt idx="69">
                  <c:v>0.32828288068798495</c:v>
                </c:pt>
                <c:pt idx="70">
                  <c:v>0.33533871098281481</c:v>
                </c:pt>
                <c:pt idx="71">
                  <c:v>0.33886662613022983</c:v>
                </c:pt>
                <c:pt idx="72">
                  <c:v>0.33886662613022983</c:v>
                </c:pt>
                <c:pt idx="73">
                  <c:v>0.33533871098281481</c:v>
                </c:pt>
                <c:pt idx="74">
                  <c:v>0.33533871098281481</c:v>
                </c:pt>
                <c:pt idx="75">
                  <c:v>0.33533871098281481</c:v>
                </c:pt>
                <c:pt idx="76">
                  <c:v>0.33181079583539991</c:v>
                </c:pt>
                <c:pt idx="77">
                  <c:v>0.32828288068798495</c:v>
                </c:pt>
                <c:pt idx="78">
                  <c:v>0.32828288068798495</c:v>
                </c:pt>
                <c:pt idx="79">
                  <c:v>0.33181079583539991</c:v>
                </c:pt>
                <c:pt idx="80">
                  <c:v>0.33181079583539991</c:v>
                </c:pt>
                <c:pt idx="81">
                  <c:v>0.32828288068798495</c:v>
                </c:pt>
                <c:pt idx="82">
                  <c:v>0.33533871098281481</c:v>
                </c:pt>
                <c:pt idx="83">
                  <c:v>0.33886662613022983</c:v>
                </c:pt>
                <c:pt idx="84">
                  <c:v>0.34241529371968843</c:v>
                </c:pt>
                <c:pt idx="85">
                  <c:v>0.34594320886710345</c:v>
                </c:pt>
                <c:pt idx="86">
                  <c:v>0.34947112401451841</c:v>
                </c:pt>
                <c:pt idx="87">
                  <c:v>0.35299903916193337</c:v>
                </c:pt>
                <c:pt idx="88">
                  <c:v>0.36005486945676329</c:v>
                </c:pt>
                <c:pt idx="89">
                  <c:v>0.3741665300464232</c:v>
                </c:pt>
                <c:pt idx="90">
                  <c:v>0.38829894307812662</c:v>
                </c:pt>
                <c:pt idx="91">
                  <c:v>0.40241060366778653</c:v>
                </c:pt>
                <c:pt idx="92">
                  <c:v>0.4130151015520751</c:v>
                </c:pt>
                <c:pt idx="93">
                  <c:v>0.42007093184690503</c:v>
                </c:pt>
                <c:pt idx="94">
                  <c:v>0.43065467728914997</c:v>
                </c:pt>
                <c:pt idx="95">
                  <c:v>0.43418259243656498</c:v>
                </c:pt>
                <c:pt idx="96">
                  <c:v>0.43771050758397989</c:v>
                </c:pt>
                <c:pt idx="97">
                  <c:v>0.44476633787880981</c:v>
                </c:pt>
                <c:pt idx="98">
                  <c:v>0.45184292061568343</c:v>
                </c:pt>
                <c:pt idx="99">
                  <c:v>0.46242666605792837</c:v>
                </c:pt>
                <c:pt idx="100">
                  <c:v>0.46948249635275824</c:v>
                </c:pt>
                <c:pt idx="101">
                  <c:v>0.4730104115001732</c:v>
                </c:pt>
                <c:pt idx="102">
                  <c:v>0.48006624179500318</c:v>
                </c:pt>
                <c:pt idx="103">
                  <c:v>0.49067073967929165</c:v>
                </c:pt>
                <c:pt idx="104">
                  <c:v>0.49419865482670666</c:v>
                </c:pt>
                <c:pt idx="105">
                  <c:v>0.49772656997412168</c:v>
                </c:pt>
                <c:pt idx="106">
                  <c:v>0.50831031541636651</c:v>
                </c:pt>
                <c:pt idx="107">
                  <c:v>0.51891481330065514</c:v>
                </c:pt>
                <c:pt idx="108">
                  <c:v>0.52949855874290008</c:v>
                </c:pt>
                <c:pt idx="109">
                  <c:v>0.54008230418514491</c:v>
                </c:pt>
                <c:pt idx="110">
                  <c:v>0.55066604962738985</c:v>
                </c:pt>
                <c:pt idx="111">
                  <c:v>0.56127054751167837</c:v>
                </c:pt>
                <c:pt idx="112">
                  <c:v>0.57538220810133822</c:v>
                </c:pt>
                <c:pt idx="113">
                  <c:v>0.58243803839616815</c:v>
                </c:pt>
                <c:pt idx="114">
                  <c:v>0.59657045142787168</c:v>
                </c:pt>
                <c:pt idx="115">
                  <c:v>0.60715419687011662</c:v>
                </c:pt>
                <c:pt idx="116">
                  <c:v>0.61773794231236157</c:v>
                </c:pt>
                <c:pt idx="117">
                  <c:v>0.62479377260719149</c:v>
                </c:pt>
                <c:pt idx="118">
                  <c:v>0.63539827049148001</c:v>
                </c:pt>
                <c:pt idx="119">
                  <c:v>0.64598201593372495</c:v>
                </c:pt>
                <c:pt idx="120">
                  <c:v>0.65656576137596989</c:v>
                </c:pt>
                <c:pt idx="121">
                  <c:v>0.67069817440767343</c:v>
                </c:pt>
                <c:pt idx="122">
                  <c:v>0.68480983499733328</c:v>
                </c:pt>
                <c:pt idx="123">
                  <c:v>0.69539358043957811</c:v>
                </c:pt>
                <c:pt idx="124">
                  <c:v>0.70952599347128165</c:v>
                </c:pt>
                <c:pt idx="125">
                  <c:v>0.72010973891352659</c:v>
                </c:pt>
                <c:pt idx="126">
                  <c:v>0.73424215194523013</c:v>
                </c:pt>
                <c:pt idx="127">
                  <c:v>0.74482589738747496</c:v>
                </c:pt>
                <c:pt idx="128">
                  <c:v>0.7589375579771348</c:v>
                </c:pt>
                <c:pt idx="129">
                  <c:v>0.77306997100883834</c:v>
                </c:pt>
                <c:pt idx="130">
                  <c:v>0.7871816315984983</c:v>
                </c:pt>
                <c:pt idx="131">
                  <c:v>0.80129329218815815</c:v>
                </c:pt>
                <c:pt idx="132">
                  <c:v>0.81542570521986169</c:v>
                </c:pt>
                <c:pt idx="133">
                  <c:v>0.82953736580952153</c:v>
                </c:pt>
                <c:pt idx="134">
                  <c:v>0.84366977884122507</c:v>
                </c:pt>
                <c:pt idx="135">
                  <c:v>0.85778143943088503</c:v>
                </c:pt>
                <c:pt idx="136">
                  <c:v>0.87189310002054488</c:v>
                </c:pt>
                <c:pt idx="137">
                  <c:v>0.88602551305224841</c:v>
                </c:pt>
                <c:pt idx="138">
                  <c:v>0.90013717364190826</c:v>
                </c:pt>
                <c:pt idx="139">
                  <c:v>0.91426958667361169</c:v>
                </c:pt>
                <c:pt idx="140">
                  <c:v>0.92838124726327165</c:v>
                </c:pt>
                <c:pt idx="141">
                  <c:v>0.94249290785293138</c:v>
                </c:pt>
                <c:pt idx="142">
                  <c:v>0.95662532088463492</c:v>
                </c:pt>
                <c:pt idx="143">
                  <c:v>0.97073698147429488</c:v>
                </c:pt>
                <c:pt idx="144">
                  <c:v>0.98486939450599831</c:v>
                </c:pt>
                <c:pt idx="145">
                  <c:v>0.99898105509565827</c:v>
                </c:pt>
                <c:pt idx="146">
                  <c:v>1.013092715685318</c:v>
                </c:pt>
                <c:pt idx="147">
                  <c:v>1.0272251287170218</c:v>
                </c:pt>
                <c:pt idx="148">
                  <c:v>1.0413367893066816</c:v>
                </c:pt>
                <c:pt idx="149">
                  <c:v>1.0554692023383851</c:v>
                </c:pt>
                <c:pt idx="150">
                  <c:v>1.069580862928045</c:v>
                </c:pt>
                <c:pt idx="151">
                  <c:v>1.0836925235177048</c:v>
                </c:pt>
                <c:pt idx="152">
                  <c:v>1.0978249365494084</c:v>
                </c:pt>
                <c:pt idx="153">
                  <c:v>1.1119365971390682</c:v>
                </c:pt>
                <c:pt idx="154">
                  <c:v>1.1260690101707718</c:v>
                </c:pt>
                <c:pt idx="155">
                  <c:v>1.1401806707604316</c:v>
                </c:pt>
                <c:pt idx="156">
                  <c:v>1.1542923313500917</c:v>
                </c:pt>
                <c:pt idx="157">
                  <c:v>1.168424744381795</c:v>
                </c:pt>
                <c:pt idx="158">
                  <c:v>1.1825364049714548</c:v>
                </c:pt>
                <c:pt idx="159">
                  <c:v>1.1966480655611149</c:v>
                </c:pt>
                <c:pt idx="160">
                  <c:v>1.2107804785928185</c:v>
                </c:pt>
                <c:pt idx="161">
                  <c:v>1.2248921391824781</c:v>
                </c:pt>
                <c:pt idx="162">
                  <c:v>1.2390245522141818</c:v>
                </c:pt>
                <c:pt idx="163">
                  <c:v>1.2531362128038415</c:v>
                </c:pt>
                <c:pt idx="164">
                  <c:v>1.2672478733935013</c:v>
                </c:pt>
                <c:pt idx="165">
                  <c:v>1.2813802864252049</c:v>
                </c:pt>
                <c:pt idx="166">
                  <c:v>1.2954919470148647</c:v>
                </c:pt>
                <c:pt idx="167">
                  <c:v>1.3096243600465682</c:v>
                </c:pt>
                <c:pt idx="168">
                  <c:v>1.3237360206362281</c:v>
                </c:pt>
                <c:pt idx="169">
                  <c:v>1.3378476812258882</c:v>
                </c:pt>
                <c:pt idx="170">
                  <c:v>1.3519800942575915</c:v>
                </c:pt>
                <c:pt idx="171">
                  <c:v>1.3660917548472515</c:v>
                </c:pt>
                <c:pt idx="172">
                  <c:v>1.3802241678789551</c:v>
                </c:pt>
                <c:pt idx="173">
                  <c:v>1.3943358284686147</c:v>
                </c:pt>
                <c:pt idx="174">
                  <c:v>1.4084474890582748</c:v>
                </c:pt>
                <c:pt idx="175">
                  <c:v>1.4225799020899783</c:v>
                </c:pt>
                <c:pt idx="176">
                  <c:v>1.4366915626796382</c:v>
                </c:pt>
                <c:pt idx="177">
                  <c:v>1.4508239757113417</c:v>
                </c:pt>
                <c:pt idx="178">
                  <c:v>1.4649356363010015</c:v>
                </c:pt>
                <c:pt idx="179">
                  <c:v>1.4790472968906616</c:v>
                </c:pt>
                <c:pt idx="180">
                  <c:v>1.4931797099223649</c:v>
                </c:pt>
                <c:pt idx="181">
                  <c:v>1.507291370512025</c:v>
                </c:pt>
                <c:pt idx="182">
                  <c:v>1.5214237835437283</c:v>
                </c:pt>
                <c:pt idx="183">
                  <c:v>1.5355354441333882</c:v>
                </c:pt>
                <c:pt idx="184">
                  <c:v>1.5496471047230482</c:v>
                </c:pt>
                <c:pt idx="185">
                  <c:v>1.5637795177547518</c:v>
                </c:pt>
                <c:pt idx="186">
                  <c:v>1.5778911783444116</c:v>
                </c:pt>
                <c:pt idx="187">
                  <c:v>1.5920235913761152</c:v>
                </c:pt>
                <c:pt idx="188">
                  <c:v>1.606135251965775</c:v>
                </c:pt>
                <c:pt idx="189">
                  <c:v>1.6202469125554348</c:v>
                </c:pt>
                <c:pt idx="190">
                  <c:v>1.6343793255871384</c:v>
                </c:pt>
                <c:pt idx="191">
                  <c:v>1.6484909861767985</c:v>
                </c:pt>
                <c:pt idx="192">
                  <c:v>1.6626233992085018</c:v>
                </c:pt>
                <c:pt idx="193">
                  <c:v>1.6767350597981614</c:v>
                </c:pt>
                <c:pt idx="194">
                  <c:v>1.6908467203878215</c:v>
                </c:pt>
                <c:pt idx="195">
                  <c:v>1.704979133419525</c:v>
                </c:pt>
                <c:pt idx="196">
                  <c:v>1.7190907940091846</c:v>
                </c:pt>
                <c:pt idx="197">
                  <c:v>1.7332232070408884</c:v>
                </c:pt>
                <c:pt idx="198">
                  <c:v>1.7473348676305482</c:v>
                </c:pt>
                <c:pt idx="199">
                  <c:v>1.7614465282202081</c:v>
                </c:pt>
                <c:pt idx="200">
                  <c:v>1.7755789412519116</c:v>
                </c:pt>
                <c:pt idx="201">
                  <c:v>1.7896906018415715</c:v>
                </c:pt>
                <c:pt idx="202">
                  <c:v>1.8038022624312315</c:v>
                </c:pt>
                <c:pt idx="203">
                  <c:v>1.8179346754629349</c:v>
                </c:pt>
                <c:pt idx="204">
                  <c:v>1.8320463360525949</c:v>
                </c:pt>
                <c:pt idx="205">
                  <c:v>1.8461787490842982</c:v>
                </c:pt>
                <c:pt idx="206">
                  <c:v>1.8602904096739581</c:v>
                </c:pt>
                <c:pt idx="207">
                  <c:v>1.8744020702636182</c:v>
                </c:pt>
                <c:pt idx="208">
                  <c:v>1.8885344832953217</c:v>
                </c:pt>
                <c:pt idx="209">
                  <c:v>1.9026461438849815</c:v>
                </c:pt>
                <c:pt idx="210">
                  <c:v>1.9167785569166851</c:v>
                </c:pt>
                <c:pt idx="211">
                  <c:v>1.9308902175063449</c:v>
                </c:pt>
                <c:pt idx="212">
                  <c:v>1.9450018780960048</c:v>
                </c:pt>
                <c:pt idx="213">
                  <c:v>1.9591342911277083</c:v>
                </c:pt>
                <c:pt idx="214">
                  <c:v>1.9732459517173682</c:v>
                </c:pt>
                <c:pt idx="215">
                  <c:v>1.9873783647490717</c:v>
                </c:pt>
                <c:pt idx="216">
                  <c:v>2.0014900253387315</c:v>
                </c:pt>
                <c:pt idx="217">
                  <c:v>2.0156016859283916</c:v>
                </c:pt>
                <c:pt idx="218">
                  <c:v>2.0297340989600947</c:v>
                </c:pt>
                <c:pt idx="219">
                  <c:v>2.0438457595497548</c:v>
                </c:pt>
                <c:pt idx="220">
                  <c:v>2.0579781725814583</c:v>
                </c:pt>
                <c:pt idx="221">
                  <c:v>2.0720898331711184</c:v>
                </c:pt>
                <c:pt idx="222">
                  <c:v>2.0862429986448654</c:v>
                </c:pt>
                <c:pt idx="223">
                  <c:v>2.100354659234525</c:v>
                </c:pt>
                <c:pt idx="224">
                  <c:v>2.1144663198241851</c:v>
                </c:pt>
                <c:pt idx="225">
                  <c:v>2.1285779804138447</c:v>
                </c:pt>
                <c:pt idx="226">
                  <c:v>2.1426896410035048</c:v>
                </c:pt>
                <c:pt idx="227">
                  <c:v>2.1568013015931649</c:v>
                </c:pt>
                <c:pt idx="228">
                  <c:v>2.1709129621828245</c:v>
                </c:pt>
                <c:pt idx="229">
                  <c:v>2.1850246227724845</c:v>
                </c:pt>
                <c:pt idx="230">
                  <c:v>2.1991362833621446</c:v>
                </c:pt>
                <c:pt idx="231">
                  <c:v>2.2132479439518042</c:v>
                </c:pt>
                <c:pt idx="232">
                  <c:v>2.2273596045414643</c:v>
                </c:pt>
                <c:pt idx="233">
                  <c:v>2.2449991802785392</c:v>
                </c:pt>
                <c:pt idx="234">
                  <c:v>2.2591108408681988</c:v>
                </c:pt>
                <c:pt idx="235">
                  <c:v>2.2732225014578589</c:v>
                </c:pt>
                <c:pt idx="236">
                  <c:v>2.2873341620475189</c:v>
                </c:pt>
                <c:pt idx="237">
                  <c:v>2.301445822637179</c:v>
                </c:pt>
                <c:pt idx="238">
                  <c:v>2.3155574832268386</c:v>
                </c:pt>
                <c:pt idx="239">
                  <c:v>2.3298766682369347</c:v>
                </c:pt>
                <c:pt idx="240">
                  <c:v>2.3439883288265948</c:v>
                </c:pt>
                <c:pt idx="241">
                  <c:v>2.3580999894162544</c:v>
                </c:pt>
                <c:pt idx="242">
                  <c:v>2.3757395651533293</c:v>
                </c:pt>
                <c:pt idx="243">
                  <c:v>2.3898512257429894</c:v>
                </c:pt>
                <c:pt idx="244">
                  <c:v>2.403962886332649</c:v>
                </c:pt>
                <c:pt idx="245">
                  <c:v>2.4180745469223091</c:v>
                </c:pt>
                <c:pt idx="246">
                  <c:v>2.4321862075119691</c:v>
                </c:pt>
                <c:pt idx="247">
                  <c:v>2.4462978681016283</c:v>
                </c:pt>
                <c:pt idx="248">
                  <c:v>2.4604095286912884</c:v>
                </c:pt>
                <c:pt idx="249">
                  <c:v>2.474521189280948</c:v>
                </c:pt>
                <c:pt idx="250">
                  <c:v>2.4886328498706081</c:v>
                </c:pt>
                <c:pt idx="251">
                  <c:v>2.5027445104602681</c:v>
                </c:pt>
                <c:pt idx="252">
                  <c:v>2.5168561710499282</c:v>
                </c:pt>
                <c:pt idx="253">
                  <c:v>2.5309678316395878</c:v>
                </c:pt>
                <c:pt idx="254">
                  <c:v>2.5450794922292479</c:v>
                </c:pt>
                <c:pt idx="255">
                  <c:v>2.5591911528189075</c:v>
                </c:pt>
                <c:pt idx="256">
                  <c:v>2.5733028134085676</c:v>
                </c:pt>
                <c:pt idx="257">
                  <c:v>2.5874144739982277</c:v>
                </c:pt>
                <c:pt idx="258">
                  <c:v>2.6015261345878873</c:v>
                </c:pt>
                <c:pt idx="259">
                  <c:v>2.6191657103249621</c:v>
                </c:pt>
                <c:pt idx="260">
                  <c:v>2.6332773709146222</c:v>
                </c:pt>
                <c:pt idx="261">
                  <c:v>2.6473890315042818</c:v>
                </c:pt>
                <c:pt idx="262">
                  <c:v>2.6615006920939419</c:v>
                </c:pt>
                <c:pt idx="263">
                  <c:v>2.675612352683602</c:v>
                </c:pt>
                <c:pt idx="264">
                  <c:v>2.6899315376936981</c:v>
                </c:pt>
                <c:pt idx="265">
                  <c:v>2.7075711134307725</c:v>
                </c:pt>
                <c:pt idx="266">
                  <c:v>2.7216827740204326</c:v>
                </c:pt>
                <c:pt idx="267">
                  <c:v>2.7428502649049222</c:v>
                </c:pt>
                <c:pt idx="268">
                  <c:v>2.7640177557894123</c:v>
                </c:pt>
                <c:pt idx="269">
                  <c:v>2.785185246673902</c:v>
                </c:pt>
                <c:pt idx="270">
                  <c:v>2.8063527375583921</c:v>
                </c:pt>
                <c:pt idx="271">
                  <c:v>2.8310481435902966</c:v>
                </c:pt>
                <c:pt idx="272">
                  <c:v>2.8522156344747867</c:v>
                </c:pt>
                <c:pt idx="273">
                  <c:v>2.8733831253592763</c:v>
                </c:pt>
                <c:pt idx="274">
                  <c:v>2.894550616243766</c:v>
                </c:pt>
                <c:pt idx="275">
                  <c:v>2.9157181071282561</c:v>
                </c:pt>
                <c:pt idx="276">
                  <c:v>2.9368855980127457</c:v>
                </c:pt>
                <c:pt idx="277">
                  <c:v>2.9580530888972358</c:v>
                </c:pt>
                <c:pt idx="278">
                  <c:v>2.9792205797817255</c:v>
                </c:pt>
                <c:pt idx="279">
                  <c:v>3.0003880706662156</c:v>
                </c:pt>
                <c:pt idx="280">
                  <c:v>3.0215555615507053</c:v>
                </c:pt>
                <c:pt idx="281">
                  <c:v>3.042930576855631</c:v>
                </c:pt>
                <c:pt idx="282">
                  <c:v>3.0640980677401211</c:v>
                </c:pt>
                <c:pt idx="283">
                  <c:v>3.0852655586246107</c:v>
                </c:pt>
                <c:pt idx="284">
                  <c:v>3.1099609646565161</c:v>
                </c:pt>
                <c:pt idx="285">
                  <c:v>3.1346563706884205</c:v>
                </c:pt>
                <c:pt idx="286">
                  <c:v>3.1593517767203254</c:v>
                </c:pt>
                <c:pt idx="287">
                  <c:v>3.1840471827522303</c:v>
                </c:pt>
                <c:pt idx="288">
                  <c:v>3.2087425887841348</c:v>
                </c:pt>
                <c:pt idx="289">
                  <c:v>3.2299100796686244</c:v>
                </c:pt>
                <c:pt idx="290">
                  <c:v>3.2546054857005293</c:v>
                </c:pt>
                <c:pt idx="291">
                  <c:v>3.2757729765850194</c:v>
                </c:pt>
                <c:pt idx="292">
                  <c:v>3.2969404674695091</c:v>
                </c:pt>
                <c:pt idx="293">
                  <c:v>3.3181079583539987</c:v>
                </c:pt>
                <c:pt idx="294">
                  <c:v>3.3392754492384888</c:v>
                </c:pt>
                <c:pt idx="295">
                  <c:v>3.3604429401229789</c:v>
                </c:pt>
                <c:pt idx="296">
                  <c:v>3.3851383461548834</c:v>
                </c:pt>
                <c:pt idx="297">
                  <c:v>3.4065133614598095</c:v>
                </c:pt>
                <c:pt idx="298">
                  <c:v>3.4276808523442992</c:v>
                </c:pt>
                <c:pt idx="299">
                  <c:v>3.4488483432287889</c:v>
                </c:pt>
                <c:pt idx="300">
                  <c:v>3.4735437492606938</c:v>
                </c:pt>
                <c:pt idx="301">
                  <c:v>3.4947112401451834</c:v>
                </c:pt>
                <c:pt idx="302">
                  <c:v>3.5158787310296735</c:v>
                </c:pt>
                <c:pt idx="303">
                  <c:v>3.5405741370615789</c:v>
                </c:pt>
                <c:pt idx="304">
                  <c:v>3.5617416279460681</c:v>
                </c:pt>
                <c:pt idx="305">
                  <c:v>3.586437033977973</c:v>
                </c:pt>
                <c:pt idx="306">
                  <c:v>3.6076045248624631</c:v>
                </c:pt>
                <c:pt idx="307">
                  <c:v>3.6287720157469532</c:v>
                </c:pt>
                <c:pt idx="308">
                  <c:v>3.6605232520736872</c:v>
                </c:pt>
                <c:pt idx="309">
                  <c:v>3.6887465732530069</c:v>
                </c:pt>
                <c:pt idx="310">
                  <c:v>3.7169698944323271</c:v>
                </c:pt>
                <c:pt idx="311">
                  <c:v>3.7487211307590611</c:v>
                </c:pt>
                <c:pt idx="312">
                  <c:v>3.7771519763588173</c:v>
                </c:pt>
                <c:pt idx="313">
                  <c:v>3.8089032126855522</c:v>
                </c:pt>
                <c:pt idx="314">
                  <c:v>3.8406544490122871</c:v>
                </c:pt>
                <c:pt idx="315">
                  <c:v>3.8688777701916073</c:v>
                </c:pt>
                <c:pt idx="316">
                  <c:v>3.9006290065183418</c:v>
                </c:pt>
                <c:pt idx="317">
                  <c:v>3.9323802428450767</c:v>
                </c:pt>
                <c:pt idx="318">
                  <c:v>3.9641314791718112</c:v>
                </c:pt>
                <c:pt idx="319">
                  <c:v>3.9923548003511309</c:v>
                </c:pt>
                <c:pt idx="320">
                  <c:v>4.0241060366778658</c:v>
                </c:pt>
                <c:pt idx="321">
                  <c:v>4.0558572730046007</c:v>
                </c:pt>
                <c:pt idx="322">
                  <c:v>4.0876085093313357</c:v>
                </c:pt>
                <c:pt idx="323">
                  <c:v>4.1195672700785062</c:v>
                </c:pt>
                <c:pt idx="324">
                  <c:v>4.1513185064052411</c:v>
                </c:pt>
                <c:pt idx="325">
                  <c:v>4.1830697427319752</c:v>
                </c:pt>
                <c:pt idx="326">
                  <c:v>4.2148209790587101</c:v>
                </c:pt>
                <c:pt idx="327">
                  <c:v>4.246572215385445</c:v>
                </c:pt>
                <c:pt idx="328">
                  <c:v>4.27832345171218</c:v>
                </c:pt>
                <c:pt idx="329">
                  <c:v>4.310074688038914</c:v>
                </c:pt>
                <c:pt idx="330">
                  <c:v>4.3382980092182342</c:v>
                </c:pt>
                <c:pt idx="331">
                  <c:v>4.3700492455449691</c:v>
                </c:pt>
                <c:pt idx="332">
                  <c:v>4.401800481871704</c:v>
                </c:pt>
                <c:pt idx="333">
                  <c:v>4.4335517181984381</c:v>
                </c:pt>
                <c:pt idx="334">
                  <c:v>4.4655104789456095</c:v>
                </c:pt>
                <c:pt idx="335">
                  <c:v>4.4972617152723444</c:v>
                </c:pt>
                <c:pt idx="336">
                  <c:v>4.5254850364516637</c:v>
                </c:pt>
                <c:pt idx="337">
                  <c:v>4.5642921030732291</c:v>
                </c:pt>
                <c:pt idx="338">
                  <c:v>4.6030991696947936</c:v>
                </c:pt>
                <c:pt idx="339">
                  <c:v>4.6383783211689433</c:v>
                </c:pt>
                <c:pt idx="340">
                  <c:v>4.6736574726430931</c:v>
                </c:pt>
                <c:pt idx="341">
                  <c:v>4.7124645392646576</c:v>
                </c:pt>
                <c:pt idx="342">
                  <c:v>4.7477436907388073</c:v>
                </c:pt>
                <c:pt idx="343">
                  <c:v>4.7830228422129561</c:v>
                </c:pt>
                <c:pt idx="344">
                  <c:v>4.8183019936871077</c:v>
                </c:pt>
                <c:pt idx="345">
                  <c:v>4.8573165847291069</c:v>
                </c:pt>
                <c:pt idx="346">
                  <c:v>4.8925957362032566</c:v>
                </c:pt>
                <c:pt idx="347">
                  <c:v>4.9278748876774072</c:v>
                </c:pt>
                <c:pt idx="348">
                  <c:v>4.963154039151557</c:v>
                </c:pt>
                <c:pt idx="349">
                  <c:v>4.9984331906257067</c:v>
                </c:pt>
                <c:pt idx="350">
                  <c:v>5.0337123420998564</c:v>
                </c:pt>
                <c:pt idx="351">
                  <c:v>5.0689914935740052</c:v>
                </c:pt>
                <c:pt idx="352">
                  <c:v>5.1042706450481559</c:v>
                </c:pt>
                <c:pt idx="353">
                  <c:v>5.1395497965223056</c:v>
                </c:pt>
                <c:pt idx="354">
                  <c:v>5.1748289479964553</c:v>
                </c:pt>
                <c:pt idx="355">
                  <c:v>5.2103156238910406</c:v>
                </c:pt>
                <c:pt idx="356">
                  <c:v>5.249122690512606</c:v>
                </c:pt>
                <c:pt idx="357">
                  <c:v>5.2844018419867549</c:v>
                </c:pt>
                <c:pt idx="358">
                  <c:v>5.3196809934609046</c:v>
                </c:pt>
                <c:pt idx="359">
                  <c:v>5.3549601449350543</c:v>
                </c:pt>
                <c:pt idx="360">
                  <c:v>5.390239296409205</c:v>
                </c:pt>
                <c:pt idx="361">
                  <c:v>5.4290463630307686</c:v>
                </c:pt>
                <c:pt idx="362">
                  <c:v>5.4749092599471636</c:v>
                </c:pt>
                <c:pt idx="363">
                  <c:v>5.5172442417161438</c:v>
                </c:pt>
                <c:pt idx="364">
                  <c:v>5.5633146630529744</c:v>
                </c:pt>
                <c:pt idx="365">
                  <c:v>5.6091775599693694</c:v>
                </c:pt>
                <c:pt idx="366">
                  <c:v>5.6550404568857635</c:v>
                </c:pt>
                <c:pt idx="367">
                  <c:v>5.7009033538021576</c:v>
                </c:pt>
                <c:pt idx="368">
                  <c:v>5.7432383355711378</c:v>
                </c:pt>
                <c:pt idx="369">
                  <c:v>5.7891012324875319</c:v>
                </c:pt>
                <c:pt idx="370">
                  <c:v>5.8349641294039269</c:v>
                </c:pt>
                <c:pt idx="371">
                  <c:v>5.8772991111729063</c:v>
                </c:pt>
                <c:pt idx="372">
                  <c:v>5.9198416173623221</c:v>
                </c:pt>
                <c:pt idx="373">
                  <c:v>5.9692324294261319</c:v>
                </c:pt>
                <c:pt idx="374">
                  <c:v>6.0115674111951112</c:v>
                </c:pt>
                <c:pt idx="375">
                  <c:v>6.0609582232589219</c:v>
                </c:pt>
                <c:pt idx="376">
                  <c:v>6.1032932050279012</c:v>
                </c:pt>
                <c:pt idx="377">
                  <c:v>6.1456281867968805</c:v>
                </c:pt>
                <c:pt idx="378">
                  <c:v>6.1950189988606894</c:v>
                </c:pt>
                <c:pt idx="379">
                  <c:v>6.2373539806296705</c:v>
                </c:pt>
                <c:pt idx="380">
                  <c:v>6.2798964868190854</c:v>
                </c:pt>
                <c:pt idx="381">
                  <c:v>6.3222314685880656</c:v>
                </c:pt>
                <c:pt idx="382">
                  <c:v>6.3645664503570449</c:v>
                </c:pt>
                <c:pt idx="383">
                  <c:v>6.4174851775682695</c:v>
                </c:pt>
                <c:pt idx="384">
                  <c:v>6.4668759896320793</c:v>
                </c:pt>
                <c:pt idx="385">
                  <c:v>6.5197947168433039</c:v>
                </c:pt>
                <c:pt idx="386">
                  <c:v>6.5691855289071137</c:v>
                </c:pt>
                <c:pt idx="387">
                  <c:v>6.61878386539136</c:v>
                </c:pt>
                <c:pt idx="388">
                  <c:v>6.6717025926025837</c:v>
                </c:pt>
                <c:pt idx="389">
                  <c:v>6.7246213198138083</c:v>
                </c:pt>
                <c:pt idx="390">
                  <c:v>6.777540047025032</c:v>
                </c:pt>
                <c:pt idx="391">
                  <c:v>6.8304587742362575</c:v>
                </c:pt>
                <c:pt idx="392">
                  <c:v>6.8833775014474821</c:v>
                </c:pt>
                <c:pt idx="393">
                  <c:v>6.9362962286587067</c:v>
                </c:pt>
                <c:pt idx="394">
                  <c:v>6.9858945651429529</c:v>
                </c:pt>
                <c:pt idx="395">
                  <c:v>7.0388132923541766</c:v>
                </c:pt>
                <c:pt idx="396">
                  <c:v>7.0917320195654012</c:v>
                </c:pt>
                <c:pt idx="397">
                  <c:v>7.1446507467766258</c:v>
                </c:pt>
                <c:pt idx="398">
                  <c:v>7.1975694739878504</c:v>
                </c:pt>
                <c:pt idx="399">
                  <c:v>7.250488201199075</c:v>
                </c:pt>
                <c:pt idx="400">
                  <c:v>7.3104627587051301</c:v>
                </c:pt>
                <c:pt idx="401">
                  <c:v>7.3741727557790355</c:v>
                </c:pt>
                <c:pt idx="402">
                  <c:v>7.4341473132850897</c:v>
                </c:pt>
                <c:pt idx="403">
                  <c:v>7.4905939556437291</c:v>
                </c:pt>
                <c:pt idx="404">
                  <c:v>7.5505685131497842</c:v>
                </c:pt>
                <c:pt idx="405">
                  <c:v>7.6140709858032531</c:v>
                </c:pt>
                <c:pt idx="406">
                  <c:v>7.6740455433093082</c:v>
                </c:pt>
                <c:pt idx="407">
                  <c:v>7.7377555403832146</c:v>
                </c:pt>
                <c:pt idx="408">
                  <c:v>7.8012580130366835</c:v>
                </c:pt>
                <c:pt idx="409">
                  <c:v>7.857704655395322</c:v>
                </c:pt>
                <c:pt idx="410">
                  <c:v>7.9212071280487928</c:v>
                </c:pt>
                <c:pt idx="411">
                  <c:v>7.9847096007022618</c:v>
                </c:pt>
                <c:pt idx="412">
                  <c:v>8.0413637674813376</c:v>
                </c:pt>
                <c:pt idx="413">
                  <c:v>8.1048662401348075</c:v>
                </c:pt>
                <c:pt idx="414">
                  <c:v>8.161312882493446</c:v>
                </c:pt>
                <c:pt idx="415">
                  <c:v>8.2248153551469159</c:v>
                </c:pt>
                <c:pt idx="416">
                  <c:v>8.2883178278003857</c:v>
                </c:pt>
                <c:pt idx="417">
                  <c:v>8.3553482156012695</c:v>
                </c:pt>
                <c:pt idx="418">
                  <c:v>8.4190582126751767</c:v>
                </c:pt>
                <c:pt idx="419">
                  <c:v>8.4860886004760605</c:v>
                </c:pt>
                <c:pt idx="420">
                  <c:v>8.5531189882769443</c:v>
                </c:pt>
                <c:pt idx="421">
                  <c:v>8.6236772912252437</c:v>
                </c:pt>
                <c:pt idx="422">
                  <c:v>8.6907076790261293</c:v>
                </c:pt>
                <c:pt idx="423">
                  <c:v>8.7614735063948643</c:v>
                </c:pt>
                <c:pt idx="424">
                  <c:v>8.8285038941957481</c:v>
                </c:pt>
                <c:pt idx="425">
                  <c:v>8.8990621971440476</c:v>
                </c:pt>
                <c:pt idx="426">
                  <c:v>8.9660925849449313</c:v>
                </c:pt>
                <c:pt idx="427">
                  <c:v>9.0366508878932308</c:v>
                </c:pt>
                <c:pt idx="428">
                  <c:v>9.107209190841532</c:v>
                </c:pt>
                <c:pt idx="429">
                  <c:v>9.1815029333576827</c:v>
                </c:pt>
                <c:pt idx="430">
                  <c:v>9.2520612363059822</c:v>
                </c:pt>
                <c:pt idx="431">
                  <c:v>9.3261474544016956</c:v>
                </c:pt>
                <c:pt idx="432">
                  <c:v>9.396705757349995</c:v>
                </c:pt>
                <c:pt idx="433">
                  <c:v>9.4745274150135614</c:v>
                </c:pt>
                <c:pt idx="434">
                  <c:v>9.5486136331092748</c:v>
                </c:pt>
                <c:pt idx="435">
                  <c:v>9.6226998512049899</c:v>
                </c:pt>
                <c:pt idx="436">
                  <c:v>9.6967860693007033</c:v>
                </c:pt>
                <c:pt idx="437">
                  <c:v>9.7708722873964184</c:v>
                </c:pt>
                <c:pt idx="438">
                  <c:v>9.8486939450599831</c:v>
                </c:pt>
                <c:pt idx="439">
                  <c:v>9.9227801631556964</c:v>
                </c:pt>
                <c:pt idx="440">
                  <c:v>10.000394296398827</c:v>
                </c:pt>
                <c:pt idx="441">
                  <c:v>10.078008429641956</c:v>
                </c:pt>
                <c:pt idx="442">
                  <c:v>10.155622562885087</c:v>
                </c:pt>
                <c:pt idx="443">
                  <c:v>10.240500050843481</c:v>
                </c:pt>
                <c:pt idx="444">
                  <c:v>10.318114184086612</c:v>
                </c:pt>
                <c:pt idx="445">
                  <c:v>10.406312062771985</c:v>
                </c:pt>
                <c:pt idx="446">
                  <c:v>10.490982026309945</c:v>
                </c:pt>
                <c:pt idx="447">
                  <c:v>10.56880368397351</c:v>
                </c:pt>
                <c:pt idx="448">
                  <c:v>10.646417817216641</c:v>
                </c:pt>
                <c:pt idx="449">
                  <c:v>10.72403195045977</c:v>
                </c:pt>
                <c:pt idx="450">
                  <c:v>10.801646083702899</c:v>
                </c:pt>
                <c:pt idx="451">
                  <c:v>10.882788132093443</c:v>
                </c:pt>
                <c:pt idx="452">
                  <c:v>10.971193535199253</c:v>
                </c:pt>
                <c:pt idx="453">
                  <c:v>11.062919329032043</c:v>
                </c:pt>
                <c:pt idx="454">
                  <c:v>11.154645122864832</c:v>
                </c:pt>
                <c:pt idx="455">
                  <c:v>11.24637091669762</c:v>
                </c:pt>
                <c:pt idx="456">
                  <c:v>11.338304234950845</c:v>
                </c:pt>
                <c:pt idx="457">
                  <c:v>11.430030028783635</c:v>
                </c:pt>
                <c:pt idx="458">
                  <c:v>11.521755822616425</c:v>
                </c:pt>
                <c:pt idx="459">
                  <c:v>11.617217056017065</c:v>
                </c:pt>
                <c:pt idx="460">
                  <c:v>11.708942849849855</c:v>
                </c:pt>
                <c:pt idx="461">
                  <c:v>11.793612813387814</c:v>
                </c:pt>
                <c:pt idx="462">
                  <c:v>11.885338607220604</c:v>
                </c:pt>
                <c:pt idx="463">
                  <c:v>11.980799840621245</c:v>
                </c:pt>
                <c:pt idx="464">
                  <c:v>12.076053549601447</c:v>
                </c:pt>
                <c:pt idx="465">
                  <c:v>12.171307258581653</c:v>
                </c:pt>
                <c:pt idx="466">
                  <c:v>12.266560967561858</c:v>
                </c:pt>
                <c:pt idx="467">
                  <c:v>12.3620222009625</c:v>
                </c:pt>
                <c:pt idx="468">
                  <c:v>12.457275909942702</c:v>
                </c:pt>
                <c:pt idx="469">
                  <c:v>12.552529618922906</c:v>
                </c:pt>
                <c:pt idx="470">
                  <c:v>12.651311243050525</c:v>
                </c:pt>
                <c:pt idx="471">
                  <c:v>12.75030039159858</c:v>
                </c:pt>
                <c:pt idx="472">
                  <c:v>12.8490820157262</c:v>
                </c:pt>
                <c:pt idx="473">
                  <c:v>12.951391555001235</c:v>
                </c:pt>
                <c:pt idx="474">
                  <c:v>13.060964448991534</c:v>
                </c:pt>
                <c:pt idx="475">
                  <c:v>13.159746073119152</c:v>
                </c:pt>
                <c:pt idx="476">
                  <c:v>13.262055612394185</c:v>
                </c:pt>
                <c:pt idx="477">
                  <c:v>13.367893066816636</c:v>
                </c:pt>
                <c:pt idx="478">
                  <c:v>13.470410130512107</c:v>
                </c:pt>
                <c:pt idx="479">
                  <c:v>13.569191754639727</c:v>
                </c:pt>
                <c:pt idx="480">
                  <c:v>13.685612954504421</c:v>
                </c:pt>
                <c:pt idx="481">
                  <c:v>13.791657933347306</c:v>
                </c:pt>
                <c:pt idx="482">
                  <c:v>13.908079133212</c:v>
                </c:pt>
                <c:pt idx="483">
                  <c:v>14.024500333076693</c:v>
                </c:pt>
                <c:pt idx="484">
                  <c:v>14.141129057361823</c:v>
                </c:pt>
                <c:pt idx="485">
                  <c:v>14.257550257226518</c:v>
                </c:pt>
                <c:pt idx="486">
                  <c:v>14.373971457091212</c:v>
                </c:pt>
                <c:pt idx="487">
                  <c:v>14.490600181376342</c:v>
                </c:pt>
                <c:pt idx="488">
                  <c:v>14.607021381241037</c:v>
                </c:pt>
                <c:pt idx="489">
                  <c:v>14.723442581105731</c:v>
                </c:pt>
                <c:pt idx="490">
                  <c:v>14.843599220538275</c:v>
                </c:pt>
                <c:pt idx="491">
                  <c:v>14.963548335550383</c:v>
                </c:pt>
                <c:pt idx="492">
                  <c:v>15.083497450562493</c:v>
                </c:pt>
                <c:pt idx="493">
                  <c:v>15.200126174847625</c:v>
                </c:pt>
                <c:pt idx="494">
                  <c:v>15.316547374712316</c:v>
                </c:pt>
                <c:pt idx="495">
                  <c:v>15.432968574577011</c:v>
                </c:pt>
                <c:pt idx="496">
                  <c:v>15.553125214009556</c:v>
                </c:pt>
                <c:pt idx="497">
                  <c:v>15.683658074463912</c:v>
                </c:pt>
                <c:pt idx="498">
                  <c:v>15.803607189476018</c:v>
                </c:pt>
                <c:pt idx="499">
                  <c:v>15.927291744055982</c:v>
                </c:pt>
                <c:pt idx="500">
                  <c:v>16.057824604510333</c:v>
                </c:pt>
                <c:pt idx="501">
                  <c:v>16.177773719522442</c:v>
                </c:pt>
                <c:pt idx="502">
                  <c:v>16.297930358954989</c:v>
                </c:pt>
                <c:pt idx="503">
                  <c:v>16.431991134556757</c:v>
                </c:pt>
                <c:pt idx="504">
                  <c:v>16.566051910158524</c:v>
                </c:pt>
                <c:pt idx="505">
                  <c:v>16.703848125328147</c:v>
                </c:pt>
                <c:pt idx="506">
                  <c:v>16.837908900929918</c:v>
                </c:pt>
                <c:pt idx="507">
                  <c:v>16.972177200952121</c:v>
                </c:pt>
                <c:pt idx="508">
                  <c:v>17.106237976553889</c:v>
                </c:pt>
                <c:pt idx="509">
                  <c:v>17.240298752155656</c:v>
                </c:pt>
                <c:pt idx="510">
                  <c:v>17.378094967325278</c:v>
                </c:pt>
                <c:pt idx="511">
                  <c:v>17.515683658074462</c:v>
                </c:pt>
                <c:pt idx="512">
                  <c:v>17.653272348823645</c:v>
                </c:pt>
                <c:pt idx="513">
                  <c:v>17.794596479140679</c:v>
                </c:pt>
                <c:pt idx="514">
                  <c:v>17.932185169889863</c:v>
                </c:pt>
                <c:pt idx="515">
                  <c:v>18.077037215354316</c:v>
                </c:pt>
                <c:pt idx="516">
                  <c:v>18.218153821250915</c:v>
                </c:pt>
                <c:pt idx="517">
                  <c:v>18.359270427147511</c:v>
                </c:pt>
                <c:pt idx="518">
                  <c:v>18.504122472611964</c:v>
                </c:pt>
                <c:pt idx="519">
                  <c:v>18.648766993655975</c:v>
                </c:pt>
                <c:pt idx="520">
                  <c:v>18.790091123973014</c:v>
                </c:pt>
                <c:pt idx="521">
                  <c:v>18.931207729869612</c:v>
                </c:pt>
                <c:pt idx="522">
                  <c:v>19.075852250913623</c:v>
                </c:pt>
                <c:pt idx="523">
                  <c:v>19.231288041820321</c:v>
                </c:pt>
                <c:pt idx="524">
                  <c:v>19.390044223453994</c:v>
                </c:pt>
                <c:pt idx="525">
                  <c:v>19.5490079295081</c:v>
                </c:pt>
                <c:pt idx="526">
                  <c:v>19.707764111141774</c:v>
                </c:pt>
                <c:pt idx="527">
                  <c:v>19.866727817195887</c:v>
                </c:pt>
                <c:pt idx="528">
                  <c:v>20.025483998829561</c:v>
                </c:pt>
                <c:pt idx="529">
                  <c:v>20.180712265315819</c:v>
                </c:pt>
                <c:pt idx="530">
                  <c:v>20.339675971369928</c:v>
                </c:pt>
                <c:pt idx="531">
                  <c:v>20.494904237856186</c:v>
                </c:pt>
                <c:pt idx="532">
                  <c:v>20.653867943910296</c:v>
                </c:pt>
                <c:pt idx="533">
                  <c:v>20.808473637135247</c:v>
                </c:pt>
                <c:pt idx="534">
                  <c:v>20.982794150301636</c:v>
                </c:pt>
                <c:pt idx="535">
                  <c:v>21.155039419263662</c:v>
                </c:pt>
                <c:pt idx="536">
                  <c:v>21.316908467203877</c:v>
                </c:pt>
                <c:pt idx="537">
                  <c:v>21.487078491961544</c:v>
                </c:pt>
                <c:pt idx="538">
                  <c:v>21.659323760923563</c:v>
                </c:pt>
                <c:pt idx="539">
                  <c:v>21.833644274089952</c:v>
                </c:pt>
                <c:pt idx="540">
                  <c:v>22.005889543051978</c:v>
                </c:pt>
                <c:pt idx="541">
                  <c:v>22.182285300422727</c:v>
                </c:pt>
                <c:pt idx="542">
                  <c:v>22.358681057793476</c:v>
                </c:pt>
                <c:pt idx="543">
                  <c:v>22.539227303572947</c:v>
                </c:pt>
                <c:pt idx="544">
                  <c:v>22.719773549352418</c:v>
                </c:pt>
                <c:pt idx="545">
                  <c:v>22.898244550927529</c:v>
                </c:pt>
                <c:pt idx="546">
                  <c:v>23.082941285115723</c:v>
                </c:pt>
                <c:pt idx="547">
                  <c:v>23.265562775099557</c:v>
                </c:pt>
                <c:pt idx="548">
                  <c:v>23.452334753492114</c:v>
                </c:pt>
                <c:pt idx="549">
                  <c:v>23.637031487680307</c:v>
                </c:pt>
                <c:pt idx="550">
                  <c:v>23.823803466072867</c:v>
                </c:pt>
                <c:pt idx="551">
                  <c:v>24.006424956056698</c:v>
                </c:pt>
                <c:pt idx="552">
                  <c:v>24.195272178653624</c:v>
                </c:pt>
                <c:pt idx="553">
                  <c:v>24.382044157046181</c:v>
                </c:pt>
                <c:pt idx="554">
                  <c:v>24.57296662384746</c:v>
                </c:pt>
                <c:pt idx="555">
                  <c:v>24.77426531167055</c:v>
                </c:pt>
                <c:pt idx="556">
                  <c:v>24.973488755289278</c:v>
                </c:pt>
                <c:pt idx="557">
                  <c:v>25.174787443112361</c:v>
                </c:pt>
                <c:pt idx="558">
                  <c:v>25.376086130935452</c:v>
                </c:pt>
                <c:pt idx="559">
                  <c:v>25.577384818758542</c:v>
                </c:pt>
                <c:pt idx="560">
                  <c:v>25.77660826237727</c:v>
                </c:pt>
                <c:pt idx="561">
                  <c:v>25.97790695020036</c:v>
                </c:pt>
                <c:pt idx="562">
                  <c:v>26.175055149614728</c:v>
                </c:pt>
                <c:pt idx="563">
                  <c:v>26.376353837437815</c:v>
                </c:pt>
                <c:pt idx="564">
                  <c:v>26.592179234691439</c:v>
                </c:pt>
                <c:pt idx="565">
                  <c:v>26.795553166718893</c:v>
                </c:pt>
                <c:pt idx="566">
                  <c:v>27.007228075563791</c:v>
                </c:pt>
                <c:pt idx="567">
                  <c:v>27.227203961226135</c:v>
                </c:pt>
                <c:pt idx="568">
                  <c:v>27.438878870071036</c:v>
                </c:pt>
                <c:pt idx="569">
                  <c:v>27.654704267324654</c:v>
                </c:pt>
                <c:pt idx="570">
                  <c:v>27.866379176169552</c:v>
                </c:pt>
                <c:pt idx="571">
                  <c:v>28.084279817627536</c:v>
                </c:pt>
                <c:pt idx="572">
                  <c:v>28.304255703289886</c:v>
                </c:pt>
                <c:pt idx="573">
                  <c:v>28.522156344747867</c:v>
                </c:pt>
                <c:pt idx="574">
                  <c:v>28.744207474614573</c:v>
                </c:pt>
                <c:pt idx="575">
                  <c:v>28.96418336027692</c:v>
                </c:pt>
                <c:pt idx="576">
                  <c:v>29.200761199574153</c:v>
                </c:pt>
                <c:pt idx="577">
                  <c:v>29.439414283075756</c:v>
                </c:pt>
                <c:pt idx="578">
                  <c:v>29.675992122372996</c:v>
                </c:pt>
                <c:pt idx="579">
                  <c:v>29.91256996167024</c:v>
                </c:pt>
                <c:pt idx="580">
                  <c:v>30.149147800967473</c:v>
                </c:pt>
                <c:pt idx="581">
                  <c:v>30.389876128673443</c:v>
                </c:pt>
                <c:pt idx="582">
                  <c:v>30.626453967970676</c:v>
                </c:pt>
                <c:pt idx="583">
                  <c:v>30.86303180726792</c:v>
                </c:pt>
                <c:pt idx="584">
                  <c:v>31.109985867586964</c:v>
                </c:pt>
                <c:pt idx="585">
                  <c:v>31.356939927906016</c:v>
                </c:pt>
                <c:pt idx="586">
                  <c:v>31.60389398822506</c:v>
                </c:pt>
                <c:pt idx="587">
                  <c:v>31.850848048544108</c:v>
                </c:pt>
                <c:pt idx="588">
                  <c:v>32.097802108863164</c:v>
                </c:pt>
                <c:pt idx="589">
                  <c:v>32.355132390204012</c:v>
                </c:pt>
                <c:pt idx="590">
                  <c:v>32.602086450523061</c:v>
                </c:pt>
                <c:pt idx="591">
                  <c:v>32.863567220272643</c:v>
                </c:pt>
                <c:pt idx="592">
                  <c:v>33.120897501613499</c:v>
                </c:pt>
                <c:pt idx="593">
                  <c:v>33.380303027158718</c:v>
                </c:pt>
                <c:pt idx="594">
                  <c:v>33.639708552703937</c:v>
                </c:pt>
                <c:pt idx="595">
                  <c:v>33.905339810862237</c:v>
                </c:pt>
                <c:pt idx="596">
                  <c:v>34.166820580611827</c:v>
                </c:pt>
                <c:pt idx="597">
                  <c:v>34.430376594565757</c:v>
                </c:pt>
                <c:pt idx="598">
                  <c:v>34.700158341132791</c:v>
                </c:pt>
                <c:pt idx="599">
                  <c:v>34.972015331904181</c:v>
                </c:pt>
                <c:pt idx="600">
                  <c:v>35.239721834266838</c:v>
                </c:pt>
                <c:pt idx="601">
                  <c:v>35.507428336629509</c:v>
                </c:pt>
                <c:pt idx="602">
                  <c:v>35.787586304218344</c:v>
                </c:pt>
                <c:pt idx="603">
                  <c:v>36.069819516011542</c:v>
                </c:pt>
                <c:pt idx="604">
                  <c:v>36.347902239396021</c:v>
                </c:pt>
                <c:pt idx="605">
                  <c:v>36.630135451189211</c:v>
                </c:pt>
                <c:pt idx="606">
                  <c:v>36.922744884004217</c:v>
                </c:pt>
                <c:pt idx="607">
                  <c:v>37.213279072614867</c:v>
                </c:pt>
                <c:pt idx="608">
                  <c:v>37.501738017021147</c:v>
                </c:pt>
                <c:pt idx="609">
                  <c:v>37.79434744983616</c:v>
                </c:pt>
                <c:pt idx="610">
                  <c:v>38.099408347877329</c:v>
                </c:pt>
                <c:pt idx="611">
                  <c:v>38.396168269101061</c:v>
                </c:pt>
                <c:pt idx="612">
                  <c:v>38.692928190324793</c:v>
                </c:pt>
                <c:pt idx="613">
                  <c:v>38.987612867344161</c:v>
                </c:pt>
                <c:pt idx="614">
                  <c:v>39.298899497998427</c:v>
                </c:pt>
                <c:pt idx="615">
                  <c:v>39.60603564024396</c:v>
                </c:pt>
                <c:pt idx="616">
                  <c:v>39.919397515102581</c:v>
                </c:pt>
                <c:pt idx="617">
                  <c:v>40.230684145756847</c:v>
                </c:pt>
                <c:pt idx="618">
                  <c:v>40.541970776411105</c:v>
                </c:pt>
                <c:pt idx="619">
                  <c:v>40.863633628087179</c:v>
                </c:pt>
                <c:pt idx="620">
                  <c:v>41.181145991354533</c:v>
                </c:pt>
                <c:pt idx="621">
                  <c:v>41.5028088430306</c:v>
                </c:pt>
                <c:pt idx="622">
                  <c:v>41.830697427319755</c:v>
                </c:pt>
                <c:pt idx="623">
                  <c:v>42.164811744221993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8-431B-8FB7-FC2EE597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89343"/>
        <c:axId val="1605292223"/>
      </c:lineChart>
      <c:catAx>
        <c:axId val="16052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Deformação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292223"/>
        <c:crosses val="autoZero"/>
        <c:auto val="1"/>
        <c:lblAlgn val="ctr"/>
        <c:lblOffset val="100"/>
        <c:noMultiLvlLbl val="0"/>
      </c:catAx>
      <c:valAx>
        <c:axId val="160529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Tensão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2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'A10-3'!$F$2:$F$853</c:f>
              <c:numCache>
                <c:formatCode>0.00</c:formatCode>
                <c:ptCount val="852"/>
                <c:pt idx="0">
                  <c:v>0</c:v>
                </c:pt>
                <c:pt idx="1">
                  <c:v>3.5192690844314239E-3</c:v>
                </c:pt>
                <c:pt idx="2">
                  <c:v>3.5192690844314239E-3</c:v>
                </c:pt>
                <c:pt idx="3">
                  <c:v>3.5192690844314239E-3</c:v>
                </c:pt>
                <c:pt idx="4">
                  <c:v>7.0385381688628477E-3</c:v>
                </c:pt>
                <c:pt idx="5">
                  <c:v>7.0385381688628477E-3</c:v>
                </c:pt>
                <c:pt idx="6">
                  <c:v>7.0385381688628477E-3</c:v>
                </c:pt>
                <c:pt idx="7">
                  <c:v>7.0385381688628477E-3</c:v>
                </c:pt>
                <c:pt idx="8">
                  <c:v>1.0557807253294272E-2</c:v>
                </c:pt>
                <c:pt idx="9">
                  <c:v>1.0557807253294272E-2</c:v>
                </c:pt>
                <c:pt idx="10">
                  <c:v>1.0557807253294272E-2</c:v>
                </c:pt>
                <c:pt idx="11">
                  <c:v>1.0557807253294272E-2</c:v>
                </c:pt>
                <c:pt idx="12">
                  <c:v>1.0557807253294272E-2</c:v>
                </c:pt>
                <c:pt idx="13">
                  <c:v>1.0557807253294272E-2</c:v>
                </c:pt>
                <c:pt idx="14">
                  <c:v>1.0557807253294272E-2</c:v>
                </c:pt>
                <c:pt idx="15">
                  <c:v>1.0557807253294272E-2</c:v>
                </c:pt>
                <c:pt idx="16">
                  <c:v>1.0557807253294272E-2</c:v>
                </c:pt>
                <c:pt idx="17">
                  <c:v>1.0557807253294272E-2</c:v>
                </c:pt>
                <c:pt idx="18">
                  <c:v>1.0557807253294272E-2</c:v>
                </c:pt>
                <c:pt idx="19">
                  <c:v>1.4077076337725695E-2</c:v>
                </c:pt>
                <c:pt idx="20">
                  <c:v>1.4077076337725695E-2</c:v>
                </c:pt>
                <c:pt idx="21">
                  <c:v>1.4077076337725695E-2</c:v>
                </c:pt>
                <c:pt idx="22">
                  <c:v>1.4077076337725695E-2</c:v>
                </c:pt>
                <c:pt idx="23">
                  <c:v>1.4077076337725695E-2</c:v>
                </c:pt>
                <c:pt idx="24">
                  <c:v>1.4077076337725695E-2</c:v>
                </c:pt>
                <c:pt idx="25">
                  <c:v>1.759613852803105E-2</c:v>
                </c:pt>
                <c:pt idx="26">
                  <c:v>1.759613852803105E-2</c:v>
                </c:pt>
                <c:pt idx="27">
                  <c:v>1.759613852803105E-2</c:v>
                </c:pt>
                <c:pt idx="28">
                  <c:v>1.759613852803105E-2</c:v>
                </c:pt>
                <c:pt idx="29">
                  <c:v>1.759613852803105E-2</c:v>
                </c:pt>
                <c:pt idx="30">
                  <c:v>1.759613852803105E-2</c:v>
                </c:pt>
                <c:pt idx="31">
                  <c:v>1.759613852803105E-2</c:v>
                </c:pt>
                <c:pt idx="32">
                  <c:v>1.759613852803105E-2</c:v>
                </c:pt>
                <c:pt idx="33">
                  <c:v>1.759613852803105E-2</c:v>
                </c:pt>
                <c:pt idx="34">
                  <c:v>1.759613852803105E-2</c:v>
                </c:pt>
                <c:pt idx="35">
                  <c:v>1.759613852803105E-2</c:v>
                </c:pt>
                <c:pt idx="36">
                  <c:v>1.759613852803105E-2</c:v>
                </c:pt>
                <c:pt idx="37">
                  <c:v>1.759613852803105E-2</c:v>
                </c:pt>
                <c:pt idx="38">
                  <c:v>1.759613852803105E-2</c:v>
                </c:pt>
                <c:pt idx="39">
                  <c:v>1.759613852803105E-2</c:v>
                </c:pt>
                <c:pt idx="40">
                  <c:v>1.759613852803105E-2</c:v>
                </c:pt>
                <c:pt idx="41">
                  <c:v>2.1115614506588543E-2</c:v>
                </c:pt>
                <c:pt idx="42">
                  <c:v>2.1115614506588543E-2</c:v>
                </c:pt>
                <c:pt idx="43">
                  <c:v>2.1115614506588543E-2</c:v>
                </c:pt>
                <c:pt idx="44">
                  <c:v>2.1115614506588543E-2</c:v>
                </c:pt>
                <c:pt idx="45">
                  <c:v>2.1115614506588543E-2</c:v>
                </c:pt>
                <c:pt idx="46">
                  <c:v>2.1115614506588543E-2</c:v>
                </c:pt>
                <c:pt idx="47">
                  <c:v>2.1115614506588543E-2</c:v>
                </c:pt>
                <c:pt idx="48">
                  <c:v>2.1115614506588543E-2</c:v>
                </c:pt>
                <c:pt idx="49">
                  <c:v>2.1115614506588543E-2</c:v>
                </c:pt>
                <c:pt idx="50">
                  <c:v>2.1115614506588543E-2</c:v>
                </c:pt>
                <c:pt idx="51">
                  <c:v>2.1115614506588543E-2</c:v>
                </c:pt>
                <c:pt idx="52">
                  <c:v>2.1115614506588543E-2</c:v>
                </c:pt>
                <c:pt idx="53">
                  <c:v>2.1115614506588543E-2</c:v>
                </c:pt>
                <c:pt idx="54">
                  <c:v>2.1115614506588543E-2</c:v>
                </c:pt>
                <c:pt idx="55">
                  <c:v>2.1115614506588543E-2</c:v>
                </c:pt>
                <c:pt idx="56">
                  <c:v>2.1115614506588543E-2</c:v>
                </c:pt>
                <c:pt idx="57">
                  <c:v>2.1115614506588543E-2</c:v>
                </c:pt>
                <c:pt idx="58">
                  <c:v>2.1115614506588543E-2</c:v>
                </c:pt>
                <c:pt idx="59">
                  <c:v>2.1115614506588543E-2</c:v>
                </c:pt>
                <c:pt idx="60">
                  <c:v>2.1115614506588543E-2</c:v>
                </c:pt>
                <c:pt idx="61">
                  <c:v>2.1115614506588543E-2</c:v>
                </c:pt>
                <c:pt idx="62">
                  <c:v>2.1115614506588543E-2</c:v>
                </c:pt>
                <c:pt idx="63">
                  <c:v>2.1115614506588543E-2</c:v>
                </c:pt>
                <c:pt idx="64">
                  <c:v>2.4634883591019965E-2</c:v>
                </c:pt>
                <c:pt idx="65">
                  <c:v>2.4634883591019965E-2</c:v>
                </c:pt>
                <c:pt idx="66">
                  <c:v>2.4634883591019965E-2</c:v>
                </c:pt>
                <c:pt idx="67">
                  <c:v>2.4634883591019965E-2</c:v>
                </c:pt>
                <c:pt idx="68">
                  <c:v>2.4634883591019965E-2</c:v>
                </c:pt>
                <c:pt idx="69">
                  <c:v>2.4634883591019965E-2</c:v>
                </c:pt>
                <c:pt idx="70">
                  <c:v>2.4634883591019965E-2</c:v>
                </c:pt>
                <c:pt idx="71">
                  <c:v>2.8154152675451391E-2</c:v>
                </c:pt>
                <c:pt idx="72">
                  <c:v>2.8154152675451391E-2</c:v>
                </c:pt>
                <c:pt idx="73">
                  <c:v>2.8154152675451391E-2</c:v>
                </c:pt>
                <c:pt idx="74">
                  <c:v>2.8154152675451391E-2</c:v>
                </c:pt>
                <c:pt idx="75">
                  <c:v>2.8154152675451391E-2</c:v>
                </c:pt>
                <c:pt idx="76">
                  <c:v>2.8154152675451391E-2</c:v>
                </c:pt>
                <c:pt idx="77">
                  <c:v>3.167342175988281E-2</c:v>
                </c:pt>
                <c:pt idx="78">
                  <c:v>3.167342175988281E-2</c:v>
                </c:pt>
                <c:pt idx="79">
                  <c:v>3.167342175988281E-2</c:v>
                </c:pt>
                <c:pt idx="80">
                  <c:v>3.5192690844314235E-2</c:v>
                </c:pt>
                <c:pt idx="81">
                  <c:v>3.5192690844314235E-2</c:v>
                </c:pt>
                <c:pt idx="82">
                  <c:v>3.5192690844314235E-2</c:v>
                </c:pt>
                <c:pt idx="83">
                  <c:v>3.5192690844314235E-2</c:v>
                </c:pt>
                <c:pt idx="84">
                  <c:v>3.5192690844314235E-2</c:v>
                </c:pt>
                <c:pt idx="85">
                  <c:v>3.8711959928745661E-2</c:v>
                </c:pt>
                <c:pt idx="86">
                  <c:v>3.8711959928745661E-2</c:v>
                </c:pt>
                <c:pt idx="87">
                  <c:v>3.8711959928745661E-2</c:v>
                </c:pt>
                <c:pt idx="88">
                  <c:v>3.8711959928745661E-2</c:v>
                </c:pt>
                <c:pt idx="89">
                  <c:v>3.8711959928745661E-2</c:v>
                </c:pt>
                <c:pt idx="90">
                  <c:v>3.8711959928745661E-2</c:v>
                </c:pt>
                <c:pt idx="91">
                  <c:v>3.8711959928745661E-2</c:v>
                </c:pt>
                <c:pt idx="92">
                  <c:v>3.8711959928745661E-2</c:v>
                </c:pt>
                <c:pt idx="93">
                  <c:v>3.8711959928745661E-2</c:v>
                </c:pt>
                <c:pt idx="94">
                  <c:v>3.8711959928745661E-2</c:v>
                </c:pt>
                <c:pt idx="95">
                  <c:v>3.5192690844314235E-2</c:v>
                </c:pt>
                <c:pt idx="96">
                  <c:v>3.5192690844314235E-2</c:v>
                </c:pt>
                <c:pt idx="97">
                  <c:v>3.5192690844314235E-2</c:v>
                </c:pt>
                <c:pt idx="98">
                  <c:v>3.5192690844314235E-2</c:v>
                </c:pt>
                <c:pt idx="99">
                  <c:v>3.5192690844314235E-2</c:v>
                </c:pt>
                <c:pt idx="100">
                  <c:v>3.5192690844314235E-2</c:v>
                </c:pt>
                <c:pt idx="101">
                  <c:v>3.5192690844314235E-2</c:v>
                </c:pt>
                <c:pt idx="102">
                  <c:v>3.5192690844314235E-2</c:v>
                </c:pt>
                <c:pt idx="103">
                  <c:v>3.5192690844314235E-2</c:v>
                </c:pt>
                <c:pt idx="104">
                  <c:v>3.5192690844314235E-2</c:v>
                </c:pt>
                <c:pt idx="105">
                  <c:v>3.8711959928745661E-2</c:v>
                </c:pt>
                <c:pt idx="106">
                  <c:v>3.8711959928745661E-2</c:v>
                </c:pt>
                <c:pt idx="107">
                  <c:v>3.8711959928745661E-2</c:v>
                </c:pt>
                <c:pt idx="108">
                  <c:v>3.8711959928745661E-2</c:v>
                </c:pt>
                <c:pt idx="109">
                  <c:v>3.8711959928745661E-2</c:v>
                </c:pt>
                <c:pt idx="110">
                  <c:v>3.8711959928745661E-2</c:v>
                </c:pt>
                <c:pt idx="111">
                  <c:v>3.8711959928745661E-2</c:v>
                </c:pt>
                <c:pt idx="112">
                  <c:v>3.8711959928745661E-2</c:v>
                </c:pt>
                <c:pt idx="113">
                  <c:v>4.2231229013177086E-2</c:v>
                </c:pt>
                <c:pt idx="114">
                  <c:v>4.2231229013177086E-2</c:v>
                </c:pt>
                <c:pt idx="115">
                  <c:v>4.2231229013177086E-2</c:v>
                </c:pt>
                <c:pt idx="116">
                  <c:v>4.2231229013177086E-2</c:v>
                </c:pt>
                <c:pt idx="117">
                  <c:v>4.2231229013177086E-2</c:v>
                </c:pt>
                <c:pt idx="118">
                  <c:v>4.2231229013177086E-2</c:v>
                </c:pt>
                <c:pt idx="119">
                  <c:v>4.2231229013177086E-2</c:v>
                </c:pt>
                <c:pt idx="120">
                  <c:v>4.2231229013177086E-2</c:v>
                </c:pt>
                <c:pt idx="121">
                  <c:v>4.2231229013177086E-2</c:v>
                </c:pt>
                <c:pt idx="122">
                  <c:v>4.2231229013177086E-2</c:v>
                </c:pt>
                <c:pt idx="123">
                  <c:v>4.2231229013177086E-2</c:v>
                </c:pt>
                <c:pt idx="124">
                  <c:v>4.2231229013177086E-2</c:v>
                </c:pt>
                <c:pt idx="125">
                  <c:v>4.2231229013177086E-2</c:v>
                </c:pt>
                <c:pt idx="126">
                  <c:v>4.5750498097608512E-2</c:v>
                </c:pt>
                <c:pt idx="127">
                  <c:v>4.5750498097608512E-2</c:v>
                </c:pt>
                <c:pt idx="128">
                  <c:v>4.5750498097608512E-2</c:v>
                </c:pt>
                <c:pt idx="129">
                  <c:v>4.5750498097608512E-2</c:v>
                </c:pt>
                <c:pt idx="130">
                  <c:v>4.5750498097608512E-2</c:v>
                </c:pt>
                <c:pt idx="131">
                  <c:v>4.9269767182039931E-2</c:v>
                </c:pt>
                <c:pt idx="132">
                  <c:v>4.9269767182039931E-2</c:v>
                </c:pt>
                <c:pt idx="133">
                  <c:v>4.5750498097608512E-2</c:v>
                </c:pt>
                <c:pt idx="134">
                  <c:v>4.5750498097608512E-2</c:v>
                </c:pt>
                <c:pt idx="135">
                  <c:v>4.9269767182039931E-2</c:v>
                </c:pt>
                <c:pt idx="136">
                  <c:v>4.9269767182039931E-2</c:v>
                </c:pt>
                <c:pt idx="137">
                  <c:v>5.2789036266471356E-2</c:v>
                </c:pt>
                <c:pt idx="138">
                  <c:v>5.2789036266471356E-2</c:v>
                </c:pt>
                <c:pt idx="139">
                  <c:v>5.2789036266471356E-2</c:v>
                </c:pt>
                <c:pt idx="140">
                  <c:v>5.2789036266471356E-2</c:v>
                </c:pt>
                <c:pt idx="141">
                  <c:v>5.6308305350902782E-2</c:v>
                </c:pt>
                <c:pt idx="142">
                  <c:v>5.9827574435334208E-2</c:v>
                </c:pt>
                <c:pt idx="143">
                  <c:v>5.6308305350902782E-2</c:v>
                </c:pt>
                <c:pt idx="144">
                  <c:v>5.6308305350902782E-2</c:v>
                </c:pt>
                <c:pt idx="145">
                  <c:v>5.6308305350902782E-2</c:v>
                </c:pt>
                <c:pt idx="146">
                  <c:v>5.6308305350902782E-2</c:v>
                </c:pt>
                <c:pt idx="147">
                  <c:v>5.6308305350902782E-2</c:v>
                </c:pt>
                <c:pt idx="148">
                  <c:v>5.9827574435334208E-2</c:v>
                </c:pt>
                <c:pt idx="149">
                  <c:v>5.9827574435334208E-2</c:v>
                </c:pt>
                <c:pt idx="150">
                  <c:v>5.9827574435334208E-2</c:v>
                </c:pt>
                <c:pt idx="151">
                  <c:v>6.3346843519765619E-2</c:v>
                </c:pt>
                <c:pt idx="152">
                  <c:v>6.3346843519765619E-2</c:v>
                </c:pt>
                <c:pt idx="153">
                  <c:v>6.6866112604197059E-2</c:v>
                </c:pt>
                <c:pt idx="154">
                  <c:v>7.0385381688628471E-2</c:v>
                </c:pt>
                <c:pt idx="155">
                  <c:v>7.0385381688628471E-2</c:v>
                </c:pt>
                <c:pt idx="156">
                  <c:v>7.0385381688628471E-2</c:v>
                </c:pt>
                <c:pt idx="157">
                  <c:v>7.0385381688628471E-2</c:v>
                </c:pt>
                <c:pt idx="158">
                  <c:v>7.0385381688628471E-2</c:v>
                </c:pt>
                <c:pt idx="159">
                  <c:v>7.0385381688628471E-2</c:v>
                </c:pt>
                <c:pt idx="160">
                  <c:v>7.0385381688628471E-2</c:v>
                </c:pt>
                <c:pt idx="161">
                  <c:v>7.0385381688628471E-2</c:v>
                </c:pt>
                <c:pt idx="162">
                  <c:v>7.0385381688628471E-2</c:v>
                </c:pt>
                <c:pt idx="163">
                  <c:v>7.0385381688628471E-2</c:v>
                </c:pt>
                <c:pt idx="164">
                  <c:v>7.0385381688628471E-2</c:v>
                </c:pt>
                <c:pt idx="165">
                  <c:v>7.0385381688628471E-2</c:v>
                </c:pt>
                <c:pt idx="166">
                  <c:v>7.0385381688628471E-2</c:v>
                </c:pt>
                <c:pt idx="167">
                  <c:v>7.0385381688628471E-2</c:v>
                </c:pt>
                <c:pt idx="168">
                  <c:v>7.0385381688628471E-2</c:v>
                </c:pt>
                <c:pt idx="169">
                  <c:v>7.0385381688628471E-2</c:v>
                </c:pt>
                <c:pt idx="170">
                  <c:v>7.0385381688628471E-2</c:v>
                </c:pt>
                <c:pt idx="171">
                  <c:v>7.0385381688628471E-2</c:v>
                </c:pt>
                <c:pt idx="172">
                  <c:v>7.0385381688628471E-2</c:v>
                </c:pt>
                <c:pt idx="173">
                  <c:v>7.3904650773059896E-2</c:v>
                </c:pt>
                <c:pt idx="174">
                  <c:v>7.7423919857491322E-2</c:v>
                </c:pt>
                <c:pt idx="175">
                  <c:v>7.7423919857491322E-2</c:v>
                </c:pt>
                <c:pt idx="176">
                  <c:v>8.0943188941922747E-2</c:v>
                </c:pt>
                <c:pt idx="177">
                  <c:v>8.0943188941922747E-2</c:v>
                </c:pt>
                <c:pt idx="178">
                  <c:v>8.4462458026354173E-2</c:v>
                </c:pt>
                <c:pt idx="179">
                  <c:v>8.7981727110785612E-2</c:v>
                </c:pt>
                <c:pt idx="180">
                  <c:v>8.7981727110785612E-2</c:v>
                </c:pt>
                <c:pt idx="181">
                  <c:v>9.1500996195217024E-2</c:v>
                </c:pt>
                <c:pt idx="182">
                  <c:v>9.1500996195217024E-2</c:v>
                </c:pt>
                <c:pt idx="183">
                  <c:v>9.5020265279648436E-2</c:v>
                </c:pt>
                <c:pt idx="184">
                  <c:v>9.8539534364079862E-2</c:v>
                </c:pt>
                <c:pt idx="185">
                  <c:v>9.8539534364079862E-2</c:v>
                </c:pt>
                <c:pt idx="186">
                  <c:v>0.10205880344851129</c:v>
                </c:pt>
                <c:pt idx="187">
                  <c:v>0.10557807253294271</c:v>
                </c:pt>
                <c:pt idx="188">
                  <c:v>0.10557807253294271</c:v>
                </c:pt>
                <c:pt idx="189">
                  <c:v>0.10909734161737414</c:v>
                </c:pt>
                <c:pt idx="190">
                  <c:v>0.11261661070180556</c:v>
                </c:pt>
                <c:pt idx="191">
                  <c:v>0.11261661070180556</c:v>
                </c:pt>
                <c:pt idx="192">
                  <c:v>0.11613587978623699</c:v>
                </c:pt>
                <c:pt idx="193">
                  <c:v>0.11965514887066842</c:v>
                </c:pt>
                <c:pt idx="194">
                  <c:v>0.11965514887066842</c:v>
                </c:pt>
                <c:pt idx="195">
                  <c:v>0.12317441795509984</c:v>
                </c:pt>
                <c:pt idx="196">
                  <c:v>0.12317441795509984</c:v>
                </c:pt>
                <c:pt idx="197">
                  <c:v>0.12669368703953124</c:v>
                </c:pt>
                <c:pt idx="198">
                  <c:v>0.13021295612396269</c:v>
                </c:pt>
                <c:pt idx="199">
                  <c:v>0.13021295612396269</c:v>
                </c:pt>
                <c:pt idx="200">
                  <c:v>0.13373222520839412</c:v>
                </c:pt>
                <c:pt idx="201">
                  <c:v>0.13725149429282552</c:v>
                </c:pt>
                <c:pt idx="202">
                  <c:v>0.14077076337725694</c:v>
                </c:pt>
                <c:pt idx="203">
                  <c:v>0.14429003246168839</c:v>
                </c:pt>
                <c:pt idx="204">
                  <c:v>0.14780930154611979</c:v>
                </c:pt>
                <c:pt idx="205">
                  <c:v>0.15132650168929054</c:v>
                </c:pt>
                <c:pt idx="206">
                  <c:v>0.15132650168929054</c:v>
                </c:pt>
                <c:pt idx="207">
                  <c:v>0.15484577077372197</c:v>
                </c:pt>
                <c:pt idx="208">
                  <c:v>0.15836503985815339</c:v>
                </c:pt>
                <c:pt idx="209">
                  <c:v>0.16188430894258479</c:v>
                </c:pt>
                <c:pt idx="210">
                  <c:v>0.16540357802701622</c:v>
                </c:pt>
                <c:pt idx="211">
                  <c:v>0.16892284711144764</c:v>
                </c:pt>
                <c:pt idx="212">
                  <c:v>0.16892284711144764</c:v>
                </c:pt>
                <c:pt idx="213">
                  <c:v>0.16892284711144764</c:v>
                </c:pt>
                <c:pt idx="214">
                  <c:v>0.16892284711144764</c:v>
                </c:pt>
                <c:pt idx="215">
                  <c:v>0.17244211619587907</c:v>
                </c:pt>
                <c:pt idx="216">
                  <c:v>0.17244211619587907</c:v>
                </c:pt>
                <c:pt idx="217">
                  <c:v>0.17244211619587907</c:v>
                </c:pt>
                <c:pt idx="218">
                  <c:v>0.17596138528031049</c:v>
                </c:pt>
                <c:pt idx="219">
                  <c:v>0.17948065436474192</c:v>
                </c:pt>
                <c:pt idx="220">
                  <c:v>0.18299992344917337</c:v>
                </c:pt>
                <c:pt idx="221">
                  <c:v>0.18299992344917337</c:v>
                </c:pt>
                <c:pt idx="222">
                  <c:v>0.18651919253360477</c:v>
                </c:pt>
                <c:pt idx="223">
                  <c:v>0.1900384616180362</c:v>
                </c:pt>
                <c:pt idx="224">
                  <c:v>0.1900384616180362</c:v>
                </c:pt>
                <c:pt idx="225">
                  <c:v>0.1900384616180362</c:v>
                </c:pt>
                <c:pt idx="226">
                  <c:v>0.1900384616180362</c:v>
                </c:pt>
                <c:pt idx="227">
                  <c:v>0.1900384616180362</c:v>
                </c:pt>
                <c:pt idx="228">
                  <c:v>0.1900384616180362</c:v>
                </c:pt>
                <c:pt idx="229">
                  <c:v>0.1900384616180362</c:v>
                </c:pt>
                <c:pt idx="230">
                  <c:v>0.1900384616180362</c:v>
                </c:pt>
                <c:pt idx="231">
                  <c:v>0.19355773070246762</c:v>
                </c:pt>
                <c:pt idx="232">
                  <c:v>0.19355773070246762</c:v>
                </c:pt>
                <c:pt idx="233">
                  <c:v>0.19707699978689902</c:v>
                </c:pt>
                <c:pt idx="234">
                  <c:v>0.19707699978689902</c:v>
                </c:pt>
                <c:pt idx="235">
                  <c:v>0.19707699978689902</c:v>
                </c:pt>
                <c:pt idx="236">
                  <c:v>0.19707699978689902</c:v>
                </c:pt>
                <c:pt idx="237">
                  <c:v>0.19707699978689902</c:v>
                </c:pt>
                <c:pt idx="238">
                  <c:v>0.19707699978689902</c:v>
                </c:pt>
                <c:pt idx="239">
                  <c:v>0.19707699978689902</c:v>
                </c:pt>
                <c:pt idx="240">
                  <c:v>0.19707699978689902</c:v>
                </c:pt>
                <c:pt idx="241">
                  <c:v>0.19707699978689902</c:v>
                </c:pt>
                <c:pt idx="242">
                  <c:v>0.19707699978689902</c:v>
                </c:pt>
                <c:pt idx="243">
                  <c:v>0.19707699978689902</c:v>
                </c:pt>
                <c:pt idx="244">
                  <c:v>0.19707699978689902</c:v>
                </c:pt>
                <c:pt idx="245">
                  <c:v>0.19707699978689902</c:v>
                </c:pt>
                <c:pt idx="246">
                  <c:v>0.19707699978689902</c:v>
                </c:pt>
                <c:pt idx="247">
                  <c:v>0.20059626887133047</c:v>
                </c:pt>
                <c:pt idx="248">
                  <c:v>0.2076389449227147</c:v>
                </c:pt>
                <c:pt idx="249">
                  <c:v>0.21115614506588543</c:v>
                </c:pt>
                <c:pt idx="250">
                  <c:v>0.21819054535222687</c:v>
                </c:pt>
                <c:pt idx="251">
                  <c:v>0.22522494563856835</c:v>
                </c:pt>
                <c:pt idx="252">
                  <c:v>0.2322800353375167</c:v>
                </c:pt>
                <c:pt idx="253">
                  <c:v>0.23579723548068746</c:v>
                </c:pt>
                <c:pt idx="254">
                  <c:v>0.23579723548068746</c:v>
                </c:pt>
                <c:pt idx="255">
                  <c:v>0.23579723548068746</c:v>
                </c:pt>
                <c:pt idx="256">
                  <c:v>0.23931443562385821</c:v>
                </c:pt>
                <c:pt idx="257">
                  <c:v>0.23931443562385821</c:v>
                </c:pt>
                <c:pt idx="258">
                  <c:v>0.23931443562385821</c:v>
                </c:pt>
                <c:pt idx="259">
                  <c:v>0.23931443562385821</c:v>
                </c:pt>
                <c:pt idx="260">
                  <c:v>0.23931443562385821</c:v>
                </c:pt>
                <c:pt idx="261">
                  <c:v>0.23931443562385821</c:v>
                </c:pt>
                <c:pt idx="262">
                  <c:v>0.23931443562385821</c:v>
                </c:pt>
                <c:pt idx="263">
                  <c:v>0.23931443562385821</c:v>
                </c:pt>
                <c:pt idx="264">
                  <c:v>0.23931443562385821</c:v>
                </c:pt>
                <c:pt idx="265">
                  <c:v>0.23931443562385821</c:v>
                </c:pt>
                <c:pt idx="266">
                  <c:v>0.23931443562385821</c:v>
                </c:pt>
                <c:pt idx="267">
                  <c:v>0.23931443562385821</c:v>
                </c:pt>
                <c:pt idx="268">
                  <c:v>0.23931443562385821</c:v>
                </c:pt>
                <c:pt idx="269">
                  <c:v>0.23931443562385821</c:v>
                </c:pt>
                <c:pt idx="270">
                  <c:v>0.23931443562385821</c:v>
                </c:pt>
                <c:pt idx="271">
                  <c:v>0.23931443562385821</c:v>
                </c:pt>
                <c:pt idx="272">
                  <c:v>0.23931443562385821</c:v>
                </c:pt>
                <c:pt idx="273">
                  <c:v>0.23931443562385821</c:v>
                </c:pt>
                <c:pt idx="274">
                  <c:v>0.23931443562385821</c:v>
                </c:pt>
                <c:pt idx="275">
                  <c:v>0.23931443562385821</c:v>
                </c:pt>
                <c:pt idx="276">
                  <c:v>0.23931443562385821</c:v>
                </c:pt>
                <c:pt idx="277">
                  <c:v>0.23931443562385821</c:v>
                </c:pt>
                <c:pt idx="278">
                  <c:v>0.23931443562385821</c:v>
                </c:pt>
                <c:pt idx="279">
                  <c:v>0.24283163576702893</c:v>
                </c:pt>
                <c:pt idx="280">
                  <c:v>0.24283163576702893</c:v>
                </c:pt>
                <c:pt idx="281">
                  <c:v>0.24283163576702893</c:v>
                </c:pt>
                <c:pt idx="282">
                  <c:v>0.24283163576702893</c:v>
                </c:pt>
                <c:pt idx="283">
                  <c:v>0.24283163576702893</c:v>
                </c:pt>
                <c:pt idx="284">
                  <c:v>0.24634883591019968</c:v>
                </c:pt>
                <c:pt idx="285">
                  <c:v>0.24986603605337041</c:v>
                </c:pt>
                <c:pt idx="286">
                  <c:v>0.26041763648288263</c:v>
                </c:pt>
                <c:pt idx="287">
                  <c:v>0.26393483662605333</c:v>
                </c:pt>
                <c:pt idx="288">
                  <c:v>0.27098992632500168</c:v>
                </c:pt>
                <c:pt idx="289">
                  <c:v>0.27450712646817249</c:v>
                </c:pt>
                <c:pt idx="290">
                  <c:v>0.27802432661134319</c:v>
                </c:pt>
                <c:pt idx="291">
                  <c:v>0.27802432661134319</c:v>
                </c:pt>
                <c:pt idx="292">
                  <c:v>0.28154152675451388</c:v>
                </c:pt>
                <c:pt idx="293">
                  <c:v>0.28154152675451388</c:v>
                </c:pt>
                <c:pt idx="294">
                  <c:v>0.28154152675451388</c:v>
                </c:pt>
                <c:pt idx="295">
                  <c:v>0.28154152675451388</c:v>
                </c:pt>
                <c:pt idx="296">
                  <c:v>0.28154152675451388</c:v>
                </c:pt>
                <c:pt idx="297">
                  <c:v>0.28154152675451388</c:v>
                </c:pt>
                <c:pt idx="298">
                  <c:v>0.28154152675451388</c:v>
                </c:pt>
                <c:pt idx="299">
                  <c:v>0.28154152675451388</c:v>
                </c:pt>
                <c:pt idx="300">
                  <c:v>0.28154152675451388</c:v>
                </c:pt>
                <c:pt idx="301">
                  <c:v>0.28154152675451388</c:v>
                </c:pt>
                <c:pt idx="302">
                  <c:v>0.28154152675451388</c:v>
                </c:pt>
                <c:pt idx="303">
                  <c:v>0.28154152675451388</c:v>
                </c:pt>
                <c:pt idx="304">
                  <c:v>0.28154152675451388</c:v>
                </c:pt>
                <c:pt idx="305">
                  <c:v>0.28154152675451388</c:v>
                </c:pt>
                <c:pt idx="306">
                  <c:v>0.28154152675451388</c:v>
                </c:pt>
                <c:pt idx="307">
                  <c:v>0.28154152675451388</c:v>
                </c:pt>
                <c:pt idx="308">
                  <c:v>0.28154152675451388</c:v>
                </c:pt>
                <c:pt idx="309">
                  <c:v>0.28154152675451388</c:v>
                </c:pt>
                <c:pt idx="310">
                  <c:v>0.28154152675451388</c:v>
                </c:pt>
                <c:pt idx="311">
                  <c:v>0.28154152675451388</c:v>
                </c:pt>
                <c:pt idx="312">
                  <c:v>0.28505872689768463</c:v>
                </c:pt>
                <c:pt idx="313">
                  <c:v>0.28154152675451388</c:v>
                </c:pt>
                <c:pt idx="314">
                  <c:v>0.28154152675451388</c:v>
                </c:pt>
                <c:pt idx="315">
                  <c:v>0.28505872689768463</c:v>
                </c:pt>
                <c:pt idx="316">
                  <c:v>0.28505872689768463</c:v>
                </c:pt>
                <c:pt idx="317">
                  <c:v>0.28505872689768463</c:v>
                </c:pt>
                <c:pt idx="318">
                  <c:v>0.28505872689768463</c:v>
                </c:pt>
                <c:pt idx="319">
                  <c:v>0.28505872689768463</c:v>
                </c:pt>
                <c:pt idx="320">
                  <c:v>0.28505872689768463</c:v>
                </c:pt>
                <c:pt idx="321">
                  <c:v>0.28505872689768463</c:v>
                </c:pt>
                <c:pt idx="322">
                  <c:v>0.28505872689768463</c:v>
                </c:pt>
                <c:pt idx="323">
                  <c:v>0.28505872689768463</c:v>
                </c:pt>
                <c:pt idx="324">
                  <c:v>0.28505872689768463</c:v>
                </c:pt>
                <c:pt idx="325">
                  <c:v>0.28857592704085538</c:v>
                </c:pt>
                <c:pt idx="326">
                  <c:v>0.28857592704085538</c:v>
                </c:pt>
                <c:pt idx="327">
                  <c:v>0.28857592704085538</c:v>
                </c:pt>
                <c:pt idx="328">
                  <c:v>0.28857592704085538</c:v>
                </c:pt>
                <c:pt idx="329">
                  <c:v>0.28857592704085538</c:v>
                </c:pt>
                <c:pt idx="330">
                  <c:v>0.28857592704085538</c:v>
                </c:pt>
                <c:pt idx="331">
                  <c:v>0.28857592704085538</c:v>
                </c:pt>
                <c:pt idx="332">
                  <c:v>0.28857592704085538</c:v>
                </c:pt>
                <c:pt idx="333">
                  <c:v>0.29209312718402614</c:v>
                </c:pt>
                <c:pt idx="334">
                  <c:v>0.29561032732719683</c:v>
                </c:pt>
                <c:pt idx="335">
                  <c:v>0.29561032732719683</c:v>
                </c:pt>
                <c:pt idx="336">
                  <c:v>0.29912752747036764</c:v>
                </c:pt>
                <c:pt idx="337">
                  <c:v>0.29912752747036764</c:v>
                </c:pt>
                <c:pt idx="338">
                  <c:v>0.30264472761353833</c:v>
                </c:pt>
                <c:pt idx="339">
                  <c:v>0.30969981731248664</c:v>
                </c:pt>
                <c:pt idx="340">
                  <c:v>0.31321701745565744</c:v>
                </c:pt>
                <c:pt idx="341">
                  <c:v>0.31321701745565744</c:v>
                </c:pt>
                <c:pt idx="342">
                  <c:v>0.32025141774199883</c:v>
                </c:pt>
                <c:pt idx="343">
                  <c:v>0.32376861788516959</c:v>
                </c:pt>
                <c:pt idx="344">
                  <c:v>0.33080301817151114</c:v>
                </c:pt>
                <c:pt idx="345">
                  <c:v>0.34137530801363014</c:v>
                </c:pt>
                <c:pt idx="346">
                  <c:v>0.35192690844314245</c:v>
                </c:pt>
                <c:pt idx="347">
                  <c:v>0.36247850887265459</c:v>
                </c:pt>
                <c:pt idx="348">
                  <c:v>0.37303010930216679</c:v>
                </c:pt>
                <c:pt idx="349">
                  <c:v>0.3836023991442859</c:v>
                </c:pt>
                <c:pt idx="350">
                  <c:v>0.39415399957379804</c:v>
                </c:pt>
                <c:pt idx="351">
                  <c:v>0.40118839986013954</c:v>
                </c:pt>
                <c:pt idx="352">
                  <c:v>0.4082228001464811</c:v>
                </c:pt>
                <c:pt idx="353">
                  <c:v>0.4152778898454294</c:v>
                </c:pt>
                <c:pt idx="354">
                  <c:v>0.4293466904181123</c:v>
                </c:pt>
                <c:pt idx="355">
                  <c:v>0.44341549099079525</c:v>
                </c:pt>
                <c:pt idx="356">
                  <c:v>0.45398778083291441</c:v>
                </c:pt>
                <c:pt idx="357">
                  <c:v>0.46805658140559731</c:v>
                </c:pt>
                <c:pt idx="358">
                  <c:v>0.48214607139088705</c:v>
                </c:pt>
                <c:pt idx="359">
                  <c:v>0.49621487196357011</c:v>
                </c:pt>
                <c:pt idx="360">
                  <c:v>0.51028367253625306</c:v>
                </c:pt>
                <c:pt idx="361">
                  <c:v>0.52437316252154287</c:v>
                </c:pt>
                <c:pt idx="362">
                  <c:v>0.53844196309422576</c:v>
                </c:pt>
                <c:pt idx="363">
                  <c:v>0.55253145307951557</c:v>
                </c:pt>
                <c:pt idx="364">
                  <c:v>0.57011745379536927</c:v>
                </c:pt>
                <c:pt idx="365">
                  <c:v>0.58772414392382988</c:v>
                </c:pt>
                <c:pt idx="366">
                  <c:v>0.60179294449651277</c:v>
                </c:pt>
                <c:pt idx="367">
                  <c:v>0.61586174506919578</c:v>
                </c:pt>
                <c:pt idx="368">
                  <c:v>0.62995123505448547</c:v>
                </c:pt>
                <c:pt idx="369">
                  <c:v>0.64402003562716847</c:v>
                </c:pt>
                <c:pt idx="370">
                  <c:v>0.65808883619985148</c:v>
                </c:pt>
                <c:pt idx="371">
                  <c:v>0.67217832618514117</c:v>
                </c:pt>
                <c:pt idx="372">
                  <c:v>0.68624712675782407</c:v>
                </c:pt>
                <c:pt idx="373">
                  <c:v>0.70033661674311409</c:v>
                </c:pt>
                <c:pt idx="374">
                  <c:v>0.71440541731579699</c:v>
                </c:pt>
                <c:pt idx="375">
                  <c:v>0.72847421788847999</c:v>
                </c:pt>
                <c:pt idx="376">
                  <c:v>0.74256370787376969</c:v>
                </c:pt>
                <c:pt idx="377">
                  <c:v>0.75663250844645269</c:v>
                </c:pt>
                <c:pt idx="378">
                  <c:v>0.77072199843174249</c:v>
                </c:pt>
                <c:pt idx="379">
                  <c:v>0.7847907990044255</c:v>
                </c:pt>
                <c:pt idx="380">
                  <c:v>0.79885959957710839</c:v>
                </c:pt>
                <c:pt idx="381">
                  <c:v>0.8129490895623982</c:v>
                </c:pt>
                <c:pt idx="382">
                  <c:v>0.82701789013508109</c:v>
                </c:pt>
                <c:pt idx="383">
                  <c:v>0.84110738012037101</c:v>
                </c:pt>
                <c:pt idx="384">
                  <c:v>0.85517618069305401</c:v>
                </c:pt>
                <c:pt idx="385">
                  <c:v>0.8692449812657369</c:v>
                </c:pt>
                <c:pt idx="386">
                  <c:v>0.88333447125102671</c:v>
                </c:pt>
                <c:pt idx="387">
                  <c:v>0.8974032718237096</c:v>
                </c:pt>
                <c:pt idx="388">
                  <c:v>0.9114927618089993</c:v>
                </c:pt>
                <c:pt idx="389">
                  <c:v>0.9255615623816823</c:v>
                </c:pt>
                <c:pt idx="390">
                  <c:v>0.93963036295436531</c:v>
                </c:pt>
                <c:pt idx="391">
                  <c:v>0.95371985293965522</c:v>
                </c:pt>
                <c:pt idx="392">
                  <c:v>0.96778865351233823</c:v>
                </c:pt>
                <c:pt idx="393">
                  <c:v>0.98187814349762792</c:v>
                </c:pt>
                <c:pt idx="394">
                  <c:v>0.99594694407031081</c:v>
                </c:pt>
                <c:pt idx="395">
                  <c:v>1.0100157446429938</c:v>
                </c:pt>
                <c:pt idx="396">
                  <c:v>1.0241052346282837</c:v>
                </c:pt>
                <c:pt idx="397">
                  <c:v>1.0381740352009667</c:v>
                </c:pt>
                <c:pt idx="398">
                  <c:v>1.0522635251862564</c:v>
                </c:pt>
                <c:pt idx="399">
                  <c:v>1.0663323257589394</c:v>
                </c:pt>
                <c:pt idx="400">
                  <c:v>1.0804011263316222</c:v>
                </c:pt>
                <c:pt idx="401">
                  <c:v>1.0944906163169121</c:v>
                </c:pt>
                <c:pt idx="402">
                  <c:v>1.1085594168895951</c:v>
                </c:pt>
                <c:pt idx="403">
                  <c:v>1.1226489068748848</c:v>
                </c:pt>
                <c:pt idx="404">
                  <c:v>1.1367177074475676</c:v>
                </c:pt>
                <c:pt idx="405">
                  <c:v>1.1507865080202508</c:v>
                </c:pt>
                <c:pt idx="406">
                  <c:v>1.1648759980055405</c:v>
                </c:pt>
                <c:pt idx="407">
                  <c:v>1.1789447985782235</c:v>
                </c:pt>
                <c:pt idx="408">
                  <c:v>1.1930135991509063</c:v>
                </c:pt>
                <c:pt idx="409">
                  <c:v>1.2106202892793672</c:v>
                </c:pt>
                <c:pt idx="410">
                  <c:v>1.2282062899952206</c:v>
                </c:pt>
                <c:pt idx="411">
                  <c:v>1.2422957799805106</c:v>
                </c:pt>
                <c:pt idx="412">
                  <c:v>1.2563645805531936</c:v>
                </c:pt>
                <c:pt idx="413">
                  <c:v>1.2704540705384832</c:v>
                </c:pt>
                <c:pt idx="414">
                  <c:v>1.2845228711111663</c:v>
                </c:pt>
                <c:pt idx="415">
                  <c:v>1.298591671683849</c:v>
                </c:pt>
                <c:pt idx="416">
                  <c:v>1.3161983618123096</c:v>
                </c:pt>
                <c:pt idx="417">
                  <c:v>1.3302671623849927</c:v>
                </c:pt>
                <c:pt idx="418">
                  <c:v>1.3443566523702823</c:v>
                </c:pt>
                <c:pt idx="419">
                  <c:v>1.3584254529429656</c:v>
                </c:pt>
                <c:pt idx="420">
                  <c:v>1.3725149429282553</c:v>
                </c:pt>
                <c:pt idx="421">
                  <c:v>1.3901009436441087</c:v>
                </c:pt>
                <c:pt idx="422">
                  <c:v>1.4041697442167917</c:v>
                </c:pt>
                <c:pt idx="423">
                  <c:v>1.4182592342020817</c:v>
                </c:pt>
                <c:pt idx="424">
                  <c:v>1.4323280347747647</c:v>
                </c:pt>
                <c:pt idx="425">
                  <c:v>1.4464175247600544</c:v>
                </c:pt>
                <c:pt idx="426">
                  <c:v>1.4604863253327374</c:v>
                </c:pt>
                <c:pt idx="427">
                  <c:v>1.4745551259054204</c:v>
                </c:pt>
                <c:pt idx="428">
                  <c:v>1.492161816033881</c:v>
                </c:pt>
                <c:pt idx="429">
                  <c:v>1.506230616606564</c:v>
                </c:pt>
                <c:pt idx="430">
                  <c:v>1.5203201065918537</c:v>
                </c:pt>
                <c:pt idx="431">
                  <c:v>1.5343889071645367</c:v>
                </c:pt>
                <c:pt idx="432">
                  <c:v>1.5484577077372197</c:v>
                </c:pt>
                <c:pt idx="433">
                  <c:v>1.5625471977225096</c:v>
                </c:pt>
                <c:pt idx="434">
                  <c:v>1.5766159982951922</c:v>
                </c:pt>
                <c:pt idx="435">
                  <c:v>1.5907054882804823</c:v>
                </c:pt>
                <c:pt idx="436">
                  <c:v>1.6047742888531651</c:v>
                </c:pt>
                <c:pt idx="437">
                  <c:v>1.6188430894258481</c:v>
                </c:pt>
                <c:pt idx="438">
                  <c:v>1.6329325794111378</c:v>
                </c:pt>
                <c:pt idx="439">
                  <c:v>1.6505185801269915</c:v>
                </c:pt>
                <c:pt idx="440">
                  <c:v>1.6681252702554521</c:v>
                </c:pt>
                <c:pt idx="441">
                  <c:v>1.6857112709713058</c:v>
                </c:pt>
                <c:pt idx="442">
                  <c:v>1.6998007609565957</c:v>
                </c:pt>
                <c:pt idx="443">
                  <c:v>1.7138695615292785</c:v>
                </c:pt>
                <c:pt idx="444">
                  <c:v>1.7279590515145684</c:v>
                </c:pt>
                <c:pt idx="445">
                  <c:v>1.7420278520872514</c:v>
                </c:pt>
                <c:pt idx="446">
                  <c:v>1.7560966526599344</c:v>
                </c:pt>
                <c:pt idx="447">
                  <c:v>1.7701861426452243</c:v>
                </c:pt>
                <c:pt idx="448">
                  <c:v>1.7842549432179069</c:v>
                </c:pt>
                <c:pt idx="449">
                  <c:v>1.7983237437905899</c:v>
                </c:pt>
                <c:pt idx="450">
                  <c:v>1.8124132337758798</c:v>
                </c:pt>
                <c:pt idx="451">
                  <c:v>1.8264820343485628</c:v>
                </c:pt>
                <c:pt idx="452">
                  <c:v>1.8405715243338525</c:v>
                </c:pt>
                <c:pt idx="453">
                  <c:v>1.8546403249065355</c:v>
                </c:pt>
                <c:pt idx="454">
                  <c:v>1.8687091254792185</c:v>
                </c:pt>
                <c:pt idx="455">
                  <c:v>1.8827986154645082</c:v>
                </c:pt>
                <c:pt idx="456">
                  <c:v>1.8968674160371914</c:v>
                </c:pt>
                <c:pt idx="457">
                  <c:v>1.9144741061656518</c:v>
                </c:pt>
                <c:pt idx="458">
                  <c:v>1.9285429067383348</c:v>
                </c:pt>
                <c:pt idx="459">
                  <c:v>1.9426323967236245</c:v>
                </c:pt>
                <c:pt idx="460">
                  <c:v>1.9567011972963078</c:v>
                </c:pt>
                <c:pt idx="461">
                  <c:v>1.974287198012161</c:v>
                </c:pt>
                <c:pt idx="462">
                  <c:v>1.9883766879974507</c:v>
                </c:pt>
                <c:pt idx="463">
                  <c:v>2.0059626887133049</c:v>
                </c:pt>
                <c:pt idx="464">
                  <c:v>2.0200521786985943</c:v>
                </c:pt>
                <c:pt idx="465">
                  <c:v>2.0341209792712771</c:v>
                </c:pt>
                <c:pt idx="466">
                  <c:v>2.0517276693997379</c:v>
                </c:pt>
                <c:pt idx="467">
                  <c:v>2.0657964699724212</c:v>
                </c:pt>
                <c:pt idx="468">
                  <c:v>2.0834238495134882</c:v>
                </c:pt>
                <c:pt idx="469">
                  <c:v>2.0974926500861715</c:v>
                </c:pt>
                <c:pt idx="470">
                  <c:v>2.1150786508020252</c:v>
                </c:pt>
                <c:pt idx="471">
                  <c:v>2.129147451374708</c:v>
                </c:pt>
                <c:pt idx="472">
                  <c:v>2.1467334520905617</c:v>
                </c:pt>
                <c:pt idx="473">
                  <c:v>2.1608022526632444</c:v>
                </c:pt>
                <c:pt idx="474">
                  <c:v>2.1748710532359277</c:v>
                </c:pt>
                <c:pt idx="475">
                  <c:v>2.1889398538086104</c:v>
                </c:pt>
                <c:pt idx="476">
                  <c:v>2.2065258545244641</c:v>
                </c:pt>
                <c:pt idx="477">
                  <c:v>2.2205946550971469</c:v>
                </c:pt>
                <c:pt idx="478">
                  <c:v>2.2381806558130011</c:v>
                </c:pt>
                <c:pt idx="479">
                  <c:v>2.2557666565288543</c:v>
                </c:pt>
                <c:pt idx="480">
                  <c:v>2.273352657244708</c:v>
                </c:pt>
                <c:pt idx="481">
                  <c:v>2.2874214578173908</c:v>
                </c:pt>
                <c:pt idx="482">
                  <c:v>2.3014902583900736</c:v>
                </c:pt>
                <c:pt idx="483">
                  <c:v>2.3192831532319964</c:v>
                </c:pt>
                <c:pt idx="484">
                  <c:v>2.3368691539478501</c:v>
                </c:pt>
                <c:pt idx="485">
                  <c:v>2.3544551546637038</c:v>
                </c:pt>
                <c:pt idx="486">
                  <c:v>2.3720411553795575</c:v>
                </c:pt>
                <c:pt idx="487">
                  <c:v>2.3896271560954112</c:v>
                </c:pt>
                <c:pt idx="488">
                  <c:v>2.4072131568112649</c:v>
                </c:pt>
                <c:pt idx="489">
                  <c:v>2.4247991575271186</c:v>
                </c:pt>
                <c:pt idx="490">
                  <c:v>2.4388679580998014</c:v>
                </c:pt>
                <c:pt idx="491">
                  <c:v>2.4564539588156551</c:v>
                </c:pt>
                <c:pt idx="492">
                  <c:v>2.4740399595315088</c:v>
                </c:pt>
                <c:pt idx="493">
                  <c:v>2.4916259602473625</c:v>
                </c:pt>
                <c:pt idx="494">
                  <c:v>2.5056947608200457</c:v>
                </c:pt>
                <c:pt idx="495">
                  <c:v>2.5232807615358994</c:v>
                </c:pt>
                <c:pt idx="496">
                  <c:v>2.5408667622517527</c:v>
                </c:pt>
                <c:pt idx="497">
                  <c:v>2.5549355628244355</c:v>
                </c:pt>
                <c:pt idx="498">
                  <c:v>2.5725215635402896</c:v>
                </c:pt>
                <c:pt idx="499">
                  <c:v>2.5901075642561433</c:v>
                </c:pt>
                <c:pt idx="500">
                  <c:v>2.607693564971997</c:v>
                </c:pt>
                <c:pt idx="501">
                  <c:v>2.6217623655446798</c:v>
                </c:pt>
                <c:pt idx="502">
                  <c:v>2.639348366260533</c:v>
                </c:pt>
                <c:pt idx="503">
                  <c:v>2.6534171668332163</c:v>
                </c:pt>
                <c:pt idx="504">
                  <c:v>2.67100316754907</c:v>
                </c:pt>
                <c:pt idx="505">
                  <c:v>2.6887960623909928</c:v>
                </c:pt>
                <c:pt idx="506">
                  <c:v>2.7028648629636751</c:v>
                </c:pt>
                <c:pt idx="507">
                  <c:v>2.7274852639658707</c:v>
                </c:pt>
                <c:pt idx="508">
                  <c:v>2.7521056649680657</c:v>
                </c:pt>
                <c:pt idx="509">
                  <c:v>2.7732088658270899</c:v>
                </c:pt>
                <c:pt idx="510">
                  <c:v>2.7978292668292855</c:v>
                </c:pt>
                <c:pt idx="511">
                  <c:v>2.8189324676883101</c:v>
                </c:pt>
                <c:pt idx="512">
                  <c:v>2.8435528686905047</c:v>
                </c:pt>
                <c:pt idx="513">
                  <c:v>2.8681732696926998</c:v>
                </c:pt>
                <c:pt idx="514">
                  <c:v>2.8892764705517244</c:v>
                </c:pt>
                <c:pt idx="515">
                  <c:v>2.91389687155392</c:v>
                </c:pt>
                <c:pt idx="516">
                  <c:v>2.9350000724129446</c:v>
                </c:pt>
                <c:pt idx="517">
                  <c:v>2.9596204734151397</c:v>
                </c:pt>
                <c:pt idx="518">
                  <c:v>2.9807236742741634</c:v>
                </c:pt>
                <c:pt idx="519">
                  <c:v>3.0053440752763585</c:v>
                </c:pt>
                <c:pt idx="520">
                  <c:v>3.0301713704046231</c:v>
                </c:pt>
                <c:pt idx="521">
                  <c:v>3.0512745712636473</c:v>
                </c:pt>
                <c:pt idx="522">
                  <c:v>3.075894972265842</c:v>
                </c:pt>
                <c:pt idx="523">
                  <c:v>3.0969981731248666</c:v>
                </c:pt>
                <c:pt idx="524">
                  <c:v>3.1216185741270617</c:v>
                </c:pt>
                <c:pt idx="525">
                  <c:v>3.1427217749860863</c:v>
                </c:pt>
                <c:pt idx="526">
                  <c:v>3.1673421759882818</c:v>
                </c:pt>
                <c:pt idx="527">
                  <c:v>3.1884453768473064</c:v>
                </c:pt>
                <c:pt idx="528">
                  <c:v>3.2130657778495011</c:v>
                </c:pt>
                <c:pt idx="529">
                  <c:v>3.2341689787085253</c:v>
                </c:pt>
                <c:pt idx="530">
                  <c:v>3.2587893797107204</c:v>
                </c:pt>
                <c:pt idx="531">
                  <c:v>3.279892580569745</c:v>
                </c:pt>
                <c:pt idx="532">
                  <c:v>3.3009957814287696</c:v>
                </c:pt>
                <c:pt idx="533">
                  <c:v>3.3220989822877933</c:v>
                </c:pt>
                <c:pt idx="534">
                  <c:v>3.3467193832899884</c:v>
                </c:pt>
                <c:pt idx="535">
                  <c:v>3.3678225841490135</c:v>
                </c:pt>
                <c:pt idx="536">
                  <c:v>3.3891326791341068</c:v>
                </c:pt>
                <c:pt idx="537">
                  <c:v>3.4137530801363019</c:v>
                </c:pt>
                <c:pt idx="538">
                  <c:v>3.4348562809953265</c:v>
                </c:pt>
                <c:pt idx="539">
                  <c:v>3.4559594818543502</c:v>
                </c:pt>
                <c:pt idx="540">
                  <c:v>3.4770626827133748</c:v>
                </c:pt>
                <c:pt idx="541">
                  <c:v>3.5016830837155704</c:v>
                </c:pt>
                <c:pt idx="542">
                  <c:v>3.522786284574595</c:v>
                </c:pt>
                <c:pt idx="543">
                  <c:v>3.5438894854336191</c:v>
                </c:pt>
                <c:pt idx="544">
                  <c:v>3.5649926862926433</c:v>
                </c:pt>
                <c:pt idx="545">
                  <c:v>3.5860958871516679</c:v>
                </c:pt>
                <c:pt idx="546">
                  <c:v>3.6071990880106921</c:v>
                </c:pt>
                <c:pt idx="547">
                  <c:v>3.6353366891560581</c:v>
                </c:pt>
                <c:pt idx="548">
                  <c:v>3.6634742903014241</c:v>
                </c:pt>
                <c:pt idx="549">
                  <c:v>3.6916118914467897</c:v>
                </c:pt>
                <c:pt idx="550">
                  <c:v>3.7197494925921553</c:v>
                </c:pt>
                <c:pt idx="551">
                  <c:v>3.7516111880067613</c:v>
                </c:pt>
                <c:pt idx="552">
                  <c:v>3.7797487891521273</c:v>
                </c:pt>
                <c:pt idx="553">
                  <c:v>3.8114035904406633</c:v>
                </c:pt>
                <c:pt idx="554">
                  <c:v>3.8395411915860298</c:v>
                </c:pt>
                <c:pt idx="555">
                  <c:v>3.8711959928745663</c:v>
                </c:pt>
                <c:pt idx="556">
                  <c:v>3.8993335940199323</c:v>
                </c:pt>
                <c:pt idx="557">
                  <c:v>3.9274711951652983</c:v>
                </c:pt>
                <c:pt idx="558">
                  <c:v>3.9591259964538348</c:v>
                </c:pt>
                <c:pt idx="559">
                  <c:v>3.9872635975992003</c:v>
                </c:pt>
                <c:pt idx="560">
                  <c:v>4.0189183988877373</c:v>
                </c:pt>
                <c:pt idx="561">
                  <c:v>4.0505732001762738</c:v>
                </c:pt>
                <c:pt idx="562">
                  <c:v>4.0787108013216393</c:v>
                </c:pt>
                <c:pt idx="563">
                  <c:v>4.1105724967362454</c:v>
                </c:pt>
                <c:pt idx="564">
                  <c:v>4.1422272980247818</c:v>
                </c:pt>
                <c:pt idx="565">
                  <c:v>4.1738820993133183</c:v>
                </c:pt>
                <c:pt idx="566">
                  <c:v>4.2055369006018557</c:v>
                </c:pt>
                <c:pt idx="567">
                  <c:v>4.2371917018903913</c:v>
                </c:pt>
                <c:pt idx="568">
                  <c:v>4.2688465031789278</c:v>
                </c:pt>
                <c:pt idx="569">
                  <c:v>4.3005013044674651</c:v>
                </c:pt>
                <c:pt idx="570">
                  <c:v>4.3321561057560007</c:v>
                </c:pt>
                <c:pt idx="571">
                  <c:v>4.3638109070445372</c:v>
                </c:pt>
                <c:pt idx="572">
                  <c:v>4.3954657083330737</c:v>
                </c:pt>
                <c:pt idx="573">
                  <c:v>4.4271205096216111</c:v>
                </c:pt>
                <c:pt idx="574">
                  <c:v>4.4589822050362171</c:v>
                </c:pt>
                <c:pt idx="575">
                  <c:v>4.4906370063247536</c:v>
                </c:pt>
                <c:pt idx="576">
                  <c:v>4.5222918076132901</c:v>
                </c:pt>
                <c:pt idx="577">
                  <c:v>4.5609810091881675</c:v>
                </c:pt>
                <c:pt idx="578">
                  <c:v>4.6031874109062167</c:v>
                </c:pt>
                <c:pt idx="579">
                  <c:v>4.6453938126242651</c:v>
                </c:pt>
                <c:pt idx="580">
                  <c:v>4.6840830141991443</c:v>
                </c:pt>
                <c:pt idx="581">
                  <c:v>4.7192550156308508</c:v>
                </c:pt>
                <c:pt idx="582">
                  <c:v>4.7544270170625591</c:v>
                </c:pt>
                <c:pt idx="583">
                  <c:v>4.7966334187806074</c:v>
                </c:pt>
                <c:pt idx="584">
                  <c:v>4.8390467146247245</c:v>
                </c:pt>
                <c:pt idx="585">
                  <c:v>4.8742187160564328</c:v>
                </c:pt>
                <c:pt idx="586">
                  <c:v>4.9093907174881402</c:v>
                </c:pt>
                <c:pt idx="587">
                  <c:v>4.9445627189198476</c:v>
                </c:pt>
                <c:pt idx="588">
                  <c:v>4.9867691206378959</c:v>
                </c:pt>
                <c:pt idx="589">
                  <c:v>5.0219411220696024</c:v>
                </c:pt>
                <c:pt idx="590">
                  <c:v>5.0571131235013107</c:v>
                </c:pt>
                <c:pt idx="591">
                  <c:v>5.0922851249330172</c:v>
                </c:pt>
                <c:pt idx="592">
                  <c:v>5.1274571263647255</c:v>
                </c:pt>
                <c:pt idx="593">
                  <c:v>5.1626291277964329</c:v>
                </c:pt>
                <c:pt idx="594">
                  <c:v>5.198008023354209</c:v>
                </c:pt>
                <c:pt idx="595">
                  <c:v>5.2331800247859164</c:v>
                </c:pt>
                <c:pt idx="596">
                  <c:v>5.2718692263607938</c:v>
                </c:pt>
                <c:pt idx="597">
                  <c:v>5.3070412277925012</c:v>
                </c:pt>
                <c:pt idx="598">
                  <c:v>5.3422132292242086</c:v>
                </c:pt>
                <c:pt idx="599">
                  <c:v>5.3809024307990869</c:v>
                </c:pt>
                <c:pt idx="600">
                  <c:v>5.4160744322307934</c:v>
                </c:pt>
                <c:pt idx="601">
                  <c:v>5.4617980340920136</c:v>
                </c:pt>
                <c:pt idx="602">
                  <c:v>5.5075216359532337</c:v>
                </c:pt>
                <c:pt idx="603">
                  <c:v>5.5569693320836917</c:v>
                </c:pt>
                <c:pt idx="604">
                  <c:v>5.6026929339449127</c:v>
                </c:pt>
                <c:pt idx="605">
                  <c:v>5.6484165358061311</c:v>
                </c:pt>
                <c:pt idx="606">
                  <c:v>5.6941401376673522</c:v>
                </c:pt>
                <c:pt idx="607">
                  <c:v>5.7398637395285714</c:v>
                </c:pt>
                <c:pt idx="608">
                  <c:v>5.7891045415329616</c:v>
                </c:pt>
                <c:pt idx="609">
                  <c:v>5.8348281433941809</c:v>
                </c:pt>
                <c:pt idx="610">
                  <c:v>5.8772414392382988</c:v>
                </c:pt>
                <c:pt idx="611">
                  <c:v>5.922965041099518</c:v>
                </c:pt>
                <c:pt idx="612">
                  <c:v>5.9651714428175673</c:v>
                </c:pt>
                <c:pt idx="613">
                  <c:v>6.0108950446787857</c:v>
                </c:pt>
                <c:pt idx="614">
                  <c:v>6.0601358466831767</c:v>
                </c:pt>
                <c:pt idx="615">
                  <c:v>6.1093766486875678</c:v>
                </c:pt>
                <c:pt idx="616">
                  <c:v>6.158617450691958</c:v>
                </c:pt>
                <c:pt idx="617">
                  <c:v>6.2043410525531772</c:v>
                </c:pt>
                <c:pt idx="618">
                  <c:v>6.2537887486836352</c:v>
                </c:pt>
                <c:pt idx="619">
                  <c:v>6.3030295506880254</c:v>
                </c:pt>
                <c:pt idx="620">
                  <c:v>6.3487531525492464</c:v>
                </c:pt>
                <c:pt idx="621">
                  <c:v>6.3979939545536357</c:v>
                </c:pt>
                <c:pt idx="622">
                  <c:v>6.4507519567011977</c:v>
                </c:pt>
                <c:pt idx="623">
                  <c:v>6.4999927587055879</c:v>
                </c:pt>
                <c:pt idx="624">
                  <c:v>6.5492335607099772</c:v>
                </c:pt>
                <c:pt idx="625">
                  <c:v>6.5986812568404369</c:v>
                </c:pt>
                <c:pt idx="626">
                  <c:v>6.6479220588448271</c:v>
                </c:pt>
                <c:pt idx="627">
                  <c:v>6.7006800609923882</c:v>
                </c:pt>
                <c:pt idx="628">
                  <c:v>6.7499208629967784</c:v>
                </c:pt>
                <c:pt idx="629">
                  <c:v>6.8026788651443395</c:v>
                </c:pt>
                <c:pt idx="630">
                  <c:v>6.8519196671487297</c:v>
                </c:pt>
                <c:pt idx="631">
                  <c:v>6.9011604691531199</c:v>
                </c:pt>
                <c:pt idx="632">
                  <c:v>6.9541253654267496</c:v>
                </c:pt>
                <c:pt idx="633">
                  <c:v>7.0033661674311407</c:v>
                </c:pt>
                <c:pt idx="634">
                  <c:v>7.0526069694355309</c:v>
                </c:pt>
                <c:pt idx="635">
                  <c:v>7.105364971583092</c:v>
                </c:pt>
                <c:pt idx="636">
                  <c:v>7.1546057735874822</c:v>
                </c:pt>
                <c:pt idx="637">
                  <c:v>7.2073637757350433</c:v>
                </c:pt>
                <c:pt idx="638">
                  <c:v>7.2706733783121162</c:v>
                </c:pt>
                <c:pt idx="639">
                  <c:v>7.3341898750152588</c:v>
                </c:pt>
                <c:pt idx="640">
                  <c:v>7.3974994775923317</c:v>
                </c:pt>
                <c:pt idx="641">
                  <c:v>7.4608090801694047</c:v>
                </c:pt>
                <c:pt idx="642">
                  <c:v>7.5206014826033067</c:v>
                </c:pt>
                <c:pt idx="643">
                  <c:v>7.5839110851803806</c:v>
                </c:pt>
                <c:pt idx="644">
                  <c:v>7.6472206877574536</c:v>
                </c:pt>
                <c:pt idx="645">
                  <c:v>7.7107371844605952</c:v>
                </c:pt>
                <c:pt idx="646">
                  <c:v>7.774046787037669</c:v>
                </c:pt>
                <c:pt idx="647">
                  <c:v>7.8303219893284011</c:v>
                </c:pt>
                <c:pt idx="648">
                  <c:v>7.893631591905474</c:v>
                </c:pt>
                <c:pt idx="649">
                  <c:v>7.9569411944825461</c:v>
                </c:pt>
                <c:pt idx="650">
                  <c:v>8.0204576911856904</c:v>
                </c:pt>
                <c:pt idx="651">
                  <c:v>8.0767328934764215</c:v>
                </c:pt>
                <c:pt idx="652">
                  <c:v>8.1435596961966645</c:v>
                </c:pt>
                <c:pt idx="653">
                  <c:v>8.2103864989169075</c:v>
                </c:pt>
                <c:pt idx="654">
                  <c:v>8.2736961014939823</c:v>
                </c:pt>
                <c:pt idx="655">
                  <c:v>8.3405229042142253</c:v>
                </c:pt>
                <c:pt idx="656">
                  <c:v>8.4040394009173678</c:v>
                </c:pt>
                <c:pt idx="657">
                  <c:v>8.4708662036376126</c:v>
                </c:pt>
                <c:pt idx="658">
                  <c:v>8.5376930063578556</c:v>
                </c:pt>
                <c:pt idx="659">
                  <c:v>8.6045198090780985</c:v>
                </c:pt>
                <c:pt idx="660">
                  <c:v>8.6713466117983433</c:v>
                </c:pt>
                <c:pt idx="661">
                  <c:v>8.7383803086446576</c:v>
                </c:pt>
                <c:pt idx="662">
                  <c:v>8.8087243115080707</c:v>
                </c:pt>
                <c:pt idx="663">
                  <c:v>8.8755511142283154</c:v>
                </c:pt>
                <c:pt idx="664">
                  <c:v>8.9423779169485602</c:v>
                </c:pt>
                <c:pt idx="665">
                  <c:v>9.012721919811975</c:v>
                </c:pt>
                <c:pt idx="666">
                  <c:v>9.0938244172309712</c:v>
                </c:pt>
                <c:pt idx="667">
                  <c:v>9.1712028203807243</c:v>
                </c:pt>
                <c:pt idx="668">
                  <c:v>9.2415468232441409</c:v>
                </c:pt>
                <c:pt idx="669">
                  <c:v>9.3224424265370676</c:v>
                </c:pt>
                <c:pt idx="670">
                  <c:v>9.3927864294004824</c:v>
                </c:pt>
                <c:pt idx="671">
                  <c:v>9.4703717266763068</c:v>
                </c:pt>
                <c:pt idx="672">
                  <c:v>9.5407157295397216</c:v>
                </c:pt>
                <c:pt idx="673">
                  <c:v>9.6110597324031364</c:v>
                </c:pt>
                <c:pt idx="674">
                  <c:v>9.6814037352665512</c:v>
                </c:pt>
                <c:pt idx="675">
                  <c:v>9.751747738129966</c:v>
                </c:pt>
                <c:pt idx="676">
                  <c:v>9.8222986351194486</c:v>
                </c:pt>
                <c:pt idx="677">
                  <c:v>9.899677038269207</c:v>
                </c:pt>
                <c:pt idx="678">
                  <c:v>9.9700210411326218</c:v>
                </c:pt>
                <c:pt idx="679">
                  <c:v>10.050916644425548</c:v>
                </c:pt>
                <c:pt idx="680">
                  <c:v>10.131812247718473</c:v>
                </c:pt>
                <c:pt idx="681">
                  <c:v>10.21291474513747</c:v>
                </c:pt>
                <c:pt idx="682">
                  <c:v>10.297327548573568</c:v>
                </c:pt>
                <c:pt idx="683">
                  <c:v>10.381740352009666</c:v>
                </c:pt>
                <c:pt idx="684">
                  <c:v>10.462635955302593</c:v>
                </c:pt>
                <c:pt idx="685">
                  <c:v>10.547255652864759</c:v>
                </c:pt>
                <c:pt idx="686">
                  <c:v>10.628151256157686</c:v>
                </c:pt>
                <c:pt idx="687">
                  <c:v>10.712564059593785</c:v>
                </c:pt>
                <c:pt idx="688">
                  <c:v>10.793459662886713</c:v>
                </c:pt>
                <c:pt idx="689">
                  <c:v>10.878079360448876</c:v>
                </c:pt>
                <c:pt idx="690">
                  <c:v>10.962492163884974</c:v>
                </c:pt>
                <c:pt idx="691">
                  <c:v>11.046904967321074</c:v>
                </c:pt>
                <c:pt idx="692">
                  <c:v>11.131317770757171</c:v>
                </c:pt>
                <c:pt idx="693">
                  <c:v>11.21573057419327</c:v>
                </c:pt>
                <c:pt idx="694">
                  <c:v>11.300350271755434</c:v>
                </c:pt>
                <c:pt idx="695">
                  <c:v>11.384763075191531</c:v>
                </c:pt>
                <c:pt idx="696">
                  <c:v>11.469175878627629</c:v>
                </c:pt>
                <c:pt idx="697">
                  <c:v>11.553588682063726</c:v>
                </c:pt>
                <c:pt idx="698">
                  <c:v>11.638208379625894</c:v>
                </c:pt>
                <c:pt idx="699">
                  <c:v>11.726138383205162</c:v>
                </c:pt>
                <c:pt idx="700">
                  <c:v>11.824619987213941</c:v>
                </c:pt>
                <c:pt idx="701">
                  <c:v>11.923101591222721</c:v>
                </c:pt>
                <c:pt idx="702">
                  <c:v>12.025307289500743</c:v>
                </c:pt>
                <c:pt idx="703">
                  <c:v>12.127306093652694</c:v>
                </c:pt>
                <c:pt idx="704">
                  <c:v>12.229304897804646</c:v>
                </c:pt>
                <c:pt idx="705">
                  <c:v>12.331510596082666</c:v>
                </c:pt>
                <c:pt idx="706">
                  <c:v>12.43350940023462</c:v>
                </c:pt>
                <c:pt idx="707">
                  <c:v>12.535508204386568</c:v>
                </c:pt>
                <c:pt idx="708">
                  <c:v>12.626955408109007</c:v>
                </c:pt>
                <c:pt idx="709">
                  <c:v>12.729161106387028</c:v>
                </c:pt>
                <c:pt idx="710">
                  <c:v>12.834677110682151</c:v>
                </c:pt>
                <c:pt idx="711">
                  <c:v>12.940193114977275</c:v>
                </c:pt>
                <c:pt idx="712">
                  <c:v>13.045916013398463</c:v>
                </c:pt>
                <c:pt idx="713">
                  <c:v>13.151432017693585</c:v>
                </c:pt>
                <c:pt idx="714">
                  <c:v>13.256948021988707</c:v>
                </c:pt>
                <c:pt idx="715">
                  <c:v>13.362670920409899</c:v>
                </c:pt>
                <c:pt idx="716">
                  <c:v>13.468186924705021</c:v>
                </c:pt>
                <c:pt idx="717">
                  <c:v>13.573702929000143</c:v>
                </c:pt>
                <c:pt idx="718">
                  <c:v>13.679218933295264</c:v>
                </c:pt>
                <c:pt idx="719">
                  <c:v>13.788459031859627</c:v>
                </c:pt>
                <c:pt idx="720">
                  <c:v>13.893975036154748</c:v>
                </c:pt>
                <c:pt idx="721">
                  <c:v>13.999491040449868</c:v>
                </c:pt>
                <c:pt idx="722">
                  <c:v>14.108731139014232</c:v>
                </c:pt>
                <c:pt idx="723">
                  <c:v>14.214247143309352</c:v>
                </c:pt>
                <c:pt idx="724">
                  <c:v>14.319763147604476</c:v>
                </c:pt>
                <c:pt idx="725">
                  <c:v>14.429003246168836</c:v>
                </c:pt>
                <c:pt idx="726">
                  <c:v>14.548588051036642</c:v>
                </c:pt>
                <c:pt idx="727">
                  <c:v>14.671690056047618</c:v>
                </c:pt>
                <c:pt idx="728">
                  <c:v>14.791481755041492</c:v>
                </c:pt>
                <c:pt idx="729">
                  <c:v>14.914583760052469</c:v>
                </c:pt>
                <c:pt idx="730">
                  <c:v>15.034168564920273</c:v>
                </c:pt>
                <c:pt idx="731">
                  <c:v>15.153960263914147</c:v>
                </c:pt>
                <c:pt idx="732">
                  <c:v>15.273545068781951</c:v>
                </c:pt>
                <c:pt idx="733">
                  <c:v>15.396647073792927</c:v>
                </c:pt>
                <c:pt idx="734">
                  <c:v>15.519955972929971</c:v>
                </c:pt>
                <c:pt idx="735">
                  <c:v>15.643057977940948</c:v>
                </c:pt>
                <c:pt idx="736">
                  <c:v>15.766159982951923</c:v>
                </c:pt>
                <c:pt idx="737">
                  <c:v>15.892986082232138</c:v>
                </c:pt>
                <c:pt idx="738">
                  <c:v>16.016088087243116</c:v>
                </c:pt>
                <c:pt idx="739">
                  <c:v>16.13919009225409</c:v>
                </c:pt>
                <c:pt idx="740">
                  <c:v>16.266016191534305</c:v>
                </c:pt>
                <c:pt idx="741">
                  <c:v>16.392635396688455</c:v>
                </c:pt>
                <c:pt idx="742">
                  <c:v>16.519254601842601</c:v>
                </c:pt>
                <c:pt idx="743">
                  <c:v>16.656632301552328</c:v>
                </c:pt>
                <c:pt idx="744">
                  <c:v>16.783251506706474</c:v>
                </c:pt>
                <c:pt idx="745">
                  <c:v>16.920629206416201</c:v>
                </c:pt>
                <c:pt idx="746">
                  <c:v>17.047248411570347</c:v>
                </c:pt>
                <c:pt idx="747">
                  <c:v>17.173867616724493</c:v>
                </c:pt>
                <c:pt idx="748">
                  <c:v>17.318279716720561</c:v>
                </c:pt>
                <c:pt idx="749">
                  <c:v>17.462484922590562</c:v>
                </c:pt>
                <c:pt idx="750">
                  <c:v>17.606690128460563</c:v>
                </c:pt>
                <c:pt idx="751">
                  <c:v>17.751102228456631</c:v>
                </c:pt>
                <c:pt idx="752">
                  <c:v>17.88475583389712</c:v>
                </c:pt>
                <c:pt idx="753">
                  <c:v>18.018616333463676</c:v>
                </c:pt>
                <c:pt idx="754">
                  <c:v>18.166338739476846</c:v>
                </c:pt>
                <c:pt idx="755">
                  <c:v>18.317578345633191</c:v>
                </c:pt>
                <c:pt idx="756">
                  <c:v>18.465507645772426</c:v>
                </c:pt>
                <c:pt idx="757">
                  <c:v>18.616747251928771</c:v>
                </c:pt>
                <c:pt idx="758">
                  <c:v>18.768193752211179</c:v>
                </c:pt>
                <c:pt idx="759">
                  <c:v>18.912398958081184</c:v>
                </c:pt>
                <c:pt idx="760">
                  <c:v>19.063845458363588</c:v>
                </c:pt>
                <c:pt idx="761">
                  <c:v>19.215085064519933</c:v>
                </c:pt>
                <c:pt idx="762">
                  <c:v>19.366324670676271</c:v>
                </c:pt>
                <c:pt idx="763">
                  <c:v>19.514253970815513</c:v>
                </c:pt>
                <c:pt idx="764">
                  <c:v>19.665493576971855</c:v>
                </c:pt>
                <c:pt idx="765">
                  <c:v>19.813422877111098</c:v>
                </c:pt>
                <c:pt idx="766">
                  <c:v>19.961145283124264</c:v>
                </c:pt>
                <c:pt idx="767">
                  <c:v>20.123143383836187</c:v>
                </c:pt>
                <c:pt idx="768">
                  <c:v>20.284934590422047</c:v>
                </c:pt>
                <c:pt idx="769">
                  <c:v>20.446725797007897</c:v>
                </c:pt>
                <c:pt idx="770">
                  <c:v>20.60872389771982</c:v>
                </c:pt>
                <c:pt idx="771">
                  <c:v>20.770101316053537</c:v>
                </c:pt>
                <c:pt idx="772">
                  <c:v>20.931478734387252</c:v>
                </c:pt>
                <c:pt idx="773">
                  <c:v>21.096994035242346</c:v>
                </c:pt>
                <c:pt idx="774">
                  <c:v>21.260440394836746</c:v>
                </c:pt>
                <c:pt idx="775">
                  <c:v>21.425955695691844</c:v>
                </c:pt>
                <c:pt idx="776">
                  <c:v>21.591470996546935</c:v>
                </c:pt>
                <c:pt idx="777">
                  <c:v>21.75698629740203</c:v>
                </c:pt>
                <c:pt idx="778">
                  <c:v>21.934915245821255</c:v>
                </c:pt>
                <c:pt idx="779">
                  <c:v>22.114913135501173</c:v>
                </c:pt>
                <c:pt idx="780">
                  <c:v>22.284566318877637</c:v>
                </c:pt>
                <c:pt idx="781">
                  <c:v>22.45215056099342</c:v>
                </c:pt>
                <c:pt idx="782">
                  <c:v>22.621803744369895</c:v>
                </c:pt>
                <c:pt idx="783">
                  <c:v>22.803870575310494</c:v>
                </c:pt>
                <c:pt idx="784">
                  <c:v>22.992144230033162</c:v>
                </c:pt>
                <c:pt idx="785">
                  <c:v>23.178348943495145</c:v>
                </c:pt>
                <c:pt idx="786">
                  <c:v>23.364553656957124</c:v>
                </c:pt>
                <c:pt idx="787">
                  <c:v>23.554896252940484</c:v>
                </c:pt>
                <c:pt idx="788">
                  <c:v>23.741100966402463</c:v>
                </c:pt>
                <c:pt idx="789">
                  <c:v>23.931443562385819</c:v>
                </c:pt>
                <c:pt idx="790">
                  <c:v>24.121786158369179</c:v>
                </c:pt>
                <c:pt idx="791">
                  <c:v>24.307990871831159</c:v>
                </c:pt>
                <c:pt idx="792">
                  <c:v>24.498333467814511</c:v>
                </c:pt>
                <c:pt idx="793">
                  <c:v>24.686607122537186</c:v>
                </c:pt>
                <c:pt idx="794">
                  <c:v>24.876949718520542</c:v>
                </c:pt>
                <c:pt idx="795">
                  <c:v>25.077637020807341</c:v>
                </c:pt>
                <c:pt idx="796">
                  <c:v>25.278324323094139</c:v>
                </c:pt>
                <c:pt idx="797">
                  <c:v>25.479011625380945</c:v>
                </c:pt>
                <c:pt idx="798">
                  <c:v>25.683836810189124</c:v>
                </c:pt>
                <c:pt idx="799">
                  <c:v>25.884524112475919</c:v>
                </c:pt>
                <c:pt idx="800">
                  <c:v>26.087280356023413</c:v>
                </c:pt>
                <c:pt idx="801">
                  <c:v>26.287967658310208</c:v>
                </c:pt>
                <c:pt idx="802">
                  <c:v>26.503137549421833</c:v>
                </c:pt>
                <c:pt idx="803">
                  <c:v>26.707962734230012</c:v>
                </c:pt>
                <c:pt idx="804">
                  <c:v>26.910718977777503</c:v>
                </c:pt>
                <c:pt idx="805">
                  <c:v>27.130026751410501</c:v>
                </c:pt>
                <c:pt idx="806">
                  <c:v>27.347265583782811</c:v>
                </c:pt>
                <c:pt idx="807">
                  <c:v>27.566573357415809</c:v>
                </c:pt>
                <c:pt idx="808">
                  <c:v>27.783812189788122</c:v>
                </c:pt>
                <c:pt idx="809">
                  <c:v>27.998982080899737</c:v>
                </c:pt>
                <c:pt idx="810">
                  <c:v>28.228634560836184</c:v>
                </c:pt>
                <c:pt idx="811">
                  <c:v>28.445873393208494</c:v>
                </c:pt>
                <c:pt idx="812">
                  <c:v>28.667250108102177</c:v>
                </c:pt>
                <c:pt idx="813">
                  <c:v>28.888626822995867</c:v>
                </c:pt>
                <c:pt idx="814">
                  <c:v>29.128624009235754</c:v>
                </c:pt>
                <c:pt idx="815">
                  <c:v>29.368621195475637</c:v>
                </c:pt>
                <c:pt idx="816">
                  <c:v>29.594135792890704</c:v>
                </c:pt>
                <c:pt idx="817">
                  <c:v>29.821719331566456</c:v>
                </c:pt>
                <c:pt idx="818">
                  <c:v>30.061716517806342</c:v>
                </c:pt>
                <c:pt idx="819">
                  <c:v>30.301713704046229</c:v>
                </c:pt>
                <c:pt idx="820">
                  <c:v>30.539641949025423</c:v>
                </c:pt>
                <c:pt idx="821">
                  <c:v>30.775501252743933</c:v>
                </c:pt>
                <c:pt idx="822">
                  <c:v>31.029981027808635</c:v>
                </c:pt>
                <c:pt idx="823">
                  <c:v>31.27618503783059</c:v>
                </c:pt>
                <c:pt idx="824">
                  <c:v>31.522389047852538</c:v>
                </c:pt>
                <c:pt idx="825">
                  <c:v>31.772730940395871</c:v>
                </c:pt>
                <c:pt idx="826">
                  <c:v>32.018934950417822</c:v>
                </c:pt>
                <c:pt idx="827">
                  <c:v>32.265138960439771</c:v>
                </c:pt>
                <c:pt idx="828">
                  <c:v>32.511342970461726</c:v>
                </c:pt>
                <c:pt idx="829">
                  <c:v>32.772029569308494</c:v>
                </c:pt>
                <c:pt idx="830">
                  <c:v>33.034785109415957</c:v>
                </c:pt>
                <c:pt idx="831">
                  <c:v>33.295471708262731</c:v>
                </c:pt>
                <c:pt idx="832">
                  <c:v>33.560296189630883</c:v>
                </c:pt>
                <c:pt idx="833">
                  <c:v>33.823051729738339</c:v>
                </c:pt>
                <c:pt idx="834">
                  <c:v>34.08787621110649</c:v>
                </c:pt>
                <c:pt idx="835">
                  <c:v>34.350631751213953</c:v>
                </c:pt>
                <c:pt idx="836">
                  <c:v>34.62166305636417</c:v>
                </c:pt>
                <c:pt idx="837">
                  <c:v>34.89269436151438</c:v>
                </c:pt>
                <c:pt idx="838">
                  <c:v>35.16372566666459</c:v>
                </c:pt>
                <c:pt idx="839">
                  <c:v>35.445101678118256</c:v>
                </c:pt>
                <c:pt idx="840">
                  <c:v>35.726477689571908</c:v>
                </c:pt>
                <c:pt idx="841">
                  <c:v>36.005784759764879</c:v>
                </c:pt>
                <c:pt idx="842">
                  <c:v>36.283022888697168</c:v>
                </c:pt>
                <c:pt idx="843">
                  <c:v>36.568536782672204</c:v>
                </c:pt>
                <c:pt idx="844">
                  <c:v>36.85405067664724</c:v>
                </c:pt>
                <c:pt idx="845">
                  <c:v>37.139564570622269</c:v>
                </c:pt>
                <c:pt idx="846">
                  <c:v>37.433354229640067</c:v>
                </c:pt>
                <c:pt idx="847">
                  <c:v>37.72300600613648</c:v>
                </c:pt>
                <c:pt idx="848">
                  <c:v>38.010588841372204</c:v>
                </c:pt>
                <c:pt idx="849">
                  <c:v>38.316792147954132</c:v>
                </c:pt>
                <c:pt idx="850">
                  <c:v>38.616788630753987</c:v>
                </c:pt>
                <c:pt idx="851">
                  <c:v>38.912647231032459</c:v>
                </c:pt>
              </c:numCache>
            </c:numRef>
          </c:cat>
          <c:val>
            <c:numRef>
              <c:f>'A10-3'!$C$2:$C$853</c:f>
              <c:numCache>
                <c:formatCode>0.00</c:formatCode>
                <c:ptCount val="852"/>
                <c:pt idx="0">
                  <c:v>1.3400399999999999E-4</c:v>
                </c:pt>
                <c:pt idx="1">
                  <c:v>1.6005999999999998E-4</c:v>
                </c:pt>
                <c:pt idx="2">
                  <c:v>1.8425400000000001E-4</c:v>
                </c:pt>
                <c:pt idx="3">
                  <c:v>2.0844E-4</c:v>
                </c:pt>
                <c:pt idx="4">
                  <c:v>2.3449999999999998E-4</c:v>
                </c:pt>
                <c:pt idx="5">
                  <c:v>2.6242000000000003E-4</c:v>
                </c:pt>
                <c:pt idx="6">
                  <c:v>2.8847999999999998E-4</c:v>
                </c:pt>
                <c:pt idx="7">
                  <c:v>3.1454000000000003E-4</c:v>
                </c:pt>
                <c:pt idx="8">
                  <c:v>3.4246E-4</c:v>
                </c:pt>
                <c:pt idx="9">
                  <c:v>3.7038000000000001E-4</c:v>
                </c:pt>
                <c:pt idx="10">
                  <c:v>3.9641999999999998E-4</c:v>
                </c:pt>
                <c:pt idx="11">
                  <c:v>4.2433999999999999E-4</c:v>
                </c:pt>
                <c:pt idx="12">
                  <c:v>4.5226000000000001E-4</c:v>
                </c:pt>
                <c:pt idx="13">
                  <c:v>4.7832000000000001E-4</c:v>
                </c:pt>
                <c:pt idx="14">
                  <c:v>5.0624000000000003E-4</c:v>
                </c:pt>
                <c:pt idx="15">
                  <c:v>5.3229999999999998E-4</c:v>
                </c:pt>
                <c:pt idx="16">
                  <c:v>5.6207999999999996E-4</c:v>
                </c:pt>
                <c:pt idx="17">
                  <c:v>5.8998000000000004E-4</c:v>
                </c:pt>
                <c:pt idx="18">
                  <c:v>6.1603999999999999E-4</c:v>
                </c:pt>
                <c:pt idx="19">
                  <c:v>6.4395999999999995E-4</c:v>
                </c:pt>
                <c:pt idx="20">
                  <c:v>6.7188000000000002E-4</c:v>
                </c:pt>
                <c:pt idx="21">
                  <c:v>6.9979999999999999E-4</c:v>
                </c:pt>
                <c:pt idx="22">
                  <c:v>7.2772000000000006E-4</c:v>
                </c:pt>
                <c:pt idx="23">
                  <c:v>7.5564000000000002E-4</c:v>
                </c:pt>
                <c:pt idx="24">
                  <c:v>7.8353999999999989E-4</c:v>
                </c:pt>
                <c:pt idx="25">
                  <c:v>8.1145999999999996E-4</c:v>
                </c:pt>
                <c:pt idx="26">
                  <c:v>8.3751999999999991E-4</c:v>
                </c:pt>
                <c:pt idx="27">
                  <c:v>8.6729999999999999E-4</c:v>
                </c:pt>
                <c:pt idx="28">
                  <c:v>8.9522000000000007E-4</c:v>
                </c:pt>
                <c:pt idx="29">
                  <c:v>9.2313999999999992E-4</c:v>
                </c:pt>
                <c:pt idx="30">
                  <c:v>9.4920000000000009E-4</c:v>
                </c:pt>
                <c:pt idx="31">
                  <c:v>9.7710000000000006E-4</c:v>
                </c:pt>
                <c:pt idx="32">
                  <c:v>1.0068799999999999E-3</c:v>
                </c:pt>
                <c:pt idx="33">
                  <c:v>1.03294E-3</c:v>
                </c:pt>
                <c:pt idx="34">
                  <c:v>1.0608600000000001E-3</c:v>
                </c:pt>
                <c:pt idx="35">
                  <c:v>1.0887800000000001E-3</c:v>
                </c:pt>
                <c:pt idx="36">
                  <c:v>1.1167E-3</c:v>
                </c:pt>
                <c:pt idx="37">
                  <c:v>1.14276E-3</c:v>
                </c:pt>
                <c:pt idx="38">
                  <c:v>1.17066E-3</c:v>
                </c:pt>
                <c:pt idx="39">
                  <c:v>1.2004399999999999E-3</c:v>
                </c:pt>
                <c:pt idx="40">
                  <c:v>1.22836E-3</c:v>
                </c:pt>
                <c:pt idx="41">
                  <c:v>1.25442E-3</c:v>
                </c:pt>
                <c:pt idx="42">
                  <c:v>1.2823399999999999E-3</c:v>
                </c:pt>
                <c:pt idx="43">
                  <c:v>1.3102599999999999E-3</c:v>
                </c:pt>
                <c:pt idx="44">
                  <c:v>1.33818E-3</c:v>
                </c:pt>
                <c:pt idx="45">
                  <c:v>1.3661000000000001E-3</c:v>
                </c:pt>
                <c:pt idx="46">
                  <c:v>1.3940000000000001E-3</c:v>
                </c:pt>
                <c:pt idx="47">
                  <c:v>1.4219200000000001E-3</c:v>
                </c:pt>
                <c:pt idx="48">
                  <c:v>1.4479800000000002E-3</c:v>
                </c:pt>
                <c:pt idx="49">
                  <c:v>1.4759E-3</c:v>
                </c:pt>
                <c:pt idx="50">
                  <c:v>1.5056800000000001E-3</c:v>
                </c:pt>
                <c:pt idx="51">
                  <c:v>1.5336E-3</c:v>
                </c:pt>
                <c:pt idx="52">
                  <c:v>1.55966E-3</c:v>
                </c:pt>
                <c:pt idx="53">
                  <c:v>1.58756E-3</c:v>
                </c:pt>
                <c:pt idx="54">
                  <c:v>1.6154799999999999E-3</c:v>
                </c:pt>
                <c:pt idx="55">
                  <c:v>1.6434000000000002E-3</c:v>
                </c:pt>
                <c:pt idx="56">
                  <c:v>1.67132E-3</c:v>
                </c:pt>
                <c:pt idx="57">
                  <c:v>1.6992399999999999E-3</c:v>
                </c:pt>
                <c:pt idx="58">
                  <c:v>1.7271600000000002E-3</c:v>
                </c:pt>
                <c:pt idx="59">
                  <c:v>1.75508E-3</c:v>
                </c:pt>
                <c:pt idx="60">
                  <c:v>1.7829999999999999E-3</c:v>
                </c:pt>
                <c:pt idx="61">
                  <c:v>1.8109000000000001E-3</c:v>
                </c:pt>
                <c:pt idx="62">
                  <c:v>1.8406800000000001E-3</c:v>
                </c:pt>
                <c:pt idx="63">
                  <c:v>1.86674E-3</c:v>
                </c:pt>
                <c:pt idx="64">
                  <c:v>1.8946600000000001E-3</c:v>
                </c:pt>
                <c:pt idx="65">
                  <c:v>1.9225800000000001E-3</c:v>
                </c:pt>
                <c:pt idx="66">
                  <c:v>1.9505E-3</c:v>
                </c:pt>
                <c:pt idx="67">
                  <c:v>1.97656E-3</c:v>
                </c:pt>
                <c:pt idx="68">
                  <c:v>2.0064000000000002E-3</c:v>
                </c:pt>
                <c:pt idx="69">
                  <c:v>2.0341999999999999E-3</c:v>
                </c:pt>
                <c:pt idx="70">
                  <c:v>2.0604E-3</c:v>
                </c:pt>
                <c:pt idx="71">
                  <c:v>2.0882000000000001E-3</c:v>
                </c:pt>
                <c:pt idx="72">
                  <c:v>2.1161999999999999E-3</c:v>
                </c:pt>
                <c:pt idx="73">
                  <c:v>2.1440000000000001E-3</c:v>
                </c:pt>
                <c:pt idx="74">
                  <c:v>2.1719999999999999E-3</c:v>
                </c:pt>
                <c:pt idx="75">
                  <c:v>2.1979999999999999E-3</c:v>
                </c:pt>
                <c:pt idx="76">
                  <c:v>2.2278000000000003E-3</c:v>
                </c:pt>
                <c:pt idx="77">
                  <c:v>2.2558000000000001E-3</c:v>
                </c:pt>
                <c:pt idx="78">
                  <c:v>2.2818000000000001E-3</c:v>
                </c:pt>
                <c:pt idx="79">
                  <c:v>2.3096000000000002E-3</c:v>
                </c:pt>
                <c:pt idx="80">
                  <c:v>2.3394000000000002E-3</c:v>
                </c:pt>
                <c:pt idx="81">
                  <c:v>2.3655999999999998E-3</c:v>
                </c:pt>
                <c:pt idx="82">
                  <c:v>2.3934E-3</c:v>
                </c:pt>
                <c:pt idx="83">
                  <c:v>2.4213999999999998E-3</c:v>
                </c:pt>
                <c:pt idx="84">
                  <c:v>2.4512000000000002E-3</c:v>
                </c:pt>
                <c:pt idx="85">
                  <c:v>2.4772000000000001E-3</c:v>
                </c:pt>
                <c:pt idx="86">
                  <c:v>2.5052000000000004E-3</c:v>
                </c:pt>
                <c:pt idx="87">
                  <c:v>2.5330000000000001E-3</c:v>
                </c:pt>
                <c:pt idx="88">
                  <c:v>2.5609999999999999E-3</c:v>
                </c:pt>
                <c:pt idx="89">
                  <c:v>2.5869999999999999E-3</c:v>
                </c:pt>
                <c:pt idx="90">
                  <c:v>2.6168000000000003E-3</c:v>
                </c:pt>
                <c:pt idx="91">
                  <c:v>2.6448000000000001E-3</c:v>
                </c:pt>
                <c:pt idx="92">
                  <c:v>2.6725999999999998E-3</c:v>
                </c:pt>
                <c:pt idx="93">
                  <c:v>2.6985999999999998E-3</c:v>
                </c:pt>
                <c:pt idx="94">
                  <c:v>2.7284000000000002E-3</c:v>
                </c:pt>
                <c:pt idx="95">
                  <c:v>2.7564E-3</c:v>
                </c:pt>
                <c:pt idx="96">
                  <c:v>2.7842000000000001E-3</c:v>
                </c:pt>
                <c:pt idx="97">
                  <c:v>2.8104000000000002E-3</c:v>
                </c:pt>
                <c:pt idx="98">
                  <c:v>2.8382000000000004E-3</c:v>
                </c:pt>
                <c:pt idx="99">
                  <c:v>2.8679999999999999E-3</c:v>
                </c:pt>
                <c:pt idx="100">
                  <c:v>2.8942E-3</c:v>
                </c:pt>
                <c:pt idx="101">
                  <c:v>2.9220000000000001E-3</c:v>
                </c:pt>
                <c:pt idx="102">
                  <c:v>2.9499999999999999E-3</c:v>
                </c:pt>
                <c:pt idx="103">
                  <c:v>2.9778000000000001E-3</c:v>
                </c:pt>
                <c:pt idx="104">
                  <c:v>3.0040000000000002E-3</c:v>
                </c:pt>
                <c:pt idx="105">
                  <c:v>3.0317999999999999E-3</c:v>
                </c:pt>
                <c:pt idx="106">
                  <c:v>3.0615999999999998E-3</c:v>
                </c:pt>
                <c:pt idx="107">
                  <c:v>3.0896000000000001E-3</c:v>
                </c:pt>
                <c:pt idx="108">
                  <c:v>3.1156000000000001E-3</c:v>
                </c:pt>
                <c:pt idx="109">
                  <c:v>3.1434000000000002E-3</c:v>
                </c:pt>
                <c:pt idx="110">
                  <c:v>3.1713999999999996E-3</c:v>
                </c:pt>
                <c:pt idx="111">
                  <c:v>3.1993999999999998E-3</c:v>
                </c:pt>
                <c:pt idx="112">
                  <c:v>3.2271999999999999E-3</c:v>
                </c:pt>
                <c:pt idx="113">
                  <c:v>3.2551999999999998E-3</c:v>
                </c:pt>
                <c:pt idx="114">
                  <c:v>3.2829999999999999E-3</c:v>
                </c:pt>
                <c:pt idx="115">
                  <c:v>3.3092E-3</c:v>
                </c:pt>
                <c:pt idx="116">
                  <c:v>3.3370000000000001E-3</c:v>
                </c:pt>
                <c:pt idx="117">
                  <c:v>3.3667999999999997E-3</c:v>
                </c:pt>
                <c:pt idx="118">
                  <c:v>3.3947999999999999E-3</c:v>
                </c:pt>
                <c:pt idx="119">
                  <c:v>3.4207999999999999E-3</c:v>
                </c:pt>
                <c:pt idx="120">
                  <c:v>3.4488000000000001E-3</c:v>
                </c:pt>
                <c:pt idx="121">
                  <c:v>3.4766000000000003E-3</c:v>
                </c:pt>
                <c:pt idx="122">
                  <c:v>3.5046000000000001E-3</c:v>
                </c:pt>
                <c:pt idx="123">
                  <c:v>3.5323999999999998E-3</c:v>
                </c:pt>
                <c:pt idx="124">
                  <c:v>3.5604E-3</c:v>
                </c:pt>
                <c:pt idx="125">
                  <c:v>3.5883999999999998E-3</c:v>
                </c:pt>
                <c:pt idx="126">
                  <c:v>3.6162E-3</c:v>
                </c:pt>
                <c:pt idx="127">
                  <c:v>3.6442000000000002E-3</c:v>
                </c:pt>
                <c:pt idx="128">
                  <c:v>3.6720000000000004E-3</c:v>
                </c:pt>
                <c:pt idx="129">
                  <c:v>3.7017999999999999E-3</c:v>
                </c:pt>
                <c:pt idx="130">
                  <c:v>3.7558000000000001E-3</c:v>
                </c:pt>
                <c:pt idx="131">
                  <c:v>3.7837999999999999E-3</c:v>
                </c:pt>
                <c:pt idx="132">
                  <c:v>3.8116000000000001E-3</c:v>
                </c:pt>
                <c:pt idx="133">
                  <c:v>3.8673999999999996E-3</c:v>
                </c:pt>
                <c:pt idx="134">
                  <c:v>3.9214000000000002E-3</c:v>
                </c:pt>
                <c:pt idx="135">
                  <c:v>3.9772000000000002E-3</c:v>
                </c:pt>
                <c:pt idx="136">
                  <c:v>4.0331999999999998E-3</c:v>
                </c:pt>
                <c:pt idx="137">
                  <c:v>4.0889999999999998E-3</c:v>
                </c:pt>
                <c:pt idx="138">
                  <c:v>4.143E-3</c:v>
                </c:pt>
                <c:pt idx="139">
                  <c:v>4.2005999999999996E-3</c:v>
                </c:pt>
                <c:pt idx="140">
                  <c:v>4.2545999999999999E-3</c:v>
                </c:pt>
                <c:pt idx="141">
                  <c:v>4.3124000000000001E-3</c:v>
                </c:pt>
                <c:pt idx="142">
                  <c:v>4.3661999999999998E-3</c:v>
                </c:pt>
                <c:pt idx="143">
                  <c:v>4.4222000000000003E-3</c:v>
                </c:pt>
                <c:pt idx="144">
                  <c:v>4.4779999999999993E-3</c:v>
                </c:pt>
                <c:pt idx="145">
                  <c:v>4.5338000000000002E-3</c:v>
                </c:pt>
                <c:pt idx="146">
                  <c:v>4.5878000000000004E-3</c:v>
                </c:pt>
                <c:pt idx="147">
                  <c:v>4.6454000000000001E-3</c:v>
                </c:pt>
                <c:pt idx="148">
                  <c:v>4.6994000000000003E-3</c:v>
                </c:pt>
                <c:pt idx="149">
                  <c:v>4.7552000000000002E-3</c:v>
                </c:pt>
                <c:pt idx="150">
                  <c:v>4.8110000000000002E-3</c:v>
                </c:pt>
                <c:pt idx="151">
                  <c:v>4.8649999999999995E-3</c:v>
                </c:pt>
                <c:pt idx="152">
                  <c:v>4.9227999999999997E-3</c:v>
                </c:pt>
                <c:pt idx="153">
                  <c:v>4.9768E-3</c:v>
                </c:pt>
                <c:pt idx="154">
                  <c:v>5.0326000000000008E-3</c:v>
                </c:pt>
                <c:pt idx="155">
                  <c:v>5.0883999999999999E-3</c:v>
                </c:pt>
                <c:pt idx="156">
                  <c:v>5.1441999999999998E-3</c:v>
                </c:pt>
                <c:pt idx="157">
                  <c:v>5.1981999999999992E-3</c:v>
                </c:pt>
                <c:pt idx="158">
                  <c:v>5.2559999999999994E-3</c:v>
                </c:pt>
                <c:pt idx="159">
                  <c:v>5.3097999999999999E-3</c:v>
                </c:pt>
                <c:pt idx="160">
                  <c:v>5.3657999999999996E-3</c:v>
                </c:pt>
                <c:pt idx="161">
                  <c:v>5.4215999999999995E-3</c:v>
                </c:pt>
                <c:pt idx="162">
                  <c:v>5.4774000000000003E-3</c:v>
                </c:pt>
                <c:pt idx="163">
                  <c:v>5.5332000000000003E-3</c:v>
                </c:pt>
                <c:pt idx="164">
                  <c:v>5.5889999999999994E-3</c:v>
                </c:pt>
                <c:pt idx="165">
                  <c:v>5.6448000000000002E-3</c:v>
                </c:pt>
                <c:pt idx="166">
                  <c:v>5.6988000000000004E-3</c:v>
                </c:pt>
                <c:pt idx="167">
                  <c:v>5.7548E-3</c:v>
                </c:pt>
                <c:pt idx="168">
                  <c:v>5.8086000000000006E-3</c:v>
                </c:pt>
                <c:pt idx="169">
                  <c:v>5.8664000000000008E-3</c:v>
                </c:pt>
                <c:pt idx="170">
                  <c:v>5.9204000000000001E-3</c:v>
                </c:pt>
                <c:pt idx="171">
                  <c:v>5.9779999999999998E-3</c:v>
                </c:pt>
                <c:pt idx="172">
                  <c:v>6.0319999999999992E-3</c:v>
                </c:pt>
                <c:pt idx="173">
                  <c:v>6.0878E-3</c:v>
                </c:pt>
                <c:pt idx="174">
                  <c:v>6.1435999999999999E-3</c:v>
                </c:pt>
                <c:pt idx="175">
                  <c:v>6.1995999999999996E-3</c:v>
                </c:pt>
                <c:pt idx="176">
                  <c:v>6.2553999999999995E-3</c:v>
                </c:pt>
                <c:pt idx="177">
                  <c:v>6.3093999999999997E-3</c:v>
                </c:pt>
                <c:pt idx="178">
                  <c:v>6.3670000000000003E-3</c:v>
                </c:pt>
                <c:pt idx="179">
                  <c:v>6.4209999999999996E-3</c:v>
                </c:pt>
                <c:pt idx="180">
                  <c:v>6.4786000000000002E-3</c:v>
                </c:pt>
                <c:pt idx="181">
                  <c:v>6.5325999999999995E-3</c:v>
                </c:pt>
                <c:pt idx="182">
                  <c:v>6.5886E-3</c:v>
                </c:pt>
                <c:pt idx="183">
                  <c:v>6.6444E-3</c:v>
                </c:pt>
                <c:pt idx="184">
                  <c:v>6.7001999999999999E-3</c:v>
                </c:pt>
                <c:pt idx="185">
                  <c:v>6.7542000000000001E-3</c:v>
                </c:pt>
                <c:pt idx="186">
                  <c:v>6.8117999999999998E-3</c:v>
                </c:pt>
                <c:pt idx="187">
                  <c:v>6.8658E-3</c:v>
                </c:pt>
                <c:pt idx="188">
                  <c:v>6.9216E-3</c:v>
                </c:pt>
                <c:pt idx="189">
                  <c:v>6.9773999999999999E-3</c:v>
                </c:pt>
                <c:pt idx="190">
                  <c:v>7.0314000000000002E-3</c:v>
                </c:pt>
                <c:pt idx="191">
                  <c:v>7.0892000000000004E-3</c:v>
                </c:pt>
                <c:pt idx="192">
                  <c:v>7.1431999999999997E-3</c:v>
                </c:pt>
                <c:pt idx="193">
                  <c:v>7.1989999999999997E-3</c:v>
                </c:pt>
                <c:pt idx="194">
                  <c:v>7.2548000000000005E-3</c:v>
                </c:pt>
                <c:pt idx="195">
                  <c:v>7.3106000000000004E-3</c:v>
                </c:pt>
                <c:pt idx="196">
                  <c:v>7.3663999999999995E-3</c:v>
                </c:pt>
                <c:pt idx="197">
                  <c:v>7.4224E-3</c:v>
                </c:pt>
                <c:pt idx="198">
                  <c:v>7.5060000000000005E-3</c:v>
                </c:pt>
                <c:pt idx="199">
                  <c:v>7.5897999999999998E-3</c:v>
                </c:pt>
                <c:pt idx="200">
                  <c:v>7.6698000000000001E-3</c:v>
                </c:pt>
                <c:pt idx="201">
                  <c:v>7.7554E-3</c:v>
                </c:pt>
                <c:pt idx="202">
                  <c:v>7.8391999999999993E-3</c:v>
                </c:pt>
                <c:pt idx="203">
                  <c:v>7.9229999999999995E-3</c:v>
                </c:pt>
                <c:pt idx="204">
                  <c:v>8.0047999999999994E-3</c:v>
                </c:pt>
                <c:pt idx="205">
                  <c:v>8.0867999999999999E-3</c:v>
                </c:pt>
                <c:pt idx="206">
                  <c:v>8.1703999999999995E-3</c:v>
                </c:pt>
                <c:pt idx="207">
                  <c:v>8.2562E-3</c:v>
                </c:pt>
                <c:pt idx="208">
                  <c:v>8.3398000000000014E-3</c:v>
                </c:pt>
                <c:pt idx="209">
                  <c:v>8.4218000000000001E-3</c:v>
                </c:pt>
                <c:pt idx="210">
                  <c:v>8.5056000000000003E-3</c:v>
                </c:pt>
                <c:pt idx="211">
                  <c:v>8.5874000000000002E-3</c:v>
                </c:pt>
                <c:pt idx="212">
                  <c:v>8.6730000000000002E-3</c:v>
                </c:pt>
                <c:pt idx="213">
                  <c:v>8.7548000000000001E-3</c:v>
                </c:pt>
                <c:pt idx="214">
                  <c:v>8.8386000000000003E-3</c:v>
                </c:pt>
                <c:pt idx="215">
                  <c:v>8.920599999999999E-3</c:v>
                </c:pt>
                <c:pt idx="216">
                  <c:v>9.0042000000000004E-3</c:v>
                </c:pt>
                <c:pt idx="217">
                  <c:v>9.0880000000000006E-3</c:v>
                </c:pt>
                <c:pt idx="218">
                  <c:v>9.1718000000000008E-3</c:v>
                </c:pt>
                <c:pt idx="219">
                  <c:v>9.255600000000001E-3</c:v>
                </c:pt>
                <c:pt idx="220">
                  <c:v>9.3393999999999994E-3</c:v>
                </c:pt>
                <c:pt idx="221">
                  <c:v>9.4211999999999994E-3</c:v>
                </c:pt>
                <c:pt idx="222">
                  <c:v>9.5049999999999996E-3</c:v>
                </c:pt>
                <c:pt idx="223">
                  <c:v>9.5886000000000009E-3</c:v>
                </c:pt>
                <c:pt idx="224">
                  <c:v>9.6705999999999997E-3</c:v>
                </c:pt>
                <c:pt idx="225">
                  <c:v>9.7543999999999999E-3</c:v>
                </c:pt>
                <c:pt idx="226">
                  <c:v>9.8361999999999998E-3</c:v>
                </c:pt>
                <c:pt idx="227">
                  <c:v>9.9217999999999997E-3</c:v>
                </c:pt>
                <c:pt idx="228">
                  <c:v>1.0005599999999998E-2</c:v>
                </c:pt>
                <c:pt idx="229">
                  <c:v>1.00894E-2</c:v>
                </c:pt>
                <c:pt idx="230">
                  <c:v>1.01712E-2</c:v>
                </c:pt>
                <c:pt idx="231">
                  <c:v>1.0255E-2</c:v>
                </c:pt>
                <c:pt idx="232">
                  <c:v>1.0338799999999999E-2</c:v>
                </c:pt>
                <c:pt idx="233">
                  <c:v>1.04224E-2</c:v>
                </c:pt>
                <c:pt idx="234">
                  <c:v>1.0504400000000001E-2</c:v>
                </c:pt>
                <c:pt idx="235">
                  <c:v>1.0588200000000001E-2</c:v>
                </c:pt>
                <c:pt idx="236">
                  <c:v>1.06718E-2</c:v>
                </c:pt>
                <c:pt idx="237">
                  <c:v>1.0753800000000001E-2</c:v>
                </c:pt>
                <c:pt idx="238">
                  <c:v>1.0839399999999999E-2</c:v>
                </c:pt>
                <c:pt idx="239">
                  <c:v>1.0949199999999999E-2</c:v>
                </c:pt>
                <c:pt idx="240">
                  <c:v>1.1032999999999999E-2</c:v>
                </c:pt>
                <c:pt idx="241">
                  <c:v>1.1144599999999999E-2</c:v>
                </c:pt>
                <c:pt idx="242">
                  <c:v>1.1256200000000001E-2</c:v>
                </c:pt>
                <c:pt idx="243">
                  <c:v>1.13662E-2</c:v>
                </c:pt>
                <c:pt idx="244">
                  <c:v>1.14778E-2</c:v>
                </c:pt>
                <c:pt idx="245">
                  <c:v>1.15876E-2</c:v>
                </c:pt>
                <c:pt idx="246">
                  <c:v>1.16974E-2</c:v>
                </c:pt>
                <c:pt idx="247">
                  <c:v>1.1809E-2</c:v>
                </c:pt>
                <c:pt idx="248">
                  <c:v>1.19226E-2</c:v>
                </c:pt>
                <c:pt idx="249">
                  <c:v>1.20324E-2</c:v>
                </c:pt>
                <c:pt idx="250">
                  <c:v>1.2143999999999999E-2</c:v>
                </c:pt>
                <c:pt idx="251">
                  <c:v>1.2255799999999999E-2</c:v>
                </c:pt>
                <c:pt idx="252">
                  <c:v>1.2365600000000001E-2</c:v>
                </c:pt>
                <c:pt idx="253">
                  <c:v>1.2477199999999999E-2</c:v>
                </c:pt>
                <c:pt idx="254">
                  <c:v>1.2588800000000001E-2</c:v>
                </c:pt>
                <c:pt idx="255">
                  <c:v>1.2700599999999999E-2</c:v>
                </c:pt>
                <c:pt idx="256">
                  <c:v>1.28104E-2</c:v>
                </c:pt>
                <c:pt idx="257">
                  <c:v>1.2921999999999999E-2</c:v>
                </c:pt>
                <c:pt idx="258">
                  <c:v>1.30338E-2</c:v>
                </c:pt>
                <c:pt idx="259">
                  <c:v>1.31436E-2</c:v>
                </c:pt>
                <c:pt idx="260">
                  <c:v>1.32534E-2</c:v>
                </c:pt>
                <c:pt idx="261">
                  <c:v>1.3365E-2</c:v>
                </c:pt>
                <c:pt idx="262">
                  <c:v>1.34766E-2</c:v>
                </c:pt>
                <c:pt idx="263">
                  <c:v>1.35884E-2</c:v>
                </c:pt>
                <c:pt idx="264">
                  <c:v>1.3698200000000001E-2</c:v>
                </c:pt>
                <c:pt idx="265">
                  <c:v>1.38116E-2</c:v>
                </c:pt>
                <c:pt idx="266">
                  <c:v>1.3923399999999999E-2</c:v>
                </c:pt>
                <c:pt idx="267">
                  <c:v>1.4033199999999999E-2</c:v>
                </c:pt>
                <c:pt idx="268">
                  <c:v>1.4144799999999999E-2</c:v>
                </c:pt>
                <c:pt idx="269">
                  <c:v>1.4254599999999999E-2</c:v>
                </c:pt>
                <c:pt idx="270">
                  <c:v>1.4366200000000001E-2</c:v>
                </c:pt>
                <c:pt idx="271">
                  <c:v>1.4504E-2</c:v>
                </c:pt>
                <c:pt idx="272">
                  <c:v>1.4615599999999999E-2</c:v>
                </c:pt>
                <c:pt idx="273">
                  <c:v>1.47552E-2</c:v>
                </c:pt>
                <c:pt idx="274">
                  <c:v>1.48948E-2</c:v>
                </c:pt>
                <c:pt idx="275">
                  <c:v>1.50326E-2</c:v>
                </c:pt>
                <c:pt idx="276">
                  <c:v>1.51722E-2</c:v>
                </c:pt>
                <c:pt idx="277">
                  <c:v>1.5309999999999999E-2</c:v>
                </c:pt>
                <c:pt idx="278">
                  <c:v>1.54494E-2</c:v>
                </c:pt>
                <c:pt idx="279">
                  <c:v>1.5588999999999999E-2</c:v>
                </c:pt>
                <c:pt idx="280">
                  <c:v>1.5726799999999999E-2</c:v>
                </c:pt>
                <c:pt idx="281">
                  <c:v>1.5866399999999999E-2</c:v>
                </c:pt>
                <c:pt idx="282">
                  <c:v>1.6005999999999999E-2</c:v>
                </c:pt>
                <c:pt idx="283">
                  <c:v>1.61438E-2</c:v>
                </c:pt>
                <c:pt idx="284">
                  <c:v>1.6283200000000001E-2</c:v>
                </c:pt>
                <c:pt idx="285">
                  <c:v>1.6422800000000001E-2</c:v>
                </c:pt>
                <c:pt idx="286">
                  <c:v>1.6560600000000002E-2</c:v>
                </c:pt>
                <c:pt idx="287">
                  <c:v>1.6700200000000002E-2</c:v>
                </c:pt>
                <c:pt idx="288">
                  <c:v>1.6839800000000002E-2</c:v>
                </c:pt>
                <c:pt idx="289">
                  <c:v>1.69756E-2</c:v>
                </c:pt>
                <c:pt idx="290">
                  <c:v>1.7115200000000001E-2</c:v>
                </c:pt>
                <c:pt idx="291">
                  <c:v>1.7254800000000001E-2</c:v>
                </c:pt>
                <c:pt idx="292">
                  <c:v>1.7392600000000001E-2</c:v>
                </c:pt>
                <c:pt idx="293">
                  <c:v>1.7534000000000001E-2</c:v>
                </c:pt>
                <c:pt idx="294">
                  <c:v>1.7671800000000001E-2</c:v>
                </c:pt>
                <c:pt idx="295">
                  <c:v>1.7811399999999998E-2</c:v>
                </c:pt>
                <c:pt idx="296">
                  <c:v>1.7949E-2</c:v>
                </c:pt>
                <c:pt idx="297">
                  <c:v>1.80886E-2</c:v>
                </c:pt>
                <c:pt idx="298">
                  <c:v>1.82562E-2</c:v>
                </c:pt>
                <c:pt idx="299">
                  <c:v>1.8421799999999999E-2</c:v>
                </c:pt>
                <c:pt idx="300">
                  <c:v>1.85892E-2</c:v>
                </c:pt>
                <c:pt idx="301">
                  <c:v>1.8755000000000001E-2</c:v>
                </c:pt>
                <c:pt idx="302">
                  <c:v>1.8922399999999999E-2</c:v>
                </c:pt>
                <c:pt idx="303">
                  <c:v>1.9089999999999999E-2</c:v>
                </c:pt>
                <c:pt idx="304">
                  <c:v>1.9253599999999999E-2</c:v>
                </c:pt>
                <c:pt idx="305">
                  <c:v>1.9422999999999999E-2</c:v>
                </c:pt>
                <c:pt idx="306">
                  <c:v>1.95888E-2</c:v>
                </c:pt>
                <c:pt idx="307">
                  <c:v>1.9754400000000002E-2</c:v>
                </c:pt>
                <c:pt idx="308">
                  <c:v>1.99218E-2</c:v>
                </c:pt>
                <c:pt idx="309">
                  <c:v>2.0087999999999998E-2</c:v>
                </c:pt>
                <c:pt idx="310">
                  <c:v>2.0256E-2</c:v>
                </c:pt>
                <c:pt idx="311">
                  <c:v>2.0421999999999999E-2</c:v>
                </c:pt>
                <c:pt idx="312">
                  <c:v>2.0588000000000002E-2</c:v>
                </c:pt>
                <c:pt idx="313">
                  <c:v>2.0756E-2</c:v>
                </c:pt>
                <c:pt idx="314">
                  <c:v>2.0922E-2</c:v>
                </c:pt>
                <c:pt idx="315">
                  <c:v>2.1087999999999999E-2</c:v>
                </c:pt>
                <c:pt idx="316">
                  <c:v>2.1256000000000001E-2</c:v>
                </c:pt>
                <c:pt idx="317">
                  <c:v>2.1422E-2</c:v>
                </c:pt>
                <c:pt idx="318">
                  <c:v>2.1589999999999998E-2</c:v>
                </c:pt>
                <c:pt idx="319">
                  <c:v>2.1783999999999998E-2</c:v>
                </c:pt>
                <c:pt idx="320">
                  <c:v>2.1978000000000001E-2</c:v>
                </c:pt>
                <c:pt idx="321">
                  <c:v>2.2172000000000001E-2</c:v>
                </c:pt>
                <c:pt idx="322">
                  <c:v>2.2368000000000002E-2</c:v>
                </c:pt>
                <c:pt idx="323">
                  <c:v>2.2559999999999997E-2</c:v>
                </c:pt>
                <c:pt idx="324">
                  <c:v>2.2754E-2</c:v>
                </c:pt>
                <c:pt idx="325">
                  <c:v>2.2949999999999998E-2</c:v>
                </c:pt>
                <c:pt idx="326">
                  <c:v>2.3144000000000001E-2</c:v>
                </c:pt>
                <c:pt idx="327">
                  <c:v>2.3338000000000001E-2</c:v>
                </c:pt>
                <c:pt idx="328">
                  <c:v>2.3532000000000001E-2</c:v>
                </c:pt>
                <c:pt idx="329">
                  <c:v>2.3727999999999999E-2</c:v>
                </c:pt>
                <c:pt idx="330">
                  <c:v>2.3921999999999999E-2</c:v>
                </c:pt>
                <c:pt idx="331">
                  <c:v>2.4115999999999999E-2</c:v>
                </c:pt>
                <c:pt idx="332">
                  <c:v>2.4310000000000002E-2</c:v>
                </c:pt>
                <c:pt idx="333">
                  <c:v>2.4504000000000001E-2</c:v>
                </c:pt>
                <c:pt idx="334">
                  <c:v>2.4700000000000003E-2</c:v>
                </c:pt>
                <c:pt idx="335">
                  <c:v>2.4893999999999999E-2</c:v>
                </c:pt>
                <c:pt idx="336">
                  <c:v>2.5089999999999998E-2</c:v>
                </c:pt>
                <c:pt idx="337">
                  <c:v>2.5312000000000001E-2</c:v>
                </c:pt>
                <c:pt idx="338">
                  <c:v>2.5533999999999998E-2</c:v>
                </c:pt>
                <c:pt idx="339">
                  <c:v>2.5754000000000003E-2</c:v>
                </c:pt>
                <c:pt idx="340">
                  <c:v>2.5975999999999999E-2</c:v>
                </c:pt>
                <c:pt idx="341">
                  <c:v>2.6200000000000001E-2</c:v>
                </c:pt>
                <c:pt idx="342">
                  <c:v>2.6421999999999998E-2</c:v>
                </c:pt>
                <c:pt idx="343">
                  <c:v>2.6644000000000001E-2</c:v>
                </c:pt>
                <c:pt idx="344">
                  <c:v>2.6865999999999998E-2</c:v>
                </c:pt>
                <c:pt idx="345">
                  <c:v>2.7089999999999999E-2</c:v>
                </c:pt>
                <c:pt idx="346">
                  <c:v>2.7307999999999999E-2</c:v>
                </c:pt>
                <c:pt idx="347">
                  <c:v>2.7532000000000001E-2</c:v>
                </c:pt>
                <c:pt idx="348">
                  <c:v>2.7755999999999999E-2</c:v>
                </c:pt>
                <c:pt idx="349">
                  <c:v>2.7976000000000001E-2</c:v>
                </c:pt>
                <c:pt idx="350">
                  <c:v>2.8199999999999999E-2</c:v>
                </c:pt>
                <c:pt idx="351">
                  <c:v>2.8421999999999999E-2</c:v>
                </c:pt>
                <c:pt idx="352">
                  <c:v>2.8643999999999999E-2</c:v>
                </c:pt>
                <c:pt idx="353">
                  <c:v>2.8865999999999999E-2</c:v>
                </c:pt>
                <c:pt idx="354">
                  <c:v>2.9087999999999999E-2</c:v>
                </c:pt>
                <c:pt idx="355">
                  <c:v>2.9340000000000001E-2</c:v>
                </c:pt>
                <c:pt idx="356">
                  <c:v>2.9586000000000001E-2</c:v>
                </c:pt>
                <c:pt idx="357">
                  <c:v>2.9838E-2</c:v>
                </c:pt>
                <c:pt idx="358">
                  <c:v>3.0089999999999999E-2</c:v>
                </c:pt>
                <c:pt idx="359">
                  <c:v>3.0308000000000002E-2</c:v>
                </c:pt>
                <c:pt idx="360">
                  <c:v>3.0532E-2</c:v>
                </c:pt>
                <c:pt idx="361">
                  <c:v>3.0699999999999998E-2</c:v>
                </c:pt>
                <c:pt idx="362">
                  <c:v>3.0896E-2</c:v>
                </c:pt>
                <c:pt idx="363">
                  <c:v>3.1116000000000001E-2</c:v>
                </c:pt>
                <c:pt idx="364">
                  <c:v>3.1337999999999998E-2</c:v>
                </c:pt>
                <c:pt idx="365">
                  <c:v>3.1560000000000005E-2</c:v>
                </c:pt>
                <c:pt idx="366">
                  <c:v>3.1756E-2</c:v>
                </c:pt>
                <c:pt idx="367">
                  <c:v>3.1921999999999999E-2</c:v>
                </c:pt>
                <c:pt idx="368">
                  <c:v>3.2087999999999998E-2</c:v>
                </c:pt>
                <c:pt idx="369">
                  <c:v>3.2256E-2</c:v>
                </c:pt>
                <c:pt idx="370">
                  <c:v>3.2421999999999999E-2</c:v>
                </c:pt>
                <c:pt idx="371">
                  <c:v>3.2559999999999999E-2</c:v>
                </c:pt>
                <c:pt idx="372">
                  <c:v>3.2697999999999998E-2</c:v>
                </c:pt>
                <c:pt idx="373">
                  <c:v>3.2865999999999999E-2</c:v>
                </c:pt>
                <c:pt idx="374">
                  <c:v>3.3003999999999999E-2</c:v>
                </c:pt>
                <c:pt idx="375">
                  <c:v>3.3144E-2</c:v>
                </c:pt>
                <c:pt idx="376">
                  <c:v>3.3284000000000001E-2</c:v>
                </c:pt>
                <c:pt idx="377">
                  <c:v>3.3419999999999998E-2</c:v>
                </c:pt>
                <c:pt idx="378">
                  <c:v>3.3531999999999999E-2</c:v>
                </c:pt>
                <c:pt idx="379">
                  <c:v>3.3672000000000001E-2</c:v>
                </c:pt>
                <c:pt idx="380">
                  <c:v>3.3812000000000002E-2</c:v>
                </c:pt>
                <c:pt idx="381">
                  <c:v>3.3922000000000001E-2</c:v>
                </c:pt>
                <c:pt idx="382">
                  <c:v>3.4062000000000002E-2</c:v>
                </c:pt>
                <c:pt idx="383">
                  <c:v>3.4169999999999999E-2</c:v>
                </c:pt>
                <c:pt idx="384">
                  <c:v>3.431E-2</c:v>
                </c:pt>
                <c:pt idx="385">
                  <c:v>3.4422000000000001E-2</c:v>
                </c:pt>
                <c:pt idx="386">
                  <c:v>3.4533999999999995E-2</c:v>
                </c:pt>
                <c:pt idx="387">
                  <c:v>3.4644000000000001E-2</c:v>
                </c:pt>
                <c:pt idx="388">
                  <c:v>3.4754E-2</c:v>
                </c:pt>
                <c:pt idx="389">
                  <c:v>3.4894000000000001E-2</c:v>
                </c:pt>
                <c:pt idx="390">
                  <c:v>3.5004E-2</c:v>
                </c:pt>
                <c:pt idx="391">
                  <c:v>3.5116000000000001E-2</c:v>
                </c:pt>
                <c:pt idx="392">
                  <c:v>3.5228000000000002E-2</c:v>
                </c:pt>
                <c:pt idx="393">
                  <c:v>3.5339999999999996E-2</c:v>
                </c:pt>
                <c:pt idx="394">
                  <c:v>3.5451999999999997E-2</c:v>
                </c:pt>
                <c:pt idx="395">
                  <c:v>3.5562000000000003E-2</c:v>
                </c:pt>
                <c:pt idx="396">
                  <c:v>3.567E-2</c:v>
                </c:pt>
                <c:pt idx="397">
                  <c:v>3.5810000000000002E-2</c:v>
                </c:pt>
                <c:pt idx="398">
                  <c:v>3.5922000000000003E-2</c:v>
                </c:pt>
                <c:pt idx="399">
                  <c:v>3.6004000000000001E-2</c:v>
                </c:pt>
                <c:pt idx="400">
                  <c:v>3.6143999999999996E-2</c:v>
                </c:pt>
                <c:pt idx="401">
                  <c:v>3.6255999999999997E-2</c:v>
                </c:pt>
                <c:pt idx="402">
                  <c:v>3.6367999999999998E-2</c:v>
                </c:pt>
                <c:pt idx="403">
                  <c:v>3.6478000000000003E-2</c:v>
                </c:pt>
                <c:pt idx="404">
                  <c:v>3.6587999999999996E-2</c:v>
                </c:pt>
                <c:pt idx="405">
                  <c:v>3.6698000000000001E-2</c:v>
                </c:pt>
                <c:pt idx="406">
                  <c:v>3.6810000000000002E-2</c:v>
                </c:pt>
                <c:pt idx="407">
                  <c:v>3.6922000000000003E-2</c:v>
                </c:pt>
                <c:pt idx="408">
                  <c:v>3.7031999999999995E-2</c:v>
                </c:pt>
                <c:pt idx="409">
                  <c:v>3.7143999999999996E-2</c:v>
                </c:pt>
                <c:pt idx="410">
                  <c:v>3.7282000000000003E-2</c:v>
                </c:pt>
                <c:pt idx="411">
                  <c:v>3.7393999999999997E-2</c:v>
                </c:pt>
                <c:pt idx="412">
                  <c:v>3.7505999999999998E-2</c:v>
                </c:pt>
                <c:pt idx="413">
                  <c:v>3.7616000000000004E-2</c:v>
                </c:pt>
                <c:pt idx="414">
                  <c:v>3.7728000000000005E-2</c:v>
                </c:pt>
                <c:pt idx="415">
                  <c:v>3.7839999999999999E-2</c:v>
                </c:pt>
                <c:pt idx="416">
                  <c:v>3.7949999999999998E-2</c:v>
                </c:pt>
                <c:pt idx="417">
                  <c:v>3.8058000000000002E-2</c:v>
                </c:pt>
                <c:pt idx="418">
                  <c:v>3.8170000000000003E-2</c:v>
                </c:pt>
                <c:pt idx="419">
                  <c:v>3.8255999999999998E-2</c:v>
                </c:pt>
                <c:pt idx="420">
                  <c:v>3.8365999999999997E-2</c:v>
                </c:pt>
                <c:pt idx="421">
                  <c:v>3.8475999999999996E-2</c:v>
                </c:pt>
                <c:pt idx="422">
                  <c:v>3.8587999999999997E-2</c:v>
                </c:pt>
                <c:pt idx="423">
                  <c:v>3.8671999999999998E-2</c:v>
                </c:pt>
                <c:pt idx="424">
                  <c:v>3.8782000000000004E-2</c:v>
                </c:pt>
                <c:pt idx="425">
                  <c:v>3.8865999999999998E-2</c:v>
                </c:pt>
                <c:pt idx="426">
                  <c:v>3.8976000000000004E-2</c:v>
                </c:pt>
                <c:pt idx="427">
                  <c:v>3.9061999999999999E-2</c:v>
                </c:pt>
                <c:pt idx="428">
                  <c:v>3.9171999999999998E-2</c:v>
                </c:pt>
                <c:pt idx="429">
                  <c:v>3.9283999999999999E-2</c:v>
                </c:pt>
                <c:pt idx="430">
                  <c:v>3.9368E-2</c:v>
                </c:pt>
                <c:pt idx="431">
                  <c:v>3.9449999999999999E-2</c:v>
                </c:pt>
                <c:pt idx="432">
                  <c:v>3.9559999999999998E-2</c:v>
                </c:pt>
                <c:pt idx="433">
                  <c:v>3.9643999999999999E-2</c:v>
                </c:pt>
                <c:pt idx="434">
                  <c:v>3.9725999999999997E-2</c:v>
                </c:pt>
                <c:pt idx="435">
                  <c:v>3.9837999999999998E-2</c:v>
                </c:pt>
                <c:pt idx="436">
                  <c:v>3.9919999999999997E-2</c:v>
                </c:pt>
                <c:pt idx="437">
                  <c:v>4.0006000000000007E-2</c:v>
                </c:pt>
                <c:pt idx="438">
                  <c:v>4.0090000000000001E-2</c:v>
                </c:pt>
                <c:pt idx="439">
                  <c:v>4.0199999999999993E-2</c:v>
                </c:pt>
                <c:pt idx="440">
                  <c:v>4.0309999999999999E-2</c:v>
                </c:pt>
                <c:pt idx="441">
                  <c:v>4.0419999999999998E-2</c:v>
                </c:pt>
                <c:pt idx="442">
                  <c:v>4.0532000000000006E-2</c:v>
                </c:pt>
                <c:pt idx="443">
                  <c:v>4.0616000000000006E-2</c:v>
                </c:pt>
                <c:pt idx="444">
                  <c:v>4.07E-2</c:v>
                </c:pt>
                <c:pt idx="445">
                  <c:v>4.0784000000000001E-2</c:v>
                </c:pt>
                <c:pt idx="446">
                  <c:v>4.0866E-2</c:v>
                </c:pt>
                <c:pt idx="447">
                  <c:v>4.095E-2</c:v>
                </c:pt>
                <c:pt idx="448">
                  <c:v>4.1031999999999999E-2</c:v>
                </c:pt>
                <c:pt idx="449">
                  <c:v>4.1116E-2</c:v>
                </c:pt>
                <c:pt idx="450">
                  <c:v>4.1197999999999999E-2</c:v>
                </c:pt>
                <c:pt idx="451">
                  <c:v>4.1281999999999999E-2</c:v>
                </c:pt>
                <c:pt idx="452">
                  <c:v>4.1365999999999993E-2</c:v>
                </c:pt>
                <c:pt idx="453">
                  <c:v>4.1449999999999994E-2</c:v>
                </c:pt>
                <c:pt idx="454">
                  <c:v>4.1534000000000001E-2</c:v>
                </c:pt>
                <c:pt idx="455">
                  <c:v>4.1616E-2</c:v>
                </c:pt>
                <c:pt idx="456">
                  <c:v>4.1700000000000001E-2</c:v>
                </c:pt>
                <c:pt idx="457">
                  <c:v>4.1782000000000007E-2</c:v>
                </c:pt>
                <c:pt idx="458">
                  <c:v>4.1866E-2</c:v>
                </c:pt>
                <c:pt idx="459">
                  <c:v>4.1950000000000001E-2</c:v>
                </c:pt>
                <c:pt idx="460">
                  <c:v>4.2034000000000002E-2</c:v>
                </c:pt>
                <c:pt idx="461">
                  <c:v>4.2116000000000001E-2</c:v>
                </c:pt>
                <c:pt idx="462">
                  <c:v>4.2197999999999999E-2</c:v>
                </c:pt>
                <c:pt idx="463">
                  <c:v>4.2282E-2</c:v>
                </c:pt>
                <c:pt idx="464">
                  <c:v>4.2366000000000001E-2</c:v>
                </c:pt>
                <c:pt idx="465">
                  <c:v>4.2450000000000002E-2</c:v>
                </c:pt>
                <c:pt idx="466">
                  <c:v>4.2534000000000002E-2</c:v>
                </c:pt>
                <c:pt idx="467">
                  <c:v>4.2613999999999999E-2</c:v>
                </c:pt>
                <c:pt idx="468">
                  <c:v>4.2698E-2</c:v>
                </c:pt>
                <c:pt idx="469">
                  <c:v>4.2784000000000003E-2</c:v>
                </c:pt>
                <c:pt idx="470">
                  <c:v>4.2866000000000001E-2</c:v>
                </c:pt>
                <c:pt idx="471">
                  <c:v>4.2950000000000002E-2</c:v>
                </c:pt>
                <c:pt idx="472">
                  <c:v>4.3032000000000001E-2</c:v>
                </c:pt>
                <c:pt idx="473">
                  <c:v>4.3116000000000002E-2</c:v>
                </c:pt>
                <c:pt idx="474">
                  <c:v>4.3171999999999995E-2</c:v>
                </c:pt>
                <c:pt idx="475">
                  <c:v>4.3255999999999996E-2</c:v>
                </c:pt>
                <c:pt idx="476">
                  <c:v>4.3338000000000002E-2</c:v>
                </c:pt>
                <c:pt idx="477">
                  <c:v>4.3422000000000002E-2</c:v>
                </c:pt>
                <c:pt idx="478">
                  <c:v>4.3503999999999994E-2</c:v>
                </c:pt>
                <c:pt idx="479">
                  <c:v>4.3587999999999995E-2</c:v>
                </c:pt>
                <c:pt idx="480">
                  <c:v>4.3672000000000002E-2</c:v>
                </c:pt>
                <c:pt idx="481">
                  <c:v>4.3754000000000001E-2</c:v>
                </c:pt>
                <c:pt idx="482">
                  <c:v>4.3811999999999997E-2</c:v>
                </c:pt>
                <c:pt idx="483">
                  <c:v>4.3895999999999998E-2</c:v>
                </c:pt>
                <c:pt idx="484">
                  <c:v>4.3978000000000003E-2</c:v>
                </c:pt>
                <c:pt idx="485">
                  <c:v>4.4059999999999995E-2</c:v>
                </c:pt>
                <c:pt idx="486">
                  <c:v>4.4142000000000001E-2</c:v>
                </c:pt>
                <c:pt idx="487">
                  <c:v>4.4226000000000001E-2</c:v>
                </c:pt>
                <c:pt idx="488">
                  <c:v>4.4310000000000002E-2</c:v>
                </c:pt>
                <c:pt idx="489">
                  <c:v>4.4394000000000003E-2</c:v>
                </c:pt>
                <c:pt idx="490">
                  <c:v>4.4450000000000003E-2</c:v>
                </c:pt>
                <c:pt idx="491">
                  <c:v>4.4534000000000004E-2</c:v>
                </c:pt>
                <c:pt idx="492">
                  <c:v>4.4618000000000005E-2</c:v>
                </c:pt>
                <c:pt idx="493">
                  <c:v>4.4699999999999997E-2</c:v>
                </c:pt>
                <c:pt idx="494">
                  <c:v>4.4755999999999997E-2</c:v>
                </c:pt>
                <c:pt idx="495">
                  <c:v>4.4839999999999998E-2</c:v>
                </c:pt>
                <c:pt idx="496">
                  <c:v>4.4922000000000004E-2</c:v>
                </c:pt>
                <c:pt idx="497">
                  <c:v>4.4977999999999997E-2</c:v>
                </c:pt>
                <c:pt idx="498">
                  <c:v>4.5060000000000003E-2</c:v>
                </c:pt>
                <c:pt idx="499">
                  <c:v>4.5144000000000004E-2</c:v>
                </c:pt>
                <c:pt idx="500">
                  <c:v>4.5228000000000004E-2</c:v>
                </c:pt>
                <c:pt idx="501">
                  <c:v>4.5282000000000003E-2</c:v>
                </c:pt>
                <c:pt idx="502">
                  <c:v>4.5365999999999997E-2</c:v>
                </c:pt>
                <c:pt idx="503">
                  <c:v>4.5422000000000004E-2</c:v>
                </c:pt>
                <c:pt idx="504">
                  <c:v>4.5503999999999996E-2</c:v>
                </c:pt>
                <c:pt idx="505">
                  <c:v>4.5589999999999999E-2</c:v>
                </c:pt>
                <c:pt idx="506">
                  <c:v>4.5643999999999997E-2</c:v>
                </c:pt>
                <c:pt idx="507">
                  <c:v>4.5755999999999998E-2</c:v>
                </c:pt>
                <c:pt idx="508">
                  <c:v>4.5865999999999997E-2</c:v>
                </c:pt>
                <c:pt idx="509">
                  <c:v>4.5949999999999998E-2</c:v>
                </c:pt>
                <c:pt idx="510">
                  <c:v>4.6062000000000006E-2</c:v>
                </c:pt>
                <c:pt idx="511">
                  <c:v>4.6143999999999998E-2</c:v>
                </c:pt>
                <c:pt idx="512">
                  <c:v>4.6256000000000005E-2</c:v>
                </c:pt>
                <c:pt idx="513">
                  <c:v>4.6367999999999999E-2</c:v>
                </c:pt>
                <c:pt idx="514">
                  <c:v>4.6448000000000003E-2</c:v>
                </c:pt>
                <c:pt idx="515">
                  <c:v>4.6559999999999997E-2</c:v>
                </c:pt>
                <c:pt idx="516">
                  <c:v>4.6643999999999998E-2</c:v>
                </c:pt>
                <c:pt idx="517">
                  <c:v>4.6753999999999997E-2</c:v>
                </c:pt>
                <c:pt idx="518">
                  <c:v>4.6837999999999998E-2</c:v>
                </c:pt>
                <c:pt idx="519">
                  <c:v>4.6950000000000006E-2</c:v>
                </c:pt>
                <c:pt idx="520">
                  <c:v>4.7060000000000005E-2</c:v>
                </c:pt>
                <c:pt idx="521">
                  <c:v>4.7144000000000005E-2</c:v>
                </c:pt>
                <c:pt idx="522">
                  <c:v>4.7253999999999997E-2</c:v>
                </c:pt>
                <c:pt idx="523">
                  <c:v>4.7337999999999998E-2</c:v>
                </c:pt>
                <c:pt idx="524">
                  <c:v>4.7449999999999999E-2</c:v>
                </c:pt>
                <c:pt idx="525">
                  <c:v>4.7534E-2</c:v>
                </c:pt>
                <c:pt idx="526">
                  <c:v>4.7645999999999994E-2</c:v>
                </c:pt>
                <c:pt idx="527">
                  <c:v>4.7728E-2</c:v>
                </c:pt>
                <c:pt idx="528">
                  <c:v>4.7838000000000006E-2</c:v>
                </c:pt>
                <c:pt idx="529">
                  <c:v>4.7923999999999994E-2</c:v>
                </c:pt>
                <c:pt idx="530">
                  <c:v>4.8032000000000005E-2</c:v>
                </c:pt>
                <c:pt idx="531">
                  <c:v>4.8116000000000006E-2</c:v>
                </c:pt>
                <c:pt idx="532">
                  <c:v>4.8197999999999998E-2</c:v>
                </c:pt>
                <c:pt idx="533">
                  <c:v>4.8281999999999999E-2</c:v>
                </c:pt>
                <c:pt idx="534">
                  <c:v>4.8394000000000006E-2</c:v>
                </c:pt>
                <c:pt idx="535">
                  <c:v>4.8478E-2</c:v>
                </c:pt>
                <c:pt idx="536">
                  <c:v>4.8562000000000001E-2</c:v>
                </c:pt>
                <c:pt idx="537">
                  <c:v>4.8674000000000002E-2</c:v>
                </c:pt>
                <c:pt idx="538">
                  <c:v>4.8753999999999999E-2</c:v>
                </c:pt>
                <c:pt idx="539">
                  <c:v>4.8837999999999999E-2</c:v>
                </c:pt>
                <c:pt idx="540">
                  <c:v>4.8920000000000005E-2</c:v>
                </c:pt>
                <c:pt idx="541">
                  <c:v>4.9031999999999999E-2</c:v>
                </c:pt>
                <c:pt idx="542">
                  <c:v>4.9116E-2</c:v>
                </c:pt>
                <c:pt idx="543">
                  <c:v>4.9200000000000001E-2</c:v>
                </c:pt>
                <c:pt idx="544">
                  <c:v>4.9284000000000001E-2</c:v>
                </c:pt>
                <c:pt idx="545">
                  <c:v>4.9367999999999995E-2</c:v>
                </c:pt>
                <c:pt idx="546">
                  <c:v>4.9450000000000001E-2</c:v>
                </c:pt>
                <c:pt idx="547">
                  <c:v>4.9557999999999998E-2</c:v>
                </c:pt>
                <c:pt idx="548">
                  <c:v>4.9669999999999999E-2</c:v>
                </c:pt>
                <c:pt idx="549">
                  <c:v>4.9782E-2</c:v>
                </c:pt>
                <c:pt idx="550">
                  <c:v>4.9894000000000001E-2</c:v>
                </c:pt>
                <c:pt idx="551">
                  <c:v>5.0004E-2</c:v>
                </c:pt>
                <c:pt idx="552">
                  <c:v>5.0118000000000003E-2</c:v>
                </c:pt>
                <c:pt idx="553">
                  <c:v>5.0228000000000002E-2</c:v>
                </c:pt>
                <c:pt idx="554">
                  <c:v>5.0338000000000001E-2</c:v>
                </c:pt>
                <c:pt idx="555">
                  <c:v>5.0450000000000002E-2</c:v>
                </c:pt>
                <c:pt idx="556">
                  <c:v>5.0560000000000001E-2</c:v>
                </c:pt>
                <c:pt idx="557">
                  <c:v>5.067E-2</c:v>
                </c:pt>
                <c:pt idx="558">
                  <c:v>5.0782000000000001E-2</c:v>
                </c:pt>
                <c:pt idx="559">
                  <c:v>5.0894000000000002E-2</c:v>
                </c:pt>
                <c:pt idx="560">
                  <c:v>5.1006000000000003E-2</c:v>
                </c:pt>
                <c:pt idx="561">
                  <c:v>5.1116000000000002E-2</c:v>
                </c:pt>
                <c:pt idx="562">
                  <c:v>5.1226000000000001E-2</c:v>
                </c:pt>
                <c:pt idx="563">
                  <c:v>5.1338000000000002E-2</c:v>
                </c:pt>
                <c:pt idx="564">
                  <c:v>5.1449999999999996E-2</c:v>
                </c:pt>
                <c:pt idx="565">
                  <c:v>5.1559999999999995E-2</c:v>
                </c:pt>
                <c:pt idx="566">
                  <c:v>5.1672000000000003E-2</c:v>
                </c:pt>
                <c:pt idx="567">
                  <c:v>5.1783999999999997E-2</c:v>
                </c:pt>
                <c:pt idx="568">
                  <c:v>5.1891999999999994E-2</c:v>
                </c:pt>
                <c:pt idx="569">
                  <c:v>5.2004000000000002E-2</c:v>
                </c:pt>
                <c:pt idx="570">
                  <c:v>5.2115999999999996E-2</c:v>
                </c:pt>
                <c:pt idx="571">
                  <c:v>5.2226000000000002E-2</c:v>
                </c:pt>
                <c:pt idx="572">
                  <c:v>5.2337999999999996E-2</c:v>
                </c:pt>
                <c:pt idx="573">
                  <c:v>5.2450000000000004E-2</c:v>
                </c:pt>
                <c:pt idx="574">
                  <c:v>5.2561999999999998E-2</c:v>
                </c:pt>
                <c:pt idx="575">
                  <c:v>5.2671999999999997E-2</c:v>
                </c:pt>
                <c:pt idx="576">
                  <c:v>5.2782000000000003E-2</c:v>
                </c:pt>
                <c:pt idx="577">
                  <c:v>5.2922000000000004E-2</c:v>
                </c:pt>
                <c:pt idx="578">
                  <c:v>5.3060000000000003E-2</c:v>
                </c:pt>
                <c:pt idx="579">
                  <c:v>5.3200000000000004E-2</c:v>
                </c:pt>
                <c:pt idx="580">
                  <c:v>5.3338000000000003E-2</c:v>
                </c:pt>
                <c:pt idx="581">
                  <c:v>5.3448000000000002E-2</c:v>
                </c:pt>
                <c:pt idx="582">
                  <c:v>5.3559999999999997E-2</c:v>
                </c:pt>
                <c:pt idx="583">
                  <c:v>5.3697999999999996E-2</c:v>
                </c:pt>
                <c:pt idx="584">
                  <c:v>5.3840000000000006E-2</c:v>
                </c:pt>
                <c:pt idx="585">
                  <c:v>5.3952E-2</c:v>
                </c:pt>
                <c:pt idx="586">
                  <c:v>5.4061999999999999E-2</c:v>
                </c:pt>
                <c:pt idx="587">
                  <c:v>5.4169999999999996E-2</c:v>
                </c:pt>
                <c:pt idx="588">
                  <c:v>5.4309999999999997E-2</c:v>
                </c:pt>
                <c:pt idx="589">
                  <c:v>5.4421999999999998E-2</c:v>
                </c:pt>
                <c:pt idx="590">
                  <c:v>5.4531999999999997E-2</c:v>
                </c:pt>
                <c:pt idx="591">
                  <c:v>5.4644000000000005E-2</c:v>
                </c:pt>
                <c:pt idx="592">
                  <c:v>5.4755999999999999E-2</c:v>
                </c:pt>
                <c:pt idx="593">
                  <c:v>5.4865999999999998E-2</c:v>
                </c:pt>
                <c:pt idx="594">
                  <c:v>5.4977999999999999E-2</c:v>
                </c:pt>
                <c:pt idx="595">
                  <c:v>5.5087999999999998E-2</c:v>
                </c:pt>
                <c:pt idx="596">
                  <c:v>5.5199999999999999E-2</c:v>
                </c:pt>
                <c:pt idx="597">
                  <c:v>5.5309999999999998E-2</c:v>
                </c:pt>
                <c:pt idx="598">
                  <c:v>5.5421999999999999E-2</c:v>
                </c:pt>
                <c:pt idx="599">
                  <c:v>5.5532000000000005E-2</c:v>
                </c:pt>
                <c:pt idx="600">
                  <c:v>5.5643999999999999E-2</c:v>
                </c:pt>
                <c:pt idx="601">
                  <c:v>5.5784E-2</c:v>
                </c:pt>
                <c:pt idx="602">
                  <c:v>5.5921999999999999E-2</c:v>
                </c:pt>
                <c:pt idx="603">
                  <c:v>5.6059999999999999E-2</c:v>
                </c:pt>
                <c:pt idx="604">
                  <c:v>5.62E-2</c:v>
                </c:pt>
                <c:pt idx="605">
                  <c:v>5.6340000000000001E-2</c:v>
                </c:pt>
                <c:pt idx="606">
                  <c:v>5.6475999999999998E-2</c:v>
                </c:pt>
                <c:pt idx="607">
                  <c:v>5.6616E-2</c:v>
                </c:pt>
                <c:pt idx="608">
                  <c:v>5.6756000000000001E-2</c:v>
                </c:pt>
                <c:pt idx="609">
                  <c:v>5.6894E-2</c:v>
                </c:pt>
                <c:pt idx="610">
                  <c:v>5.7003999999999999E-2</c:v>
                </c:pt>
                <c:pt idx="611">
                  <c:v>5.7144E-2</c:v>
                </c:pt>
                <c:pt idx="612">
                  <c:v>5.7253999999999999E-2</c:v>
                </c:pt>
                <c:pt idx="613">
                  <c:v>5.7392000000000006E-2</c:v>
                </c:pt>
                <c:pt idx="614">
                  <c:v>5.7534000000000002E-2</c:v>
                </c:pt>
                <c:pt idx="615">
                  <c:v>5.7674000000000003E-2</c:v>
                </c:pt>
                <c:pt idx="616">
                  <c:v>5.781E-2</c:v>
                </c:pt>
                <c:pt idx="617">
                  <c:v>5.7950000000000002E-2</c:v>
                </c:pt>
                <c:pt idx="618">
                  <c:v>5.8088000000000001E-2</c:v>
                </c:pt>
                <c:pt idx="619">
                  <c:v>5.8226000000000007E-2</c:v>
                </c:pt>
                <c:pt idx="620">
                  <c:v>5.8366000000000001E-2</c:v>
                </c:pt>
                <c:pt idx="621">
                  <c:v>5.8506000000000002E-2</c:v>
                </c:pt>
                <c:pt idx="622">
                  <c:v>5.8644000000000002E-2</c:v>
                </c:pt>
                <c:pt idx="623">
                  <c:v>5.8781999999999994E-2</c:v>
                </c:pt>
                <c:pt idx="624">
                  <c:v>5.8922000000000002E-2</c:v>
                </c:pt>
                <c:pt idx="625">
                  <c:v>5.9059999999999994E-2</c:v>
                </c:pt>
                <c:pt idx="626">
                  <c:v>5.9200000000000003E-2</c:v>
                </c:pt>
                <c:pt idx="627">
                  <c:v>5.9337999999999995E-2</c:v>
                </c:pt>
                <c:pt idx="628">
                  <c:v>5.9478000000000003E-2</c:v>
                </c:pt>
                <c:pt idx="629">
                  <c:v>5.9615999999999995E-2</c:v>
                </c:pt>
                <c:pt idx="630">
                  <c:v>5.9753999999999995E-2</c:v>
                </c:pt>
                <c:pt idx="631">
                  <c:v>5.9893999999999996E-2</c:v>
                </c:pt>
                <c:pt idx="632">
                  <c:v>6.0034000000000004E-2</c:v>
                </c:pt>
                <c:pt idx="633">
                  <c:v>6.0171999999999996E-2</c:v>
                </c:pt>
                <c:pt idx="634">
                  <c:v>6.0309999999999996E-2</c:v>
                </c:pt>
                <c:pt idx="635">
                  <c:v>6.0449999999999997E-2</c:v>
                </c:pt>
                <c:pt idx="636">
                  <c:v>6.0587999999999996E-2</c:v>
                </c:pt>
                <c:pt idx="637">
                  <c:v>6.0726000000000002E-2</c:v>
                </c:pt>
                <c:pt idx="638">
                  <c:v>6.0894000000000004E-2</c:v>
                </c:pt>
                <c:pt idx="639">
                  <c:v>6.1059999999999996E-2</c:v>
                </c:pt>
                <c:pt idx="640">
                  <c:v>6.1226000000000003E-2</c:v>
                </c:pt>
                <c:pt idx="641">
                  <c:v>6.1395999999999999E-2</c:v>
                </c:pt>
                <c:pt idx="642">
                  <c:v>6.1561999999999999E-2</c:v>
                </c:pt>
                <c:pt idx="643">
                  <c:v>6.1727999999999998E-2</c:v>
                </c:pt>
                <c:pt idx="644">
                  <c:v>6.1893999999999998E-2</c:v>
                </c:pt>
                <c:pt idx="645">
                  <c:v>6.2060000000000004E-2</c:v>
                </c:pt>
                <c:pt idx="646">
                  <c:v>6.2228000000000006E-2</c:v>
                </c:pt>
                <c:pt idx="647">
                  <c:v>6.2366000000000005E-2</c:v>
                </c:pt>
                <c:pt idx="648">
                  <c:v>6.2534000000000006E-2</c:v>
                </c:pt>
                <c:pt idx="649">
                  <c:v>6.2698000000000004E-2</c:v>
                </c:pt>
                <c:pt idx="650">
                  <c:v>6.2866000000000005E-2</c:v>
                </c:pt>
                <c:pt idx="651">
                  <c:v>6.3004000000000004E-2</c:v>
                </c:pt>
                <c:pt idx="652">
                  <c:v>6.3171999999999992E-2</c:v>
                </c:pt>
                <c:pt idx="653">
                  <c:v>6.3338000000000005E-2</c:v>
                </c:pt>
                <c:pt idx="654">
                  <c:v>6.3503999999999991E-2</c:v>
                </c:pt>
                <c:pt idx="655">
                  <c:v>6.3672000000000006E-2</c:v>
                </c:pt>
                <c:pt idx="656">
                  <c:v>6.3838000000000006E-2</c:v>
                </c:pt>
                <c:pt idx="657">
                  <c:v>6.4005999999999993E-2</c:v>
                </c:pt>
                <c:pt idx="658">
                  <c:v>6.4172000000000007E-2</c:v>
                </c:pt>
                <c:pt idx="659">
                  <c:v>6.4337999999999992E-2</c:v>
                </c:pt>
                <c:pt idx="660">
                  <c:v>6.4505999999999994E-2</c:v>
                </c:pt>
                <c:pt idx="661">
                  <c:v>6.4672000000000007E-2</c:v>
                </c:pt>
                <c:pt idx="662">
                  <c:v>6.4837999999999993E-2</c:v>
                </c:pt>
                <c:pt idx="663">
                  <c:v>6.5006000000000008E-2</c:v>
                </c:pt>
                <c:pt idx="664">
                  <c:v>6.5171999999999994E-2</c:v>
                </c:pt>
                <c:pt idx="665">
                  <c:v>6.5338000000000007E-2</c:v>
                </c:pt>
                <c:pt idx="666">
                  <c:v>6.5533999999999995E-2</c:v>
                </c:pt>
                <c:pt idx="667">
                  <c:v>6.5727999999999995E-2</c:v>
                </c:pt>
                <c:pt idx="668">
                  <c:v>6.5894000000000008E-2</c:v>
                </c:pt>
                <c:pt idx="669">
                  <c:v>6.6087999999999994E-2</c:v>
                </c:pt>
                <c:pt idx="670">
                  <c:v>6.6256000000000009E-2</c:v>
                </c:pt>
                <c:pt idx="671">
                  <c:v>6.6448000000000007E-2</c:v>
                </c:pt>
                <c:pt idx="672">
                  <c:v>6.6614000000000007E-2</c:v>
                </c:pt>
                <c:pt idx="673">
                  <c:v>6.6782000000000008E-2</c:v>
                </c:pt>
                <c:pt idx="674">
                  <c:v>6.695000000000001E-2</c:v>
                </c:pt>
                <c:pt idx="675">
                  <c:v>6.7115999999999995E-2</c:v>
                </c:pt>
                <c:pt idx="676">
                  <c:v>6.7282000000000008E-2</c:v>
                </c:pt>
                <c:pt idx="677">
                  <c:v>6.7477999999999996E-2</c:v>
                </c:pt>
                <c:pt idx="678">
                  <c:v>6.7643999999999996E-2</c:v>
                </c:pt>
                <c:pt idx="679">
                  <c:v>6.7838000000000009E-2</c:v>
                </c:pt>
                <c:pt idx="680">
                  <c:v>6.8032000000000009E-2</c:v>
                </c:pt>
                <c:pt idx="681">
                  <c:v>6.8227999999999997E-2</c:v>
                </c:pt>
                <c:pt idx="682">
                  <c:v>6.8421999999999997E-2</c:v>
                </c:pt>
                <c:pt idx="683">
                  <c:v>6.8615999999999996E-2</c:v>
                </c:pt>
                <c:pt idx="684">
                  <c:v>6.8809999999999996E-2</c:v>
                </c:pt>
                <c:pt idx="685">
                  <c:v>6.9005999999999998E-2</c:v>
                </c:pt>
                <c:pt idx="686">
                  <c:v>6.919800000000001E-2</c:v>
                </c:pt>
                <c:pt idx="687">
                  <c:v>6.9393999999999997E-2</c:v>
                </c:pt>
                <c:pt idx="688">
                  <c:v>6.9585999999999995E-2</c:v>
                </c:pt>
                <c:pt idx="689">
                  <c:v>6.9783999999999999E-2</c:v>
                </c:pt>
                <c:pt idx="690">
                  <c:v>6.9977999999999999E-2</c:v>
                </c:pt>
                <c:pt idx="691">
                  <c:v>7.0171999999999998E-2</c:v>
                </c:pt>
                <c:pt idx="692">
                  <c:v>7.0365999999999998E-2</c:v>
                </c:pt>
                <c:pt idx="693">
                  <c:v>7.0559999999999998E-2</c:v>
                </c:pt>
                <c:pt idx="694">
                  <c:v>7.0755999999999999E-2</c:v>
                </c:pt>
                <c:pt idx="695">
                  <c:v>7.0949999999999999E-2</c:v>
                </c:pt>
                <c:pt idx="696">
                  <c:v>7.1143999999999999E-2</c:v>
                </c:pt>
                <c:pt idx="697">
                  <c:v>7.1337999999999999E-2</c:v>
                </c:pt>
                <c:pt idx="698">
                  <c:v>7.1534E-2</c:v>
                </c:pt>
                <c:pt idx="699">
                  <c:v>7.1728E-2</c:v>
                </c:pt>
                <c:pt idx="700">
                  <c:v>7.195E-2</c:v>
                </c:pt>
                <c:pt idx="701">
                  <c:v>7.2169999999999998E-2</c:v>
                </c:pt>
                <c:pt idx="702">
                  <c:v>7.2394E-2</c:v>
                </c:pt>
                <c:pt idx="703">
                  <c:v>7.2616E-2</c:v>
                </c:pt>
                <c:pt idx="704">
                  <c:v>7.2838E-2</c:v>
                </c:pt>
                <c:pt idx="705">
                  <c:v>7.3062000000000002E-2</c:v>
                </c:pt>
                <c:pt idx="706">
                  <c:v>7.3284000000000002E-2</c:v>
                </c:pt>
                <c:pt idx="707">
                  <c:v>7.3506000000000002E-2</c:v>
                </c:pt>
                <c:pt idx="708">
                  <c:v>7.3700000000000002E-2</c:v>
                </c:pt>
                <c:pt idx="709">
                  <c:v>7.3922000000000002E-2</c:v>
                </c:pt>
                <c:pt idx="710">
                  <c:v>7.4144000000000002E-2</c:v>
                </c:pt>
                <c:pt idx="711">
                  <c:v>7.4364E-2</c:v>
                </c:pt>
                <c:pt idx="712">
                  <c:v>7.458999999999999E-2</c:v>
                </c:pt>
                <c:pt idx="713">
                  <c:v>7.4812000000000003E-2</c:v>
                </c:pt>
                <c:pt idx="714">
                  <c:v>7.5032000000000001E-2</c:v>
                </c:pt>
                <c:pt idx="715">
                  <c:v>7.5256000000000003E-2</c:v>
                </c:pt>
                <c:pt idx="716">
                  <c:v>7.547799999999999E-2</c:v>
                </c:pt>
                <c:pt idx="717">
                  <c:v>7.5698000000000001E-2</c:v>
                </c:pt>
                <c:pt idx="718">
                  <c:v>7.5920000000000001E-2</c:v>
                </c:pt>
                <c:pt idx="719">
                  <c:v>7.6144000000000003E-2</c:v>
                </c:pt>
                <c:pt idx="720">
                  <c:v>7.6368000000000005E-2</c:v>
                </c:pt>
                <c:pt idx="721">
                  <c:v>7.6588000000000003E-2</c:v>
                </c:pt>
                <c:pt idx="722">
                  <c:v>7.6810000000000003E-2</c:v>
                </c:pt>
                <c:pt idx="723">
                  <c:v>7.7032000000000003E-2</c:v>
                </c:pt>
                <c:pt idx="724">
                  <c:v>7.7253999999999989E-2</c:v>
                </c:pt>
                <c:pt idx="725">
                  <c:v>7.7476000000000003E-2</c:v>
                </c:pt>
                <c:pt idx="726">
                  <c:v>7.7728000000000005E-2</c:v>
                </c:pt>
                <c:pt idx="727">
                  <c:v>7.7977999999999992E-2</c:v>
                </c:pt>
                <c:pt idx="728">
                  <c:v>7.8228000000000006E-2</c:v>
                </c:pt>
                <c:pt idx="729">
                  <c:v>7.8478000000000006E-2</c:v>
                </c:pt>
                <c:pt idx="730">
                  <c:v>7.8727999999999992E-2</c:v>
                </c:pt>
                <c:pt idx="731">
                  <c:v>7.8978000000000007E-2</c:v>
                </c:pt>
                <c:pt idx="732">
                  <c:v>7.9227999999999993E-2</c:v>
                </c:pt>
                <c:pt idx="733">
                  <c:v>7.9477999999999993E-2</c:v>
                </c:pt>
                <c:pt idx="734">
                  <c:v>7.9726000000000005E-2</c:v>
                </c:pt>
                <c:pt idx="735">
                  <c:v>7.9977999999999994E-2</c:v>
                </c:pt>
                <c:pt idx="736">
                  <c:v>8.0228000000000008E-2</c:v>
                </c:pt>
                <c:pt idx="737">
                  <c:v>8.0475999999999992E-2</c:v>
                </c:pt>
                <c:pt idx="738">
                  <c:v>8.0728000000000008E-2</c:v>
                </c:pt>
                <c:pt idx="739">
                  <c:v>8.0977999999999994E-2</c:v>
                </c:pt>
                <c:pt idx="740">
                  <c:v>8.1226000000000007E-2</c:v>
                </c:pt>
                <c:pt idx="741">
                  <c:v>8.1476000000000007E-2</c:v>
                </c:pt>
                <c:pt idx="742">
                  <c:v>8.1728000000000009E-2</c:v>
                </c:pt>
                <c:pt idx="743">
                  <c:v>8.2004000000000007E-2</c:v>
                </c:pt>
                <c:pt idx="744">
                  <c:v>8.2255999999999996E-2</c:v>
                </c:pt>
                <c:pt idx="745">
                  <c:v>8.2531999999999994E-2</c:v>
                </c:pt>
                <c:pt idx="746">
                  <c:v>8.2783999999999996E-2</c:v>
                </c:pt>
                <c:pt idx="747">
                  <c:v>8.3032000000000009E-2</c:v>
                </c:pt>
                <c:pt idx="748">
                  <c:v>8.3312000000000011E-2</c:v>
                </c:pt>
                <c:pt idx="749">
                  <c:v>8.358800000000001E-2</c:v>
                </c:pt>
                <c:pt idx="750">
                  <c:v>8.3865999999999996E-2</c:v>
                </c:pt>
                <c:pt idx="751">
                  <c:v>8.414400000000001E-2</c:v>
                </c:pt>
                <c:pt idx="752">
                  <c:v>8.4391999999999995E-2</c:v>
                </c:pt>
                <c:pt idx="753">
                  <c:v>8.4646000000000013E-2</c:v>
                </c:pt>
                <c:pt idx="754">
                  <c:v>8.4921999999999997E-2</c:v>
                </c:pt>
                <c:pt idx="755">
                  <c:v>8.5197999999999996E-2</c:v>
                </c:pt>
                <c:pt idx="756">
                  <c:v>8.5477999999999998E-2</c:v>
                </c:pt>
                <c:pt idx="757">
                  <c:v>8.5755999999999999E-2</c:v>
                </c:pt>
                <c:pt idx="758">
                  <c:v>8.6031999999999997E-2</c:v>
                </c:pt>
                <c:pt idx="759">
                  <c:v>8.6312E-2</c:v>
                </c:pt>
                <c:pt idx="760">
                  <c:v>8.6587999999999998E-2</c:v>
                </c:pt>
                <c:pt idx="761">
                  <c:v>8.6865999999999999E-2</c:v>
                </c:pt>
                <c:pt idx="762">
                  <c:v>8.7146000000000001E-2</c:v>
                </c:pt>
                <c:pt idx="763">
                  <c:v>8.7422E-2</c:v>
                </c:pt>
                <c:pt idx="764">
                  <c:v>8.7697999999999998E-2</c:v>
                </c:pt>
                <c:pt idx="765">
                  <c:v>8.7978000000000001E-2</c:v>
                </c:pt>
                <c:pt idx="766">
                  <c:v>8.8256000000000001E-2</c:v>
                </c:pt>
                <c:pt idx="767">
                  <c:v>8.8561999999999988E-2</c:v>
                </c:pt>
                <c:pt idx="768">
                  <c:v>8.8866000000000001E-2</c:v>
                </c:pt>
                <c:pt idx="769">
                  <c:v>8.9171999999999987E-2</c:v>
                </c:pt>
                <c:pt idx="770">
                  <c:v>8.9478000000000002E-2</c:v>
                </c:pt>
                <c:pt idx="771">
                  <c:v>8.9781999999999987E-2</c:v>
                </c:pt>
                <c:pt idx="772">
                  <c:v>9.0088000000000001E-2</c:v>
                </c:pt>
                <c:pt idx="773">
                  <c:v>9.0394000000000002E-2</c:v>
                </c:pt>
                <c:pt idx="774">
                  <c:v>9.0698000000000001E-2</c:v>
                </c:pt>
                <c:pt idx="775">
                  <c:v>9.1006000000000004E-2</c:v>
                </c:pt>
                <c:pt idx="776">
                  <c:v>9.1310000000000002E-2</c:v>
                </c:pt>
                <c:pt idx="777">
                  <c:v>9.1616000000000003E-2</c:v>
                </c:pt>
                <c:pt idx="778">
                  <c:v>9.1948000000000002E-2</c:v>
                </c:pt>
                <c:pt idx="779">
                  <c:v>9.2284000000000005E-2</c:v>
                </c:pt>
                <c:pt idx="780">
                  <c:v>9.2588000000000004E-2</c:v>
                </c:pt>
                <c:pt idx="781">
                  <c:v>9.2894000000000004E-2</c:v>
                </c:pt>
                <c:pt idx="782">
                  <c:v>9.3200000000000005E-2</c:v>
                </c:pt>
                <c:pt idx="783">
                  <c:v>9.3534000000000006E-2</c:v>
                </c:pt>
                <c:pt idx="784">
                  <c:v>9.3865999999999991E-2</c:v>
                </c:pt>
                <c:pt idx="785">
                  <c:v>9.4198000000000004E-2</c:v>
                </c:pt>
                <c:pt idx="786">
                  <c:v>9.4532000000000005E-2</c:v>
                </c:pt>
                <c:pt idx="787">
                  <c:v>9.4868000000000008E-2</c:v>
                </c:pt>
                <c:pt idx="788">
                  <c:v>9.5199999999999993E-2</c:v>
                </c:pt>
                <c:pt idx="789">
                  <c:v>9.5533999999999994E-2</c:v>
                </c:pt>
                <c:pt idx="790">
                  <c:v>9.5866000000000007E-2</c:v>
                </c:pt>
                <c:pt idx="791">
                  <c:v>9.6199999999999994E-2</c:v>
                </c:pt>
                <c:pt idx="792">
                  <c:v>9.6532000000000007E-2</c:v>
                </c:pt>
                <c:pt idx="793">
                  <c:v>9.6867999999999996E-2</c:v>
                </c:pt>
                <c:pt idx="794">
                  <c:v>9.7200000000000009E-2</c:v>
                </c:pt>
                <c:pt idx="795">
                  <c:v>9.7561999999999996E-2</c:v>
                </c:pt>
                <c:pt idx="796">
                  <c:v>9.7921999999999995E-2</c:v>
                </c:pt>
                <c:pt idx="797">
                  <c:v>9.8282000000000008E-2</c:v>
                </c:pt>
                <c:pt idx="798">
                  <c:v>9.8643999999999996E-2</c:v>
                </c:pt>
                <c:pt idx="799">
                  <c:v>9.9003999999999995E-2</c:v>
                </c:pt>
                <c:pt idx="800">
                  <c:v>9.936600000000001E-2</c:v>
                </c:pt>
                <c:pt idx="801">
                  <c:v>9.9727999999999997E-2</c:v>
                </c:pt>
                <c:pt idx="802">
                  <c:v>0.100116</c:v>
                </c:pt>
                <c:pt idx="803">
                  <c:v>0.10047800000000001</c:v>
                </c:pt>
                <c:pt idx="804">
                  <c:v>0.10084</c:v>
                </c:pt>
                <c:pt idx="805">
                  <c:v>0.101226</c:v>
                </c:pt>
                <c:pt idx="806">
                  <c:v>0.101618</c:v>
                </c:pt>
                <c:pt idx="807">
                  <c:v>0.102004</c:v>
                </c:pt>
                <c:pt idx="808">
                  <c:v>0.102394</c:v>
                </c:pt>
                <c:pt idx="809">
                  <c:v>0.102782</c:v>
                </c:pt>
                <c:pt idx="810">
                  <c:v>0.1032</c:v>
                </c:pt>
                <c:pt idx="811">
                  <c:v>0.103588</c:v>
                </c:pt>
                <c:pt idx="812">
                  <c:v>0.103978</c:v>
                </c:pt>
                <c:pt idx="813">
                  <c:v>0.104366</c:v>
                </c:pt>
                <c:pt idx="814">
                  <c:v>0.104784</c:v>
                </c:pt>
                <c:pt idx="815">
                  <c:v>0.1052</c:v>
                </c:pt>
                <c:pt idx="816">
                  <c:v>0.105588</c:v>
                </c:pt>
                <c:pt idx="817">
                  <c:v>0.105976</c:v>
                </c:pt>
                <c:pt idx="818">
                  <c:v>0.106394</c:v>
                </c:pt>
                <c:pt idx="819">
                  <c:v>0.10680999999999999</c:v>
                </c:pt>
                <c:pt idx="820">
                  <c:v>0.10722799999999999</c:v>
                </c:pt>
                <c:pt idx="821">
                  <c:v>0.107644</c:v>
                </c:pt>
                <c:pt idx="822">
                  <c:v>0.108088</c:v>
                </c:pt>
                <c:pt idx="823">
                  <c:v>0.10853400000000001</c:v>
                </c:pt>
                <c:pt idx="824">
                  <c:v>0.10897800000000001</c:v>
                </c:pt>
                <c:pt idx="825">
                  <c:v>0.10942</c:v>
                </c:pt>
                <c:pt idx="826">
                  <c:v>0.10986599999999999</c:v>
                </c:pt>
                <c:pt idx="827">
                  <c:v>0.11031000000000001</c:v>
                </c:pt>
                <c:pt idx="828">
                  <c:v>0.11075400000000001</c:v>
                </c:pt>
                <c:pt idx="829">
                  <c:v>0.11122799999999999</c:v>
                </c:pt>
                <c:pt idx="830">
                  <c:v>0.11169999999999999</c:v>
                </c:pt>
                <c:pt idx="831">
                  <c:v>0.11217199999999999</c:v>
                </c:pt>
                <c:pt idx="832">
                  <c:v>0.11264400000000001</c:v>
                </c:pt>
                <c:pt idx="833">
                  <c:v>0.11311600000000001</c:v>
                </c:pt>
                <c:pt idx="834">
                  <c:v>0.11358800000000001</c:v>
                </c:pt>
                <c:pt idx="835">
                  <c:v>0.11406000000000001</c:v>
                </c:pt>
                <c:pt idx="836">
                  <c:v>0.114534</c:v>
                </c:pt>
                <c:pt idx="837">
                  <c:v>0.11500400000000001</c:v>
                </c:pt>
                <c:pt idx="838">
                  <c:v>0.11547800000000001</c:v>
                </c:pt>
                <c:pt idx="839">
                  <c:v>0.115978</c:v>
                </c:pt>
                <c:pt idx="840">
                  <c:v>0.116478</c:v>
                </c:pt>
                <c:pt idx="841">
                  <c:v>0.116976</c:v>
                </c:pt>
                <c:pt idx="842">
                  <c:v>0.117476</c:v>
                </c:pt>
                <c:pt idx="843">
                  <c:v>0.118004</c:v>
                </c:pt>
                <c:pt idx="844">
                  <c:v>0.118532</c:v>
                </c:pt>
                <c:pt idx="845">
                  <c:v>0.119062</c:v>
                </c:pt>
                <c:pt idx="846">
                  <c:v>0.119616</c:v>
                </c:pt>
                <c:pt idx="847">
                  <c:v>0.120172</c:v>
                </c:pt>
                <c:pt idx="848">
                  <c:v>0.120726</c:v>
                </c:pt>
                <c:pt idx="849">
                  <c:v>0.121338</c:v>
                </c:pt>
                <c:pt idx="850">
                  <c:v>0.12195</c:v>
                </c:pt>
                <c:pt idx="851">
                  <c:v>0.12259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D-4791-8C14-CA9099531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5090431"/>
        <c:axId val="315090911"/>
      </c:lineChart>
      <c:catAx>
        <c:axId val="315090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Deformação</a:t>
                </a:r>
                <a:r>
                  <a:rPr lang="pt-BR" baseline="0"/>
                  <a:t> (mm/mm)</a:t>
                </a:r>
              </a:p>
              <a:p>
                <a:pPr>
                  <a:defRPr/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5090911"/>
        <c:crosses val="autoZero"/>
        <c:auto val="1"/>
        <c:lblAlgn val="ctr"/>
        <c:lblOffset val="100"/>
        <c:noMultiLvlLbl val="0"/>
      </c:catAx>
      <c:valAx>
        <c:axId val="31509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Tensão </a:t>
                </a:r>
                <a:r>
                  <a:rPr lang="pt-BR" baseline="0"/>
                  <a:t> (MPa)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509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'A10-4'!$C$2:$C$648</c:f>
              <c:numCache>
                <c:formatCode>0.00</c:formatCode>
                <c:ptCount val="647"/>
                <c:pt idx="0">
                  <c:v>0</c:v>
                </c:pt>
                <c:pt idx="1">
                  <c:v>1.3900999999999998E-2</c:v>
                </c:pt>
                <c:pt idx="2">
                  <c:v>1.40126E-2</c:v>
                </c:pt>
                <c:pt idx="3">
                  <c:v>1.41224E-2</c:v>
                </c:pt>
                <c:pt idx="4">
                  <c:v>1.4236E-2</c:v>
                </c:pt>
                <c:pt idx="5">
                  <c:v>1.43476E-2</c:v>
                </c:pt>
                <c:pt idx="6">
                  <c:v>1.4483600000000001E-2</c:v>
                </c:pt>
                <c:pt idx="7">
                  <c:v>1.4623200000000001E-2</c:v>
                </c:pt>
                <c:pt idx="8">
                  <c:v>1.47628E-2</c:v>
                </c:pt>
                <c:pt idx="9">
                  <c:v>1.4900400000000001E-2</c:v>
                </c:pt>
                <c:pt idx="10">
                  <c:v>1.504E-2</c:v>
                </c:pt>
                <c:pt idx="11">
                  <c:v>1.51796E-2</c:v>
                </c:pt>
                <c:pt idx="12">
                  <c:v>1.5317400000000002E-2</c:v>
                </c:pt>
                <c:pt idx="13">
                  <c:v>1.5457E-2</c:v>
                </c:pt>
                <c:pt idx="14">
                  <c:v>1.55966E-2</c:v>
                </c:pt>
                <c:pt idx="15">
                  <c:v>1.57342E-2</c:v>
                </c:pt>
                <c:pt idx="16">
                  <c:v>1.58738E-2</c:v>
                </c:pt>
                <c:pt idx="17">
                  <c:v>1.6011600000000001E-2</c:v>
                </c:pt>
                <c:pt idx="18">
                  <c:v>1.6149199999999999E-2</c:v>
                </c:pt>
                <c:pt idx="19">
                  <c:v>1.6290800000000001E-2</c:v>
                </c:pt>
                <c:pt idx="20">
                  <c:v>1.6428399999999999E-2</c:v>
                </c:pt>
                <c:pt idx="21">
                  <c:v>1.65662E-2</c:v>
                </c:pt>
                <c:pt idx="22">
                  <c:v>1.67076E-2</c:v>
                </c:pt>
                <c:pt idx="23">
                  <c:v>1.68454E-2</c:v>
                </c:pt>
                <c:pt idx="24">
                  <c:v>1.6982999999999998E-2</c:v>
                </c:pt>
                <c:pt idx="25">
                  <c:v>1.71246E-2</c:v>
                </c:pt>
                <c:pt idx="26">
                  <c:v>1.7262200000000002E-2</c:v>
                </c:pt>
                <c:pt idx="27">
                  <c:v>1.7399999999999999E-2</c:v>
                </c:pt>
                <c:pt idx="28">
                  <c:v>1.7539599999999999E-2</c:v>
                </c:pt>
                <c:pt idx="29">
                  <c:v>1.7677200000000001E-2</c:v>
                </c:pt>
                <c:pt idx="30">
                  <c:v>1.7816800000000001E-2</c:v>
                </c:pt>
                <c:pt idx="31">
                  <c:v>1.7956399999999997E-2</c:v>
                </c:pt>
                <c:pt idx="32">
                  <c:v>1.8096000000000001E-2</c:v>
                </c:pt>
                <c:pt idx="33">
                  <c:v>1.8235600000000001E-2</c:v>
                </c:pt>
                <c:pt idx="34">
                  <c:v>1.84012E-2</c:v>
                </c:pt>
                <c:pt idx="35">
                  <c:v>1.85688E-2</c:v>
                </c:pt>
                <c:pt idx="36">
                  <c:v>1.8734399999999998E-2</c:v>
                </c:pt>
                <c:pt idx="37">
                  <c:v>1.8902000000000002E-2</c:v>
                </c:pt>
                <c:pt idx="38">
                  <c:v>1.9067600000000001E-2</c:v>
                </c:pt>
                <c:pt idx="39">
                  <c:v>1.9233199999999999E-2</c:v>
                </c:pt>
                <c:pt idx="40">
                  <c:v>1.9400799999999999E-2</c:v>
                </c:pt>
                <c:pt idx="41">
                  <c:v>1.9566399999999998E-2</c:v>
                </c:pt>
                <c:pt idx="42">
                  <c:v>1.9733799999999999E-2</c:v>
                </c:pt>
                <c:pt idx="43">
                  <c:v>1.99014E-2</c:v>
                </c:pt>
                <c:pt idx="44">
                  <c:v>2.0068000000000003E-2</c:v>
                </c:pt>
                <c:pt idx="45">
                  <c:v>2.0234000000000002E-2</c:v>
                </c:pt>
                <c:pt idx="46">
                  <c:v>2.0400000000000001E-2</c:v>
                </c:pt>
                <c:pt idx="47">
                  <c:v>2.0567999999999999E-2</c:v>
                </c:pt>
                <c:pt idx="48">
                  <c:v>2.0735999999999997E-2</c:v>
                </c:pt>
                <c:pt idx="49">
                  <c:v>2.0899999999999998E-2</c:v>
                </c:pt>
                <c:pt idx="50">
                  <c:v>2.1067999999999996E-2</c:v>
                </c:pt>
                <c:pt idx="51">
                  <c:v>2.1234000000000003E-2</c:v>
                </c:pt>
                <c:pt idx="52">
                  <c:v>2.1400000000000002E-2</c:v>
                </c:pt>
                <c:pt idx="53">
                  <c:v>2.1568E-2</c:v>
                </c:pt>
                <c:pt idx="54">
                  <c:v>2.1762E-2</c:v>
                </c:pt>
                <c:pt idx="55">
                  <c:v>2.1956000000000003E-2</c:v>
                </c:pt>
                <c:pt idx="56">
                  <c:v>2.2151999999999998E-2</c:v>
                </c:pt>
                <c:pt idx="57">
                  <c:v>2.2343999999999999E-2</c:v>
                </c:pt>
                <c:pt idx="58">
                  <c:v>2.2537999999999999E-2</c:v>
                </c:pt>
                <c:pt idx="59">
                  <c:v>2.2735999999999999E-2</c:v>
                </c:pt>
                <c:pt idx="60">
                  <c:v>2.2930000000000002E-2</c:v>
                </c:pt>
                <c:pt idx="61">
                  <c:v>2.3123999999999999E-2</c:v>
                </c:pt>
                <c:pt idx="62">
                  <c:v>2.3317999999999998E-2</c:v>
                </c:pt>
                <c:pt idx="63">
                  <c:v>2.3511999999999998E-2</c:v>
                </c:pt>
                <c:pt idx="64">
                  <c:v>2.3706000000000001E-2</c:v>
                </c:pt>
                <c:pt idx="65">
                  <c:v>2.3900000000000001E-2</c:v>
                </c:pt>
                <c:pt idx="66">
                  <c:v>2.4094000000000001E-2</c:v>
                </c:pt>
                <c:pt idx="67">
                  <c:v>2.4289999999999999E-2</c:v>
                </c:pt>
                <c:pt idx="68">
                  <c:v>2.4485999999999997E-2</c:v>
                </c:pt>
                <c:pt idx="69">
                  <c:v>2.4677999999999999E-2</c:v>
                </c:pt>
                <c:pt idx="70">
                  <c:v>2.4872000000000002E-2</c:v>
                </c:pt>
                <c:pt idx="71">
                  <c:v>2.5068E-2</c:v>
                </c:pt>
                <c:pt idx="72">
                  <c:v>2.529E-2</c:v>
                </c:pt>
                <c:pt idx="73">
                  <c:v>2.5512E-2</c:v>
                </c:pt>
                <c:pt idx="74">
                  <c:v>2.5734E-2</c:v>
                </c:pt>
                <c:pt idx="75">
                  <c:v>2.5956E-2</c:v>
                </c:pt>
                <c:pt idx="76">
                  <c:v>2.6179999999999998E-2</c:v>
                </c:pt>
                <c:pt idx="77">
                  <c:v>2.64E-2</c:v>
                </c:pt>
                <c:pt idx="78">
                  <c:v>2.6623999999999998E-2</c:v>
                </c:pt>
                <c:pt idx="79">
                  <c:v>2.6846000000000002E-2</c:v>
                </c:pt>
                <c:pt idx="80">
                  <c:v>2.7067999999999998E-2</c:v>
                </c:pt>
                <c:pt idx="81">
                  <c:v>2.7290000000000002E-2</c:v>
                </c:pt>
                <c:pt idx="82">
                  <c:v>2.7511999999999998E-2</c:v>
                </c:pt>
                <c:pt idx="83">
                  <c:v>2.7734000000000002E-2</c:v>
                </c:pt>
                <c:pt idx="84">
                  <c:v>2.7955999999999998E-2</c:v>
                </c:pt>
                <c:pt idx="85">
                  <c:v>2.818E-2</c:v>
                </c:pt>
                <c:pt idx="86">
                  <c:v>2.8401999999999997E-2</c:v>
                </c:pt>
                <c:pt idx="87">
                  <c:v>2.8622000000000002E-2</c:v>
                </c:pt>
                <c:pt idx="88">
                  <c:v>2.8871999999999998E-2</c:v>
                </c:pt>
                <c:pt idx="89">
                  <c:v>2.9123999999999997E-2</c:v>
                </c:pt>
                <c:pt idx="90">
                  <c:v>2.9371999999999999E-2</c:v>
                </c:pt>
                <c:pt idx="91">
                  <c:v>2.9624000000000001E-2</c:v>
                </c:pt>
                <c:pt idx="92">
                  <c:v>2.9874000000000001E-2</c:v>
                </c:pt>
                <c:pt idx="93">
                  <c:v>3.0121999999999999E-2</c:v>
                </c:pt>
                <c:pt idx="94">
                  <c:v>3.0373999999999998E-2</c:v>
                </c:pt>
                <c:pt idx="95">
                  <c:v>3.0621999999999996E-2</c:v>
                </c:pt>
                <c:pt idx="96">
                  <c:v>3.0872E-2</c:v>
                </c:pt>
                <c:pt idx="97">
                  <c:v>3.1122E-2</c:v>
                </c:pt>
                <c:pt idx="98">
                  <c:v>3.1373999999999999E-2</c:v>
                </c:pt>
                <c:pt idx="99">
                  <c:v>3.1621999999999997E-2</c:v>
                </c:pt>
                <c:pt idx="100">
                  <c:v>3.1871999999999998E-2</c:v>
                </c:pt>
                <c:pt idx="101">
                  <c:v>3.2124E-2</c:v>
                </c:pt>
                <c:pt idx="102">
                  <c:v>3.2374E-2</c:v>
                </c:pt>
                <c:pt idx="103">
                  <c:v>3.2652E-2</c:v>
                </c:pt>
                <c:pt idx="104">
                  <c:v>3.2930000000000001E-2</c:v>
                </c:pt>
                <c:pt idx="105">
                  <c:v>3.3203999999999997E-2</c:v>
                </c:pt>
                <c:pt idx="106">
                  <c:v>3.3484E-2</c:v>
                </c:pt>
                <c:pt idx="107">
                  <c:v>3.3763999999999995E-2</c:v>
                </c:pt>
                <c:pt idx="108">
                  <c:v>3.4037999999999999E-2</c:v>
                </c:pt>
                <c:pt idx="109">
                  <c:v>3.4318000000000001E-2</c:v>
                </c:pt>
                <c:pt idx="110">
                  <c:v>3.4596000000000002E-2</c:v>
                </c:pt>
                <c:pt idx="111">
                  <c:v>3.4872E-2</c:v>
                </c:pt>
                <c:pt idx="112">
                  <c:v>3.5152000000000003E-2</c:v>
                </c:pt>
                <c:pt idx="113">
                  <c:v>3.5430000000000003E-2</c:v>
                </c:pt>
                <c:pt idx="114">
                  <c:v>3.5706000000000002E-2</c:v>
                </c:pt>
                <c:pt idx="115">
                  <c:v>3.5983999999999995E-2</c:v>
                </c:pt>
                <c:pt idx="116">
                  <c:v>3.6288000000000001E-2</c:v>
                </c:pt>
                <c:pt idx="117">
                  <c:v>3.6596000000000004E-2</c:v>
                </c:pt>
                <c:pt idx="118">
                  <c:v>3.6901999999999997E-2</c:v>
                </c:pt>
                <c:pt idx="119">
                  <c:v>3.7206000000000003E-2</c:v>
                </c:pt>
                <c:pt idx="120">
                  <c:v>3.7511999999999997E-2</c:v>
                </c:pt>
                <c:pt idx="121">
                  <c:v>3.7817999999999997E-2</c:v>
                </c:pt>
                <c:pt idx="122">
                  <c:v>3.8123999999999998E-2</c:v>
                </c:pt>
                <c:pt idx="123">
                  <c:v>3.8401999999999999E-2</c:v>
                </c:pt>
                <c:pt idx="124">
                  <c:v>3.8705999999999997E-2</c:v>
                </c:pt>
                <c:pt idx="125">
                  <c:v>3.9011999999999998E-2</c:v>
                </c:pt>
                <c:pt idx="126">
                  <c:v>3.9317999999999999E-2</c:v>
                </c:pt>
                <c:pt idx="127">
                  <c:v>3.9539999999999999E-2</c:v>
                </c:pt>
                <c:pt idx="128">
                  <c:v>3.9845999999999999E-2</c:v>
                </c:pt>
                <c:pt idx="129">
                  <c:v>4.0149999999999998E-2</c:v>
                </c:pt>
                <c:pt idx="130">
                  <c:v>4.0483999999999999E-2</c:v>
                </c:pt>
                <c:pt idx="131">
                  <c:v>4.0763999999999995E-2</c:v>
                </c:pt>
                <c:pt idx="132">
                  <c:v>4.1066000000000005E-2</c:v>
                </c:pt>
                <c:pt idx="133">
                  <c:v>4.1346000000000001E-2</c:v>
                </c:pt>
                <c:pt idx="134">
                  <c:v>4.1622000000000006E-2</c:v>
                </c:pt>
                <c:pt idx="135">
                  <c:v>4.1897999999999998E-2</c:v>
                </c:pt>
                <c:pt idx="136">
                  <c:v>4.2206E-2</c:v>
                </c:pt>
                <c:pt idx="137">
                  <c:v>4.2510000000000006E-2</c:v>
                </c:pt>
                <c:pt idx="138">
                  <c:v>4.2816E-2</c:v>
                </c:pt>
                <c:pt idx="139">
                  <c:v>4.3095999999999995E-2</c:v>
                </c:pt>
                <c:pt idx="140">
                  <c:v>4.3373999999999996E-2</c:v>
                </c:pt>
                <c:pt idx="141">
                  <c:v>4.3680000000000004E-2</c:v>
                </c:pt>
                <c:pt idx="142">
                  <c:v>4.3956000000000002E-2</c:v>
                </c:pt>
                <c:pt idx="143">
                  <c:v>4.4261999999999996E-2</c:v>
                </c:pt>
                <c:pt idx="144">
                  <c:v>4.4568000000000003E-2</c:v>
                </c:pt>
                <c:pt idx="145">
                  <c:v>4.4871999999999995E-2</c:v>
                </c:pt>
                <c:pt idx="146">
                  <c:v>4.5151999999999998E-2</c:v>
                </c:pt>
                <c:pt idx="147">
                  <c:v>4.5429999999999998E-2</c:v>
                </c:pt>
                <c:pt idx="148">
                  <c:v>4.5734000000000004E-2</c:v>
                </c:pt>
                <c:pt idx="149">
                  <c:v>4.6012000000000004E-2</c:v>
                </c:pt>
                <c:pt idx="150">
                  <c:v>4.6260000000000003E-2</c:v>
                </c:pt>
                <c:pt idx="151">
                  <c:v>4.6567999999999998E-2</c:v>
                </c:pt>
                <c:pt idx="152">
                  <c:v>4.6817999999999999E-2</c:v>
                </c:pt>
                <c:pt idx="153">
                  <c:v>4.7065999999999997E-2</c:v>
                </c:pt>
                <c:pt idx="154">
                  <c:v>4.7317999999999999E-2</c:v>
                </c:pt>
                <c:pt idx="155">
                  <c:v>4.7567999999999999E-2</c:v>
                </c:pt>
                <c:pt idx="156">
                  <c:v>4.7789999999999999E-2</c:v>
                </c:pt>
                <c:pt idx="157">
                  <c:v>4.8011999999999999E-2</c:v>
                </c:pt>
                <c:pt idx="158">
                  <c:v>4.8263999999999994E-2</c:v>
                </c:pt>
                <c:pt idx="159">
                  <c:v>4.8512000000000007E-2</c:v>
                </c:pt>
                <c:pt idx="160">
                  <c:v>4.8734E-2</c:v>
                </c:pt>
                <c:pt idx="161">
                  <c:v>4.8986000000000002E-2</c:v>
                </c:pt>
                <c:pt idx="162">
                  <c:v>4.9208000000000002E-2</c:v>
                </c:pt>
                <c:pt idx="163">
                  <c:v>4.9456E-2</c:v>
                </c:pt>
                <c:pt idx="164">
                  <c:v>4.9680000000000002E-2</c:v>
                </c:pt>
                <c:pt idx="165">
                  <c:v>4.9901999999999995E-2</c:v>
                </c:pt>
                <c:pt idx="166">
                  <c:v>5.0122E-2</c:v>
                </c:pt>
                <c:pt idx="167">
                  <c:v>5.0372E-2</c:v>
                </c:pt>
                <c:pt idx="168">
                  <c:v>5.0595999999999995E-2</c:v>
                </c:pt>
                <c:pt idx="169">
                  <c:v>5.0818000000000002E-2</c:v>
                </c:pt>
                <c:pt idx="170">
                  <c:v>5.1040000000000002E-2</c:v>
                </c:pt>
                <c:pt idx="171">
                  <c:v>5.1262000000000002E-2</c:v>
                </c:pt>
                <c:pt idx="172">
                  <c:v>5.1458000000000004E-2</c:v>
                </c:pt>
                <c:pt idx="173">
                  <c:v>5.1680000000000004E-2</c:v>
                </c:pt>
                <c:pt idx="174">
                  <c:v>5.1874000000000003E-2</c:v>
                </c:pt>
                <c:pt idx="175">
                  <c:v>5.2096000000000003E-2</c:v>
                </c:pt>
                <c:pt idx="176">
                  <c:v>5.2317999999999996E-2</c:v>
                </c:pt>
                <c:pt idx="177">
                  <c:v>5.2538000000000001E-2</c:v>
                </c:pt>
                <c:pt idx="178">
                  <c:v>5.2760000000000001E-2</c:v>
                </c:pt>
                <c:pt idx="179">
                  <c:v>5.2956000000000003E-2</c:v>
                </c:pt>
                <c:pt idx="180">
                  <c:v>5.3178000000000003E-2</c:v>
                </c:pt>
                <c:pt idx="181">
                  <c:v>5.3372000000000003E-2</c:v>
                </c:pt>
                <c:pt idx="182">
                  <c:v>5.3596000000000005E-2</c:v>
                </c:pt>
                <c:pt idx="183">
                  <c:v>5.3789999999999998E-2</c:v>
                </c:pt>
                <c:pt idx="184">
                  <c:v>5.4009999999999996E-2</c:v>
                </c:pt>
                <c:pt idx="185">
                  <c:v>5.4233999999999997E-2</c:v>
                </c:pt>
                <c:pt idx="186">
                  <c:v>5.4429999999999999E-2</c:v>
                </c:pt>
                <c:pt idx="187">
                  <c:v>5.4652000000000006E-2</c:v>
                </c:pt>
                <c:pt idx="188">
                  <c:v>5.4846000000000006E-2</c:v>
                </c:pt>
                <c:pt idx="189">
                  <c:v>5.5038000000000004E-2</c:v>
                </c:pt>
                <c:pt idx="190">
                  <c:v>5.5264000000000001E-2</c:v>
                </c:pt>
                <c:pt idx="191">
                  <c:v>5.5456000000000005E-2</c:v>
                </c:pt>
                <c:pt idx="192">
                  <c:v>5.5652E-2</c:v>
                </c:pt>
                <c:pt idx="193">
                  <c:v>5.5872000000000005E-2</c:v>
                </c:pt>
                <c:pt idx="194">
                  <c:v>5.6068E-2</c:v>
                </c:pt>
                <c:pt idx="195">
                  <c:v>5.6262E-2</c:v>
                </c:pt>
                <c:pt idx="196">
                  <c:v>5.6455999999999999E-2</c:v>
                </c:pt>
                <c:pt idx="197">
                  <c:v>5.6622000000000006E-2</c:v>
                </c:pt>
                <c:pt idx="198">
                  <c:v>5.6787999999999998E-2</c:v>
                </c:pt>
                <c:pt idx="199">
                  <c:v>5.6984000000000007E-2</c:v>
                </c:pt>
                <c:pt idx="200">
                  <c:v>5.7152000000000001E-2</c:v>
                </c:pt>
                <c:pt idx="201">
                  <c:v>5.7318000000000001E-2</c:v>
                </c:pt>
                <c:pt idx="202">
                  <c:v>5.7484E-2</c:v>
                </c:pt>
                <c:pt idx="203">
                  <c:v>5.7652000000000002E-2</c:v>
                </c:pt>
                <c:pt idx="204">
                  <c:v>5.7815999999999999E-2</c:v>
                </c:pt>
                <c:pt idx="205">
                  <c:v>5.7984000000000001E-2</c:v>
                </c:pt>
                <c:pt idx="206">
                  <c:v>5.8152000000000002E-2</c:v>
                </c:pt>
                <c:pt idx="207">
                  <c:v>5.8292000000000004E-2</c:v>
                </c:pt>
                <c:pt idx="208">
                  <c:v>5.8456000000000001E-2</c:v>
                </c:pt>
                <c:pt idx="209">
                  <c:v>5.8621999999999994E-2</c:v>
                </c:pt>
                <c:pt idx="210">
                  <c:v>5.8789999999999995E-2</c:v>
                </c:pt>
                <c:pt idx="211">
                  <c:v>5.8956000000000001E-2</c:v>
                </c:pt>
                <c:pt idx="212">
                  <c:v>5.9096000000000003E-2</c:v>
                </c:pt>
                <c:pt idx="213">
                  <c:v>5.9261999999999995E-2</c:v>
                </c:pt>
                <c:pt idx="214">
                  <c:v>5.9400000000000001E-2</c:v>
                </c:pt>
                <c:pt idx="215">
                  <c:v>5.9566000000000001E-2</c:v>
                </c:pt>
                <c:pt idx="216">
                  <c:v>5.9706000000000002E-2</c:v>
                </c:pt>
                <c:pt idx="217">
                  <c:v>5.9846000000000003E-2</c:v>
                </c:pt>
                <c:pt idx="218">
                  <c:v>6.0014000000000005E-2</c:v>
                </c:pt>
                <c:pt idx="219">
                  <c:v>6.0124000000000004E-2</c:v>
                </c:pt>
                <c:pt idx="220">
                  <c:v>6.0262000000000003E-2</c:v>
                </c:pt>
                <c:pt idx="221">
                  <c:v>6.0400000000000002E-2</c:v>
                </c:pt>
                <c:pt idx="222">
                  <c:v>6.0540000000000004E-2</c:v>
                </c:pt>
                <c:pt idx="223">
                  <c:v>6.0679999999999998E-2</c:v>
                </c:pt>
                <c:pt idx="224">
                  <c:v>6.0818000000000004E-2</c:v>
                </c:pt>
                <c:pt idx="225">
                  <c:v>6.0956000000000003E-2</c:v>
                </c:pt>
                <c:pt idx="226">
                  <c:v>6.1096000000000004E-2</c:v>
                </c:pt>
                <c:pt idx="227">
                  <c:v>6.1234000000000004E-2</c:v>
                </c:pt>
                <c:pt idx="228">
                  <c:v>6.1374000000000005E-2</c:v>
                </c:pt>
                <c:pt idx="229">
                  <c:v>6.1513999999999999E-2</c:v>
                </c:pt>
                <c:pt idx="230">
                  <c:v>6.1650000000000003E-2</c:v>
                </c:pt>
                <c:pt idx="231">
                  <c:v>6.1761999999999997E-2</c:v>
                </c:pt>
                <c:pt idx="232">
                  <c:v>6.1901999999999999E-2</c:v>
                </c:pt>
                <c:pt idx="233">
                  <c:v>6.2011999999999998E-2</c:v>
                </c:pt>
                <c:pt idx="234">
                  <c:v>6.2149999999999997E-2</c:v>
                </c:pt>
                <c:pt idx="235">
                  <c:v>6.2262000000000005E-2</c:v>
                </c:pt>
                <c:pt idx="236">
                  <c:v>6.2371999999999997E-2</c:v>
                </c:pt>
                <c:pt idx="237">
                  <c:v>6.2481999999999996E-2</c:v>
                </c:pt>
                <c:pt idx="238">
                  <c:v>6.2623999999999999E-2</c:v>
                </c:pt>
                <c:pt idx="239">
                  <c:v>6.2736E-2</c:v>
                </c:pt>
                <c:pt idx="240">
                  <c:v>6.2845999999999999E-2</c:v>
                </c:pt>
                <c:pt idx="241">
                  <c:v>6.2958E-2</c:v>
                </c:pt>
                <c:pt idx="242">
                  <c:v>6.3070000000000001E-2</c:v>
                </c:pt>
                <c:pt idx="243">
                  <c:v>6.3177999999999998E-2</c:v>
                </c:pt>
                <c:pt idx="244">
                  <c:v>6.3315999999999997E-2</c:v>
                </c:pt>
                <c:pt idx="245">
                  <c:v>6.3427999999999998E-2</c:v>
                </c:pt>
                <c:pt idx="246">
                  <c:v>6.3539999999999999E-2</c:v>
                </c:pt>
                <c:pt idx="247">
                  <c:v>6.3624E-2</c:v>
                </c:pt>
                <c:pt idx="248">
                  <c:v>6.3736000000000001E-2</c:v>
                </c:pt>
                <c:pt idx="249">
                  <c:v>6.3846E-2</c:v>
                </c:pt>
                <c:pt idx="250">
                  <c:v>6.3955999999999999E-2</c:v>
                </c:pt>
                <c:pt idx="251">
                  <c:v>6.4065999999999998E-2</c:v>
                </c:pt>
                <c:pt idx="252">
                  <c:v>6.4177999999999999E-2</c:v>
                </c:pt>
                <c:pt idx="253">
                  <c:v>6.429E-2</c:v>
                </c:pt>
                <c:pt idx="254">
                  <c:v>6.4402000000000001E-2</c:v>
                </c:pt>
                <c:pt idx="255">
                  <c:v>6.4512E-2</c:v>
                </c:pt>
                <c:pt idx="256">
                  <c:v>6.4624000000000001E-2</c:v>
                </c:pt>
                <c:pt idx="257">
                  <c:v>6.4706E-2</c:v>
                </c:pt>
                <c:pt idx="258">
                  <c:v>6.4818000000000001E-2</c:v>
                </c:pt>
                <c:pt idx="259">
                  <c:v>6.4899999999999999E-2</c:v>
                </c:pt>
                <c:pt idx="260">
                  <c:v>6.5012E-2</c:v>
                </c:pt>
                <c:pt idx="261">
                  <c:v>6.5096000000000001E-2</c:v>
                </c:pt>
                <c:pt idx="262">
                  <c:v>6.5208000000000002E-2</c:v>
                </c:pt>
                <c:pt idx="263">
                  <c:v>6.5318000000000001E-2</c:v>
                </c:pt>
                <c:pt idx="264">
                  <c:v>6.5402000000000002E-2</c:v>
                </c:pt>
                <c:pt idx="265">
                  <c:v>6.5512000000000001E-2</c:v>
                </c:pt>
                <c:pt idx="266">
                  <c:v>6.5594E-2</c:v>
                </c:pt>
                <c:pt idx="267">
                  <c:v>6.5706000000000001E-2</c:v>
                </c:pt>
                <c:pt idx="268">
                  <c:v>6.5787999999999999E-2</c:v>
                </c:pt>
                <c:pt idx="269">
                  <c:v>6.5872E-2</c:v>
                </c:pt>
                <c:pt idx="270">
                  <c:v>6.5984000000000001E-2</c:v>
                </c:pt>
                <c:pt idx="271">
                  <c:v>6.6094E-2</c:v>
                </c:pt>
                <c:pt idx="272">
                  <c:v>6.6178000000000001E-2</c:v>
                </c:pt>
                <c:pt idx="273">
                  <c:v>6.6262000000000001E-2</c:v>
                </c:pt>
                <c:pt idx="274">
                  <c:v>6.6346000000000002E-2</c:v>
                </c:pt>
                <c:pt idx="275">
                  <c:v>6.6458000000000003E-2</c:v>
                </c:pt>
                <c:pt idx="276">
                  <c:v>6.6568000000000002E-2</c:v>
                </c:pt>
                <c:pt idx="277">
                  <c:v>6.6651999999999989E-2</c:v>
                </c:pt>
                <c:pt idx="278">
                  <c:v>6.6734000000000002E-2</c:v>
                </c:pt>
                <c:pt idx="279">
                  <c:v>6.6874000000000003E-2</c:v>
                </c:pt>
                <c:pt idx="280">
                  <c:v>6.7012000000000002E-2</c:v>
                </c:pt>
                <c:pt idx="281">
                  <c:v>6.7150000000000001E-2</c:v>
                </c:pt>
                <c:pt idx="282">
                  <c:v>6.7290000000000003E-2</c:v>
                </c:pt>
                <c:pt idx="283">
                  <c:v>6.7402000000000004E-2</c:v>
                </c:pt>
                <c:pt idx="284">
                  <c:v>6.7539999999999989E-2</c:v>
                </c:pt>
                <c:pt idx="285">
                  <c:v>6.7680000000000004E-2</c:v>
                </c:pt>
                <c:pt idx="286">
                  <c:v>6.7816000000000001E-2</c:v>
                </c:pt>
                <c:pt idx="287">
                  <c:v>6.7928000000000002E-2</c:v>
                </c:pt>
                <c:pt idx="288">
                  <c:v>6.8066000000000002E-2</c:v>
                </c:pt>
                <c:pt idx="289">
                  <c:v>6.8208000000000005E-2</c:v>
                </c:pt>
                <c:pt idx="290">
                  <c:v>6.8319999999999992E-2</c:v>
                </c:pt>
                <c:pt idx="291">
                  <c:v>6.8430000000000005E-2</c:v>
                </c:pt>
                <c:pt idx="292">
                  <c:v>6.8566000000000002E-2</c:v>
                </c:pt>
                <c:pt idx="293">
                  <c:v>6.8678000000000003E-2</c:v>
                </c:pt>
                <c:pt idx="294">
                  <c:v>6.878999999999999E-2</c:v>
                </c:pt>
                <c:pt idx="295">
                  <c:v>6.8929999999999991E-2</c:v>
                </c:pt>
                <c:pt idx="296">
                  <c:v>6.9067999999999991E-2</c:v>
                </c:pt>
                <c:pt idx="297">
                  <c:v>6.9178000000000003E-2</c:v>
                </c:pt>
                <c:pt idx="298">
                  <c:v>6.9318000000000005E-2</c:v>
                </c:pt>
                <c:pt idx="299">
                  <c:v>6.9428000000000004E-2</c:v>
                </c:pt>
                <c:pt idx="300">
                  <c:v>6.9539999999999991E-2</c:v>
                </c:pt>
                <c:pt idx="301">
                  <c:v>6.9650000000000004E-2</c:v>
                </c:pt>
                <c:pt idx="302">
                  <c:v>6.9762000000000005E-2</c:v>
                </c:pt>
                <c:pt idx="303">
                  <c:v>6.9874000000000006E-2</c:v>
                </c:pt>
                <c:pt idx="304">
                  <c:v>6.9985999999999993E-2</c:v>
                </c:pt>
                <c:pt idx="305">
                  <c:v>7.0095999999999992E-2</c:v>
                </c:pt>
                <c:pt idx="306">
                  <c:v>7.0206000000000005E-2</c:v>
                </c:pt>
                <c:pt idx="307">
                  <c:v>7.0316000000000004E-2</c:v>
                </c:pt>
                <c:pt idx="308">
                  <c:v>7.0427999999999991E-2</c:v>
                </c:pt>
                <c:pt idx="309">
                  <c:v>7.0540000000000005E-2</c:v>
                </c:pt>
                <c:pt idx="310">
                  <c:v>7.0651999999999993E-2</c:v>
                </c:pt>
                <c:pt idx="311">
                  <c:v>7.0762000000000005E-2</c:v>
                </c:pt>
                <c:pt idx="312">
                  <c:v>7.0872000000000004E-2</c:v>
                </c:pt>
                <c:pt idx="313">
                  <c:v>7.0983999999999992E-2</c:v>
                </c:pt>
                <c:pt idx="314">
                  <c:v>7.1096000000000006E-2</c:v>
                </c:pt>
                <c:pt idx="315">
                  <c:v>7.1207999999999994E-2</c:v>
                </c:pt>
                <c:pt idx="316">
                  <c:v>7.1318000000000006E-2</c:v>
                </c:pt>
                <c:pt idx="317">
                  <c:v>7.1429999999999993E-2</c:v>
                </c:pt>
                <c:pt idx="318">
                  <c:v>7.1539999999999992E-2</c:v>
                </c:pt>
                <c:pt idx="319">
                  <c:v>7.1650000000000005E-2</c:v>
                </c:pt>
                <c:pt idx="320">
                  <c:v>7.1788000000000005E-2</c:v>
                </c:pt>
                <c:pt idx="321">
                  <c:v>7.1929999999999994E-2</c:v>
                </c:pt>
                <c:pt idx="322">
                  <c:v>7.2068000000000007E-2</c:v>
                </c:pt>
                <c:pt idx="323">
                  <c:v>7.2207999999999994E-2</c:v>
                </c:pt>
                <c:pt idx="324">
                  <c:v>7.2346000000000008E-2</c:v>
                </c:pt>
                <c:pt idx="325">
                  <c:v>7.2481999999999991E-2</c:v>
                </c:pt>
                <c:pt idx="326">
                  <c:v>7.2622000000000006E-2</c:v>
                </c:pt>
                <c:pt idx="327">
                  <c:v>7.2762000000000007E-2</c:v>
                </c:pt>
                <c:pt idx="328">
                  <c:v>7.2900000000000006E-2</c:v>
                </c:pt>
                <c:pt idx="329">
                  <c:v>7.3040000000000008E-2</c:v>
                </c:pt>
                <c:pt idx="330">
                  <c:v>7.3178000000000007E-2</c:v>
                </c:pt>
                <c:pt idx="331">
                  <c:v>7.3315999999999992E-2</c:v>
                </c:pt>
                <c:pt idx="332">
                  <c:v>7.3456000000000007E-2</c:v>
                </c:pt>
                <c:pt idx="333">
                  <c:v>7.3567999999999995E-2</c:v>
                </c:pt>
                <c:pt idx="334">
                  <c:v>7.3707999999999996E-2</c:v>
                </c:pt>
                <c:pt idx="335">
                  <c:v>7.3817999999999995E-2</c:v>
                </c:pt>
                <c:pt idx="336">
                  <c:v>7.3955999999999994E-2</c:v>
                </c:pt>
                <c:pt idx="337">
                  <c:v>7.4067999999999995E-2</c:v>
                </c:pt>
                <c:pt idx="338">
                  <c:v>7.4177999999999994E-2</c:v>
                </c:pt>
                <c:pt idx="339">
                  <c:v>7.4290000000000009E-2</c:v>
                </c:pt>
                <c:pt idx="340">
                  <c:v>7.4429999999999996E-2</c:v>
                </c:pt>
                <c:pt idx="341">
                  <c:v>7.4539999999999995E-2</c:v>
                </c:pt>
                <c:pt idx="342">
                  <c:v>7.4651999999999996E-2</c:v>
                </c:pt>
                <c:pt idx="343">
                  <c:v>7.4759999999999993E-2</c:v>
                </c:pt>
                <c:pt idx="344">
                  <c:v>7.4871999999999994E-2</c:v>
                </c:pt>
                <c:pt idx="345">
                  <c:v>7.5011999999999995E-2</c:v>
                </c:pt>
                <c:pt idx="346">
                  <c:v>7.512400000000001E-2</c:v>
                </c:pt>
                <c:pt idx="347">
                  <c:v>7.5233999999999995E-2</c:v>
                </c:pt>
                <c:pt idx="348">
                  <c:v>7.5345999999999996E-2</c:v>
                </c:pt>
                <c:pt idx="349">
                  <c:v>7.5457999999999997E-2</c:v>
                </c:pt>
                <c:pt idx="350">
                  <c:v>7.5593999999999995E-2</c:v>
                </c:pt>
                <c:pt idx="351">
                  <c:v>7.573400000000001E-2</c:v>
                </c:pt>
                <c:pt idx="352">
                  <c:v>7.5873999999999997E-2</c:v>
                </c:pt>
                <c:pt idx="353">
                  <c:v>7.6009999999999994E-2</c:v>
                </c:pt>
                <c:pt idx="354">
                  <c:v>7.6151999999999997E-2</c:v>
                </c:pt>
                <c:pt idx="355">
                  <c:v>7.6289999999999997E-2</c:v>
                </c:pt>
                <c:pt idx="356">
                  <c:v>7.6427999999999996E-2</c:v>
                </c:pt>
                <c:pt idx="357">
                  <c:v>7.6567999999999997E-2</c:v>
                </c:pt>
                <c:pt idx="358">
                  <c:v>7.6707999999999998E-2</c:v>
                </c:pt>
                <c:pt idx="359">
                  <c:v>7.6845999999999998E-2</c:v>
                </c:pt>
                <c:pt idx="360">
                  <c:v>7.6985999999999999E-2</c:v>
                </c:pt>
                <c:pt idx="361">
                  <c:v>7.7121999999999996E-2</c:v>
                </c:pt>
                <c:pt idx="362">
                  <c:v>7.7259999999999995E-2</c:v>
                </c:pt>
                <c:pt idx="363">
                  <c:v>7.7399999999999997E-2</c:v>
                </c:pt>
                <c:pt idx="364">
                  <c:v>7.7539999999999998E-2</c:v>
                </c:pt>
                <c:pt idx="365">
                  <c:v>7.7679999999999999E-2</c:v>
                </c:pt>
                <c:pt idx="366">
                  <c:v>7.7817999999999998E-2</c:v>
                </c:pt>
                <c:pt idx="367">
                  <c:v>7.7955999999999998E-2</c:v>
                </c:pt>
                <c:pt idx="368">
                  <c:v>7.8095999999999999E-2</c:v>
                </c:pt>
                <c:pt idx="369">
                  <c:v>7.8236E-2</c:v>
                </c:pt>
                <c:pt idx="370">
                  <c:v>7.8373999999999999E-2</c:v>
                </c:pt>
                <c:pt idx="371">
                  <c:v>7.8511999999999998E-2</c:v>
                </c:pt>
                <c:pt idx="372">
                  <c:v>7.8652E-2</c:v>
                </c:pt>
                <c:pt idx="373">
                  <c:v>7.8787999999999997E-2</c:v>
                </c:pt>
                <c:pt idx="374">
                  <c:v>7.8955999999999998E-2</c:v>
                </c:pt>
                <c:pt idx="375">
                  <c:v>7.9093999999999998E-2</c:v>
                </c:pt>
                <c:pt idx="376">
                  <c:v>7.9261999999999999E-2</c:v>
                </c:pt>
                <c:pt idx="377">
                  <c:v>7.9399999999999998E-2</c:v>
                </c:pt>
                <c:pt idx="378">
                  <c:v>7.954E-2</c:v>
                </c:pt>
                <c:pt idx="379">
                  <c:v>7.9705999999999999E-2</c:v>
                </c:pt>
                <c:pt idx="380">
                  <c:v>7.9874000000000001E-2</c:v>
                </c:pt>
                <c:pt idx="381">
                  <c:v>8.0012000000000014E-2</c:v>
                </c:pt>
                <c:pt idx="382">
                  <c:v>8.0149999999999999E-2</c:v>
                </c:pt>
                <c:pt idx="383">
                  <c:v>8.029E-2</c:v>
                </c:pt>
                <c:pt idx="384">
                  <c:v>8.0429999999999988E-2</c:v>
                </c:pt>
                <c:pt idx="385">
                  <c:v>8.0568000000000015E-2</c:v>
                </c:pt>
                <c:pt idx="386">
                  <c:v>8.0708000000000002E-2</c:v>
                </c:pt>
                <c:pt idx="387">
                  <c:v>8.0846000000000001E-2</c:v>
                </c:pt>
                <c:pt idx="388">
                  <c:v>8.0981999999999998E-2</c:v>
                </c:pt>
                <c:pt idx="389">
                  <c:v>8.1122E-2</c:v>
                </c:pt>
                <c:pt idx="390">
                  <c:v>8.1262000000000001E-2</c:v>
                </c:pt>
                <c:pt idx="391">
                  <c:v>8.1402000000000002E-2</c:v>
                </c:pt>
                <c:pt idx="392">
                  <c:v>8.1541999999999989E-2</c:v>
                </c:pt>
                <c:pt idx="393">
                  <c:v>8.1678000000000001E-2</c:v>
                </c:pt>
                <c:pt idx="394">
                  <c:v>8.1846000000000002E-2</c:v>
                </c:pt>
                <c:pt idx="395">
                  <c:v>8.2012000000000002E-2</c:v>
                </c:pt>
                <c:pt idx="396">
                  <c:v>8.2180000000000003E-2</c:v>
                </c:pt>
                <c:pt idx="397">
                  <c:v>8.2318000000000002E-2</c:v>
                </c:pt>
                <c:pt idx="398">
                  <c:v>8.2484000000000002E-2</c:v>
                </c:pt>
                <c:pt idx="399">
                  <c:v>8.2622000000000001E-2</c:v>
                </c:pt>
                <c:pt idx="400">
                  <c:v>8.2790000000000002E-2</c:v>
                </c:pt>
                <c:pt idx="401">
                  <c:v>8.2928000000000002E-2</c:v>
                </c:pt>
                <c:pt idx="402">
                  <c:v>8.3096000000000003E-2</c:v>
                </c:pt>
                <c:pt idx="403">
                  <c:v>8.3233999999999989E-2</c:v>
                </c:pt>
                <c:pt idx="404">
                  <c:v>8.3374000000000004E-2</c:v>
                </c:pt>
                <c:pt idx="405">
                  <c:v>8.3512000000000003E-2</c:v>
                </c:pt>
                <c:pt idx="406">
                  <c:v>8.3650000000000002E-2</c:v>
                </c:pt>
                <c:pt idx="407">
                  <c:v>8.3789999999999989E-2</c:v>
                </c:pt>
                <c:pt idx="408">
                  <c:v>8.3930000000000005E-2</c:v>
                </c:pt>
                <c:pt idx="409">
                  <c:v>8.4065999999999988E-2</c:v>
                </c:pt>
                <c:pt idx="410">
                  <c:v>8.4206000000000003E-2</c:v>
                </c:pt>
                <c:pt idx="411">
                  <c:v>8.434599999999999E-2</c:v>
                </c:pt>
                <c:pt idx="412">
                  <c:v>8.4512000000000004E-2</c:v>
                </c:pt>
                <c:pt idx="413">
                  <c:v>8.4680000000000005E-2</c:v>
                </c:pt>
                <c:pt idx="414">
                  <c:v>8.4844000000000003E-2</c:v>
                </c:pt>
                <c:pt idx="415">
                  <c:v>8.5009999999999988E-2</c:v>
                </c:pt>
                <c:pt idx="416">
                  <c:v>8.5180000000000006E-2</c:v>
                </c:pt>
                <c:pt idx="417">
                  <c:v>8.5345999999999991E-2</c:v>
                </c:pt>
                <c:pt idx="418">
                  <c:v>8.5511999999999991E-2</c:v>
                </c:pt>
                <c:pt idx="419">
                  <c:v>8.5679999999999992E-2</c:v>
                </c:pt>
                <c:pt idx="420">
                  <c:v>8.5844000000000004E-2</c:v>
                </c:pt>
                <c:pt idx="421">
                  <c:v>8.6013999999999993E-2</c:v>
                </c:pt>
                <c:pt idx="422">
                  <c:v>8.6180000000000007E-2</c:v>
                </c:pt>
                <c:pt idx="423">
                  <c:v>8.634399999999999E-2</c:v>
                </c:pt>
                <c:pt idx="424">
                  <c:v>8.6511999999999992E-2</c:v>
                </c:pt>
                <c:pt idx="425">
                  <c:v>8.6677999999999991E-2</c:v>
                </c:pt>
                <c:pt idx="426">
                  <c:v>8.6845999999999993E-2</c:v>
                </c:pt>
                <c:pt idx="427">
                  <c:v>8.7040000000000006E-2</c:v>
                </c:pt>
                <c:pt idx="428">
                  <c:v>8.7205999999999992E-2</c:v>
                </c:pt>
                <c:pt idx="429">
                  <c:v>8.7400000000000005E-2</c:v>
                </c:pt>
                <c:pt idx="430">
                  <c:v>8.7593999999999991E-2</c:v>
                </c:pt>
                <c:pt idx="431">
                  <c:v>8.7761999999999993E-2</c:v>
                </c:pt>
                <c:pt idx="432">
                  <c:v>8.7956000000000006E-2</c:v>
                </c:pt>
                <c:pt idx="433">
                  <c:v>8.8122000000000006E-2</c:v>
                </c:pt>
                <c:pt idx="434">
                  <c:v>8.8290000000000007E-2</c:v>
                </c:pt>
                <c:pt idx="435">
                  <c:v>8.8458000000000009E-2</c:v>
                </c:pt>
                <c:pt idx="436">
                  <c:v>8.8650000000000007E-2</c:v>
                </c:pt>
                <c:pt idx="437">
                  <c:v>8.8818000000000008E-2</c:v>
                </c:pt>
                <c:pt idx="438">
                  <c:v>8.8985999999999996E-2</c:v>
                </c:pt>
                <c:pt idx="439">
                  <c:v>8.9152000000000009E-2</c:v>
                </c:pt>
                <c:pt idx="440">
                  <c:v>8.9318000000000008E-2</c:v>
                </c:pt>
                <c:pt idx="441">
                  <c:v>8.9511999999999994E-2</c:v>
                </c:pt>
                <c:pt idx="442">
                  <c:v>8.970800000000001E-2</c:v>
                </c:pt>
                <c:pt idx="443">
                  <c:v>8.9901999999999996E-2</c:v>
                </c:pt>
                <c:pt idx="444">
                  <c:v>9.0096000000000009E-2</c:v>
                </c:pt>
                <c:pt idx="445">
                  <c:v>9.0288000000000007E-2</c:v>
                </c:pt>
                <c:pt idx="446">
                  <c:v>9.0456000000000009E-2</c:v>
                </c:pt>
                <c:pt idx="447">
                  <c:v>9.065200000000001E-2</c:v>
                </c:pt>
                <c:pt idx="448">
                  <c:v>9.0845999999999996E-2</c:v>
                </c:pt>
                <c:pt idx="449">
                  <c:v>9.1037999999999994E-2</c:v>
                </c:pt>
                <c:pt idx="450">
                  <c:v>9.1233999999999996E-2</c:v>
                </c:pt>
                <c:pt idx="451">
                  <c:v>9.1400000000000009E-2</c:v>
                </c:pt>
                <c:pt idx="452">
                  <c:v>9.1569999999999999E-2</c:v>
                </c:pt>
                <c:pt idx="453">
                  <c:v>9.1761999999999996E-2</c:v>
                </c:pt>
                <c:pt idx="454">
                  <c:v>9.195600000000001E-2</c:v>
                </c:pt>
                <c:pt idx="455">
                  <c:v>9.2149999999999996E-2</c:v>
                </c:pt>
                <c:pt idx="456">
                  <c:v>9.2345999999999998E-2</c:v>
                </c:pt>
                <c:pt idx="457">
                  <c:v>9.2539999999999997E-2</c:v>
                </c:pt>
                <c:pt idx="458">
                  <c:v>9.2734000000000011E-2</c:v>
                </c:pt>
                <c:pt idx="459">
                  <c:v>9.2929999999999999E-2</c:v>
                </c:pt>
                <c:pt idx="460">
                  <c:v>9.3123999999999998E-2</c:v>
                </c:pt>
                <c:pt idx="461">
                  <c:v>9.3317999999999998E-2</c:v>
                </c:pt>
                <c:pt idx="462">
                  <c:v>9.3511999999999998E-2</c:v>
                </c:pt>
                <c:pt idx="463">
                  <c:v>9.3705999999999998E-2</c:v>
                </c:pt>
                <c:pt idx="464">
                  <c:v>9.3930000000000013E-2</c:v>
                </c:pt>
                <c:pt idx="465">
                  <c:v>9.4149999999999998E-2</c:v>
                </c:pt>
                <c:pt idx="466">
                  <c:v>9.4374E-2</c:v>
                </c:pt>
                <c:pt idx="467">
                  <c:v>9.4570000000000001E-2</c:v>
                </c:pt>
                <c:pt idx="468">
                  <c:v>9.4787999999999997E-2</c:v>
                </c:pt>
                <c:pt idx="469">
                  <c:v>9.4983999999999999E-2</c:v>
                </c:pt>
                <c:pt idx="470">
                  <c:v>9.5208000000000001E-2</c:v>
                </c:pt>
                <c:pt idx="471">
                  <c:v>9.5402000000000001E-2</c:v>
                </c:pt>
                <c:pt idx="472">
                  <c:v>9.5624000000000001E-2</c:v>
                </c:pt>
                <c:pt idx="473">
                  <c:v>9.5818E-2</c:v>
                </c:pt>
                <c:pt idx="474">
                  <c:v>9.6039999999999986E-2</c:v>
                </c:pt>
                <c:pt idx="475">
                  <c:v>9.6262000000000014E-2</c:v>
                </c:pt>
                <c:pt idx="476">
                  <c:v>9.6481999999999998E-2</c:v>
                </c:pt>
                <c:pt idx="477">
                  <c:v>9.6708000000000002E-2</c:v>
                </c:pt>
                <c:pt idx="478">
                  <c:v>9.6930000000000002E-2</c:v>
                </c:pt>
                <c:pt idx="479">
                  <c:v>9.7151999999999988E-2</c:v>
                </c:pt>
                <c:pt idx="480">
                  <c:v>9.7373999999999988E-2</c:v>
                </c:pt>
                <c:pt idx="481">
                  <c:v>9.7596000000000002E-2</c:v>
                </c:pt>
                <c:pt idx="482">
                  <c:v>9.7815999999999986E-2</c:v>
                </c:pt>
                <c:pt idx="483">
                  <c:v>9.8038000000000014E-2</c:v>
                </c:pt>
                <c:pt idx="484">
                  <c:v>9.8262000000000002E-2</c:v>
                </c:pt>
                <c:pt idx="485">
                  <c:v>9.8484000000000002E-2</c:v>
                </c:pt>
                <c:pt idx="486">
                  <c:v>9.8706000000000002E-2</c:v>
                </c:pt>
                <c:pt idx="487">
                  <c:v>9.8930000000000004E-2</c:v>
                </c:pt>
                <c:pt idx="488">
                  <c:v>9.9152000000000004E-2</c:v>
                </c:pt>
                <c:pt idx="489">
                  <c:v>9.9372000000000002E-2</c:v>
                </c:pt>
                <c:pt idx="490">
                  <c:v>9.9594000000000002E-2</c:v>
                </c:pt>
                <c:pt idx="491">
                  <c:v>9.9818000000000004E-2</c:v>
                </c:pt>
                <c:pt idx="492">
                  <c:v>0.10004200000000001</c:v>
                </c:pt>
                <c:pt idx="493">
                  <c:v>0.10029</c:v>
                </c:pt>
                <c:pt idx="494">
                  <c:v>0.10054</c:v>
                </c:pt>
                <c:pt idx="495">
                  <c:v>0.10079200000000001</c:v>
                </c:pt>
                <c:pt idx="496">
                  <c:v>0.101012</c:v>
                </c:pt>
                <c:pt idx="497">
                  <c:v>0.101234</c:v>
                </c:pt>
                <c:pt idx="498">
                  <c:v>0.101456</c:v>
                </c:pt>
                <c:pt idx="499">
                  <c:v>0.10167799999999999</c:v>
                </c:pt>
                <c:pt idx="500">
                  <c:v>0.10192999999999999</c:v>
                </c:pt>
                <c:pt idx="501">
                  <c:v>0.102178</c:v>
                </c:pt>
                <c:pt idx="502">
                  <c:v>0.10242800000000001</c:v>
                </c:pt>
                <c:pt idx="503">
                  <c:v>0.10267799999999999</c:v>
                </c:pt>
                <c:pt idx="504">
                  <c:v>0.10292999999999999</c:v>
                </c:pt>
                <c:pt idx="505">
                  <c:v>0.10315200000000001</c:v>
                </c:pt>
                <c:pt idx="506">
                  <c:v>0.10339999999999999</c:v>
                </c:pt>
                <c:pt idx="507">
                  <c:v>0.10362199999999999</c:v>
                </c:pt>
                <c:pt idx="508">
                  <c:v>0.10387600000000001</c:v>
                </c:pt>
                <c:pt idx="509">
                  <c:v>0.10412200000000001</c:v>
                </c:pt>
                <c:pt idx="510">
                  <c:v>0.10437400000000001</c:v>
                </c:pt>
                <c:pt idx="511">
                  <c:v>0.10462400000000001</c:v>
                </c:pt>
                <c:pt idx="512">
                  <c:v>0.10487199999999999</c:v>
                </c:pt>
                <c:pt idx="513">
                  <c:v>0.105124</c:v>
                </c:pt>
                <c:pt idx="514">
                  <c:v>0.105374</c:v>
                </c:pt>
                <c:pt idx="515">
                  <c:v>0.10565200000000001</c:v>
                </c:pt>
                <c:pt idx="516">
                  <c:v>0.10592800000000001</c:v>
                </c:pt>
                <c:pt idx="517">
                  <c:v>0.10620599999999999</c:v>
                </c:pt>
                <c:pt idx="518">
                  <c:v>0.10648400000000001</c:v>
                </c:pt>
                <c:pt idx="519">
                  <c:v>0.106762</c:v>
                </c:pt>
                <c:pt idx="520">
                  <c:v>0.107012</c:v>
                </c:pt>
                <c:pt idx="521">
                  <c:v>0.10729</c:v>
                </c:pt>
                <c:pt idx="522">
                  <c:v>0.107568</c:v>
                </c:pt>
                <c:pt idx="523">
                  <c:v>0.107844</c:v>
                </c:pt>
                <c:pt idx="524">
                  <c:v>0.10812200000000001</c:v>
                </c:pt>
                <c:pt idx="525">
                  <c:v>0.108402</c:v>
                </c:pt>
                <c:pt idx="526">
                  <c:v>0.10867800000000001</c:v>
                </c:pt>
                <c:pt idx="527">
                  <c:v>0.108956</c:v>
                </c:pt>
                <c:pt idx="528">
                  <c:v>0.109236</c:v>
                </c:pt>
                <c:pt idx="529">
                  <c:v>0.10951000000000001</c:v>
                </c:pt>
                <c:pt idx="530">
                  <c:v>0.109816</c:v>
                </c:pt>
                <c:pt idx="531">
                  <c:v>0.11009600000000001</c:v>
                </c:pt>
                <c:pt idx="532">
                  <c:v>0.110374</c:v>
                </c:pt>
                <c:pt idx="533">
                  <c:v>0.11065</c:v>
                </c:pt>
                <c:pt idx="534">
                  <c:v>0.110928</c:v>
                </c:pt>
                <c:pt idx="535">
                  <c:v>0.111236</c:v>
                </c:pt>
                <c:pt idx="536">
                  <c:v>0.111514</c:v>
                </c:pt>
                <c:pt idx="537">
                  <c:v>0.11181800000000001</c:v>
                </c:pt>
                <c:pt idx="538">
                  <c:v>0.112096</c:v>
                </c:pt>
                <c:pt idx="539">
                  <c:v>0.11237399999999999</c:v>
                </c:pt>
                <c:pt idx="540">
                  <c:v>0.11265</c:v>
                </c:pt>
                <c:pt idx="541">
                  <c:v>0.112958</c:v>
                </c:pt>
                <c:pt idx="542">
                  <c:v>0.11326</c:v>
                </c:pt>
                <c:pt idx="543">
                  <c:v>0.113568</c:v>
                </c:pt>
                <c:pt idx="544">
                  <c:v>0.11387399999999999</c:v>
                </c:pt>
                <c:pt idx="545">
                  <c:v>0.114178</c:v>
                </c:pt>
                <c:pt idx="546">
                  <c:v>0.114482</c:v>
                </c:pt>
                <c:pt idx="547">
                  <c:v>0.114788</c:v>
                </c:pt>
                <c:pt idx="548">
                  <c:v>0.11509399999999999</c:v>
                </c:pt>
                <c:pt idx="549">
                  <c:v>0.11542999999999999</c:v>
                </c:pt>
                <c:pt idx="550">
                  <c:v>0.115762</c:v>
                </c:pt>
                <c:pt idx="551">
                  <c:v>0.116096</c:v>
                </c:pt>
                <c:pt idx="552">
                  <c:v>0.11642799999999999</c:v>
                </c:pt>
                <c:pt idx="553">
                  <c:v>0.11676199999999999</c:v>
                </c:pt>
                <c:pt idx="554">
                  <c:v>0.117094</c:v>
                </c:pt>
                <c:pt idx="555">
                  <c:v>0.117428</c:v>
                </c:pt>
                <c:pt idx="556">
                  <c:v>0.11776400000000001</c:v>
                </c:pt>
                <c:pt idx="557">
                  <c:v>0.118094</c:v>
                </c:pt>
                <c:pt idx="558">
                  <c:v>0.11842999999999999</c:v>
                </c:pt>
                <c:pt idx="559">
                  <c:v>0.11876200000000001</c:v>
                </c:pt>
                <c:pt idx="560">
                  <c:v>0.11909599999999999</c:v>
                </c:pt>
                <c:pt idx="561">
                  <c:v>0.119426</c:v>
                </c:pt>
                <c:pt idx="562">
                  <c:v>0.11978999999999999</c:v>
                </c:pt>
                <c:pt idx="563">
                  <c:v>0.12012200000000001</c:v>
                </c:pt>
                <c:pt idx="564">
                  <c:v>0.12048400000000001</c:v>
                </c:pt>
                <c:pt idx="565">
                  <c:v>0.120846</c:v>
                </c:pt>
                <c:pt idx="566">
                  <c:v>0.12117800000000001</c:v>
                </c:pt>
                <c:pt idx="567">
                  <c:v>0.121542</c:v>
                </c:pt>
                <c:pt idx="568">
                  <c:v>0.12189999999999999</c:v>
                </c:pt>
                <c:pt idx="569">
                  <c:v>0.122264</c:v>
                </c:pt>
                <c:pt idx="570">
                  <c:v>0.122624</c:v>
                </c:pt>
                <c:pt idx="571">
                  <c:v>0.12298400000000001</c:v>
                </c:pt>
                <c:pt idx="572">
                  <c:v>0.123346</c:v>
                </c:pt>
                <c:pt idx="573">
                  <c:v>0.12370799999999998</c:v>
                </c:pt>
                <c:pt idx="574">
                  <c:v>0.124066</c:v>
                </c:pt>
                <c:pt idx="575">
                  <c:v>0.124428</c:v>
                </c:pt>
                <c:pt idx="576">
                  <c:v>0.124816</c:v>
                </c:pt>
                <c:pt idx="577">
                  <c:v>0.12520799999999999</c:v>
                </c:pt>
                <c:pt idx="578">
                  <c:v>0.12559599999999999</c:v>
                </c:pt>
                <c:pt idx="579">
                  <c:v>0.12598599999999999</c:v>
                </c:pt>
                <c:pt idx="580">
                  <c:v>0.12637200000000001</c:v>
                </c:pt>
                <c:pt idx="581">
                  <c:v>0.12676199999999999</c:v>
                </c:pt>
                <c:pt idx="582">
                  <c:v>0.12715199999999999</c:v>
                </c:pt>
                <c:pt idx="583">
                  <c:v>0.12753999999999999</c:v>
                </c:pt>
                <c:pt idx="584">
                  <c:v>0.12795600000000001</c:v>
                </c:pt>
                <c:pt idx="585">
                  <c:v>0.12837400000000002</c:v>
                </c:pt>
                <c:pt idx="586">
                  <c:v>0.12878999999999999</c:v>
                </c:pt>
                <c:pt idx="587">
                  <c:v>0.12920799999999999</c:v>
                </c:pt>
                <c:pt idx="588">
                  <c:v>0.12962400000000002</c:v>
                </c:pt>
                <c:pt idx="589">
                  <c:v>0.13004200000000002</c:v>
                </c:pt>
                <c:pt idx="590">
                  <c:v>0.13045600000000002</c:v>
                </c:pt>
                <c:pt idx="591">
                  <c:v>0.13087400000000002</c:v>
                </c:pt>
                <c:pt idx="592">
                  <c:v>0.13128999999999999</c:v>
                </c:pt>
                <c:pt idx="593">
                  <c:v>0.13170599999999999</c:v>
                </c:pt>
                <c:pt idx="594">
                  <c:v>0.13212400000000002</c:v>
                </c:pt>
                <c:pt idx="595">
                  <c:v>0.13253999999999999</c:v>
                </c:pt>
                <c:pt idx="596">
                  <c:v>0.13295799999999999</c:v>
                </c:pt>
                <c:pt idx="597">
                  <c:v>0.13337199999999999</c:v>
                </c:pt>
                <c:pt idx="598">
                  <c:v>0.13379200000000002</c:v>
                </c:pt>
                <c:pt idx="599">
                  <c:v>0.13423400000000002</c:v>
                </c:pt>
                <c:pt idx="600">
                  <c:v>0.13467999999999999</c:v>
                </c:pt>
                <c:pt idx="601">
                  <c:v>0.13512399999999999</c:v>
                </c:pt>
                <c:pt idx="602">
                  <c:v>0.13556599999999999</c:v>
                </c:pt>
                <c:pt idx="603">
                  <c:v>0.13603999999999999</c:v>
                </c:pt>
                <c:pt idx="604">
                  <c:v>0.13650999999999999</c:v>
                </c:pt>
                <c:pt idx="605">
                  <c:v>0.136986</c:v>
                </c:pt>
                <c:pt idx="606">
                  <c:v>0.13745599999999999</c:v>
                </c:pt>
                <c:pt idx="607">
                  <c:v>0.137928</c:v>
                </c:pt>
                <c:pt idx="608">
                  <c:v>0.138402</c:v>
                </c:pt>
                <c:pt idx="609">
                  <c:v>0.138872</c:v>
                </c:pt>
                <c:pt idx="610">
                  <c:v>0.139372</c:v>
                </c:pt>
                <c:pt idx="611">
                  <c:v>0.139874</c:v>
                </c:pt>
                <c:pt idx="612">
                  <c:v>0.140344</c:v>
                </c:pt>
                <c:pt idx="613">
                  <c:v>0.140846</c:v>
                </c:pt>
                <c:pt idx="614">
                  <c:v>0.141346</c:v>
                </c:pt>
                <c:pt idx="615">
                  <c:v>0.141846</c:v>
                </c:pt>
                <c:pt idx="616">
                  <c:v>0.142346</c:v>
                </c:pt>
                <c:pt idx="617">
                  <c:v>0.142846</c:v>
                </c:pt>
                <c:pt idx="618">
                  <c:v>0.143344</c:v>
                </c:pt>
                <c:pt idx="619">
                  <c:v>0.143846</c:v>
                </c:pt>
                <c:pt idx="620">
                  <c:v>0.144372</c:v>
                </c:pt>
                <c:pt idx="621">
                  <c:v>0.1449</c:v>
                </c:pt>
                <c:pt idx="622">
                  <c:v>0.145458</c:v>
                </c:pt>
                <c:pt idx="623">
                  <c:v>0.146012</c:v>
                </c:pt>
                <c:pt idx="624">
                  <c:v>0.146568</c:v>
                </c:pt>
                <c:pt idx="625">
                  <c:v>0.147124</c:v>
                </c:pt>
                <c:pt idx="626">
                  <c:v>0.14770800000000001</c:v>
                </c:pt>
                <c:pt idx="627">
                  <c:v>0.14829000000000001</c:v>
                </c:pt>
                <c:pt idx="628">
                  <c:v>0.14887400000000001</c:v>
                </c:pt>
                <c:pt idx="629">
                  <c:v>0.14948400000000001</c:v>
                </c:pt>
                <c:pt idx="630">
                  <c:v>0.15009600000000001</c:v>
                </c:pt>
                <c:pt idx="631">
                  <c:v>0.15070800000000001</c:v>
                </c:pt>
                <c:pt idx="632">
                  <c:v>0.15131800000000001</c:v>
                </c:pt>
                <c:pt idx="633">
                  <c:v>0.15192800000000001</c:v>
                </c:pt>
                <c:pt idx="634">
                  <c:v>0.15256800000000001</c:v>
                </c:pt>
                <c:pt idx="635">
                  <c:v>0.15323399999999998</c:v>
                </c:pt>
                <c:pt idx="636">
                  <c:v>0.15390200000000001</c:v>
                </c:pt>
                <c:pt idx="637">
                  <c:v>0.15462400000000001</c:v>
                </c:pt>
                <c:pt idx="638">
                  <c:v>0.15537400000000001</c:v>
                </c:pt>
                <c:pt idx="639">
                  <c:v>0.15615199999999999</c:v>
                </c:pt>
                <c:pt idx="640">
                  <c:v>0.15698399999999998</c:v>
                </c:pt>
                <c:pt idx="641">
                  <c:v>0.15781800000000001</c:v>
                </c:pt>
                <c:pt idx="642">
                  <c:v>0.15865000000000001</c:v>
                </c:pt>
                <c:pt idx="643">
                  <c:v>0.15948399999999999</c:v>
                </c:pt>
                <c:pt idx="644">
                  <c:v>0.16031800000000002</c:v>
                </c:pt>
                <c:pt idx="645">
                  <c:v>0.16114999999999999</c:v>
                </c:pt>
                <c:pt idx="646">
                  <c:v>0.16198399999999999</c:v>
                </c:pt>
              </c:numCache>
            </c:numRef>
          </c:cat>
          <c:val>
            <c:numRef>
              <c:f>'A10-4'!$F$2:$F$648</c:f>
              <c:numCache>
                <c:formatCode>0.00</c:formatCode>
                <c:ptCount val="647"/>
                <c:pt idx="0">
                  <c:v>0</c:v>
                </c:pt>
                <c:pt idx="1">
                  <c:v>0.22608327241310558</c:v>
                </c:pt>
                <c:pt idx="2">
                  <c:v>0.22961387652023657</c:v>
                </c:pt>
                <c:pt idx="3">
                  <c:v>0.22961387652023657</c:v>
                </c:pt>
                <c:pt idx="4">
                  <c:v>0.2331652488868213</c:v>
                </c:pt>
                <c:pt idx="5">
                  <c:v>0.24022645710108328</c:v>
                </c:pt>
                <c:pt idx="6">
                  <c:v>0.24375706120821425</c:v>
                </c:pt>
                <c:pt idx="7">
                  <c:v>0.24375706120821425</c:v>
                </c:pt>
                <c:pt idx="8">
                  <c:v>0.24375706120821425</c:v>
                </c:pt>
                <c:pt idx="9">
                  <c:v>0.24728766531534524</c:v>
                </c:pt>
                <c:pt idx="10">
                  <c:v>0.24728766531534524</c:v>
                </c:pt>
                <c:pt idx="11">
                  <c:v>0.24728766531534524</c:v>
                </c:pt>
                <c:pt idx="12">
                  <c:v>0.24728766531534524</c:v>
                </c:pt>
                <c:pt idx="13">
                  <c:v>0.24375706120821425</c:v>
                </c:pt>
                <c:pt idx="14">
                  <c:v>0.24375706120821425</c:v>
                </c:pt>
                <c:pt idx="15">
                  <c:v>0.24728766531534524</c:v>
                </c:pt>
                <c:pt idx="16">
                  <c:v>0.24728766531534524</c:v>
                </c:pt>
                <c:pt idx="17">
                  <c:v>0.24728766531534524</c:v>
                </c:pt>
                <c:pt idx="18">
                  <c:v>0.24728766531534524</c:v>
                </c:pt>
                <c:pt idx="19">
                  <c:v>0.24728766531534524</c:v>
                </c:pt>
                <c:pt idx="20">
                  <c:v>0.24728766531534524</c:v>
                </c:pt>
                <c:pt idx="21">
                  <c:v>0.24728766531534524</c:v>
                </c:pt>
                <c:pt idx="22">
                  <c:v>0.25081826942247626</c:v>
                </c:pt>
                <c:pt idx="23">
                  <c:v>0.25081826942247626</c:v>
                </c:pt>
                <c:pt idx="24">
                  <c:v>0.25081826942247626</c:v>
                </c:pt>
                <c:pt idx="25">
                  <c:v>0.25434887352960722</c:v>
                </c:pt>
                <c:pt idx="26">
                  <c:v>0.25434887352960722</c:v>
                </c:pt>
                <c:pt idx="27">
                  <c:v>0.25787947763673824</c:v>
                </c:pt>
                <c:pt idx="28">
                  <c:v>0.26494068585100017</c:v>
                </c:pt>
                <c:pt idx="29">
                  <c:v>0.27202266232471595</c:v>
                </c:pt>
                <c:pt idx="30">
                  <c:v>0.27908387053897793</c:v>
                </c:pt>
                <c:pt idx="31">
                  <c:v>0.27908387053897793</c:v>
                </c:pt>
                <c:pt idx="32">
                  <c:v>0.28261447464610889</c:v>
                </c:pt>
                <c:pt idx="33">
                  <c:v>0.28261447464610889</c:v>
                </c:pt>
                <c:pt idx="34">
                  <c:v>0.28261447464610889</c:v>
                </c:pt>
                <c:pt idx="35">
                  <c:v>0.28614507875323986</c:v>
                </c:pt>
                <c:pt idx="36">
                  <c:v>0.28614507875323986</c:v>
                </c:pt>
                <c:pt idx="37">
                  <c:v>0.28967568286037082</c:v>
                </c:pt>
                <c:pt idx="38">
                  <c:v>0.28967568286037082</c:v>
                </c:pt>
                <c:pt idx="39">
                  <c:v>0.28967568286037082</c:v>
                </c:pt>
                <c:pt idx="40">
                  <c:v>0.28967568286037082</c:v>
                </c:pt>
                <c:pt idx="41">
                  <c:v>0.29320628696750184</c:v>
                </c:pt>
                <c:pt idx="42">
                  <c:v>0.29320628696750184</c:v>
                </c:pt>
                <c:pt idx="43">
                  <c:v>0.29320628696750184</c:v>
                </c:pt>
                <c:pt idx="44">
                  <c:v>0.29320628696750184</c:v>
                </c:pt>
                <c:pt idx="45">
                  <c:v>0.29320628696750184</c:v>
                </c:pt>
                <c:pt idx="46">
                  <c:v>0.29320628696750184</c:v>
                </c:pt>
                <c:pt idx="47">
                  <c:v>0.29320628696750184</c:v>
                </c:pt>
                <c:pt idx="48">
                  <c:v>0.28967568286037082</c:v>
                </c:pt>
                <c:pt idx="49">
                  <c:v>0.28967568286037082</c:v>
                </c:pt>
                <c:pt idx="50">
                  <c:v>0.29320628696750184</c:v>
                </c:pt>
                <c:pt idx="51">
                  <c:v>0.29320628696750184</c:v>
                </c:pt>
                <c:pt idx="52">
                  <c:v>0.29320628696750184</c:v>
                </c:pt>
                <c:pt idx="53">
                  <c:v>0.29320628696750184</c:v>
                </c:pt>
                <c:pt idx="54">
                  <c:v>0.29320628696750184</c:v>
                </c:pt>
                <c:pt idx="55">
                  <c:v>0.29320628696750184</c:v>
                </c:pt>
                <c:pt idx="56">
                  <c:v>0.29320628696750184</c:v>
                </c:pt>
                <c:pt idx="57">
                  <c:v>0.2967368910746328</c:v>
                </c:pt>
                <c:pt idx="58">
                  <c:v>0.2967368910746328</c:v>
                </c:pt>
                <c:pt idx="59">
                  <c:v>0.2967368910746328</c:v>
                </c:pt>
                <c:pt idx="60">
                  <c:v>0.2967368910746328</c:v>
                </c:pt>
                <c:pt idx="61">
                  <c:v>0.2967368910746328</c:v>
                </c:pt>
                <c:pt idx="62">
                  <c:v>0.2967368910746328</c:v>
                </c:pt>
                <c:pt idx="63">
                  <c:v>0.2967368910746328</c:v>
                </c:pt>
                <c:pt idx="64">
                  <c:v>0.2967368910746328</c:v>
                </c:pt>
                <c:pt idx="65">
                  <c:v>0.2967368910746328</c:v>
                </c:pt>
                <c:pt idx="66">
                  <c:v>0.2967368910746328</c:v>
                </c:pt>
                <c:pt idx="67">
                  <c:v>0.30026749518176382</c:v>
                </c:pt>
                <c:pt idx="68">
                  <c:v>0.30026749518176382</c:v>
                </c:pt>
                <c:pt idx="69">
                  <c:v>0.30026749518176382</c:v>
                </c:pt>
                <c:pt idx="70">
                  <c:v>0.30379809928889479</c:v>
                </c:pt>
                <c:pt idx="71">
                  <c:v>0.30379809928889479</c:v>
                </c:pt>
                <c:pt idx="72">
                  <c:v>0.30379809928889479</c:v>
                </c:pt>
                <c:pt idx="73">
                  <c:v>0.30379809928889479</c:v>
                </c:pt>
                <c:pt idx="74">
                  <c:v>0.30734947165547949</c:v>
                </c:pt>
                <c:pt idx="75">
                  <c:v>0.31088007576261045</c:v>
                </c:pt>
                <c:pt idx="76">
                  <c:v>0.31441067986974147</c:v>
                </c:pt>
                <c:pt idx="77">
                  <c:v>0.31794128397687244</c:v>
                </c:pt>
                <c:pt idx="78">
                  <c:v>0.32147188808400345</c:v>
                </c:pt>
                <c:pt idx="79">
                  <c:v>0.32500249219113442</c:v>
                </c:pt>
                <c:pt idx="80">
                  <c:v>0.33206370040539646</c:v>
                </c:pt>
                <c:pt idx="81">
                  <c:v>0.33912490861965844</c:v>
                </c:pt>
                <c:pt idx="82">
                  <c:v>0.34620688509337411</c:v>
                </c:pt>
                <c:pt idx="83">
                  <c:v>0.35326809330763609</c:v>
                </c:pt>
                <c:pt idx="84">
                  <c:v>0.36032930152189807</c:v>
                </c:pt>
                <c:pt idx="85">
                  <c:v>0.37092111384329102</c:v>
                </c:pt>
                <c:pt idx="86">
                  <c:v>0.37800309031700674</c:v>
                </c:pt>
                <c:pt idx="87">
                  <c:v>0.38506429853126872</c:v>
                </c:pt>
                <c:pt idx="88">
                  <c:v>0.38859490263839969</c:v>
                </c:pt>
                <c:pt idx="89">
                  <c:v>0.39212550674553071</c:v>
                </c:pt>
                <c:pt idx="90">
                  <c:v>0.39565611085266167</c:v>
                </c:pt>
                <c:pt idx="91">
                  <c:v>0.39918671495979269</c:v>
                </c:pt>
                <c:pt idx="92">
                  <c:v>0.40271731906692365</c:v>
                </c:pt>
                <c:pt idx="93">
                  <c:v>0.40271731906692365</c:v>
                </c:pt>
                <c:pt idx="94">
                  <c:v>0.40977852728118569</c:v>
                </c:pt>
                <c:pt idx="95">
                  <c:v>0.41332989964777034</c:v>
                </c:pt>
                <c:pt idx="96">
                  <c:v>0.42039110786203232</c:v>
                </c:pt>
                <c:pt idx="97">
                  <c:v>0.42039110786203232</c:v>
                </c:pt>
                <c:pt idx="98">
                  <c:v>0.42392171196916328</c:v>
                </c:pt>
                <c:pt idx="99">
                  <c:v>0.4274523160762943</c:v>
                </c:pt>
                <c:pt idx="100">
                  <c:v>0.4274523160762943</c:v>
                </c:pt>
                <c:pt idx="101">
                  <c:v>0.43098292018342527</c:v>
                </c:pt>
                <c:pt idx="102">
                  <c:v>0.43098292018342527</c:v>
                </c:pt>
                <c:pt idx="103">
                  <c:v>0.43098292018342527</c:v>
                </c:pt>
                <c:pt idx="104">
                  <c:v>0.43098292018342527</c:v>
                </c:pt>
                <c:pt idx="105">
                  <c:v>0.43098292018342527</c:v>
                </c:pt>
                <c:pt idx="106">
                  <c:v>0.43098292018342527</c:v>
                </c:pt>
                <c:pt idx="107">
                  <c:v>0.43098292018342527</c:v>
                </c:pt>
                <c:pt idx="108">
                  <c:v>0.43098292018342527</c:v>
                </c:pt>
                <c:pt idx="109">
                  <c:v>0.43098292018342527</c:v>
                </c:pt>
                <c:pt idx="110">
                  <c:v>0.43451352429055629</c:v>
                </c:pt>
                <c:pt idx="111">
                  <c:v>0.43804412839768725</c:v>
                </c:pt>
                <c:pt idx="112">
                  <c:v>0.44157473250481821</c:v>
                </c:pt>
                <c:pt idx="113">
                  <c:v>0.44157473250481821</c:v>
                </c:pt>
                <c:pt idx="114">
                  <c:v>0.44510533661194918</c:v>
                </c:pt>
                <c:pt idx="115">
                  <c:v>0.44865670897853399</c:v>
                </c:pt>
                <c:pt idx="116">
                  <c:v>0.45218731308566495</c:v>
                </c:pt>
                <c:pt idx="117">
                  <c:v>0.45924852129992694</c:v>
                </c:pt>
                <c:pt idx="118">
                  <c:v>0.46277912540705796</c:v>
                </c:pt>
                <c:pt idx="119">
                  <c:v>0.47337093772845085</c:v>
                </c:pt>
                <c:pt idx="120">
                  <c:v>0.48398351830929753</c:v>
                </c:pt>
                <c:pt idx="121">
                  <c:v>0.49457533063069048</c:v>
                </c:pt>
                <c:pt idx="122">
                  <c:v>0.50163653884495252</c:v>
                </c:pt>
                <c:pt idx="123">
                  <c:v>0.51575895527347648</c:v>
                </c:pt>
                <c:pt idx="124">
                  <c:v>0.52990213996145408</c:v>
                </c:pt>
                <c:pt idx="125">
                  <c:v>0.54402455638997804</c:v>
                </c:pt>
                <c:pt idx="126">
                  <c:v>0.55463713697082484</c:v>
                </c:pt>
                <c:pt idx="127">
                  <c:v>0.56875955339934869</c:v>
                </c:pt>
                <c:pt idx="128">
                  <c:v>0.58288196982787266</c:v>
                </c:pt>
                <c:pt idx="129">
                  <c:v>0.59702515451585036</c:v>
                </c:pt>
                <c:pt idx="130">
                  <c:v>0.60761696683724331</c:v>
                </c:pt>
                <c:pt idx="131">
                  <c:v>0.62173938326576728</c:v>
                </c:pt>
                <c:pt idx="132">
                  <c:v>0.63588256795374487</c:v>
                </c:pt>
                <c:pt idx="133">
                  <c:v>0.65000498438226884</c:v>
                </c:pt>
                <c:pt idx="134">
                  <c:v>0.66414816907024654</c:v>
                </c:pt>
                <c:pt idx="135">
                  <c:v>0.67827058549877051</c:v>
                </c:pt>
                <c:pt idx="136">
                  <c:v>0.69239300192729447</c:v>
                </c:pt>
                <c:pt idx="137">
                  <c:v>0.70653618661527218</c:v>
                </c:pt>
                <c:pt idx="138">
                  <c:v>0.72065860304379614</c:v>
                </c:pt>
                <c:pt idx="139">
                  <c:v>0.73480178773177385</c:v>
                </c:pt>
                <c:pt idx="140">
                  <c:v>0.7489242041602977</c:v>
                </c:pt>
                <c:pt idx="141">
                  <c:v>0.76304662058882167</c:v>
                </c:pt>
                <c:pt idx="142">
                  <c:v>0.77718980527679937</c:v>
                </c:pt>
                <c:pt idx="143">
                  <c:v>0.79131222170532334</c:v>
                </c:pt>
                <c:pt idx="144">
                  <c:v>0.80545540639330104</c:v>
                </c:pt>
                <c:pt idx="145">
                  <c:v>0.81957782282182501</c:v>
                </c:pt>
                <c:pt idx="146">
                  <c:v>0.83370023925034886</c:v>
                </c:pt>
                <c:pt idx="147">
                  <c:v>0.84784342393832657</c:v>
                </c:pt>
                <c:pt idx="148">
                  <c:v>0.86196584036685053</c:v>
                </c:pt>
                <c:pt idx="149">
                  <c:v>0.87610902505482824</c:v>
                </c:pt>
                <c:pt idx="150">
                  <c:v>0.8902314414833522</c:v>
                </c:pt>
                <c:pt idx="151">
                  <c:v>0.90435385791187617</c:v>
                </c:pt>
                <c:pt idx="152">
                  <c:v>0.91849704259985387</c:v>
                </c:pt>
                <c:pt idx="153">
                  <c:v>0.93261945902837773</c:v>
                </c:pt>
                <c:pt idx="154">
                  <c:v>0.94674187545690169</c:v>
                </c:pt>
                <c:pt idx="155">
                  <c:v>0.96088506014487951</c:v>
                </c:pt>
                <c:pt idx="156">
                  <c:v>0.97500747657340348</c:v>
                </c:pt>
                <c:pt idx="157">
                  <c:v>0.98915066126138096</c:v>
                </c:pt>
                <c:pt idx="158">
                  <c:v>1.003273077689905</c:v>
                </c:pt>
                <c:pt idx="159">
                  <c:v>1.0173954941184289</c:v>
                </c:pt>
                <c:pt idx="160">
                  <c:v>1.0315386788064065</c:v>
                </c:pt>
                <c:pt idx="161">
                  <c:v>1.0456610952349306</c:v>
                </c:pt>
                <c:pt idx="162">
                  <c:v>1.0598042799229082</c:v>
                </c:pt>
                <c:pt idx="163">
                  <c:v>1.0739266963514322</c:v>
                </c:pt>
                <c:pt idx="164">
                  <c:v>1.0880491127799561</c:v>
                </c:pt>
                <c:pt idx="165">
                  <c:v>1.1021922974679337</c:v>
                </c:pt>
                <c:pt idx="166">
                  <c:v>1.1163147138964578</c:v>
                </c:pt>
                <c:pt idx="167">
                  <c:v>1.1304578985844356</c:v>
                </c:pt>
                <c:pt idx="168">
                  <c:v>1.1445803150129594</c:v>
                </c:pt>
                <c:pt idx="169">
                  <c:v>1.1587027314414833</c:v>
                </c:pt>
                <c:pt idx="170">
                  <c:v>1.1728459161294611</c:v>
                </c:pt>
                <c:pt idx="171">
                  <c:v>1.1869683325579852</c:v>
                </c:pt>
                <c:pt idx="172">
                  <c:v>1.2011115172459628</c:v>
                </c:pt>
                <c:pt idx="173">
                  <c:v>1.2152339336744866</c:v>
                </c:pt>
                <c:pt idx="174">
                  <c:v>1.2293563501030107</c:v>
                </c:pt>
                <c:pt idx="175">
                  <c:v>1.2434995347909883</c:v>
                </c:pt>
                <c:pt idx="176">
                  <c:v>1.2576219512195121</c:v>
                </c:pt>
                <c:pt idx="177">
                  <c:v>1.2717651359074897</c:v>
                </c:pt>
                <c:pt idx="178">
                  <c:v>1.2858875523360138</c:v>
                </c:pt>
                <c:pt idx="179">
                  <c:v>1.3000099687645377</c:v>
                </c:pt>
                <c:pt idx="180">
                  <c:v>1.3141531534525157</c:v>
                </c:pt>
                <c:pt idx="181">
                  <c:v>1.3282755698810393</c:v>
                </c:pt>
                <c:pt idx="182">
                  <c:v>1.3424187545690174</c:v>
                </c:pt>
                <c:pt idx="183">
                  <c:v>1.356541170997541</c:v>
                </c:pt>
                <c:pt idx="184">
                  <c:v>1.3706635874260653</c:v>
                </c:pt>
                <c:pt idx="185">
                  <c:v>1.3848067721140427</c:v>
                </c:pt>
                <c:pt idx="186">
                  <c:v>1.3989291885425665</c:v>
                </c:pt>
                <c:pt idx="187">
                  <c:v>1.4130723732305444</c:v>
                </c:pt>
                <c:pt idx="188">
                  <c:v>1.4271947896590682</c:v>
                </c:pt>
                <c:pt idx="189">
                  <c:v>1.4413172060875923</c:v>
                </c:pt>
                <c:pt idx="190">
                  <c:v>1.4554603907755699</c:v>
                </c:pt>
                <c:pt idx="191">
                  <c:v>1.4695828072040937</c:v>
                </c:pt>
                <c:pt idx="192">
                  <c:v>1.4837052236326178</c:v>
                </c:pt>
                <c:pt idx="193">
                  <c:v>1.4978484083205954</c:v>
                </c:pt>
                <c:pt idx="194">
                  <c:v>1.5119708247491195</c:v>
                </c:pt>
                <c:pt idx="195">
                  <c:v>1.5261140094370973</c:v>
                </c:pt>
                <c:pt idx="196">
                  <c:v>1.5402364258656212</c:v>
                </c:pt>
                <c:pt idx="197">
                  <c:v>1.5543588422941452</c:v>
                </c:pt>
                <c:pt idx="198">
                  <c:v>1.5685020269821228</c:v>
                </c:pt>
                <c:pt idx="199">
                  <c:v>1.5826244434106467</c:v>
                </c:pt>
                <c:pt idx="200">
                  <c:v>1.5967676280986245</c:v>
                </c:pt>
                <c:pt idx="201">
                  <c:v>1.6108900445271483</c:v>
                </c:pt>
                <c:pt idx="202">
                  <c:v>1.6250124609556724</c:v>
                </c:pt>
                <c:pt idx="203">
                  <c:v>1.63915564564365</c:v>
                </c:pt>
                <c:pt idx="204">
                  <c:v>1.6532780620721736</c:v>
                </c:pt>
                <c:pt idx="205">
                  <c:v>1.6674212467601517</c:v>
                </c:pt>
                <c:pt idx="206">
                  <c:v>1.6815436631886753</c:v>
                </c:pt>
                <c:pt idx="207">
                  <c:v>1.6956660796171994</c:v>
                </c:pt>
                <c:pt idx="208">
                  <c:v>1.7098092643051772</c:v>
                </c:pt>
                <c:pt idx="209">
                  <c:v>1.7239316807337011</c:v>
                </c:pt>
                <c:pt idx="210">
                  <c:v>1.7380748654216787</c:v>
                </c:pt>
                <c:pt idx="211">
                  <c:v>1.7521972818502027</c:v>
                </c:pt>
                <c:pt idx="212">
                  <c:v>1.7663196982787268</c:v>
                </c:pt>
                <c:pt idx="213">
                  <c:v>1.7804628829667044</c:v>
                </c:pt>
                <c:pt idx="214">
                  <c:v>1.7945852993952283</c:v>
                </c:pt>
                <c:pt idx="215">
                  <c:v>1.8087284840832059</c:v>
                </c:pt>
                <c:pt idx="216">
                  <c:v>1.8228509005117299</c:v>
                </c:pt>
                <c:pt idx="217">
                  <c:v>1.8369733169402538</c:v>
                </c:pt>
                <c:pt idx="218">
                  <c:v>1.8511165016282318</c:v>
                </c:pt>
                <c:pt idx="219">
                  <c:v>1.8652389180567555</c:v>
                </c:pt>
                <c:pt idx="220">
                  <c:v>1.8793821027447333</c:v>
                </c:pt>
                <c:pt idx="221">
                  <c:v>1.8935045191732573</c:v>
                </c:pt>
                <c:pt idx="222">
                  <c:v>1.9076269356017812</c:v>
                </c:pt>
                <c:pt idx="223">
                  <c:v>1.921770120289759</c:v>
                </c:pt>
                <c:pt idx="224">
                  <c:v>1.9358925367182827</c:v>
                </c:pt>
                <c:pt idx="225">
                  <c:v>1.9500357214062602</c:v>
                </c:pt>
                <c:pt idx="226">
                  <c:v>1.9641581378347843</c:v>
                </c:pt>
                <c:pt idx="227">
                  <c:v>1.9782805542633082</c:v>
                </c:pt>
                <c:pt idx="228">
                  <c:v>1.992423738951286</c:v>
                </c:pt>
                <c:pt idx="229">
                  <c:v>2.0065461553798101</c:v>
                </c:pt>
                <c:pt idx="230">
                  <c:v>2.0206893400677877</c:v>
                </c:pt>
                <c:pt idx="231">
                  <c:v>2.0348117564963117</c:v>
                </c:pt>
                <c:pt idx="232">
                  <c:v>2.0489341729248354</c:v>
                </c:pt>
                <c:pt idx="233">
                  <c:v>2.063077357612813</c:v>
                </c:pt>
                <c:pt idx="234">
                  <c:v>2.0772413105602445</c:v>
                </c:pt>
                <c:pt idx="235">
                  <c:v>2.0913637269887686</c:v>
                </c:pt>
                <c:pt idx="236">
                  <c:v>2.1054861434172922</c:v>
                </c:pt>
                <c:pt idx="237">
                  <c:v>2.1196085598458163</c:v>
                </c:pt>
                <c:pt idx="238">
                  <c:v>2.1337309762743404</c:v>
                </c:pt>
                <c:pt idx="239">
                  <c:v>2.1478533927028645</c:v>
                </c:pt>
                <c:pt idx="240">
                  <c:v>2.1619758091313881</c:v>
                </c:pt>
                <c:pt idx="241">
                  <c:v>2.1760982255599122</c:v>
                </c:pt>
                <c:pt idx="242">
                  <c:v>2.1902206419884362</c:v>
                </c:pt>
                <c:pt idx="243">
                  <c:v>2.2043430584169603</c:v>
                </c:pt>
                <c:pt idx="244">
                  <c:v>2.218465474845484</c:v>
                </c:pt>
                <c:pt idx="245">
                  <c:v>2.232587891274008</c:v>
                </c:pt>
                <c:pt idx="246">
                  <c:v>2.2467103077025321</c:v>
                </c:pt>
                <c:pt idx="247">
                  <c:v>2.2608327241310562</c:v>
                </c:pt>
                <c:pt idx="248">
                  <c:v>2.2749551405595803</c:v>
                </c:pt>
                <c:pt idx="249">
                  <c:v>2.2890775569881039</c:v>
                </c:pt>
                <c:pt idx="250">
                  <c:v>2.303199973416628</c:v>
                </c:pt>
                <c:pt idx="251">
                  <c:v>2.317322389845152</c:v>
                </c:pt>
                <c:pt idx="252">
                  <c:v>2.3351830929753441</c:v>
                </c:pt>
                <c:pt idx="253">
                  <c:v>2.3493055094038682</c:v>
                </c:pt>
                <c:pt idx="254">
                  <c:v>2.3669585299395228</c:v>
                </c:pt>
                <c:pt idx="255">
                  <c:v>2.3810809463680469</c:v>
                </c:pt>
                <c:pt idx="256">
                  <c:v>2.3952033627965705</c:v>
                </c:pt>
                <c:pt idx="257">
                  <c:v>2.4093257792250946</c:v>
                </c:pt>
                <c:pt idx="258">
                  <c:v>2.4234481956536187</c:v>
                </c:pt>
                <c:pt idx="259">
                  <c:v>2.4375706120821428</c:v>
                </c:pt>
                <c:pt idx="260">
                  <c:v>2.4516930285106664</c:v>
                </c:pt>
                <c:pt idx="261">
                  <c:v>2.4658154449391905</c:v>
                </c:pt>
                <c:pt idx="262">
                  <c:v>2.4799378613677145</c:v>
                </c:pt>
                <c:pt idx="263">
                  <c:v>2.4940602777962386</c:v>
                </c:pt>
                <c:pt idx="264">
                  <c:v>2.5081826942247623</c:v>
                </c:pt>
                <c:pt idx="265">
                  <c:v>2.5223051106532863</c:v>
                </c:pt>
                <c:pt idx="266">
                  <c:v>2.5364275270818104</c:v>
                </c:pt>
                <c:pt idx="267">
                  <c:v>2.5505499435103345</c:v>
                </c:pt>
                <c:pt idx="268">
                  <c:v>2.5646723599388581</c:v>
                </c:pt>
                <c:pt idx="269">
                  <c:v>2.5787947763673822</c:v>
                </c:pt>
                <c:pt idx="270">
                  <c:v>2.5964477969030368</c:v>
                </c:pt>
                <c:pt idx="271">
                  <c:v>2.6105702133315609</c:v>
                </c:pt>
                <c:pt idx="272">
                  <c:v>2.624692629760085</c:v>
                </c:pt>
                <c:pt idx="273">
                  <c:v>2.6388150461886091</c:v>
                </c:pt>
                <c:pt idx="274">
                  <c:v>2.6529374626171327</c:v>
                </c:pt>
                <c:pt idx="275">
                  <c:v>2.6705904831527882</c:v>
                </c:pt>
                <c:pt idx="276">
                  <c:v>2.6849205821758488</c:v>
                </c:pt>
                <c:pt idx="277">
                  <c:v>2.6990429986043729</c:v>
                </c:pt>
                <c:pt idx="278">
                  <c:v>2.7131654150328965</c:v>
                </c:pt>
                <c:pt idx="279">
                  <c:v>2.7378796437828141</c:v>
                </c:pt>
                <c:pt idx="280">
                  <c:v>2.7590632684255998</c:v>
                </c:pt>
                <c:pt idx="281">
                  <c:v>2.7837774971755165</c:v>
                </c:pt>
                <c:pt idx="282">
                  <c:v>2.8049611218183026</c:v>
                </c:pt>
                <c:pt idx="283">
                  <c:v>2.8261447464610887</c:v>
                </c:pt>
                <c:pt idx="284">
                  <c:v>2.8508589752110058</c:v>
                </c:pt>
                <c:pt idx="285">
                  <c:v>2.8755732039609225</c:v>
                </c:pt>
                <c:pt idx="286">
                  <c:v>2.8967568286037082</c:v>
                </c:pt>
                <c:pt idx="287">
                  <c:v>2.9179404532464943</c:v>
                </c:pt>
                <c:pt idx="288">
                  <c:v>2.942654681996411</c:v>
                </c:pt>
                <c:pt idx="289">
                  <c:v>2.9638383066391971</c:v>
                </c:pt>
                <c:pt idx="290">
                  <c:v>2.9850219312819828</c:v>
                </c:pt>
                <c:pt idx="291">
                  <c:v>3.0062055559247689</c:v>
                </c:pt>
                <c:pt idx="292">
                  <c:v>3.027389180567555</c:v>
                </c:pt>
                <c:pt idx="293">
                  <c:v>3.0487804878048785</c:v>
                </c:pt>
                <c:pt idx="294">
                  <c:v>3.0699641124476642</c:v>
                </c:pt>
                <c:pt idx="295">
                  <c:v>3.0946783411975805</c:v>
                </c:pt>
                <c:pt idx="296">
                  <c:v>3.1193925699474976</c:v>
                </c:pt>
                <c:pt idx="297">
                  <c:v>3.1405761945902841</c:v>
                </c:pt>
                <c:pt idx="298">
                  <c:v>3.1652904233402008</c:v>
                </c:pt>
                <c:pt idx="299">
                  <c:v>3.1864740479829869</c:v>
                </c:pt>
                <c:pt idx="300">
                  <c:v>3.2076576726257722</c:v>
                </c:pt>
                <c:pt idx="301">
                  <c:v>3.2288412972685587</c:v>
                </c:pt>
                <c:pt idx="302">
                  <c:v>3.2500249219113448</c:v>
                </c:pt>
                <c:pt idx="303">
                  <c:v>3.2712085465541305</c:v>
                </c:pt>
                <c:pt idx="304">
                  <c:v>3.2923921711969166</c:v>
                </c:pt>
                <c:pt idx="305">
                  <c:v>3.3171063999468333</c:v>
                </c:pt>
                <c:pt idx="306">
                  <c:v>3.3382900245896194</c:v>
                </c:pt>
                <c:pt idx="307">
                  <c:v>3.3594736492324051</c:v>
                </c:pt>
                <c:pt idx="308">
                  <c:v>3.3806572738751912</c:v>
                </c:pt>
                <c:pt idx="309">
                  <c:v>3.4055791852196449</c:v>
                </c:pt>
                <c:pt idx="310">
                  <c:v>3.426762809862431</c:v>
                </c:pt>
                <c:pt idx="311">
                  <c:v>3.4479464345052171</c:v>
                </c:pt>
                <c:pt idx="312">
                  <c:v>3.4691300591480028</c:v>
                </c:pt>
                <c:pt idx="313">
                  <c:v>3.4938442878979199</c:v>
                </c:pt>
                <c:pt idx="314">
                  <c:v>3.515027912540706</c:v>
                </c:pt>
                <c:pt idx="315">
                  <c:v>3.5397421412906227</c:v>
                </c:pt>
                <c:pt idx="316">
                  <c:v>3.5644563700405398</c:v>
                </c:pt>
                <c:pt idx="317">
                  <c:v>3.5856399946833259</c:v>
                </c:pt>
                <c:pt idx="318">
                  <c:v>3.6103542234332426</c:v>
                </c:pt>
                <c:pt idx="319">
                  <c:v>3.6315378480760288</c:v>
                </c:pt>
                <c:pt idx="320">
                  <c:v>3.663313285040207</c:v>
                </c:pt>
                <c:pt idx="321">
                  <c:v>3.6915581178972552</c:v>
                </c:pt>
                <c:pt idx="322">
                  <c:v>3.7233335548614344</c:v>
                </c:pt>
                <c:pt idx="323">
                  <c:v>3.75531667442015</c:v>
                </c:pt>
                <c:pt idx="324">
                  <c:v>3.7835615072771982</c:v>
                </c:pt>
                <c:pt idx="325">
                  <c:v>3.8153369442413769</c:v>
                </c:pt>
                <c:pt idx="326">
                  <c:v>3.8471123812055561</c:v>
                </c:pt>
                <c:pt idx="327">
                  <c:v>3.8788878181697348</c:v>
                </c:pt>
                <c:pt idx="328">
                  <c:v>3.910663255133914</c:v>
                </c:pt>
                <c:pt idx="329">
                  <c:v>3.9424386920980932</c:v>
                </c:pt>
                <c:pt idx="330">
                  <c:v>3.9742141290622723</c:v>
                </c:pt>
                <c:pt idx="331">
                  <c:v>4.0059895660264502</c:v>
                </c:pt>
                <c:pt idx="332">
                  <c:v>4.0377650029906293</c:v>
                </c:pt>
                <c:pt idx="333">
                  <c:v>4.0660098358476775</c:v>
                </c:pt>
                <c:pt idx="334">
                  <c:v>4.0977852728118558</c:v>
                </c:pt>
                <c:pt idx="335">
                  <c:v>4.1262377882634418</c:v>
                </c:pt>
                <c:pt idx="336">
                  <c:v>4.1580132252276201</c:v>
                </c:pt>
                <c:pt idx="337">
                  <c:v>4.1862580580846682</c:v>
                </c:pt>
                <c:pt idx="338">
                  <c:v>4.2145028909417155</c:v>
                </c:pt>
                <c:pt idx="339">
                  <c:v>4.2427477237987636</c:v>
                </c:pt>
                <c:pt idx="340">
                  <c:v>4.2745231607629428</c:v>
                </c:pt>
                <c:pt idx="341">
                  <c:v>4.302767993619991</c:v>
                </c:pt>
                <c:pt idx="342">
                  <c:v>4.3310128264770391</c:v>
                </c:pt>
                <c:pt idx="343">
                  <c:v>4.3592576593340864</c:v>
                </c:pt>
                <c:pt idx="344">
                  <c:v>4.3875024921911336</c:v>
                </c:pt>
                <c:pt idx="345">
                  <c:v>4.4192779291553137</c:v>
                </c:pt>
                <c:pt idx="346">
                  <c:v>4.451053366119492</c:v>
                </c:pt>
                <c:pt idx="347">
                  <c:v>4.479505881571078</c:v>
                </c:pt>
                <c:pt idx="348">
                  <c:v>4.5077507144281261</c:v>
                </c:pt>
                <c:pt idx="349">
                  <c:v>4.5359955472851734</c:v>
                </c:pt>
                <c:pt idx="350">
                  <c:v>4.5748321924636137</c:v>
                </c:pt>
                <c:pt idx="351">
                  <c:v>4.6101382335349239</c:v>
                </c:pt>
                <c:pt idx="352">
                  <c:v>4.6454442746062341</c:v>
                </c:pt>
                <c:pt idx="353">
                  <c:v>4.6842809197846753</c:v>
                </c:pt>
                <c:pt idx="354">
                  <c:v>4.7195869608559855</c:v>
                </c:pt>
                <c:pt idx="355">
                  <c:v>4.7548930019272948</c:v>
                </c:pt>
                <c:pt idx="356">
                  <c:v>4.793729647105736</c:v>
                </c:pt>
                <c:pt idx="357">
                  <c:v>4.8292433707715823</c:v>
                </c:pt>
                <c:pt idx="358">
                  <c:v>4.8680800159500235</c:v>
                </c:pt>
                <c:pt idx="359">
                  <c:v>4.9069166611284638</c:v>
                </c:pt>
                <c:pt idx="360">
                  <c:v>4.942222702199774</c:v>
                </c:pt>
                <c:pt idx="361">
                  <c:v>4.9810593473782152</c:v>
                </c:pt>
                <c:pt idx="362">
                  <c:v>5.0198959925566555</c:v>
                </c:pt>
                <c:pt idx="363">
                  <c:v>5.0587326377350967</c:v>
                </c:pt>
                <c:pt idx="364">
                  <c:v>5.094038678806406</c:v>
                </c:pt>
                <c:pt idx="365">
                  <c:v>5.1328753239848472</c:v>
                </c:pt>
                <c:pt idx="366">
                  <c:v>5.1717119691632885</c:v>
                </c:pt>
                <c:pt idx="367">
                  <c:v>5.2107562969362666</c:v>
                </c:pt>
                <c:pt idx="368">
                  <c:v>5.2495929421147078</c:v>
                </c:pt>
                <c:pt idx="369">
                  <c:v>5.2848989831860171</c:v>
                </c:pt>
                <c:pt idx="370">
                  <c:v>5.3237356283644575</c:v>
                </c:pt>
                <c:pt idx="371">
                  <c:v>5.3625722735428987</c:v>
                </c:pt>
                <c:pt idx="372">
                  <c:v>5.4014089187213399</c:v>
                </c:pt>
                <c:pt idx="373">
                  <c:v>5.4437761680069121</c:v>
                </c:pt>
                <c:pt idx="374">
                  <c:v>5.4896740213996145</c:v>
                </c:pt>
                <c:pt idx="375">
                  <c:v>5.5320412706851867</c:v>
                </c:pt>
                <c:pt idx="376">
                  <c:v>5.578146806672426</c:v>
                </c:pt>
                <c:pt idx="377">
                  <c:v>5.6205140559579982</c:v>
                </c:pt>
                <c:pt idx="378">
                  <c:v>5.6628813052435705</c:v>
                </c:pt>
                <c:pt idx="379">
                  <c:v>5.7123097627434039</c:v>
                </c:pt>
                <c:pt idx="380">
                  <c:v>5.7617382202432381</c:v>
                </c:pt>
                <c:pt idx="381">
                  <c:v>5.8041054695288103</c:v>
                </c:pt>
                <c:pt idx="382">
                  <c:v>5.8464727188143817</c:v>
                </c:pt>
                <c:pt idx="383">
                  <c:v>5.8888399680999539</c:v>
                </c:pt>
                <c:pt idx="384">
                  <c:v>5.9314148999800622</c:v>
                </c:pt>
                <c:pt idx="385">
                  <c:v>5.9773127533727655</c:v>
                </c:pt>
                <c:pt idx="386">
                  <c:v>6.0196800026583377</c:v>
                </c:pt>
                <c:pt idx="387">
                  <c:v>6.0655778560510401</c:v>
                </c:pt>
                <c:pt idx="388">
                  <c:v>6.1079451053366123</c:v>
                </c:pt>
                <c:pt idx="389">
                  <c:v>6.1538429587293146</c:v>
                </c:pt>
                <c:pt idx="390">
                  <c:v>6.199740812122017</c:v>
                </c:pt>
                <c:pt idx="391">
                  <c:v>6.2456386655147202</c:v>
                </c:pt>
                <c:pt idx="392">
                  <c:v>6.2917442015019605</c:v>
                </c:pt>
                <c:pt idx="393">
                  <c:v>6.3376420548946646</c:v>
                </c:pt>
                <c:pt idx="394">
                  <c:v>6.3906011165016272</c:v>
                </c:pt>
                <c:pt idx="395">
                  <c:v>6.4470907822157244</c:v>
                </c:pt>
                <c:pt idx="396">
                  <c:v>6.5000498438226897</c:v>
                </c:pt>
                <c:pt idx="397">
                  <c:v>6.5494783013225231</c:v>
                </c:pt>
                <c:pt idx="398">
                  <c:v>6.6059679670366185</c:v>
                </c:pt>
                <c:pt idx="399">
                  <c:v>6.6556041071309906</c:v>
                </c:pt>
                <c:pt idx="400">
                  <c:v>6.712093772845086</c:v>
                </c:pt>
                <c:pt idx="401">
                  <c:v>6.7615222303449194</c:v>
                </c:pt>
                <c:pt idx="402">
                  <c:v>6.8180118960590157</c:v>
                </c:pt>
                <c:pt idx="403">
                  <c:v>6.86744035355885</c:v>
                </c:pt>
                <c:pt idx="404">
                  <c:v>6.9168688110586833</c:v>
                </c:pt>
                <c:pt idx="405">
                  <c:v>6.9662972685585167</c:v>
                </c:pt>
                <c:pt idx="406">
                  <c:v>7.0159334086528879</c:v>
                </c:pt>
                <c:pt idx="407">
                  <c:v>7.0653618661527213</c:v>
                </c:pt>
                <c:pt idx="408">
                  <c:v>7.1147903236525556</c:v>
                </c:pt>
                <c:pt idx="409">
                  <c:v>7.164218781152389</c:v>
                </c:pt>
                <c:pt idx="410">
                  <c:v>7.2136472386522223</c:v>
                </c:pt>
                <c:pt idx="411">
                  <c:v>7.2630756961520575</c:v>
                </c:pt>
                <c:pt idx="412">
                  <c:v>7.3230959659732839</c:v>
                </c:pt>
                <c:pt idx="413">
                  <c:v>7.3833239183890473</c:v>
                </c:pt>
                <c:pt idx="414">
                  <c:v>7.4398135841031436</c:v>
                </c:pt>
                <c:pt idx="415">
                  <c:v>7.4998338539243701</c:v>
                </c:pt>
                <c:pt idx="416">
                  <c:v>7.5598541237455974</c:v>
                </c:pt>
                <c:pt idx="417">
                  <c:v>7.6198743935668238</c:v>
                </c:pt>
                <c:pt idx="418">
                  <c:v>7.6763640592809201</c:v>
                </c:pt>
                <c:pt idx="419">
                  <c:v>7.7365920116966835</c:v>
                </c:pt>
                <c:pt idx="420">
                  <c:v>7.7930816774107798</c:v>
                </c:pt>
                <c:pt idx="421">
                  <c:v>7.8531019472320063</c:v>
                </c:pt>
                <c:pt idx="422">
                  <c:v>7.9131222170532327</c:v>
                </c:pt>
                <c:pt idx="423">
                  <c:v>7.9731424868744609</c:v>
                </c:pt>
                <c:pt idx="424">
                  <c:v>8.0331627566956865</c:v>
                </c:pt>
                <c:pt idx="425">
                  <c:v>8.0933907091114516</c:v>
                </c:pt>
                <c:pt idx="426">
                  <c:v>8.1534109789326763</c:v>
                </c:pt>
                <c:pt idx="427">
                  <c:v>8.2240230610752985</c:v>
                </c:pt>
                <c:pt idx="428">
                  <c:v>8.2875739350036568</c:v>
                </c:pt>
                <c:pt idx="429">
                  <c:v>8.3581860171462754</c:v>
                </c:pt>
                <c:pt idx="430">
                  <c:v>8.429005781883431</c:v>
                </c:pt>
                <c:pt idx="431">
                  <c:v>8.4925566558117911</c:v>
                </c:pt>
                <c:pt idx="432">
                  <c:v>8.5631687379544097</c:v>
                </c:pt>
                <c:pt idx="433">
                  <c:v>8.6267196118827663</c:v>
                </c:pt>
                <c:pt idx="434">
                  <c:v>8.6902704858111246</c:v>
                </c:pt>
                <c:pt idx="435">
                  <c:v>8.7538213597394829</c:v>
                </c:pt>
                <c:pt idx="436">
                  <c:v>8.8246411244766421</c:v>
                </c:pt>
                <c:pt idx="437">
                  <c:v>8.8881919984049986</c:v>
                </c:pt>
                <c:pt idx="438">
                  <c:v>8.9517428723333552</c:v>
                </c:pt>
                <c:pt idx="439">
                  <c:v>9.0152937462617118</c:v>
                </c:pt>
                <c:pt idx="440">
                  <c:v>9.0788446201900701</c:v>
                </c:pt>
                <c:pt idx="441">
                  <c:v>9.1531949890343611</c:v>
                </c:pt>
                <c:pt idx="442">
                  <c:v>9.2308682793912418</c:v>
                </c:pt>
                <c:pt idx="443">
                  <c:v>9.3085415697481224</c:v>
                </c:pt>
                <c:pt idx="444">
                  <c:v>9.3862148601050048</c:v>
                </c:pt>
                <c:pt idx="445">
                  <c:v>9.4638881504618855</c:v>
                </c:pt>
                <c:pt idx="446">
                  <c:v>9.5347079151990428</c:v>
                </c:pt>
                <c:pt idx="447">
                  <c:v>9.6123812055559252</c:v>
                </c:pt>
                <c:pt idx="448">
                  <c:v>9.6935851000199378</c:v>
                </c:pt>
                <c:pt idx="449">
                  <c:v>9.7712583903768184</c:v>
                </c:pt>
                <c:pt idx="450">
                  <c:v>9.8526699674353697</c:v>
                </c:pt>
                <c:pt idx="451">
                  <c:v>9.9232820495779883</c:v>
                </c:pt>
                <c:pt idx="452">
                  <c:v>9.9938941317206087</c:v>
                </c:pt>
                <c:pt idx="453">
                  <c:v>10.078628630291753</c:v>
                </c:pt>
                <c:pt idx="454">
                  <c:v>10.163363128862898</c:v>
                </c:pt>
                <c:pt idx="455">
                  <c:v>10.244774705921447</c:v>
                </c:pt>
                <c:pt idx="456">
                  <c:v>10.32950920449259</c:v>
                </c:pt>
                <c:pt idx="457">
                  <c:v>10.414243703063734</c:v>
                </c:pt>
                <c:pt idx="458">
                  <c:v>10.498978201634877</c:v>
                </c:pt>
                <c:pt idx="459">
                  <c:v>10.580389778693426</c:v>
                </c:pt>
                <c:pt idx="460">
                  <c:v>10.665124277264571</c:v>
                </c:pt>
                <c:pt idx="461">
                  <c:v>10.746328171728585</c:v>
                </c:pt>
                <c:pt idx="462">
                  <c:v>10.831062670299728</c:v>
                </c:pt>
                <c:pt idx="463">
                  <c:v>10.916004851465409</c:v>
                </c:pt>
                <c:pt idx="464">
                  <c:v>11.011331162357948</c:v>
                </c:pt>
                <c:pt idx="465">
                  <c:v>11.106657473250483</c:v>
                </c:pt>
                <c:pt idx="466">
                  <c:v>11.201983784143019</c:v>
                </c:pt>
                <c:pt idx="467">
                  <c:v>11.286925965308701</c:v>
                </c:pt>
                <c:pt idx="468">
                  <c:v>11.382252276201235</c:v>
                </c:pt>
                <c:pt idx="469">
                  <c:v>11.46698677477238</c:v>
                </c:pt>
                <c:pt idx="470">
                  <c:v>11.562313085664917</c:v>
                </c:pt>
                <c:pt idx="471">
                  <c:v>11.6472552668306</c:v>
                </c:pt>
                <c:pt idx="472">
                  <c:v>11.742581577723135</c:v>
                </c:pt>
                <c:pt idx="473">
                  <c:v>11.827316076294279</c:v>
                </c:pt>
                <c:pt idx="474">
                  <c:v>11.922642387186816</c:v>
                </c:pt>
                <c:pt idx="475">
                  <c:v>12.021706984781019</c:v>
                </c:pt>
                <c:pt idx="476">
                  <c:v>12.117033295673558</c:v>
                </c:pt>
                <c:pt idx="477">
                  <c:v>12.215890210673225</c:v>
                </c:pt>
                <c:pt idx="478">
                  <c:v>12.311216521565759</c:v>
                </c:pt>
                <c:pt idx="479">
                  <c:v>12.406750515052835</c:v>
                </c:pt>
                <c:pt idx="480">
                  <c:v>12.505607430052502</c:v>
                </c:pt>
                <c:pt idx="481">
                  <c:v>12.607994949159302</c:v>
                </c:pt>
                <c:pt idx="482">
                  <c:v>12.707059546753507</c:v>
                </c:pt>
                <c:pt idx="483">
                  <c:v>12.805916461753174</c:v>
                </c:pt>
                <c:pt idx="484">
                  <c:v>12.904773376752843</c:v>
                </c:pt>
                <c:pt idx="485">
                  <c:v>13.00363029175251</c:v>
                </c:pt>
                <c:pt idx="486">
                  <c:v>13.102694889346713</c:v>
                </c:pt>
                <c:pt idx="487">
                  <c:v>13.20155180434638</c:v>
                </c:pt>
                <c:pt idx="488">
                  <c:v>13.30393932345318</c:v>
                </c:pt>
                <c:pt idx="489">
                  <c:v>13.402796238452847</c:v>
                </c:pt>
                <c:pt idx="490">
                  <c:v>13.505391440154183</c:v>
                </c:pt>
                <c:pt idx="491">
                  <c:v>13.604248355153851</c:v>
                </c:pt>
                <c:pt idx="492">
                  <c:v>13.710166478367782</c:v>
                </c:pt>
                <c:pt idx="493">
                  <c:v>13.82335349239051</c:v>
                </c:pt>
                <c:pt idx="494">
                  <c:v>13.939863427925832</c:v>
                </c:pt>
                <c:pt idx="495">
                  <c:v>14.056373363461157</c:v>
                </c:pt>
                <c:pt idx="496">
                  <c:v>14.162499169269621</c:v>
                </c:pt>
                <c:pt idx="497">
                  <c:v>14.268417292483552</c:v>
                </c:pt>
                <c:pt idx="498">
                  <c:v>14.374335415697482</c:v>
                </c:pt>
                <c:pt idx="499">
                  <c:v>14.48399182561308</c:v>
                </c:pt>
                <c:pt idx="500">
                  <c:v>14.604032365255534</c:v>
                </c:pt>
                <c:pt idx="501">
                  <c:v>14.727603509005117</c:v>
                </c:pt>
                <c:pt idx="502">
                  <c:v>14.851382335349239</c:v>
                </c:pt>
                <c:pt idx="503">
                  <c:v>14.974953479098822</c:v>
                </c:pt>
                <c:pt idx="504">
                  <c:v>15.098524622848409</c:v>
                </c:pt>
                <c:pt idx="505">
                  <c:v>15.211711636871138</c:v>
                </c:pt>
                <c:pt idx="506">
                  <c:v>15.335282780620721</c:v>
                </c:pt>
                <c:pt idx="507">
                  <c:v>15.448262112048914</c:v>
                </c:pt>
                <c:pt idx="508">
                  <c:v>15.572040938393034</c:v>
                </c:pt>
                <c:pt idx="509">
                  <c:v>15.699142686249751</c:v>
                </c:pt>
                <c:pt idx="510">
                  <c:v>15.819183225892205</c:v>
                </c:pt>
                <c:pt idx="511">
                  <c:v>15.942962052236327</c:v>
                </c:pt>
                <c:pt idx="512">
                  <c:v>16.066533195985912</c:v>
                </c:pt>
                <c:pt idx="513">
                  <c:v>16.190104339735495</c:v>
                </c:pt>
                <c:pt idx="514">
                  <c:v>16.313883166079616</c:v>
                </c:pt>
                <c:pt idx="515">
                  <c:v>16.451576726257727</c:v>
                </c:pt>
                <c:pt idx="516">
                  <c:v>16.589270286435834</c:v>
                </c:pt>
                <c:pt idx="517">
                  <c:v>16.72717152920848</c:v>
                </c:pt>
                <c:pt idx="518">
                  <c:v>16.86133448527946</c:v>
                </c:pt>
                <c:pt idx="519">
                  <c:v>16.999235728052103</c:v>
                </c:pt>
                <c:pt idx="520">
                  <c:v>17.126337475908819</c:v>
                </c:pt>
                <c:pt idx="521">
                  <c:v>17.264031036086926</c:v>
                </c:pt>
                <c:pt idx="522">
                  <c:v>17.401932278859576</c:v>
                </c:pt>
                <c:pt idx="523">
                  <c:v>17.543156443144813</c:v>
                </c:pt>
                <c:pt idx="524">
                  <c:v>17.68085000332292</c:v>
                </c:pt>
                <c:pt idx="525">
                  <c:v>17.818751246095569</c:v>
                </c:pt>
                <c:pt idx="526">
                  <c:v>17.959975410380807</c:v>
                </c:pt>
                <c:pt idx="527">
                  <c:v>18.097876653153453</c:v>
                </c:pt>
                <c:pt idx="528">
                  <c:v>18.239100817438693</c:v>
                </c:pt>
                <c:pt idx="529">
                  <c:v>18.38032498172393</c:v>
                </c:pt>
                <c:pt idx="530">
                  <c:v>18.5323486409251</c:v>
                </c:pt>
                <c:pt idx="531">
                  <c:v>18.677103409317471</c:v>
                </c:pt>
                <c:pt idx="532">
                  <c:v>18.822065860304377</c:v>
                </c:pt>
                <c:pt idx="533">
                  <c:v>18.973881836911012</c:v>
                </c:pt>
                <c:pt idx="534">
                  <c:v>19.122167209410513</c:v>
                </c:pt>
                <c:pt idx="535">
                  <c:v>19.284782680933077</c:v>
                </c:pt>
                <c:pt idx="536">
                  <c:v>19.436598657539712</c:v>
                </c:pt>
                <c:pt idx="537">
                  <c:v>19.595683524955138</c:v>
                </c:pt>
                <c:pt idx="538">
                  <c:v>19.743968897454643</c:v>
                </c:pt>
                <c:pt idx="539">
                  <c:v>19.892461952548683</c:v>
                </c:pt>
                <c:pt idx="540">
                  <c:v>20.040747325048184</c:v>
                </c:pt>
                <c:pt idx="541">
                  <c:v>20.203362796570744</c:v>
                </c:pt>
                <c:pt idx="542">
                  <c:v>20.365770585498773</c:v>
                </c:pt>
                <c:pt idx="543">
                  <c:v>20.528178374426798</c:v>
                </c:pt>
                <c:pt idx="544">
                  <c:v>20.690793845949358</c:v>
                </c:pt>
                <c:pt idx="545">
                  <c:v>20.853409317471922</c:v>
                </c:pt>
                <c:pt idx="546">
                  <c:v>21.015401741210873</c:v>
                </c:pt>
                <c:pt idx="547">
                  <c:v>21.177394164949828</c:v>
                </c:pt>
                <c:pt idx="548">
                  <c:v>21.341463414634145</c:v>
                </c:pt>
                <c:pt idx="549">
                  <c:v>21.513839968099955</c:v>
                </c:pt>
                <c:pt idx="550">
                  <c:v>21.690370173456504</c:v>
                </c:pt>
                <c:pt idx="551">
                  <c:v>21.86274672692231</c:v>
                </c:pt>
                <c:pt idx="552">
                  <c:v>22.03927693227886</c:v>
                </c:pt>
                <c:pt idx="553">
                  <c:v>22.219960789526155</c:v>
                </c:pt>
                <c:pt idx="554">
                  <c:v>22.396490994882704</c:v>
                </c:pt>
                <c:pt idx="555">
                  <c:v>22.573021200239253</c:v>
                </c:pt>
                <c:pt idx="556">
                  <c:v>22.749551405595803</c:v>
                </c:pt>
                <c:pt idx="557">
                  <c:v>22.930235262843091</c:v>
                </c:pt>
                <c:pt idx="558">
                  <c:v>23.10676546819964</c:v>
                </c:pt>
                <c:pt idx="559">
                  <c:v>23.287449325446932</c:v>
                </c:pt>
                <c:pt idx="560">
                  <c:v>23.463979530803481</c:v>
                </c:pt>
                <c:pt idx="561">
                  <c:v>23.644663388050777</c:v>
                </c:pt>
                <c:pt idx="562">
                  <c:v>23.83573137502492</c:v>
                </c:pt>
                <c:pt idx="563">
                  <c:v>24.018492058217586</c:v>
                </c:pt>
                <c:pt idx="564">
                  <c:v>24.215790523027849</c:v>
                </c:pt>
                <c:pt idx="565">
                  <c:v>24.415165813783478</c:v>
                </c:pt>
                <c:pt idx="566">
                  <c:v>24.597926496976143</c:v>
                </c:pt>
                <c:pt idx="567">
                  <c:v>24.799378613677145</c:v>
                </c:pt>
                <c:pt idx="568">
                  <c:v>25.004984382268891</c:v>
                </c:pt>
                <c:pt idx="569">
                  <c:v>25.208513324915263</c:v>
                </c:pt>
                <c:pt idx="570">
                  <c:v>25.414119093507015</c:v>
                </c:pt>
                <c:pt idx="571">
                  <c:v>25.611417558317275</c:v>
                </c:pt>
                <c:pt idx="572">
                  <c:v>25.817023326909016</c:v>
                </c:pt>
                <c:pt idx="573">
                  <c:v>26.018475443610019</c:v>
                </c:pt>
                <c:pt idx="574">
                  <c:v>26.219927560311028</c:v>
                </c:pt>
                <c:pt idx="575">
                  <c:v>26.42137967701203</c:v>
                </c:pt>
                <c:pt idx="576">
                  <c:v>26.635292749385261</c:v>
                </c:pt>
                <c:pt idx="577">
                  <c:v>26.851282647703865</c:v>
                </c:pt>
                <c:pt idx="578">
                  <c:v>27.067272546022462</c:v>
                </c:pt>
                <c:pt idx="579">
                  <c:v>27.283262444341066</c:v>
                </c:pt>
                <c:pt idx="580">
                  <c:v>27.497175516714297</c:v>
                </c:pt>
                <c:pt idx="581">
                  <c:v>27.711088589087527</c:v>
                </c:pt>
                <c:pt idx="582">
                  <c:v>27.929155313351497</c:v>
                </c:pt>
                <c:pt idx="583">
                  <c:v>28.145145211670101</c:v>
                </c:pt>
                <c:pt idx="584">
                  <c:v>28.377749717551676</c:v>
                </c:pt>
                <c:pt idx="585">
                  <c:v>28.608277397487871</c:v>
                </c:pt>
                <c:pt idx="586">
                  <c:v>28.832574599587957</c:v>
                </c:pt>
                <c:pt idx="587">
                  <c:v>29.063102279524159</c:v>
                </c:pt>
                <c:pt idx="588">
                  <c:v>29.295706785405731</c:v>
                </c:pt>
                <c:pt idx="589">
                  <c:v>29.532464943178041</c:v>
                </c:pt>
                <c:pt idx="590">
                  <c:v>29.767146275004983</c:v>
                </c:pt>
                <c:pt idx="591">
                  <c:v>30.001827606831927</c:v>
                </c:pt>
                <c:pt idx="592">
                  <c:v>30.238585764604242</c:v>
                </c:pt>
                <c:pt idx="593">
                  <c:v>30.479497574267295</c:v>
                </c:pt>
                <c:pt idx="594">
                  <c:v>30.720409383930352</c:v>
                </c:pt>
                <c:pt idx="595">
                  <c:v>30.953013889811924</c:v>
                </c:pt>
                <c:pt idx="596">
                  <c:v>31.193925699474978</c:v>
                </c:pt>
                <c:pt idx="597">
                  <c:v>31.432760683192662</c:v>
                </c:pt>
                <c:pt idx="598">
                  <c:v>31.673672492855715</c:v>
                </c:pt>
                <c:pt idx="599">
                  <c:v>31.924968432245631</c:v>
                </c:pt>
                <c:pt idx="600">
                  <c:v>32.178341197580913</c:v>
                </c:pt>
                <c:pt idx="601">
                  <c:v>32.429637136970825</c:v>
                </c:pt>
                <c:pt idx="602">
                  <c:v>32.680933076360738</c:v>
                </c:pt>
                <c:pt idx="603">
                  <c:v>32.944689971422875</c:v>
                </c:pt>
                <c:pt idx="604">
                  <c:v>33.210523692430385</c:v>
                </c:pt>
                <c:pt idx="605">
                  <c:v>33.476357413437896</c:v>
                </c:pt>
                <c:pt idx="606">
                  <c:v>33.744267960390779</c:v>
                </c:pt>
                <c:pt idx="607">
                  <c:v>34.00594802950755</c:v>
                </c:pt>
                <c:pt idx="608">
                  <c:v>34.26970492456968</c:v>
                </c:pt>
                <c:pt idx="609">
                  <c:v>34.531384993686451</c:v>
                </c:pt>
                <c:pt idx="610">
                  <c:v>34.807602844420813</c:v>
                </c:pt>
                <c:pt idx="611">
                  <c:v>35.085897521100549</c:v>
                </c:pt>
                <c:pt idx="612">
                  <c:v>35.353808068053432</c:v>
                </c:pt>
                <c:pt idx="613">
                  <c:v>35.638333222569287</c:v>
                </c:pt>
                <c:pt idx="614">
                  <c:v>35.920781551139761</c:v>
                </c:pt>
                <c:pt idx="615">
                  <c:v>36.205306705655609</c:v>
                </c:pt>
                <c:pt idx="616">
                  <c:v>36.49190868611683</c:v>
                </c:pt>
                <c:pt idx="617">
                  <c:v>36.782664318468797</c:v>
                </c:pt>
                <c:pt idx="618">
                  <c:v>37.067189472984651</c:v>
                </c:pt>
                <c:pt idx="619">
                  <c:v>37.351714627500499</c:v>
                </c:pt>
                <c:pt idx="620">
                  <c:v>37.646623911743205</c:v>
                </c:pt>
                <c:pt idx="621">
                  <c:v>37.943610021931285</c:v>
                </c:pt>
                <c:pt idx="622">
                  <c:v>38.244749784010104</c:v>
                </c:pt>
                <c:pt idx="623">
                  <c:v>38.543812720143556</c:v>
                </c:pt>
                <c:pt idx="624">
                  <c:v>38.849106134113107</c:v>
                </c:pt>
                <c:pt idx="625">
                  <c:v>39.146092244301194</c:v>
                </c:pt>
                <c:pt idx="626">
                  <c:v>39.45969296205223</c:v>
                </c:pt>
                <c:pt idx="627">
                  <c:v>39.771216853857915</c:v>
                </c:pt>
                <c:pt idx="628">
                  <c:v>40.074433441882107</c:v>
                </c:pt>
                <c:pt idx="629">
                  <c:v>40.38803415963315</c:v>
                </c:pt>
                <c:pt idx="630">
                  <c:v>40.70578852927494</c:v>
                </c:pt>
                <c:pt idx="631">
                  <c:v>41.036003854588955</c:v>
                </c:pt>
                <c:pt idx="632">
                  <c:v>41.353758224230745</c:v>
                </c:pt>
                <c:pt idx="633">
                  <c:v>41.671512593872535</c:v>
                </c:pt>
                <c:pt idx="634">
                  <c:v>41.995497441350437</c:v>
                </c:pt>
                <c:pt idx="635">
                  <c:v>42.325712766664452</c:v>
                </c:pt>
                <c:pt idx="636">
                  <c:v>42.649697614142347</c:v>
                </c:pt>
                <c:pt idx="637">
                  <c:v>42.988220243237862</c:v>
                </c:pt>
                <c:pt idx="638">
                  <c:v>43.328819698278735</c:v>
                </c:pt>
                <c:pt idx="639">
                  <c:v>43.663188675483489</c:v>
                </c:pt>
                <c:pt idx="640">
                  <c:v>44.005864956469729</c:v>
                </c:pt>
                <c:pt idx="641">
                  <c:v>44.338157107729117</c:v>
                </c:pt>
                <c:pt idx="642">
                  <c:v>44.645527347644048</c:v>
                </c:pt>
                <c:pt idx="643">
                  <c:v>44.92797567621453</c:v>
                </c:pt>
                <c:pt idx="644">
                  <c:v>45.185502093440547</c:v>
                </c:pt>
                <c:pt idx="645">
                  <c:v>45.420183425267496</c:v>
                </c:pt>
                <c:pt idx="646">
                  <c:v>45.613328238187016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B-4689-965A-9FFB56836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708207"/>
        <c:axId val="244710607"/>
      </c:lineChart>
      <c:catAx>
        <c:axId val="24470820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4710607"/>
        <c:crosses val="autoZero"/>
        <c:auto val="1"/>
        <c:lblAlgn val="ctr"/>
        <c:lblOffset val="100"/>
        <c:noMultiLvlLbl val="0"/>
      </c:catAx>
      <c:valAx>
        <c:axId val="24471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470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'A10-5'!$C$2:$C$572</c:f>
              <c:numCache>
                <c:formatCode>0.00</c:formatCode>
                <c:ptCount val="571"/>
                <c:pt idx="0">
                  <c:v>0</c:v>
                </c:pt>
                <c:pt idx="1">
                  <c:v>1.9344799999999999E-2</c:v>
                </c:pt>
                <c:pt idx="2">
                  <c:v>1.9512399999999999E-2</c:v>
                </c:pt>
                <c:pt idx="3">
                  <c:v>1.9678000000000001E-2</c:v>
                </c:pt>
                <c:pt idx="4">
                  <c:v>1.9845600000000001E-2</c:v>
                </c:pt>
                <c:pt idx="5">
                  <c:v>2.0013999999999997E-2</c:v>
                </c:pt>
                <c:pt idx="6">
                  <c:v>2.0177999999999998E-2</c:v>
                </c:pt>
                <c:pt idx="7">
                  <c:v>2.0346000000000003E-2</c:v>
                </c:pt>
                <c:pt idx="8">
                  <c:v>2.0512000000000002E-2</c:v>
                </c:pt>
                <c:pt idx="9">
                  <c:v>2.068E-2</c:v>
                </c:pt>
                <c:pt idx="10">
                  <c:v>2.0844000000000001E-2</c:v>
                </c:pt>
                <c:pt idx="11">
                  <c:v>2.1010000000000001E-2</c:v>
                </c:pt>
                <c:pt idx="12">
                  <c:v>2.1179999999999997E-2</c:v>
                </c:pt>
                <c:pt idx="13">
                  <c:v>2.1345999999999997E-2</c:v>
                </c:pt>
                <c:pt idx="14">
                  <c:v>2.1511999999999996E-2</c:v>
                </c:pt>
                <c:pt idx="15">
                  <c:v>2.1680000000000001E-2</c:v>
                </c:pt>
                <c:pt idx="16">
                  <c:v>2.1873999999999998E-2</c:v>
                </c:pt>
                <c:pt idx="17">
                  <c:v>2.2067999999999997E-2</c:v>
                </c:pt>
                <c:pt idx="18">
                  <c:v>2.2262000000000001E-2</c:v>
                </c:pt>
                <c:pt idx="19">
                  <c:v>2.2454000000000002E-2</c:v>
                </c:pt>
                <c:pt idx="20">
                  <c:v>2.2652000000000002E-2</c:v>
                </c:pt>
                <c:pt idx="21">
                  <c:v>2.2846000000000002E-2</c:v>
                </c:pt>
                <c:pt idx="22">
                  <c:v>2.3039999999999998E-2</c:v>
                </c:pt>
                <c:pt idx="23">
                  <c:v>2.3233999999999998E-2</c:v>
                </c:pt>
                <c:pt idx="24">
                  <c:v>2.3429999999999999E-2</c:v>
                </c:pt>
                <c:pt idx="25">
                  <c:v>2.3623999999999999E-2</c:v>
                </c:pt>
                <c:pt idx="26">
                  <c:v>2.3818000000000002E-2</c:v>
                </c:pt>
                <c:pt idx="27">
                  <c:v>2.4009999999999997E-2</c:v>
                </c:pt>
                <c:pt idx="28">
                  <c:v>2.4205999999999998E-2</c:v>
                </c:pt>
                <c:pt idx="29">
                  <c:v>2.4399999999999998E-2</c:v>
                </c:pt>
                <c:pt idx="30">
                  <c:v>2.4597999999999998E-2</c:v>
                </c:pt>
                <c:pt idx="31">
                  <c:v>2.479E-2</c:v>
                </c:pt>
                <c:pt idx="32">
                  <c:v>2.4984000000000003E-2</c:v>
                </c:pt>
                <c:pt idx="33">
                  <c:v>2.5177999999999999E-2</c:v>
                </c:pt>
                <c:pt idx="34">
                  <c:v>2.5373999999999997E-2</c:v>
                </c:pt>
                <c:pt idx="35">
                  <c:v>2.5596000000000001E-2</c:v>
                </c:pt>
                <c:pt idx="36">
                  <c:v>2.5815999999999999E-2</c:v>
                </c:pt>
                <c:pt idx="37">
                  <c:v>2.6040000000000001E-2</c:v>
                </c:pt>
                <c:pt idx="38">
                  <c:v>2.6259999999999999E-2</c:v>
                </c:pt>
                <c:pt idx="39">
                  <c:v>2.6484000000000001E-2</c:v>
                </c:pt>
                <c:pt idx="40">
                  <c:v>2.6705999999999997E-2</c:v>
                </c:pt>
                <c:pt idx="41">
                  <c:v>2.6929999999999999E-2</c:v>
                </c:pt>
                <c:pt idx="42">
                  <c:v>2.7149999999999997E-2</c:v>
                </c:pt>
                <c:pt idx="43">
                  <c:v>2.7373999999999999E-2</c:v>
                </c:pt>
                <c:pt idx="44">
                  <c:v>2.7595999999999999E-2</c:v>
                </c:pt>
                <c:pt idx="45">
                  <c:v>2.7816E-2</c:v>
                </c:pt>
                <c:pt idx="46">
                  <c:v>2.8037999999999997E-2</c:v>
                </c:pt>
                <c:pt idx="47">
                  <c:v>2.8261999999999999E-2</c:v>
                </c:pt>
                <c:pt idx="48">
                  <c:v>2.8485999999999997E-2</c:v>
                </c:pt>
                <c:pt idx="49">
                  <c:v>2.8705999999999999E-2</c:v>
                </c:pt>
                <c:pt idx="50">
                  <c:v>2.8955999999999999E-2</c:v>
                </c:pt>
                <c:pt idx="51">
                  <c:v>2.9207999999999998E-2</c:v>
                </c:pt>
                <c:pt idx="52">
                  <c:v>2.9456000000000003E-2</c:v>
                </c:pt>
                <c:pt idx="53">
                  <c:v>2.9706E-2</c:v>
                </c:pt>
                <c:pt idx="54">
                  <c:v>2.9957999999999999E-2</c:v>
                </c:pt>
                <c:pt idx="55">
                  <c:v>3.0206E-2</c:v>
                </c:pt>
                <c:pt idx="56">
                  <c:v>3.0455999999999997E-2</c:v>
                </c:pt>
                <c:pt idx="57">
                  <c:v>3.0708000000000003E-2</c:v>
                </c:pt>
                <c:pt idx="58">
                  <c:v>3.0956000000000001E-2</c:v>
                </c:pt>
                <c:pt idx="59">
                  <c:v>3.1208E-2</c:v>
                </c:pt>
                <c:pt idx="60">
                  <c:v>3.1455999999999998E-2</c:v>
                </c:pt>
                <c:pt idx="61">
                  <c:v>3.1705999999999998E-2</c:v>
                </c:pt>
                <c:pt idx="62">
                  <c:v>3.1956000000000005E-2</c:v>
                </c:pt>
                <c:pt idx="63">
                  <c:v>3.2208000000000001E-2</c:v>
                </c:pt>
                <c:pt idx="64">
                  <c:v>3.2400000000000005E-2</c:v>
                </c:pt>
                <c:pt idx="65">
                  <c:v>3.2677999999999999E-2</c:v>
                </c:pt>
                <c:pt idx="66">
                  <c:v>3.2874E-2</c:v>
                </c:pt>
                <c:pt idx="67">
                  <c:v>3.3149999999999999E-2</c:v>
                </c:pt>
                <c:pt idx="68">
                  <c:v>3.3346000000000001E-2</c:v>
                </c:pt>
                <c:pt idx="69">
                  <c:v>3.3621999999999999E-2</c:v>
                </c:pt>
                <c:pt idx="70">
                  <c:v>3.3874000000000001E-2</c:v>
                </c:pt>
                <c:pt idx="71">
                  <c:v>3.4122E-2</c:v>
                </c:pt>
                <c:pt idx="72">
                  <c:v>3.4318000000000001E-2</c:v>
                </c:pt>
                <c:pt idx="73">
                  <c:v>3.4540000000000001E-2</c:v>
                </c:pt>
                <c:pt idx="74">
                  <c:v>3.4706000000000001E-2</c:v>
                </c:pt>
                <c:pt idx="75">
                  <c:v>3.4902000000000002E-2</c:v>
                </c:pt>
                <c:pt idx="76">
                  <c:v>3.5122E-2</c:v>
                </c:pt>
                <c:pt idx="77">
                  <c:v>3.5318000000000002E-2</c:v>
                </c:pt>
                <c:pt idx="78">
                  <c:v>3.5484000000000002E-2</c:v>
                </c:pt>
                <c:pt idx="79">
                  <c:v>3.5678000000000001E-2</c:v>
                </c:pt>
                <c:pt idx="80">
                  <c:v>3.5846000000000003E-2</c:v>
                </c:pt>
                <c:pt idx="81">
                  <c:v>3.6040000000000003E-2</c:v>
                </c:pt>
                <c:pt idx="82">
                  <c:v>3.6206000000000002E-2</c:v>
                </c:pt>
                <c:pt idx="83">
                  <c:v>3.6372000000000002E-2</c:v>
                </c:pt>
                <c:pt idx="84">
                  <c:v>3.6568000000000003E-2</c:v>
                </c:pt>
                <c:pt idx="85">
                  <c:v>3.6734000000000003E-2</c:v>
                </c:pt>
                <c:pt idx="86">
                  <c:v>3.6901999999999997E-2</c:v>
                </c:pt>
                <c:pt idx="87">
                  <c:v>3.7094000000000002E-2</c:v>
                </c:pt>
                <c:pt idx="88">
                  <c:v>3.7261999999999997E-2</c:v>
                </c:pt>
                <c:pt idx="89">
                  <c:v>3.7427999999999996E-2</c:v>
                </c:pt>
                <c:pt idx="90">
                  <c:v>3.7623999999999998E-2</c:v>
                </c:pt>
                <c:pt idx="91">
                  <c:v>3.7788000000000002E-2</c:v>
                </c:pt>
                <c:pt idx="92">
                  <c:v>3.7955999999999997E-2</c:v>
                </c:pt>
                <c:pt idx="93">
                  <c:v>3.8151999999999998E-2</c:v>
                </c:pt>
                <c:pt idx="94">
                  <c:v>3.8345999999999998E-2</c:v>
                </c:pt>
                <c:pt idx="95">
                  <c:v>3.8511999999999998E-2</c:v>
                </c:pt>
                <c:pt idx="96">
                  <c:v>3.8677999999999997E-2</c:v>
                </c:pt>
                <c:pt idx="97">
                  <c:v>3.8871999999999997E-2</c:v>
                </c:pt>
                <c:pt idx="98">
                  <c:v>3.9039999999999998E-2</c:v>
                </c:pt>
                <c:pt idx="99">
                  <c:v>3.9205999999999998E-2</c:v>
                </c:pt>
                <c:pt idx="100">
                  <c:v>3.9373999999999999E-2</c:v>
                </c:pt>
                <c:pt idx="101">
                  <c:v>3.9511999999999999E-2</c:v>
                </c:pt>
                <c:pt idx="102">
                  <c:v>3.9649999999999998E-2</c:v>
                </c:pt>
                <c:pt idx="103">
                  <c:v>3.9817999999999999E-2</c:v>
                </c:pt>
                <c:pt idx="104">
                  <c:v>3.9955999999999998E-2</c:v>
                </c:pt>
                <c:pt idx="105">
                  <c:v>4.0094000000000005E-2</c:v>
                </c:pt>
                <c:pt idx="106">
                  <c:v>4.0232000000000004E-2</c:v>
                </c:pt>
                <c:pt idx="107">
                  <c:v>4.0343999999999998E-2</c:v>
                </c:pt>
                <c:pt idx="108">
                  <c:v>4.0483999999999999E-2</c:v>
                </c:pt>
                <c:pt idx="109">
                  <c:v>4.0624E-2</c:v>
                </c:pt>
                <c:pt idx="110">
                  <c:v>4.0736000000000001E-2</c:v>
                </c:pt>
                <c:pt idx="111">
                  <c:v>4.0871999999999999E-2</c:v>
                </c:pt>
                <c:pt idx="112">
                  <c:v>4.1012000000000007E-2</c:v>
                </c:pt>
                <c:pt idx="113">
                  <c:v>4.1124000000000001E-2</c:v>
                </c:pt>
                <c:pt idx="114">
                  <c:v>4.1262E-2</c:v>
                </c:pt>
                <c:pt idx="115">
                  <c:v>4.1402000000000001E-2</c:v>
                </c:pt>
                <c:pt idx="116">
                  <c:v>4.1512E-2</c:v>
                </c:pt>
                <c:pt idx="117">
                  <c:v>4.165E-2</c:v>
                </c:pt>
                <c:pt idx="118">
                  <c:v>4.1787999999999999E-2</c:v>
                </c:pt>
                <c:pt idx="119">
                  <c:v>4.1928E-2</c:v>
                </c:pt>
                <c:pt idx="120">
                  <c:v>4.2039999999999994E-2</c:v>
                </c:pt>
                <c:pt idx="121">
                  <c:v>4.2180000000000002E-2</c:v>
                </c:pt>
                <c:pt idx="122">
                  <c:v>4.2317999999999995E-2</c:v>
                </c:pt>
                <c:pt idx="123">
                  <c:v>4.2428E-2</c:v>
                </c:pt>
                <c:pt idx="124">
                  <c:v>4.2566E-2</c:v>
                </c:pt>
                <c:pt idx="125">
                  <c:v>4.2678000000000001E-2</c:v>
                </c:pt>
                <c:pt idx="126">
                  <c:v>4.2816E-2</c:v>
                </c:pt>
                <c:pt idx="127">
                  <c:v>4.2927999999999994E-2</c:v>
                </c:pt>
                <c:pt idx="128">
                  <c:v>4.3070000000000004E-2</c:v>
                </c:pt>
                <c:pt idx="129">
                  <c:v>4.3178000000000001E-2</c:v>
                </c:pt>
                <c:pt idx="130">
                  <c:v>4.3318000000000002E-2</c:v>
                </c:pt>
                <c:pt idx="131">
                  <c:v>4.3428000000000001E-2</c:v>
                </c:pt>
                <c:pt idx="132">
                  <c:v>4.3540000000000002E-2</c:v>
                </c:pt>
                <c:pt idx="133">
                  <c:v>4.3678000000000002E-2</c:v>
                </c:pt>
                <c:pt idx="134">
                  <c:v>4.3789999999999996E-2</c:v>
                </c:pt>
                <c:pt idx="135">
                  <c:v>4.3902000000000004E-2</c:v>
                </c:pt>
                <c:pt idx="136">
                  <c:v>4.4012000000000003E-2</c:v>
                </c:pt>
                <c:pt idx="137">
                  <c:v>4.4123999999999997E-2</c:v>
                </c:pt>
                <c:pt idx="138">
                  <c:v>4.4206000000000002E-2</c:v>
                </c:pt>
                <c:pt idx="139">
                  <c:v>4.4317999999999996E-2</c:v>
                </c:pt>
                <c:pt idx="140">
                  <c:v>4.4428000000000002E-2</c:v>
                </c:pt>
                <c:pt idx="141">
                  <c:v>4.4539999999999996E-2</c:v>
                </c:pt>
                <c:pt idx="142">
                  <c:v>4.4623999999999997E-2</c:v>
                </c:pt>
                <c:pt idx="143">
                  <c:v>4.4732000000000001E-2</c:v>
                </c:pt>
                <c:pt idx="144">
                  <c:v>4.4846000000000004E-2</c:v>
                </c:pt>
                <c:pt idx="145">
                  <c:v>4.4927999999999996E-2</c:v>
                </c:pt>
                <c:pt idx="146">
                  <c:v>4.5039999999999997E-2</c:v>
                </c:pt>
                <c:pt idx="147">
                  <c:v>4.5151999999999998E-2</c:v>
                </c:pt>
                <c:pt idx="148">
                  <c:v>4.5262000000000004E-2</c:v>
                </c:pt>
                <c:pt idx="149">
                  <c:v>4.5346000000000004E-2</c:v>
                </c:pt>
                <c:pt idx="150">
                  <c:v>4.5456000000000003E-2</c:v>
                </c:pt>
                <c:pt idx="151">
                  <c:v>4.5567999999999997E-2</c:v>
                </c:pt>
                <c:pt idx="152">
                  <c:v>4.5650000000000003E-2</c:v>
                </c:pt>
                <c:pt idx="153">
                  <c:v>4.5761999999999997E-2</c:v>
                </c:pt>
                <c:pt idx="154">
                  <c:v>4.5845999999999998E-2</c:v>
                </c:pt>
                <c:pt idx="155">
                  <c:v>4.5956000000000004E-2</c:v>
                </c:pt>
                <c:pt idx="156">
                  <c:v>4.607E-2</c:v>
                </c:pt>
                <c:pt idx="157">
                  <c:v>4.6180000000000006E-2</c:v>
                </c:pt>
                <c:pt idx="158">
                  <c:v>4.6288000000000003E-2</c:v>
                </c:pt>
                <c:pt idx="159">
                  <c:v>4.6371999999999997E-2</c:v>
                </c:pt>
                <c:pt idx="160">
                  <c:v>4.6483999999999998E-2</c:v>
                </c:pt>
                <c:pt idx="161">
                  <c:v>4.6595999999999999E-2</c:v>
                </c:pt>
                <c:pt idx="162">
                  <c:v>4.6679999999999999E-2</c:v>
                </c:pt>
                <c:pt idx="163">
                  <c:v>4.6792E-2</c:v>
                </c:pt>
                <c:pt idx="164">
                  <c:v>4.6901999999999999E-2</c:v>
                </c:pt>
                <c:pt idx="165">
                  <c:v>4.6984000000000005E-2</c:v>
                </c:pt>
                <c:pt idx="166">
                  <c:v>4.7093999999999997E-2</c:v>
                </c:pt>
                <c:pt idx="167">
                  <c:v>4.7205999999999998E-2</c:v>
                </c:pt>
                <c:pt idx="168">
                  <c:v>4.7289999999999999E-2</c:v>
                </c:pt>
                <c:pt idx="169">
                  <c:v>4.7371999999999997E-2</c:v>
                </c:pt>
                <c:pt idx="170">
                  <c:v>4.7483999999999998E-2</c:v>
                </c:pt>
                <c:pt idx="171">
                  <c:v>4.7567999999999999E-2</c:v>
                </c:pt>
                <c:pt idx="172">
                  <c:v>4.7652E-2</c:v>
                </c:pt>
                <c:pt idx="173">
                  <c:v>4.7761999999999999E-2</c:v>
                </c:pt>
                <c:pt idx="174">
                  <c:v>4.7874E-2</c:v>
                </c:pt>
                <c:pt idx="175">
                  <c:v>4.7956000000000006E-2</c:v>
                </c:pt>
                <c:pt idx="176">
                  <c:v>4.8039999999999999E-2</c:v>
                </c:pt>
                <c:pt idx="177">
                  <c:v>4.8121999999999998E-2</c:v>
                </c:pt>
                <c:pt idx="178">
                  <c:v>4.8205999999999999E-2</c:v>
                </c:pt>
                <c:pt idx="179">
                  <c:v>4.8315999999999998E-2</c:v>
                </c:pt>
                <c:pt idx="180">
                  <c:v>4.8399999999999999E-2</c:v>
                </c:pt>
                <c:pt idx="181">
                  <c:v>4.8512000000000007E-2</c:v>
                </c:pt>
                <c:pt idx="182">
                  <c:v>4.8621999999999999E-2</c:v>
                </c:pt>
                <c:pt idx="183">
                  <c:v>4.8705999999999999E-2</c:v>
                </c:pt>
                <c:pt idx="184">
                  <c:v>4.8815999999999998E-2</c:v>
                </c:pt>
                <c:pt idx="185">
                  <c:v>4.8902000000000001E-2</c:v>
                </c:pt>
                <c:pt idx="186">
                  <c:v>4.8984E-2</c:v>
                </c:pt>
                <c:pt idx="187">
                  <c:v>4.9067999999999994E-2</c:v>
                </c:pt>
                <c:pt idx="188">
                  <c:v>4.9151999999999994E-2</c:v>
                </c:pt>
                <c:pt idx="189">
                  <c:v>4.9234E-2</c:v>
                </c:pt>
                <c:pt idx="190">
                  <c:v>4.9318000000000001E-2</c:v>
                </c:pt>
                <c:pt idx="191">
                  <c:v>4.9400000000000006E-2</c:v>
                </c:pt>
                <c:pt idx="192">
                  <c:v>4.9484E-2</c:v>
                </c:pt>
                <c:pt idx="193">
                  <c:v>4.9568000000000001E-2</c:v>
                </c:pt>
                <c:pt idx="194">
                  <c:v>4.965E-2</c:v>
                </c:pt>
                <c:pt idx="195">
                  <c:v>4.9734E-2</c:v>
                </c:pt>
                <c:pt idx="196">
                  <c:v>4.9818000000000001E-2</c:v>
                </c:pt>
                <c:pt idx="197">
                  <c:v>4.9901999999999995E-2</c:v>
                </c:pt>
                <c:pt idx="198">
                  <c:v>4.9984000000000001E-2</c:v>
                </c:pt>
                <c:pt idx="199">
                  <c:v>5.0068000000000001E-2</c:v>
                </c:pt>
                <c:pt idx="200">
                  <c:v>5.015E-2</c:v>
                </c:pt>
                <c:pt idx="201">
                  <c:v>5.0233999999999994E-2</c:v>
                </c:pt>
                <c:pt idx="202">
                  <c:v>5.0317999999999995E-2</c:v>
                </c:pt>
                <c:pt idx="203">
                  <c:v>5.0401999999999995E-2</c:v>
                </c:pt>
                <c:pt idx="204">
                  <c:v>5.0484000000000001E-2</c:v>
                </c:pt>
                <c:pt idx="205">
                  <c:v>5.0568000000000002E-2</c:v>
                </c:pt>
                <c:pt idx="206">
                  <c:v>5.0652000000000003E-2</c:v>
                </c:pt>
                <c:pt idx="207">
                  <c:v>5.0735999999999996E-2</c:v>
                </c:pt>
                <c:pt idx="208">
                  <c:v>5.0818000000000002E-2</c:v>
                </c:pt>
                <c:pt idx="209">
                  <c:v>5.0900000000000001E-2</c:v>
                </c:pt>
                <c:pt idx="210">
                  <c:v>5.0984000000000002E-2</c:v>
                </c:pt>
                <c:pt idx="211">
                  <c:v>5.1067999999999995E-2</c:v>
                </c:pt>
                <c:pt idx="212">
                  <c:v>5.1151999999999996E-2</c:v>
                </c:pt>
                <c:pt idx="213">
                  <c:v>5.1234000000000002E-2</c:v>
                </c:pt>
                <c:pt idx="214">
                  <c:v>5.1318000000000003E-2</c:v>
                </c:pt>
                <c:pt idx="215">
                  <c:v>5.1399999999999994E-2</c:v>
                </c:pt>
                <c:pt idx="216">
                  <c:v>5.1486000000000004E-2</c:v>
                </c:pt>
                <c:pt idx="217">
                  <c:v>5.1569999999999998E-2</c:v>
                </c:pt>
                <c:pt idx="218">
                  <c:v>5.1650000000000001E-2</c:v>
                </c:pt>
                <c:pt idx="219">
                  <c:v>5.1761999999999996E-2</c:v>
                </c:pt>
                <c:pt idx="220">
                  <c:v>5.1872000000000001E-2</c:v>
                </c:pt>
                <c:pt idx="221">
                  <c:v>5.1984000000000002E-2</c:v>
                </c:pt>
                <c:pt idx="222">
                  <c:v>5.2096000000000003E-2</c:v>
                </c:pt>
                <c:pt idx="223">
                  <c:v>5.2207999999999997E-2</c:v>
                </c:pt>
                <c:pt idx="224">
                  <c:v>5.2317999999999996E-2</c:v>
                </c:pt>
                <c:pt idx="225">
                  <c:v>5.2428000000000002E-2</c:v>
                </c:pt>
                <c:pt idx="226">
                  <c:v>5.2538000000000001E-2</c:v>
                </c:pt>
                <c:pt idx="227">
                  <c:v>5.2649999999999995E-2</c:v>
                </c:pt>
                <c:pt idx="228">
                  <c:v>5.2760000000000001E-2</c:v>
                </c:pt>
                <c:pt idx="229">
                  <c:v>5.2873999999999997E-2</c:v>
                </c:pt>
                <c:pt idx="230">
                  <c:v>5.2984000000000003E-2</c:v>
                </c:pt>
                <c:pt idx="231">
                  <c:v>5.3095999999999997E-2</c:v>
                </c:pt>
                <c:pt idx="232">
                  <c:v>5.3205999999999996E-2</c:v>
                </c:pt>
                <c:pt idx="233">
                  <c:v>5.3318000000000004E-2</c:v>
                </c:pt>
                <c:pt idx="234">
                  <c:v>5.3429999999999998E-2</c:v>
                </c:pt>
                <c:pt idx="235">
                  <c:v>5.3540000000000004E-2</c:v>
                </c:pt>
                <c:pt idx="236">
                  <c:v>5.3623999999999998E-2</c:v>
                </c:pt>
                <c:pt idx="237">
                  <c:v>5.3734000000000004E-2</c:v>
                </c:pt>
                <c:pt idx="238">
                  <c:v>5.3845999999999998E-2</c:v>
                </c:pt>
                <c:pt idx="239">
                  <c:v>5.3955999999999997E-2</c:v>
                </c:pt>
                <c:pt idx="240">
                  <c:v>5.4066000000000003E-2</c:v>
                </c:pt>
                <c:pt idx="241">
                  <c:v>5.4177999999999997E-2</c:v>
                </c:pt>
                <c:pt idx="242">
                  <c:v>5.4290000000000005E-2</c:v>
                </c:pt>
                <c:pt idx="243">
                  <c:v>5.4400000000000004E-2</c:v>
                </c:pt>
                <c:pt idx="244">
                  <c:v>5.4511999999999998E-2</c:v>
                </c:pt>
                <c:pt idx="245">
                  <c:v>5.4595999999999999E-2</c:v>
                </c:pt>
                <c:pt idx="246">
                  <c:v>5.4706000000000005E-2</c:v>
                </c:pt>
                <c:pt idx="247">
                  <c:v>5.4816000000000004E-2</c:v>
                </c:pt>
                <c:pt idx="248">
                  <c:v>5.4927999999999998E-2</c:v>
                </c:pt>
                <c:pt idx="249">
                  <c:v>5.5039999999999999E-2</c:v>
                </c:pt>
                <c:pt idx="250">
                  <c:v>5.5121999999999997E-2</c:v>
                </c:pt>
                <c:pt idx="251">
                  <c:v>5.5233999999999998E-2</c:v>
                </c:pt>
                <c:pt idx="252">
                  <c:v>5.5345999999999999E-2</c:v>
                </c:pt>
                <c:pt idx="253">
                  <c:v>5.5427999999999998E-2</c:v>
                </c:pt>
                <c:pt idx="254">
                  <c:v>5.5537999999999997E-2</c:v>
                </c:pt>
                <c:pt idx="255">
                  <c:v>5.5621999999999998E-2</c:v>
                </c:pt>
                <c:pt idx="256">
                  <c:v>5.5734000000000006E-2</c:v>
                </c:pt>
                <c:pt idx="257">
                  <c:v>5.5818000000000006E-2</c:v>
                </c:pt>
                <c:pt idx="258">
                  <c:v>5.5928000000000005E-2</c:v>
                </c:pt>
                <c:pt idx="259">
                  <c:v>5.604E-2</c:v>
                </c:pt>
                <c:pt idx="260">
                  <c:v>5.6180000000000001E-2</c:v>
                </c:pt>
                <c:pt idx="261">
                  <c:v>5.6289999999999993E-2</c:v>
                </c:pt>
                <c:pt idx="262">
                  <c:v>5.6399999999999999E-2</c:v>
                </c:pt>
                <c:pt idx="263">
                  <c:v>5.654E-2</c:v>
                </c:pt>
                <c:pt idx="264">
                  <c:v>5.6651999999999994E-2</c:v>
                </c:pt>
                <c:pt idx="265">
                  <c:v>5.6762E-2</c:v>
                </c:pt>
                <c:pt idx="266">
                  <c:v>5.6874000000000001E-2</c:v>
                </c:pt>
                <c:pt idx="267">
                  <c:v>5.7012E-2</c:v>
                </c:pt>
                <c:pt idx="268">
                  <c:v>5.7121999999999999E-2</c:v>
                </c:pt>
                <c:pt idx="269">
                  <c:v>5.7234E-2</c:v>
                </c:pt>
                <c:pt idx="270">
                  <c:v>5.7346000000000001E-2</c:v>
                </c:pt>
                <c:pt idx="271">
                  <c:v>5.7455999999999993E-2</c:v>
                </c:pt>
                <c:pt idx="272">
                  <c:v>5.7568000000000001E-2</c:v>
                </c:pt>
                <c:pt idx="273">
                  <c:v>5.7679999999999995E-2</c:v>
                </c:pt>
                <c:pt idx="274">
                  <c:v>5.7790000000000001E-2</c:v>
                </c:pt>
                <c:pt idx="275">
                  <c:v>5.79E-2</c:v>
                </c:pt>
                <c:pt idx="276">
                  <c:v>5.8011999999999994E-2</c:v>
                </c:pt>
                <c:pt idx="277">
                  <c:v>5.8122E-2</c:v>
                </c:pt>
                <c:pt idx="278">
                  <c:v>5.8234000000000001E-2</c:v>
                </c:pt>
                <c:pt idx="279">
                  <c:v>5.8346000000000002E-2</c:v>
                </c:pt>
                <c:pt idx="280">
                  <c:v>5.8457999999999996E-2</c:v>
                </c:pt>
                <c:pt idx="281">
                  <c:v>5.8566E-2</c:v>
                </c:pt>
                <c:pt idx="282">
                  <c:v>5.8678000000000001E-2</c:v>
                </c:pt>
                <c:pt idx="283">
                  <c:v>5.8789999999999995E-2</c:v>
                </c:pt>
                <c:pt idx="284">
                  <c:v>5.8902000000000003E-2</c:v>
                </c:pt>
                <c:pt idx="285">
                  <c:v>5.9012000000000002E-2</c:v>
                </c:pt>
                <c:pt idx="286">
                  <c:v>5.9123999999999996E-2</c:v>
                </c:pt>
                <c:pt idx="287">
                  <c:v>5.9236000000000004E-2</c:v>
                </c:pt>
                <c:pt idx="288">
                  <c:v>5.9344000000000001E-2</c:v>
                </c:pt>
                <c:pt idx="289">
                  <c:v>5.9482E-2</c:v>
                </c:pt>
                <c:pt idx="290">
                  <c:v>5.9622000000000001E-2</c:v>
                </c:pt>
                <c:pt idx="291">
                  <c:v>5.9762000000000003E-2</c:v>
                </c:pt>
                <c:pt idx="292">
                  <c:v>5.9901999999999997E-2</c:v>
                </c:pt>
                <c:pt idx="293">
                  <c:v>6.0014000000000005E-2</c:v>
                </c:pt>
                <c:pt idx="294">
                  <c:v>6.0149999999999995E-2</c:v>
                </c:pt>
                <c:pt idx="295">
                  <c:v>6.0288000000000001E-2</c:v>
                </c:pt>
                <c:pt idx="296">
                  <c:v>6.0427999999999996E-2</c:v>
                </c:pt>
                <c:pt idx="297">
                  <c:v>6.0540000000000004E-2</c:v>
                </c:pt>
                <c:pt idx="298">
                  <c:v>6.0679999999999998E-2</c:v>
                </c:pt>
                <c:pt idx="299">
                  <c:v>6.0791999999999999E-2</c:v>
                </c:pt>
                <c:pt idx="300">
                  <c:v>6.0928000000000003E-2</c:v>
                </c:pt>
                <c:pt idx="301">
                  <c:v>6.1067999999999997E-2</c:v>
                </c:pt>
                <c:pt idx="302">
                  <c:v>6.1177999999999996E-2</c:v>
                </c:pt>
                <c:pt idx="303">
                  <c:v>6.1318000000000004E-2</c:v>
                </c:pt>
                <c:pt idx="304">
                  <c:v>6.1455999999999997E-2</c:v>
                </c:pt>
                <c:pt idx="305">
                  <c:v>6.1596000000000005E-2</c:v>
                </c:pt>
                <c:pt idx="306">
                  <c:v>6.1707999999999999E-2</c:v>
                </c:pt>
                <c:pt idx="307">
                  <c:v>6.1844000000000003E-2</c:v>
                </c:pt>
                <c:pt idx="308">
                  <c:v>6.1984000000000004E-2</c:v>
                </c:pt>
                <c:pt idx="309">
                  <c:v>6.2123999999999999E-2</c:v>
                </c:pt>
                <c:pt idx="310">
                  <c:v>6.2236E-2</c:v>
                </c:pt>
                <c:pt idx="311">
                  <c:v>6.2346000000000006E-2</c:v>
                </c:pt>
                <c:pt idx="312">
                  <c:v>6.2484000000000005E-2</c:v>
                </c:pt>
                <c:pt idx="313">
                  <c:v>6.2623999999999999E-2</c:v>
                </c:pt>
                <c:pt idx="314">
                  <c:v>6.2761999999999998E-2</c:v>
                </c:pt>
                <c:pt idx="315">
                  <c:v>6.2899999999999998E-2</c:v>
                </c:pt>
                <c:pt idx="316">
                  <c:v>6.3039999999999999E-2</c:v>
                </c:pt>
                <c:pt idx="317">
                  <c:v>6.3177999999999998E-2</c:v>
                </c:pt>
                <c:pt idx="318">
                  <c:v>6.3315999999999997E-2</c:v>
                </c:pt>
                <c:pt idx="319">
                  <c:v>6.3455999999999999E-2</c:v>
                </c:pt>
                <c:pt idx="320">
                  <c:v>6.3596E-2</c:v>
                </c:pt>
                <c:pt idx="321">
                  <c:v>6.3736000000000001E-2</c:v>
                </c:pt>
                <c:pt idx="322">
                  <c:v>6.3874E-2</c:v>
                </c:pt>
                <c:pt idx="323">
                  <c:v>6.4009999999999997E-2</c:v>
                </c:pt>
                <c:pt idx="324">
                  <c:v>6.4149999999999999E-2</c:v>
                </c:pt>
                <c:pt idx="325">
                  <c:v>6.429E-2</c:v>
                </c:pt>
                <c:pt idx="326">
                  <c:v>6.4427999999999999E-2</c:v>
                </c:pt>
                <c:pt idx="327">
                  <c:v>6.4568E-2</c:v>
                </c:pt>
                <c:pt idx="328">
                  <c:v>6.4706E-2</c:v>
                </c:pt>
                <c:pt idx="329">
                  <c:v>6.4843999999999999E-2</c:v>
                </c:pt>
                <c:pt idx="330">
                  <c:v>6.4984E-2</c:v>
                </c:pt>
                <c:pt idx="331">
                  <c:v>6.5124000000000001E-2</c:v>
                </c:pt>
                <c:pt idx="332">
                  <c:v>6.5262000000000001E-2</c:v>
                </c:pt>
                <c:pt idx="333">
                  <c:v>6.5402000000000002E-2</c:v>
                </c:pt>
                <c:pt idx="334">
                  <c:v>6.5565999999999999E-2</c:v>
                </c:pt>
                <c:pt idx="335">
                  <c:v>6.5734000000000001E-2</c:v>
                </c:pt>
                <c:pt idx="336">
                  <c:v>6.5874000000000002E-2</c:v>
                </c:pt>
                <c:pt idx="337">
                  <c:v>6.6040000000000001E-2</c:v>
                </c:pt>
                <c:pt idx="338">
                  <c:v>6.6180000000000003E-2</c:v>
                </c:pt>
                <c:pt idx="339">
                  <c:v>6.6316E-2</c:v>
                </c:pt>
                <c:pt idx="340">
                  <c:v>6.6456000000000001E-2</c:v>
                </c:pt>
                <c:pt idx="341">
                  <c:v>6.6594E-2</c:v>
                </c:pt>
                <c:pt idx="342">
                  <c:v>6.6734000000000002E-2</c:v>
                </c:pt>
                <c:pt idx="343">
                  <c:v>6.6874000000000003E-2</c:v>
                </c:pt>
                <c:pt idx="344">
                  <c:v>6.7012000000000002E-2</c:v>
                </c:pt>
                <c:pt idx="345">
                  <c:v>6.7150000000000001E-2</c:v>
                </c:pt>
                <c:pt idx="346">
                  <c:v>6.7291999999999991E-2</c:v>
                </c:pt>
                <c:pt idx="347">
                  <c:v>6.7428000000000002E-2</c:v>
                </c:pt>
                <c:pt idx="348">
                  <c:v>6.7568000000000003E-2</c:v>
                </c:pt>
                <c:pt idx="349">
                  <c:v>6.7708000000000004E-2</c:v>
                </c:pt>
                <c:pt idx="350">
                  <c:v>6.7872000000000002E-2</c:v>
                </c:pt>
                <c:pt idx="351">
                  <c:v>6.8040000000000003E-2</c:v>
                </c:pt>
                <c:pt idx="352">
                  <c:v>6.8208000000000005E-2</c:v>
                </c:pt>
                <c:pt idx="353">
                  <c:v>6.837399999999999E-2</c:v>
                </c:pt>
                <c:pt idx="354">
                  <c:v>6.8540000000000004E-2</c:v>
                </c:pt>
                <c:pt idx="355">
                  <c:v>6.8705999999999989E-2</c:v>
                </c:pt>
                <c:pt idx="356">
                  <c:v>6.8872000000000003E-2</c:v>
                </c:pt>
                <c:pt idx="357">
                  <c:v>6.9042000000000006E-2</c:v>
                </c:pt>
                <c:pt idx="358">
                  <c:v>6.9180000000000005E-2</c:v>
                </c:pt>
                <c:pt idx="359">
                  <c:v>6.9345999999999991E-2</c:v>
                </c:pt>
                <c:pt idx="360">
                  <c:v>6.9512000000000004E-2</c:v>
                </c:pt>
                <c:pt idx="361">
                  <c:v>6.9680000000000006E-2</c:v>
                </c:pt>
                <c:pt idx="362">
                  <c:v>6.9817999999999991E-2</c:v>
                </c:pt>
                <c:pt idx="363">
                  <c:v>6.9985999999999993E-2</c:v>
                </c:pt>
                <c:pt idx="364">
                  <c:v>7.0122000000000004E-2</c:v>
                </c:pt>
                <c:pt idx="365">
                  <c:v>7.0290000000000005E-2</c:v>
                </c:pt>
                <c:pt idx="366">
                  <c:v>7.0456000000000005E-2</c:v>
                </c:pt>
                <c:pt idx="367">
                  <c:v>7.0622000000000004E-2</c:v>
                </c:pt>
                <c:pt idx="368">
                  <c:v>7.0789999999999992E-2</c:v>
                </c:pt>
                <c:pt idx="369">
                  <c:v>7.0954000000000003E-2</c:v>
                </c:pt>
                <c:pt idx="370">
                  <c:v>7.1124000000000007E-2</c:v>
                </c:pt>
                <c:pt idx="371">
                  <c:v>7.1289999999999992E-2</c:v>
                </c:pt>
                <c:pt idx="372">
                  <c:v>7.1456000000000006E-2</c:v>
                </c:pt>
                <c:pt idx="373">
                  <c:v>7.1623999999999993E-2</c:v>
                </c:pt>
                <c:pt idx="374">
                  <c:v>7.1788000000000005E-2</c:v>
                </c:pt>
                <c:pt idx="375">
                  <c:v>7.1958000000000008E-2</c:v>
                </c:pt>
                <c:pt idx="376">
                  <c:v>7.2123999999999994E-2</c:v>
                </c:pt>
                <c:pt idx="377">
                  <c:v>7.2290000000000007E-2</c:v>
                </c:pt>
                <c:pt idx="378">
                  <c:v>7.2481999999999991E-2</c:v>
                </c:pt>
                <c:pt idx="379">
                  <c:v>7.2649999999999992E-2</c:v>
                </c:pt>
                <c:pt idx="380">
                  <c:v>7.2816000000000006E-2</c:v>
                </c:pt>
                <c:pt idx="381">
                  <c:v>7.2986000000000009E-2</c:v>
                </c:pt>
                <c:pt idx="382">
                  <c:v>7.3178000000000007E-2</c:v>
                </c:pt>
                <c:pt idx="383">
                  <c:v>7.3345999999999995E-2</c:v>
                </c:pt>
                <c:pt idx="384">
                  <c:v>7.3537999999999992E-2</c:v>
                </c:pt>
                <c:pt idx="385">
                  <c:v>7.3734000000000008E-2</c:v>
                </c:pt>
                <c:pt idx="386">
                  <c:v>7.3901999999999995E-2</c:v>
                </c:pt>
                <c:pt idx="387">
                  <c:v>7.4066000000000007E-2</c:v>
                </c:pt>
                <c:pt idx="388">
                  <c:v>7.4233999999999994E-2</c:v>
                </c:pt>
                <c:pt idx="389">
                  <c:v>7.4401999999999996E-2</c:v>
                </c:pt>
                <c:pt idx="390">
                  <c:v>7.4568000000000009E-2</c:v>
                </c:pt>
                <c:pt idx="391">
                  <c:v>7.4762000000000009E-2</c:v>
                </c:pt>
                <c:pt idx="392">
                  <c:v>7.4955999999999995E-2</c:v>
                </c:pt>
                <c:pt idx="393">
                  <c:v>7.5151999999999997E-2</c:v>
                </c:pt>
                <c:pt idx="394">
                  <c:v>7.5345999999999996E-2</c:v>
                </c:pt>
                <c:pt idx="395">
                  <c:v>7.5539999999999996E-2</c:v>
                </c:pt>
                <c:pt idx="396">
                  <c:v>7.573400000000001E-2</c:v>
                </c:pt>
                <c:pt idx="397">
                  <c:v>7.5928000000000009E-2</c:v>
                </c:pt>
                <c:pt idx="398">
                  <c:v>7.6123999999999997E-2</c:v>
                </c:pt>
                <c:pt idx="399">
                  <c:v>7.6315999999999995E-2</c:v>
                </c:pt>
                <c:pt idx="400">
                  <c:v>7.6511999999999997E-2</c:v>
                </c:pt>
                <c:pt idx="401">
                  <c:v>7.6707999999999998E-2</c:v>
                </c:pt>
                <c:pt idx="402">
                  <c:v>7.6901999999999998E-2</c:v>
                </c:pt>
                <c:pt idx="403">
                  <c:v>7.7095999999999998E-2</c:v>
                </c:pt>
                <c:pt idx="404">
                  <c:v>7.7289999999999998E-2</c:v>
                </c:pt>
                <c:pt idx="405">
                  <c:v>7.7483999999999997E-2</c:v>
                </c:pt>
                <c:pt idx="406">
                  <c:v>7.7679999999999999E-2</c:v>
                </c:pt>
                <c:pt idx="407">
                  <c:v>7.7871999999999997E-2</c:v>
                </c:pt>
                <c:pt idx="408">
                  <c:v>7.806600000000001E-2</c:v>
                </c:pt>
                <c:pt idx="409">
                  <c:v>7.8261999999999998E-2</c:v>
                </c:pt>
                <c:pt idx="410">
                  <c:v>7.8458E-2</c:v>
                </c:pt>
                <c:pt idx="411">
                  <c:v>7.8652E-2</c:v>
                </c:pt>
                <c:pt idx="412">
                  <c:v>7.8843999999999997E-2</c:v>
                </c:pt>
                <c:pt idx="413">
                  <c:v>7.9039999999999999E-2</c:v>
                </c:pt>
                <c:pt idx="414">
                  <c:v>7.9233999999999999E-2</c:v>
                </c:pt>
                <c:pt idx="415">
                  <c:v>7.9427999999999999E-2</c:v>
                </c:pt>
                <c:pt idx="416">
                  <c:v>7.9621999999999998E-2</c:v>
                </c:pt>
                <c:pt idx="417">
                  <c:v>7.9818E-2</c:v>
                </c:pt>
                <c:pt idx="418">
                  <c:v>8.0014000000000002E-2</c:v>
                </c:pt>
                <c:pt idx="419">
                  <c:v>8.0206E-2</c:v>
                </c:pt>
                <c:pt idx="420">
                  <c:v>8.0402000000000001E-2</c:v>
                </c:pt>
                <c:pt idx="421">
                  <c:v>8.0596000000000001E-2</c:v>
                </c:pt>
                <c:pt idx="422">
                  <c:v>8.0820000000000003E-2</c:v>
                </c:pt>
                <c:pt idx="423">
                  <c:v>8.1039999999999987E-2</c:v>
                </c:pt>
                <c:pt idx="424">
                  <c:v>8.1264000000000003E-2</c:v>
                </c:pt>
                <c:pt idx="425">
                  <c:v>8.1484000000000001E-2</c:v>
                </c:pt>
                <c:pt idx="426">
                  <c:v>8.1704000000000013E-2</c:v>
                </c:pt>
                <c:pt idx="427">
                  <c:v>8.1900000000000001E-2</c:v>
                </c:pt>
                <c:pt idx="428">
                  <c:v>8.2121999999999987E-2</c:v>
                </c:pt>
                <c:pt idx="429">
                  <c:v>8.2348000000000005E-2</c:v>
                </c:pt>
                <c:pt idx="430">
                  <c:v>8.2566000000000001E-2</c:v>
                </c:pt>
                <c:pt idx="431">
                  <c:v>8.2790000000000002E-2</c:v>
                </c:pt>
                <c:pt idx="432">
                  <c:v>8.3013999999999991E-2</c:v>
                </c:pt>
                <c:pt idx="433">
                  <c:v>8.3233999999999989E-2</c:v>
                </c:pt>
                <c:pt idx="434">
                  <c:v>8.3455999999999989E-2</c:v>
                </c:pt>
                <c:pt idx="435">
                  <c:v>8.3678000000000002E-2</c:v>
                </c:pt>
                <c:pt idx="436">
                  <c:v>8.3902000000000004E-2</c:v>
                </c:pt>
                <c:pt idx="437">
                  <c:v>8.4124000000000004E-2</c:v>
                </c:pt>
                <c:pt idx="438">
                  <c:v>8.434599999999999E-2</c:v>
                </c:pt>
                <c:pt idx="439">
                  <c:v>8.4594000000000003E-2</c:v>
                </c:pt>
                <c:pt idx="440">
                  <c:v>8.4846000000000005E-2</c:v>
                </c:pt>
                <c:pt idx="441">
                  <c:v>8.5096000000000005E-2</c:v>
                </c:pt>
                <c:pt idx="442">
                  <c:v>8.5318000000000005E-2</c:v>
                </c:pt>
                <c:pt idx="443">
                  <c:v>8.5538000000000003E-2</c:v>
                </c:pt>
                <c:pt idx="444">
                  <c:v>8.5762000000000005E-2</c:v>
                </c:pt>
                <c:pt idx="445">
                  <c:v>8.5984000000000005E-2</c:v>
                </c:pt>
                <c:pt idx="446">
                  <c:v>8.6234000000000005E-2</c:v>
                </c:pt>
                <c:pt idx="447">
                  <c:v>8.6484000000000005E-2</c:v>
                </c:pt>
                <c:pt idx="448">
                  <c:v>8.6734000000000006E-2</c:v>
                </c:pt>
                <c:pt idx="449">
                  <c:v>8.6986000000000008E-2</c:v>
                </c:pt>
                <c:pt idx="450">
                  <c:v>8.7233999999999992E-2</c:v>
                </c:pt>
                <c:pt idx="451">
                  <c:v>8.7484000000000006E-2</c:v>
                </c:pt>
                <c:pt idx="452">
                  <c:v>8.7706000000000006E-2</c:v>
                </c:pt>
                <c:pt idx="453">
                  <c:v>8.7956000000000006E-2</c:v>
                </c:pt>
                <c:pt idx="454">
                  <c:v>8.8206000000000007E-2</c:v>
                </c:pt>
                <c:pt idx="455">
                  <c:v>8.8455999999999993E-2</c:v>
                </c:pt>
                <c:pt idx="456">
                  <c:v>8.8707999999999995E-2</c:v>
                </c:pt>
                <c:pt idx="457">
                  <c:v>8.8955999999999993E-2</c:v>
                </c:pt>
                <c:pt idx="458">
                  <c:v>8.9207999999999996E-2</c:v>
                </c:pt>
                <c:pt idx="459">
                  <c:v>8.9453999999999992E-2</c:v>
                </c:pt>
                <c:pt idx="460">
                  <c:v>8.9705999999999994E-2</c:v>
                </c:pt>
                <c:pt idx="461">
                  <c:v>8.9955999999999994E-2</c:v>
                </c:pt>
                <c:pt idx="462">
                  <c:v>9.0205999999999995E-2</c:v>
                </c:pt>
                <c:pt idx="463">
                  <c:v>9.0456000000000009E-2</c:v>
                </c:pt>
                <c:pt idx="464">
                  <c:v>9.0707999999999997E-2</c:v>
                </c:pt>
                <c:pt idx="465">
                  <c:v>9.0955999999999995E-2</c:v>
                </c:pt>
                <c:pt idx="466">
                  <c:v>9.1205999999999995E-2</c:v>
                </c:pt>
                <c:pt idx="467">
                  <c:v>9.1485999999999998E-2</c:v>
                </c:pt>
                <c:pt idx="468">
                  <c:v>9.1731999999999994E-2</c:v>
                </c:pt>
                <c:pt idx="469">
                  <c:v>9.2011999999999997E-2</c:v>
                </c:pt>
                <c:pt idx="470">
                  <c:v>9.2291999999999999E-2</c:v>
                </c:pt>
                <c:pt idx="471">
                  <c:v>9.2566000000000009E-2</c:v>
                </c:pt>
                <c:pt idx="472">
                  <c:v>9.2845999999999998E-2</c:v>
                </c:pt>
                <c:pt idx="473">
                  <c:v>9.3123999999999998E-2</c:v>
                </c:pt>
                <c:pt idx="474">
                  <c:v>9.3399999999999997E-2</c:v>
                </c:pt>
                <c:pt idx="475">
                  <c:v>9.3678000000000011E-2</c:v>
                </c:pt>
                <c:pt idx="476">
                  <c:v>9.3955999999999998E-2</c:v>
                </c:pt>
                <c:pt idx="477">
                  <c:v>9.4234000000000012E-2</c:v>
                </c:pt>
                <c:pt idx="478">
                  <c:v>9.4511999999999999E-2</c:v>
                </c:pt>
                <c:pt idx="479">
                  <c:v>9.4789999999999985E-2</c:v>
                </c:pt>
                <c:pt idx="480">
                  <c:v>9.5068E-2</c:v>
                </c:pt>
                <c:pt idx="481">
                  <c:v>9.5345999999999986E-2</c:v>
                </c:pt>
                <c:pt idx="482">
                  <c:v>9.5624000000000001E-2</c:v>
                </c:pt>
                <c:pt idx="483">
                  <c:v>9.5927999999999999E-2</c:v>
                </c:pt>
                <c:pt idx="484">
                  <c:v>9.6234E-2</c:v>
                </c:pt>
                <c:pt idx="485">
                  <c:v>9.6540000000000001E-2</c:v>
                </c:pt>
                <c:pt idx="486">
                  <c:v>9.6846000000000002E-2</c:v>
                </c:pt>
                <c:pt idx="487">
                  <c:v>9.715E-2</c:v>
                </c:pt>
                <c:pt idx="488">
                  <c:v>9.7456000000000001E-2</c:v>
                </c:pt>
                <c:pt idx="489">
                  <c:v>9.7761999999999988E-2</c:v>
                </c:pt>
                <c:pt idx="490">
                  <c:v>9.8068000000000002E-2</c:v>
                </c:pt>
                <c:pt idx="491">
                  <c:v>9.8374000000000003E-2</c:v>
                </c:pt>
                <c:pt idx="492">
                  <c:v>9.8678000000000002E-2</c:v>
                </c:pt>
                <c:pt idx="493">
                  <c:v>9.8984000000000003E-2</c:v>
                </c:pt>
                <c:pt idx="494">
                  <c:v>9.9291999999999991E-2</c:v>
                </c:pt>
                <c:pt idx="495">
                  <c:v>9.9594000000000002E-2</c:v>
                </c:pt>
                <c:pt idx="496">
                  <c:v>9.9901999999999991E-2</c:v>
                </c:pt>
                <c:pt idx="497">
                  <c:v>0.100204</c:v>
                </c:pt>
                <c:pt idx="498">
                  <c:v>0.10051199999999999</c:v>
                </c:pt>
                <c:pt idx="499">
                  <c:v>0.10081799999999999</c:v>
                </c:pt>
                <c:pt idx="500">
                  <c:v>0.10115</c:v>
                </c:pt>
                <c:pt idx="501">
                  <c:v>0.101484</c:v>
                </c:pt>
                <c:pt idx="502">
                  <c:v>0.10181800000000001</c:v>
                </c:pt>
                <c:pt idx="503">
                  <c:v>0.10215199999999999</c:v>
                </c:pt>
                <c:pt idx="504">
                  <c:v>0.102482</c:v>
                </c:pt>
                <c:pt idx="505">
                  <c:v>0.10281800000000001</c:v>
                </c:pt>
                <c:pt idx="506">
                  <c:v>0.10315200000000001</c:v>
                </c:pt>
                <c:pt idx="507">
                  <c:v>0.10348399999999999</c:v>
                </c:pt>
                <c:pt idx="508">
                  <c:v>0.10381800000000001</c:v>
                </c:pt>
                <c:pt idx="509">
                  <c:v>0.10417799999999999</c:v>
                </c:pt>
                <c:pt idx="510">
                  <c:v>0.10454000000000001</c:v>
                </c:pt>
                <c:pt idx="511">
                  <c:v>0.10490000000000001</c:v>
                </c:pt>
                <c:pt idx="512">
                  <c:v>0.10526199999999999</c:v>
                </c:pt>
                <c:pt idx="513">
                  <c:v>0.105624</c:v>
                </c:pt>
                <c:pt idx="514">
                  <c:v>0.10598399999999999</c:v>
                </c:pt>
                <c:pt idx="515">
                  <c:v>0.10634600000000001</c:v>
                </c:pt>
                <c:pt idx="516">
                  <c:v>0.106708</c:v>
                </c:pt>
                <c:pt idx="517">
                  <c:v>0.10706599999999999</c:v>
                </c:pt>
                <c:pt idx="518">
                  <c:v>0.107456</c:v>
                </c:pt>
                <c:pt idx="519">
                  <c:v>0.10781800000000001</c:v>
                </c:pt>
                <c:pt idx="520">
                  <c:v>0.108178</c:v>
                </c:pt>
                <c:pt idx="521">
                  <c:v>0.10854</c:v>
                </c:pt>
                <c:pt idx="522">
                  <c:v>0.108928</c:v>
                </c:pt>
                <c:pt idx="523">
                  <c:v>0.109292</c:v>
                </c:pt>
                <c:pt idx="524">
                  <c:v>0.109652</c:v>
                </c:pt>
                <c:pt idx="525">
                  <c:v>0.11001200000000001</c:v>
                </c:pt>
                <c:pt idx="526">
                  <c:v>0.110402</c:v>
                </c:pt>
                <c:pt idx="527">
                  <c:v>0.11079</c:v>
                </c:pt>
                <c:pt idx="528">
                  <c:v>0.11117800000000001</c:v>
                </c:pt>
                <c:pt idx="529">
                  <c:v>0.111568</c:v>
                </c:pt>
                <c:pt idx="530">
                  <c:v>0.111958</c:v>
                </c:pt>
                <c:pt idx="531">
                  <c:v>0.11237399999999999</c:v>
                </c:pt>
                <c:pt idx="532">
                  <c:v>0.11279</c:v>
                </c:pt>
                <c:pt idx="533">
                  <c:v>0.113206</c:v>
                </c:pt>
                <c:pt idx="534">
                  <c:v>0.11362399999999999</c:v>
                </c:pt>
                <c:pt idx="535">
                  <c:v>0.11404</c:v>
                </c:pt>
                <c:pt idx="536">
                  <c:v>0.114458</c:v>
                </c:pt>
                <c:pt idx="537">
                  <c:v>0.1149</c:v>
                </c:pt>
                <c:pt idx="538">
                  <c:v>0.11534599999999999</c:v>
                </c:pt>
                <c:pt idx="539">
                  <c:v>0.11579</c:v>
                </c:pt>
                <c:pt idx="540">
                  <c:v>0.116234</c:v>
                </c:pt>
                <c:pt idx="541">
                  <c:v>0.11667999999999999</c:v>
                </c:pt>
                <c:pt idx="542">
                  <c:v>0.11712199999999999</c:v>
                </c:pt>
                <c:pt idx="543">
                  <c:v>0.11756800000000001</c:v>
                </c:pt>
                <c:pt idx="544">
                  <c:v>0.11804000000000001</c:v>
                </c:pt>
                <c:pt idx="545">
                  <c:v>0.11851200000000001</c:v>
                </c:pt>
                <c:pt idx="546">
                  <c:v>0.11898400000000001</c:v>
                </c:pt>
                <c:pt idx="547">
                  <c:v>0.11942800000000001</c:v>
                </c:pt>
                <c:pt idx="548">
                  <c:v>0.11990199999999999</c:v>
                </c:pt>
                <c:pt idx="549">
                  <c:v>0.12037200000000001</c:v>
                </c:pt>
                <c:pt idx="550">
                  <c:v>0.120846</c:v>
                </c:pt>
                <c:pt idx="551">
                  <c:v>0.121318</c:v>
                </c:pt>
                <c:pt idx="552">
                  <c:v>0.12179000000000001</c:v>
                </c:pt>
                <c:pt idx="553">
                  <c:v>0.12229200000000001</c:v>
                </c:pt>
                <c:pt idx="554">
                  <c:v>0.12279</c:v>
                </c:pt>
                <c:pt idx="555">
                  <c:v>0.12329000000000001</c:v>
                </c:pt>
                <c:pt idx="556">
                  <c:v>0.12379</c:v>
                </c:pt>
                <c:pt idx="557">
                  <c:v>0.124316</c:v>
                </c:pt>
                <c:pt idx="558">
                  <c:v>0.124846</c:v>
                </c:pt>
                <c:pt idx="559">
                  <c:v>0.12537399999999999</c:v>
                </c:pt>
                <c:pt idx="560">
                  <c:v>0.12592999999999999</c:v>
                </c:pt>
                <c:pt idx="561">
                  <c:v>0.12648199999999998</c:v>
                </c:pt>
                <c:pt idx="562">
                  <c:v>0.12704000000000001</c:v>
                </c:pt>
                <c:pt idx="563">
                  <c:v>0.12759600000000001</c:v>
                </c:pt>
                <c:pt idx="564">
                  <c:v>0.12814999999999999</c:v>
                </c:pt>
                <c:pt idx="565">
                  <c:v>0.12870799999999999</c:v>
                </c:pt>
                <c:pt idx="566">
                  <c:v>0.12926199999999999</c:v>
                </c:pt>
                <c:pt idx="567">
                  <c:v>0.12984600000000002</c:v>
                </c:pt>
                <c:pt idx="568">
                  <c:v>0.13045600000000002</c:v>
                </c:pt>
                <c:pt idx="569">
                  <c:v>0.13128999999999999</c:v>
                </c:pt>
                <c:pt idx="570">
                  <c:v>0.13131799999999999</c:v>
                </c:pt>
              </c:numCache>
            </c:numRef>
          </c:cat>
          <c:val>
            <c:numRef>
              <c:f>'A10-5'!$F$2:$F$572</c:f>
              <c:numCache>
                <c:formatCode>0.00</c:formatCode>
                <c:ptCount val="571"/>
                <c:pt idx="0">
                  <c:v>0</c:v>
                </c:pt>
                <c:pt idx="1">
                  <c:v>0.28636334349675874</c:v>
                </c:pt>
                <c:pt idx="2">
                  <c:v>0.28989664066575632</c:v>
                </c:pt>
                <c:pt idx="3">
                  <c:v>0.29342993783475396</c:v>
                </c:pt>
                <c:pt idx="4">
                  <c:v>0.29342993783475396</c:v>
                </c:pt>
                <c:pt idx="5">
                  <c:v>0.29342993783475396</c:v>
                </c:pt>
                <c:pt idx="6">
                  <c:v>0.29696323500375155</c:v>
                </c:pt>
                <c:pt idx="7">
                  <c:v>0.30049653217274913</c:v>
                </c:pt>
                <c:pt idx="8">
                  <c:v>0.30402982934174677</c:v>
                </c:pt>
                <c:pt idx="9">
                  <c:v>0.30758391061173845</c:v>
                </c:pt>
                <c:pt idx="10">
                  <c:v>0.31111720778073604</c:v>
                </c:pt>
                <c:pt idx="11">
                  <c:v>0.31465050494973362</c:v>
                </c:pt>
                <c:pt idx="12">
                  <c:v>0.31465050494973362</c:v>
                </c:pt>
                <c:pt idx="13">
                  <c:v>0.31818380211873126</c:v>
                </c:pt>
                <c:pt idx="14">
                  <c:v>0.31818380211873126</c:v>
                </c:pt>
                <c:pt idx="15">
                  <c:v>0.31818380211873126</c:v>
                </c:pt>
                <c:pt idx="16">
                  <c:v>0.31818380211873126</c:v>
                </c:pt>
                <c:pt idx="17">
                  <c:v>0.31818380211873126</c:v>
                </c:pt>
                <c:pt idx="18">
                  <c:v>0.31818380211873126</c:v>
                </c:pt>
                <c:pt idx="19">
                  <c:v>0.31818380211873126</c:v>
                </c:pt>
                <c:pt idx="20">
                  <c:v>0.31818380211873126</c:v>
                </c:pt>
                <c:pt idx="21">
                  <c:v>0.31818380211873126</c:v>
                </c:pt>
                <c:pt idx="22">
                  <c:v>0.31818380211873126</c:v>
                </c:pt>
                <c:pt idx="23">
                  <c:v>0.31818380211873126</c:v>
                </c:pt>
                <c:pt idx="24">
                  <c:v>0.31818380211873126</c:v>
                </c:pt>
                <c:pt idx="25">
                  <c:v>0.32171709928772885</c:v>
                </c:pt>
                <c:pt idx="26">
                  <c:v>0.31818380211873126</c:v>
                </c:pt>
                <c:pt idx="27">
                  <c:v>0.32171709928772885</c:v>
                </c:pt>
                <c:pt idx="28">
                  <c:v>0.32171709928772885</c:v>
                </c:pt>
                <c:pt idx="29">
                  <c:v>0.32171709928772885</c:v>
                </c:pt>
                <c:pt idx="30">
                  <c:v>0.32171709928772885</c:v>
                </c:pt>
                <c:pt idx="31">
                  <c:v>0.32171709928772885</c:v>
                </c:pt>
                <c:pt idx="32">
                  <c:v>0.32171709928772885</c:v>
                </c:pt>
                <c:pt idx="33">
                  <c:v>0.32171709928772885</c:v>
                </c:pt>
                <c:pt idx="34">
                  <c:v>0.32171709928772885</c:v>
                </c:pt>
                <c:pt idx="35">
                  <c:v>0.32171709928772885</c:v>
                </c:pt>
                <c:pt idx="36">
                  <c:v>0.32171709928772885</c:v>
                </c:pt>
                <c:pt idx="37">
                  <c:v>0.32171709928772885</c:v>
                </c:pt>
                <c:pt idx="38">
                  <c:v>0.32171709928772885</c:v>
                </c:pt>
                <c:pt idx="39">
                  <c:v>0.32171709928772885</c:v>
                </c:pt>
                <c:pt idx="40">
                  <c:v>0.32525039645672643</c:v>
                </c:pt>
                <c:pt idx="41">
                  <c:v>0.32525039645672643</c:v>
                </c:pt>
                <c:pt idx="42">
                  <c:v>0.32878369362572407</c:v>
                </c:pt>
                <c:pt idx="43">
                  <c:v>0.32878369362572407</c:v>
                </c:pt>
                <c:pt idx="44">
                  <c:v>0.33231699079472171</c:v>
                </c:pt>
                <c:pt idx="45">
                  <c:v>0.33585028796371924</c:v>
                </c:pt>
                <c:pt idx="46">
                  <c:v>0.33938358513271688</c:v>
                </c:pt>
                <c:pt idx="47">
                  <c:v>0.34293766640270856</c:v>
                </c:pt>
                <c:pt idx="48">
                  <c:v>0.3464709635717062</c:v>
                </c:pt>
                <c:pt idx="49">
                  <c:v>0.35000426074070379</c:v>
                </c:pt>
                <c:pt idx="50">
                  <c:v>0.36060415224769665</c:v>
                </c:pt>
                <c:pt idx="51">
                  <c:v>0.36767074658569182</c:v>
                </c:pt>
                <c:pt idx="52">
                  <c:v>0.37473734092368705</c:v>
                </c:pt>
                <c:pt idx="53">
                  <c:v>0.38535801653167395</c:v>
                </c:pt>
                <c:pt idx="54">
                  <c:v>0.39595790803866671</c:v>
                </c:pt>
                <c:pt idx="55">
                  <c:v>0.40655779954565957</c:v>
                </c:pt>
                <c:pt idx="56">
                  <c:v>0.41717847515364642</c:v>
                </c:pt>
                <c:pt idx="57">
                  <c:v>0.42777836666063929</c:v>
                </c:pt>
                <c:pt idx="58">
                  <c:v>0.43837825816763204</c:v>
                </c:pt>
                <c:pt idx="59">
                  <c:v>0.44544485250562726</c:v>
                </c:pt>
                <c:pt idx="60">
                  <c:v>0.45606552811361423</c:v>
                </c:pt>
                <c:pt idx="61">
                  <c:v>0.46666541962060698</c:v>
                </c:pt>
                <c:pt idx="62">
                  <c:v>0.47726531112759984</c:v>
                </c:pt>
                <c:pt idx="63">
                  <c:v>0.48435268956658911</c:v>
                </c:pt>
                <c:pt idx="64">
                  <c:v>0.49848587824257956</c:v>
                </c:pt>
                <c:pt idx="65">
                  <c:v>0.50555247258057479</c:v>
                </c:pt>
                <c:pt idx="66">
                  <c:v>0.51970644535755928</c:v>
                </c:pt>
                <c:pt idx="67">
                  <c:v>0.52677303969555445</c:v>
                </c:pt>
                <c:pt idx="68">
                  <c:v>0.54090622837154489</c:v>
                </c:pt>
                <c:pt idx="69">
                  <c:v>0.5515061198785377</c:v>
                </c:pt>
                <c:pt idx="70">
                  <c:v>0.56566009265552231</c:v>
                </c:pt>
                <c:pt idx="71">
                  <c:v>0.57979328133151264</c:v>
                </c:pt>
                <c:pt idx="72">
                  <c:v>0.59394725410849714</c:v>
                </c:pt>
                <c:pt idx="73">
                  <c:v>0.60808044278448758</c:v>
                </c:pt>
                <c:pt idx="74">
                  <c:v>0.62221363146047803</c:v>
                </c:pt>
                <c:pt idx="75">
                  <c:v>0.63636760423746253</c:v>
                </c:pt>
                <c:pt idx="76">
                  <c:v>0.65050079291345286</c:v>
                </c:pt>
                <c:pt idx="77">
                  <c:v>0.66465476569043735</c:v>
                </c:pt>
                <c:pt idx="78">
                  <c:v>0.6787879543664278</c:v>
                </c:pt>
                <c:pt idx="79">
                  <c:v>0.69292114304241825</c:v>
                </c:pt>
                <c:pt idx="80">
                  <c:v>0.70707511581940286</c:v>
                </c:pt>
                <c:pt idx="81">
                  <c:v>0.7212083044953933</c:v>
                </c:pt>
                <c:pt idx="82">
                  <c:v>0.7353622772723778</c:v>
                </c:pt>
                <c:pt idx="83">
                  <c:v>0.74949546594836824</c:v>
                </c:pt>
                <c:pt idx="84">
                  <c:v>0.76362865462435847</c:v>
                </c:pt>
                <c:pt idx="85">
                  <c:v>0.77778262740134296</c:v>
                </c:pt>
                <c:pt idx="86">
                  <c:v>0.79191581607733341</c:v>
                </c:pt>
                <c:pt idx="87">
                  <c:v>0.80606978885431801</c:v>
                </c:pt>
                <c:pt idx="88">
                  <c:v>0.82020297753030846</c:v>
                </c:pt>
                <c:pt idx="89">
                  <c:v>0.83433616620629891</c:v>
                </c:pt>
                <c:pt idx="90">
                  <c:v>0.84849013898328329</c:v>
                </c:pt>
                <c:pt idx="91">
                  <c:v>0.86262332765927374</c:v>
                </c:pt>
                <c:pt idx="92">
                  <c:v>0.87677730043625834</c:v>
                </c:pt>
                <c:pt idx="93">
                  <c:v>0.89091048911224879</c:v>
                </c:pt>
                <c:pt idx="94">
                  <c:v>0.90504367778823924</c:v>
                </c:pt>
                <c:pt idx="95">
                  <c:v>0.91919765056522362</c:v>
                </c:pt>
                <c:pt idx="96">
                  <c:v>0.93333083924121396</c:v>
                </c:pt>
                <c:pt idx="97">
                  <c:v>0.94746402791720441</c:v>
                </c:pt>
                <c:pt idx="98">
                  <c:v>0.96161800069418901</c:v>
                </c:pt>
                <c:pt idx="99">
                  <c:v>0.97575118937017946</c:v>
                </c:pt>
                <c:pt idx="100">
                  <c:v>0.98990516214716384</c:v>
                </c:pt>
                <c:pt idx="101">
                  <c:v>1.0040383508231543</c:v>
                </c:pt>
                <c:pt idx="102">
                  <c:v>1.0181715394991449</c:v>
                </c:pt>
                <c:pt idx="103">
                  <c:v>1.0323255122761292</c:v>
                </c:pt>
                <c:pt idx="104">
                  <c:v>1.0464587009521196</c:v>
                </c:pt>
                <c:pt idx="105">
                  <c:v>1.0606126737291042</c:v>
                </c:pt>
                <c:pt idx="106">
                  <c:v>1.0747458624050945</c:v>
                </c:pt>
                <c:pt idx="107">
                  <c:v>1.0888790510810851</c:v>
                </c:pt>
                <c:pt idx="108">
                  <c:v>1.1030330238580695</c:v>
                </c:pt>
                <c:pt idx="109">
                  <c:v>1.11716621253406</c:v>
                </c:pt>
                <c:pt idx="110">
                  <c:v>1.1313201853110446</c:v>
                </c:pt>
                <c:pt idx="111">
                  <c:v>1.145453373987035</c:v>
                </c:pt>
                <c:pt idx="112">
                  <c:v>1.1595865626630253</c:v>
                </c:pt>
                <c:pt idx="113">
                  <c:v>1.1737405354400099</c:v>
                </c:pt>
                <c:pt idx="114">
                  <c:v>1.187873724116</c:v>
                </c:pt>
                <c:pt idx="115">
                  <c:v>1.2020276968929848</c:v>
                </c:pt>
                <c:pt idx="116">
                  <c:v>1.2161608855689752</c:v>
                </c:pt>
                <c:pt idx="117">
                  <c:v>1.2302940742449655</c:v>
                </c:pt>
                <c:pt idx="118">
                  <c:v>1.2444480470219501</c:v>
                </c:pt>
                <c:pt idx="119">
                  <c:v>1.2585812356979404</c:v>
                </c:pt>
                <c:pt idx="120">
                  <c:v>1.2727352084749251</c:v>
                </c:pt>
                <c:pt idx="121">
                  <c:v>1.2868683971509154</c:v>
                </c:pt>
                <c:pt idx="122">
                  <c:v>1.3010015858269057</c:v>
                </c:pt>
                <c:pt idx="123">
                  <c:v>1.3151555586038906</c:v>
                </c:pt>
                <c:pt idx="124">
                  <c:v>1.3292887472798809</c:v>
                </c:pt>
                <c:pt idx="125">
                  <c:v>1.3434427200568653</c:v>
                </c:pt>
                <c:pt idx="126">
                  <c:v>1.3575759087328556</c:v>
                </c:pt>
                <c:pt idx="127">
                  <c:v>1.3717090974088462</c:v>
                </c:pt>
                <c:pt idx="128">
                  <c:v>1.3858630701858305</c:v>
                </c:pt>
                <c:pt idx="129">
                  <c:v>1.3999962588618209</c:v>
                </c:pt>
                <c:pt idx="130">
                  <c:v>1.4141502316388057</c:v>
                </c:pt>
                <c:pt idx="131">
                  <c:v>1.428283420314796</c:v>
                </c:pt>
                <c:pt idx="132">
                  <c:v>1.4424166089907866</c:v>
                </c:pt>
                <c:pt idx="133">
                  <c:v>1.456570581767771</c:v>
                </c:pt>
                <c:pt idx="134">
                  <c:v>1.4707037704437613</c:v>
                </c:pt>
                <c:pt idx="135">
                  <c:v>1.4848369591197519</c:v>
                </c:pt>
                <c:pt idx="136">
                  <c:v>1.4989909318967365</c:v>
                </c:pt>
                <c:pt idx="137">
                  <c:v>1.513124120572727</c:v>
                </c:pt>
                <c:pt idx="138">
                  <c:v>1.5272780933497112</c:v>
                </c:pt>
                <c:pt idx="139">
                  <c:v>1.5414112820257015</c:v>
                </c:pt>
                <c:pt idx="140">
                  <c:v>1.5555444707016921</c:v>
                </c:pt>
                <c:pt idx="141">
                  <c:v>1.5696984434786765</c:v>
                </c:pt>
                <c:pt idx="142">
                  <c:v>1.5838316321546668</c:v>
                </c:pt>
                <c:pt idx="143">
                  <c:v>1.5979856049316516</c:v>
                </c:pt>
                <c:pt idx="144">
                  <c:v>1.612118793607642</c:v>
                </c:pt>
                <c:pt idx="145">
                  <c:v>1.6262519822836325</c:v>
                </c:pt>
                <c:pt idx="146">
                  <c:v>1.6404059550606169</c:v>
                </c:pt>
                <c:pt idx="147">
                  <c:v>1.6545391437366073</c:v>
                </c:pt>
                <c:pt idx="148">
                  <c:v>1.6686931165135919</c:v>
                </c:pt>
                <c:pt idx="149">
                  <c:v>1.682826305189582</c:v>
                </c:pt>
                <c:pt idx="150">
                  <c:v>1.6969594938655725</c:v>
                </c:pt>
                <c:pt idx="151">
                  <c:v>1.7111134666425571</c:v>
                </c:pt>
                <c:pt idx="152">
                  <c:v>1.7252466553185475</c:v>
                </c:pt>
                <c:pt idx="153">
                  <c:v>1.7394006280955319</c:v>
                </c:pt>
                <c:pt idx="154">
                  <c:v>1.7535338167715224</c:v>
                </c:pt>
                <c:pt idx="155">
                  <c:v>1.767667005447513</c:v>
                </c:pt>
                <c:pt idx="156">
                  <c:v>1.785354275393495</c:v>
                </c:pt>
                <c:pt idx="157">
                  <c:v>1.7994874640694853</c:v>
                </c:pt>
                <c:pt idx="158">
                  <c:v>1.8136414368464697</c:v>
                </c:pt>
                <c:pt idx="159">
                  <c:v>1.8277746255224603</c:v>
                </c:pt>
                <c:pt idx="160">
                  <c:v>1.8454618954684425</c:v>
                </c:pt>
                <c:pt idx="161">
                  <c:v>1.8595950841444329</c:v>
                </c:pt>
                <c:pt idx="162">
                  <c:v>1.8737282728204234</c:v>
                </c:pt>
                <c:pt idx="163">
                  <c:v>1.8914155427664054</c:v>
                </c:pt>
                <c:pt idx="164">
                  <c:v>1.905548731442396</c:v>
                </c:pt>
                <c:pt idx="165">
                  <c:v>1.9197027042193804</c:v>
                </c:pt>
                <c:pt idx="166">
                  <c:v>1.9373691900643684</c:v>
                </c:pt>
                <c:pt idx="167">
                  <c:v>1.951523162841353</c:v>
                </c:pt>
                <c:pt idx="168">
                  <c:v>1.9656563515173435</c:v>
                </c:pt>
                <c:pt idx="169">
                  <c:v>1.9797895401933334</c:v>
                </c:pt>
                <c:pt idx="170">
                  <c:v>1.9939435129703182</c:v>
                </c:pt>
                <c:pt idx="171">
                  <c:v>2.0080767016463086</c:v>
                </c:pt>
                <c:pt idx="172">
                  <c:v>2.0222306744232932</c:v>
                </c:pt>
                <c:pt idx="173">
                  <c:v>2.0398971602682812</c:v>
                </c:pt>
                <c:pt idx="174">
                  <c:v>2.0540303489442713</c:v>
                </c:pt>
                <c:pt idx="175">
                  <c:v>2.0681843217212559</c:v>
                </c:pt>
                <c:pt idx="176">
                  <c:v>2.0823590785992345</c:v>
                </c:pt>
                <c:pt idx="177">
                  <c:v>2.0964922672752251</c:v>
                </c:pt>
                <c:pt idx="178">
                  <c:v>2.1106254559512156</c:v>
                </c:pt>
                <c:pt idx="179">
                  <c:v>2.1282919417962036</c:v>
                </c:pt>
                <c:pt idx="180">
                  <c:v>2.1424251304721937</c:v>
                </c:pt>
                <c:pt idx="181">
                  <c:v>2.1600916163171822</c:v>
                </c:pt>
                <c:pt idx="182">
                  <c:v>2.1777581021621701</c:v>
                </c:pt>
                <c:pt idx="183">
                  <c:v>2.1918912908381607</c:v>
                </c:pt>
                <c:pt idx="184">
                  <c:v>2.2095577766831487</c:v>
                </c:pt>
                <c:pt idx="185">
                  <c:v>2.2236909653591388</c:v>
                </c:pt>
                <c:pt idx="186">
                  <c:v>2.2378241540351289</c:v>
                </c:pt>
                <c:pt idx="187">
                  <c:v>2.2519573427111195</c:v>
                </c:pt>
                <c:pt idx="188">
                  <c:v>2.26609053138711</c:v>
                </c:pt>
                <c:pt idx="189">
                  <c:v>2.2802237200631006</c:v>
                </c:pt>
                <c:pt idx="190">
                  <c:v>2.2943569087390907</c:v>
                </c:pt>
                <c:pt idx="191">
                  <c:v>2.3084900974150813</c:v>
                </c:pt>
                <c:pt idx="192">
                  <c:v>2.3226232860910714</c:v>
                </c:pt>
                <c:pt idx="193">
                  <c:v>2.3369643157770033</c:v>
                </c:pt>
                <c:pt idx="194">
                  <c:v>2.3510975044529938</c:v>
                </c:pt>
                <c:pt idx="195">
                  <c:v>2.3652306931289839</c:v>
                </c:pt>
                <c:pt idx="196">
                  <c:v>2.3793638818049749</c:v>
                </c:pt>
                <c:pt idx="197">
                  <c:v>2.3970303676499625</c:v>
                </c:pt>
                <c:pt idx="198">
                  <c:v>2.411163556325953</c:v>
                </c:pt>
                <c:pt idx="199">
                  <c:v>2.4252967450019431</c:v>
                </c:pt>
                <c:pt idx="200">
                  <c:v>2.4394299336779337</c:v>
                </c:pt>
                <c:pt idx="201">
                  <c:v>2.4535631223539238</c:v>
                </c:pt>
                <c:pt idx="202">
                  <c:v>2.4712296081989122</c:v>
                </c:pt>
                <c:pt idx="203">
                  <c:v>2.4853627968749028</c:v>
                </c:pt>
                <c:pt idx="204">
                  <c:v>2.4994959855508929</c:v>
                </c:pt>
                <c:pt idx="205">
                  <c:v>2.5171624713958809</c:v>
                </c:pt>
                <c:pt idx="206">
                  <c:v>2.5312956600718719</c:v>
                </c:pt>
                <c:pt idx="207">
                  <c:v>2.545428848747862</c:v>
                </c:pt>
                <c:pt idx="208">
                  <c:v>2.5595620374238526</c:v>
                </c:pt>
                <c:pt idx="209">
                  <c:v>2.5772285232688401</c:v>
                </c:pt>
                <c:pt idx="210">
                  <c:v>2.5913617119448307</c:v>
                </c:pt>
                <c:pt idx="211">
                  <c:v>2.6090281977898186</c:v>
                </c:pt>
                <c:pt idx="212">
                  <c:v>2.6231613864658088</c:v>
                </c:pt>
                <c:pt idx="213">
                  <c:v>2.6372945751417998</c:v>
                </c:pt>
                <c:pt idx="214">
                  <c:v>2.6549610609867877</c:v>
                </c:pt>
                <c:pt idx="215">
                  <c:v>2.6690942496627779</c:v>
                </c:pt>
                <c:pt idx="216">
                  <c:v>2.6869685765177072</c:v>
                </c:pt>
                <c:pt idx="217">
                  <c:v>2.7011017651936977</c:v>
                </c:pt>
                <c:pt idx="218">
                  <c:v>2.7187682510386852</c:v>
                </c:pt>
                <c:pt idx="219">
                  <c:v>2.7399680340526715</c:v>
                </c:pt>
                <c:pt idx="220">
                  <c:v>2.7611678170666565</c:v>
                </c:pt>
                <c:pt idx="221">
                  <c:v>2.7823676000806423</c:v>
                </c:pt>
                <c:pt idx="222">
                  <c:v>2.8071006802636256</c:v>
                </c:pt>
                <c:pt idx="223">
                  <c:v>2.8283004632776114</c:v>
                </c:pt>
                <c:pt idx="224">
                  <c:v>2.8495002462915964</c:v>
                </c:pt>
                <c:pt idx="225">
                  <c:v>2.8742333264745801</c:v>
                </c:pt>
                <c:pt idx="226">
                  <c:v>2.8954331094885655</c:v>
                </c:pt>
                <c:pt idx="227">
                  <c:v>2.9166328925025513</c:v>
                </c:pt>
                <c:pt idx="228">
                  <c:v>2.9378326755165367</c:v>
                </c:pt>
                <c:pt idx="229">
                  <c:v>2.96256575569952</c:v>
                </c:pt>
                <c:pt idx="230">
                  <c:v>2.9837655387135058</c:v>
                </c:pt>
                <c:pt idx="231">
                  <c:v>3.0084986188964891</c:v>
                </c:pt>
                <c:pt idx="232">
                  <c:v>3.0296984019104749</c:v>
                </c:pt>
                <c:pt idx="233">
                  <c:v>3.0511060259344016</c:v>
                </c:pt>
                <c:pt idx="234">
                  <c:v>3.0758391061173844</c:v>
                </c:pt>
                <c:pt idx="235">
                  <c:v>3.0970388891313698</c:v>
                </c:pt>
                <c:pt idx="236">
                  <c:v>3.1182386721453557</c:v>
                </c:pt>
                <c:pt idx="237">
                  <c:v>3.1394384551593415</c:v>
                </c:pt>
                <c:pt idx="238">
                  <c:v>3.1641715353423243</c:v>
                </c:pt>
                <c:pt idx="239">
                  <c:v>3.188904615525308</c:v>
                </c:pt>
                <c:pt idx="240">
                  <c:v>3.210104398539293</c:v>
                </c:pt>
                <c:pt idx="241">
                  <c:v>3.2348374787222762</c:v>
                </c:pt>
                <c:pt idx="242">
                  <c:v>3.2595705589052604</c:v>
                </c:pt>
                <c:pt idx="243">
                  <c:v>3.2843036390882432</c:v>
                </c:pt>
                <c:pt idx="244">
                  <c:v>3.3090367192712264</c:v>
                </c:pt>
                <c:pt idx="245">
                  <c:v>3.3302365022852118</c:v>
                </c:pt>
                <c:pt idx="246">
                  <c:v>3.3549695824681951</c:v>
                </c:pt>
                <c:pt idx="247">
                  <c:v>3.3797026626511784</c:v>
                </c:pt>
                <c:pt idx="248">
                  <c:v>3.4046435838441025</c:v>
                </c:pt>
                <c:pt idx="249">
                  <c:v>3.4293766640270862</c:v>
                </c:pt>
                <c:pt idx="250">
                  <c:v>3.4505764470410716</c:v>
                </c:pt>
                <c:pt idx="251">
                  <c:v>3.4753095272240548</c:v>
                </c:pt>
                <c:pt idx="252">
                  <c:v>3.5000426074070381</c:v>
                </c:pt>
                <c:pt idx="253">
                  <c:v>3.521242390421023</c:v>
                </c:pt>
                <c:pt idx="254">
                  <c:v>3.5459754706040072</c:v>
                </c:pt>
                <c:pt idx="255">
                  <c:v>3.5671752536179921</c:v>
                </c:pt>
                <c:pt idx="256">
                  <c:v>3.5919083338009758</c:v>
                </c:pt>
                <c:pt idx="257">
                  <c:v>3.6131081168149612</c:v>
                </c:pt>
                <c:pt idx="258">
                  <c:v>3.6378411969979441</c:v>
                </c:pt>
                <c:pt idx="259">
                  <c:v>3.6661075743499247</c:v>
                </c:pt>
                <c:pt idx="260">
                  <c:v>3.6979072488709037</c:v>
                </c:pt>
                <c:pt idx="261">
                  <c:v>3.7261736262228848</c:v>
                </c:pt>
                <c:pt idx="262">
                  <c:v>3.7544400035748651</c:v>
                </c:pt>
                <c:pt idx="263">
                  <c:v>3.7864475191057849</c:v>
                </c:pt>
                <c:pt idx="264">
                  <c:v>3.8147138964577656</c:v>
                </c:pt>
                <c:pt idx="265">
                  <c:v>3.8429802738097467</c:v>
                </c:pt>
                <c:pt idx="266">
                  <c:v>3.8712466511617269</c:v>
                </c:pt>
                <c:pt idx="267">
                  <c:v>3.9030463256827059</c:v>
                </c:pt>
                <c:pt idx="268">
                  <c:v>3.9313127030346871</c:v>
                </c:pt>
                <c:pt idx="269">
                  <c:v>3.9595790803866668</c:v>
                </c:pt>
                <c:pt idx="270">
                  <c:v>3.987845457738648</c:v>
                </c:pt>
                <c:pt idx="271">
                  <c:v>4.0161118350906291</c:v>
                </c:pt>
                <c:pt idx="272">
                  <c:v>4.0443782124426102</c:v>
                </c:pt>
                <c:pt idx="273">
                  <c:v>4.0726445897945904</c:v>
                </c:pt>
                <c:pt idx="274">
                  <c:v>4.1044442643155685</c:v>
                </c:pt>
                <c:pt idx="275">
                  <c:v>4.132918482677491</c:v>
                </c:pt>
                <c:pt idx="276">
                  <c:v>4.1611848600294721</c:v>
                </c:pt>
                <c:pt idx="277">
                  <c:v>4.1929845345504502</c:v>
                </c:pt>
                <c:pt idx="278">
                  <c:v>4.2212509119024313</c:v>
                </c:pt>
                <c:pt idx="279">
                  <c:v>4.2530505864234094</c:v>
                </c:pt>
                <c:pt idx="280">
                  <c:v>4.2813169637753905</c:v>
                </c:pt>
                <c:pt idx="281">
                  <c:v>4.3131166382963695</c:v>
                </c:pt>
                <c:pt idx="282">
                  <c:v>4.3413830156483488</c:v>
                </c:pt>
                <c:pt idx="283">
                  <c:v>4.3731826901693278</c:v>
                </c:pt>
                <c:pt idx="284">
                  <c:v>4.4014490675213098</c:v>
                </c:pt>
                <c:pt idx="285">
                  <c:v>4.433248742042287</c:v>
                </c:pt>
                <c:pt idx="286">
                  <c:v>4.465048416563266</c:v>
                </c:pt>
                <c:pt idx="287">
                  <c:v>4.4970559320941854</c:v>
                </c:pt>
                <c:pt idx="288">
                  <c:v>4.5288556066151635</c:v>
                </c:pt>
                <c:pt idx="289">
                  <c:v>4.5712551726431352</c:v>
                </c:pt>
                <c:pt idx="290">
                  <c:v>4.6101214415021081</c:v>
                </c:pt>
                <c:pt idx="291">
                  <c:v>4.6489877103610819</c:v>
                </c:pt>
                <c:pt idx="292">
                  <c:v>4.6878539792200558</c:v>
                </c:pt>
                <c:pt idx="293">
                  <c:v>4.7231869509100317</c:v>
                </c:pt>
                <c:pt idx="294">
                  <c:v>4.7620532197690055</c:v>
                </c:pt>
                <c:pt idx="295">
                  <c:v>4.8044527857969763</c:v>
                </c:pt>
                <c:pt idx="296">
                  <c:v>4.8435268956658915</c:v>
                </c:pt>
                <c:pt idx="297">
                  <c:v>4.8788598673558674</c:v>
                </c:pt>
                <c:pt idx="298">
                  <c:v>4.9177261362148412</c:v>
                </c:pt>
                <c:pt idx="299">
                  <c:v>4.9530591079048172</c:v>
                </c:pt>
                <c:pt idx="300">
                  <c:v>4.995458673932788</c:v>
                </c:pt>
                <c:pt idx="301">
                  <c:v>5.0343249427917618</c:v>
                </c:pt>
                <c:pt idx="302">
                  <c:v>5.0696579144817377</c:v>
                </c:pt>
                <c:pt idx="303">
                  <c:v>5.1120574805097094</c:v>
                </c:pt>
                <c:pt idx="304">
                  <c:v>5.1544570465376802</c:v>
                </c:pt>
                <c:pt idx="305">
                  <c:v>5.1970644535755932</c:v>
                </c:pt>
                <c:pt idx="306">
                  <c:v>5.2323974252655692</c:v>
                </c:pt>
                <c:pt idx="307">
                  <c:v>5.27479699129354</c:v>
                </c:pt>
                <c:pt idx="308">
                  <c:v>5.3171965573215116</c:v>
                </c:pt>
                <c:pt idx="309">
                  <c:v>5.3560628261804855</c:v>
                </c:pt>
                <c:pt idx="310">
                  <c:v>5.3913957978704605</c:v>
                </c:pt>
                <c:pt idx="311">
                  <c:v>5.4267287695604374</c:v>
                </c:pt>
                <c:pt idx="312">
                  <c:v>5.4691283355884073</c:v>
                </c:pt>
                <c:pt idx="313">
                  <c:v>5.5115279016163798</c:v>
                </c:pt>
                <c:pt idx="314">
                  <c:v>5.5576686058232889</c:v>
                </c:pt>
                <c:pt idx="315">
                  <c:v>5.6000681718512606</c:v>
                </c:pt>
                <c:pt idx="316">
                  <c:v>5.6424677378792323</c:v>
                </c:pt>
                <c:pt idx="317">
                  <c:v>5.6884006010762009</c:v>
                </c:pt>
                <c:pt idx="318">
                  <c:v>5.7343334642731687</c:v>
                </c:pt>
                <c:pt idx="319">
                  <c:v>5.7767330303011404</c:v>
                </c:pt>
                <c:pt idx="320">
                  <c:v>5.8226658934981099</c:v>
                </c:pt>
                <c:pt idx="321">
                  <c:v>5.8650654595260807</c:v>
                </c:pt>
                <c:pt idx="322">
                  <c:v>5.9112061637329916</c:v>
                </c:pt>
                <c:pt idx="323">
                  <c:v>5.9571390269299593</c:v>
                </c:pt>
                <c:pt idx="324">
                  <c:v>5.9995385929579319</c:v>
                </c:pt>
                <c:pt idx="325">
                  <c:v>6.0454714561548997</c:v>
                </c:pt>
                <c:pt idx="326">
                  <c:v>6.0914043193518683</c:v>
                </c:pt>
                <c:pt idx="327">
                  <c:v>6.1373371825488379</c:v>
                </c:pt>
                <c:pt idx="328">
                  <c:v>6.1832700457458065</c:v>
                </c:pt>
                <c:pt idx="329">
                  <c:v>6.2292029089427752</c:v>
                </c:pt>
                <c:pt idx="330">
                  <c:v>6.278876910318683</c:v>
                </c:pt>
                <c:pt idx="331">
                  <c:v>6.3283430706846486</c:v>
                </c:pt>
                <c:pt idx="332">
                  <c:v>6.3742759338816182</c:v>
                </c:pt>
                <c:pt idx="333">
                  <c:v>6.4237420942475838</c:v>
                </c:pt>
                <c:pt idx="334">
                  <c:v>6.480274848951546</c:v>
                </c:pt>
                <c:pt idx="335">
                  <c:v>6.5368076036555074</c:v>
                </c:pt>
                <c:pt idx="336">
                  <c:v>6.5862737640214739</c:v>
                </c:pt>
                <c:pt idx="337">
                  <c:v>6.6430143597353775</c:v>
                </c:pt>
                <c:pt idx="338">
                  <c:v>6.6924805201013431</c:v>
                </c:pt>
                <c:pt idx="339">
                  <c:v>6.7419466804673096</c:v>
                </c:pt>
                <c:pt idx="340">
                  <c:v>6.7914128408332752</c:v>
                </c:pt>
                <c:pt idx="341">
                  <c:v>6.8408790011992426</c:v>
                </c:pt>
                <c:pt idx="342">
                  <c:v>6.8903451615652092</c:v>
                </c:pt>
                <c:pt idx="343">
                  <c:v>6.9398113219311748</c:v>
                </c:pt>
                <c:pt idx="344">
                  <c:v>6.9930186204760805</c:v>
                </c:pt>
                <c:pt idx="345">
                  <c:v>7.0424847808420461</c:v>
                </c:pt>
                <c:pt idx="346">
                  <c:v>7.0919509412080144</c:v>
                </c:pt>
                <c:pt idx="347">
                  <c:v>7.1449503987429779</c:v>
                </c:pt>
                <c:pt idx="348">
                  <c:v>7.1944165591089435</c:v>
                </c:pt>
                <c:pt idx="349">
                  <c:v>7.2474160166439079</c:v>
                </c:pt>
                <c:pt idx="350">
                  <c:v>7.3074820685168671</c:v>
                </c:pt>
                <c:pt idx="351">
                  <c:v>7.3712892585687655</c:v>
                </c:pt>
                <c:pt idx="352">
                  <c:v>7.4348886076107226</c:v>
                </c:pt>
                <c:pt idx="353">
                  <c:v>7.4984879566526788</c:v>
                </c:pt>
                <c:pt idx="354">
                  <c:v>7.5585540085256389</c:v>
                </c:pt>
                <c:pt idx="355">
                  <c:v>7.622153357567595</c:v>
                </c:pt>
                <c:pt idx="356">
                  <c:v>7.685752706609553</c:v>
                </c:pt>
                <c:pt idx="357">
                  <c:v>7.7495598966614505</c:v>
                </c:pt>
                <c:pt idx="358">
                  <c:v>7.8060926513654119</c:v>
                </c:pt>
                <c:pt idx="359">
                  <c:v>7.8732252975763659</c:v>
                </c:pt>
                <c:pt idx="360">
                  <c:v>7.936824646618323</c:v>
                </c:pt>
                <c:pt idx="361">
                  <c:v>8.0004239956602792</c:v>
                </c:pt>
                <c:pt idx="362">
                  <c:v>8.0571645913741836</c:v>
                </c:pt>
                <c:pt idx="363">
                  <c:v>8.1207639404161398</c:v>
                </c:pt>
                <c:pt idx="364">
                  <c:v>8.1772966951201003</c:v>
                </c:pt>
                <c:pt idx="365">
                  <c:v>8.2408960441620582</c:v>
                </c:pt>
                <c:pt idx="366">
                  <c:v>8.3080286903730123</c:v>
                </c:pt>
                <c:pt idx="367">
                  <c:v>8.3751613365839663</c:v>
                </c:pt>
                <c:pt idx="368">
                  <c:v>8.4425018238048626</c:v>
                </c:pt>
                <c:pt idx="369">
                  <c:v>8.5096344700158166</c:v>
                </c:pt>
                <c:pt idx="370">
                  <c:v>8.5767671162267725</c:v>
                </c:pt>
                <c:pt idx="371">
                  <c:v>8.6438997624377247</c:v>
                </c:pt>
                <c:pt idx="372">
                  <c:v>8.7110324086486806</c:v>
                </c:pt>
                <c:pt idx="373">
                  <c:v>8.778372895869575</c:v>
                </c:pt>
                <c:pt idx="374">
                  <c:v>8.8455055420805291</c:v>
                </c:pt>
                <c:pt idx="375">
                  <c:v>8.9126381882914849</c:v>
                </c:pt>
                <c:pt idx="376">
                  <c:v>8.9797708345024407</c:v>
                </c:pt>
                <c:pt idx="377">
                  <c:v>9.0504367778823909</c:v>
                </c:pt>
                <c:pt idx="378">
                  <c:v>9.1283771566102789</c:v>
                </c:pt>
                <c:pt idx="379">
                  <c:v>9.1990430999902326</c:v>
                </c:pt>
                <c:pt idx="380">
                  <c:v>9.2697090433701828</c:v>
                </c:pt>
                <c:pt idx="381">
                  <c:v>9.3403749867501347</c:v>
                </c:pt>
                <c:pt idx="382">
                  <c:v>9.4181075244680823</c:v>
                </c:pt>
                <c:pt idx="383">
                  <c:v>9.4889813088579764</c:v>
                </c:pt>
                <c:pt idx="384">
                  <c:v>9.5702471437449219</c:v>
                </c:pt>
                <c:pt idx="385">
                  <c:v>9.6479796814628678</c:v>
                </c:pt>
                <c:pt idx="386">
                  <c:v>9.7186456248428215</c:v>
                </c:pt>
                <c:pt idx="387">
                  <c:v>9.7893115682227716</c:v>
                </c:pt>
                <c:pt idx="388">
                  <c:v>9.8601853526126675</c:v>
                </c:pt>
                <c:pt idx="389">
                  <c:v>9.9308512959926176</c:v>
                </c:pt>
                <c:pt idx="390">
                  <c:v>10.00151723937257</c:v>
                </c:pt>
                <c:pt idx="391">
                  <c:v>10.086316371428513</c:v>
                </c:pt>
                <c:pt idx="392">
                  <c:v>10.171115503484454</c:v>
                </c:pt>
                <c:pt idx="393">
                  <c:v>10.256122476550336</c:v>
                </c:pt>
                <c:pt idx="394">
                  <c:v>10.337388311437282</c:v>
                </c:pt>
                <c:pt idx="395">
                  <c:v>10.422187443493225</c:v>
                </c:pt>
                <c:pt idx="396">
                  <c:v>10.506986575549167</c:v>
                </c:pt>
                <c:pt idx="397">
                  <c:v>10.591993548615051</c:v>
                </c:pt>
                <c:pt idx="398">
                  <c:v>10.676792680670996</c:v>
                </c:pt>
                <c:pt idx="399">
                  <c:v>10.761591812726936</c:v>
                </c:pt>
                <c:pt idx="400">
                  <c:v>10.846390944782879</c:v>
                </c:pt>
                <c:pt idx="401">
                  <c:v>10.934931215017761</c:v>
                </c:pt>
                <c:pt idx="402">
                  <c:v>11.019730347073704</c:v>
                </c:pt>
                <c:pt idx="403">
                  <c:v>11.108062776298643</c:v>
                </c:pt>
                <c:pt idx="404">
                  <c:v>11.192861908354583</c:v>
                </c:pt>
                <c:pt idx="405">
                  <c:v>11.281402178589465</c:v>
                </c:pt>
                <c:pt idx="406">
                  <c:v>11.369734607814404</c:v>
                </c:pt>
                <c:pt idx="407">
                  <c:v>11.458067037039346</c:v>
                </c:pt>
                <c:pt idx="408">
                  <c:v>11.546399466264285</c:v>
                </c:pt>
                <c:pt idx="409">
                  <c:v>11.638473033668166</c:v>
                </c:pt>
                <c:pt idx="410">
                  <c:v>11.726805462893106</c:v>
                </c:pt>
                <c:pt idx="411">
                  <c:v>11.818671189287043</c:v>
                </c:pt>
                <c:pt idx="412">
                  <c:v>11.91053691568098</c:v>
                </c:pt>
                <c:pt idx="413">
                  <c:v>12.00261048308486</c:v>
                </c:pt>
                <c:pt idx="414">
                  <c:v>12.098009506647795</c:v>
                </c:pt>
                <c:pt idx="415">
                  <c:v>12.189875233041732</c:v>
                </c:pt>
                <c:pt idx="416">
                  <c:v>12.285274256604668</c:v>
                </c:pt>
                <c:pt idx="417">
                  <c:v>12.377347824008547</c:v>
                </c:pt>
                <c:pt idx="418">
                  <c:v>12.472746847571482</c:v>
                </c:pt>
                <c:pt idx="419">
                  <c:v>12.568145871134417</c:v>
                </c:pt>
                <c:pt idx="420">
                  <c:v>12.663544894697351</c:v>
                </c:pt>
                <c:pt idx="421">
                  <c:v>12.759151759270228</c:v>
                </c:pt>
                <c:pt idx="422">
                  <c:v>12.868683971509153</c:v>
                </c:pt>
                <c:pt idx="423">
                  <c:v>12.974682886579082</c:v>
                </c:pt>
                <c:pt idx="424">
                  <c:v>13.084422939827949</c:v>
                </c:pt>
                <c:pt idx="425">
                  <c:v>13.193955152066874</c:v>
                </c:pt>
                <c:pt idx="426">
                  <c:v>13.303487364305802</c:v>
                </c:pt>
                <c:pt idx="427">
                  <c:v>13.402419685037733</c:v>
                </c:pt>
                <c:pt idx="428">
                  <c:v>13.5121597382866</c:v>
                </c:pt>
                <c:pt idx="429">
                  <c:v>13.621691950525525</c:v>
                </c:pt>
                <c:pt idx="430">
                  <c:v>13.73122416276445</c:v>
                </c:pt>
                <c:pt idx="431">
                  <c:v>13.840964216013321</c:v>
                </c:pt>
                <c:pt idx="432">
                  <c:v>13.946963131083246</c:v>
                </c:pt>
                <c:pt idx="433">
                  <c:v>14.056495343322171</c:v>
                </c:pt>
                <c:pt idx="434">
                  <c:v>14.166235396571039</c:v>
                </c:pt>
                <c:pt idx="435">
                  <c:v>14.275767608809964</c:v>
                </c:pt>
                <c:pt idx="436">
                  <c:v>14.385299821048891</c:v>
                </c:pt>
                <c:pt idx="437">
                  <c:v>14.495039874297756</c:v>
                </c:pt>
                <c:pt idx="438">
                  <c:v>14.608105383705681</c:v>
                </c:pt>
                <c:pt idx="439">
                  <c:v>14.731770784620597</c:v>
                </c:pt>
                <c:pt idx="440">
                  <c:v>14.855644026545454</c:v>
                </c:pt>
                <c:pt idx="441">
                  <c:v>14.97930942746037</c:v>
                </c:pt>
                <c:pt idx="442">
                  <c:v>15.092374936868293</c:v>
                </c:pt>
                <c:pt idx="443">
                  <c:v>15.205440446276217</c:v>
                </c:pt>
                <c:pt idx="444">
                  <c:v>15.31871379669408</c:v>
                </c:pt>
                <c:pt idx="445">
                  <c:v>15.435312603271003</c:v>
                </c:pt>
                <c:pt idx="446">
                  <c:v>15.558978004185919</c:v>
                </c:pt>
                <c:pt idx="447">
                  <c:v>15.686384543279773</c:v>
                </c:pt>
                <c:pt idx="448">
                  <c:v>15.813583241363688</c:v>
                </c:pt>
                <c:pt idx="449">
                  <c:v>15.944523077626538</c:v>
                </c:pt>
                <c:pt idx="450">
                  <c:v>16.075255072879454</c:v>
                </c:pt>
                <c:pt idx="451">
                  <c:v>16.205987068132362</c:v>
                </c:pt>
                <c:pt idx="452">
                  <c:v>16.326327012888221</c:v>
                </c:pt>
                <c:pt idx="453">
                  <c:v>16.457059008141133</c:v>
                </c:pt>
                <c:pt idx="454">
                  <c:v>16.591324300563041</c:v>
                </c:pt>
                <c:pt idx="455">
                  <c:v>16.722264136825896</c:v>
                </c:pt>
                <c:pt idx="456">
                  <c:v>16.8600627264168</c:v>
                </c:pt>
                <c:pt idx="457">
                  <c:v>16.994328018838708</c:v>
                </c:pt>
                <c:pt idx="458">
                  <c:v>17.128801152270558</c:v>
                </c:pt>
                <c:pt idx="459">
                  <c:v>17.266599741861466</c:v>
                </c:pt>
                <c:pt idx="460">
                  <c:v>17.404606172462316</c:v>
                </c:pt>
                <c:pt idx="461">
                  <c:v>17.542404762053216</c:v>
                </c:pt>
                <c:pt idx="462">
                  <c:v>17.680203351644124</c:v>
                </c:pt>
                <c:pt idx="463">
                  <c:v>17.818209782244974</c:v>
                </c:pt>
                <c:pt idx="464">
                  <c:v>17.956008371835878</c:v>
                </c:pt>
                <c:pt idx="465">
                  <c:v>18.094014802436728</c:v>
                </c:pt>
                <c:pt idx="466">
                  <c:v>18.235346689196632</c:v>
                </c:pt>
                <c:pt idx="467">
                  <c:v>18.387278467463528</c:v>
                </c:pt>
                <c:pt idx="468">
                  <c:v>18.528818195233374</c:v>
                </c:pt>
                <c:pt idx="469">
                  <c:v>18.680749973500269</c:v>
                </c:pt>
                <c:pt idx="470">
                  <c:v>18.832889592777111</c:v>
                </c:pt>
                <c:pt idx="471">
                  <c:v>18.984821371044006</c:v>
                </c:pt>
                <c:pt idx="472">
                  <c:v>19.140286446479902</c:v>
                </c:pt>
                <c:pt idx="473">
                  <c:v>19.292426065756739</c:v>
                </c:pt>
                <c:pt idx="474">
                  <c:v>19.447891141192635</c:v>
                </c:pt>
                <c:pt idx="475">
                  <c:v>19.600030760469469</c:v>
                </c:pt>
                <c:pt idx="476">
                  <c:v>19.755495835905364</c:v>
                </c:pt>
                <c:pt idx="477">
                  <c:v>19.911168752351202</c:v>
                </c:pt>
                <c:pt idx="478">
                  <c:v>20.066633827787097</c:v>
                </c:pt>
                <c:pt idx="479">
                  <c:v>20.222306744232935</c:v>
                </c:pt>
                <c:pt idx="480">
                  <c:v>20.377771819668826</c:v>
                </c:pt>
                <c:pt idx="481">
                  <c:v>20.536770192273718</c:v>
                </c:pt>
                <c:pt idx="482">
                  <c:v>20.692443108719555</c:v>
                </c:pt>
                <c:pt idx="483">
                  <c:v>20.863080577881142</c:v>
                </c:pt>
                <c:pt idx="484">
                  <c:v>21.031431795933379</c:v>
                </c:pt>
                <c:pt idx="485">
                  <c:v>21.20601824428385</c:v>
                </c:pt>
                <c:pt idx="486">
                  <c:v>21.37852628253491</c:v>
                </c:pt>
                <c:pt idx="487">
                  <c:v>21.551034320785973</c:v>
                </c:pt>
                <c:pt idx="488">
                  <c:v>21.725620769136441</c:v>
                </c:pt>
                <c:pt idx="489">
                  <c:v>21.898128807387497</c:v>
                </c:pt>
                <c:pt idx="490">
                  <c:v>22.07063684563856</c:v>
                </c:pt>
                <c:pt idx="491">
                  <c:v>22.245223293989028</c:v>
                </c:pt>
                <c:pt idx="492">
                  <c:v>22.42188815243891</c:v>
                </c:pt>
                <c:pt idx="493">
                  <c:v>22.598553010888789</c:v>
                </c:pt>
                <c:pt idx="494">
                  <c:v>22.777296279438083</c:v>
                </c:pt>
                <c:pt idx="495">
                  <c:v>22.956039547987373</c:v>
                </c:pt>
                <c:pt idx="496">
                  <c:v>23.13478281653666</c:v>
                </c:pt>
                <c:pt idx="497">
                  <c:v>23.315604495185362</c:v>
                </c:pt>
                <c:pt idx="498">
                  <c:v>23.498504583933471</c:v>
                </c:pt>
                <c:pt idx="499">
                  <c:v>23.679326262582176</c:v>
                </c:pt>
                <c:pt idx="500">
                  <c:v>23.87469681192675</c:v>
                </c:pt>
                <c:pt idx="501">
                  <c:v>24.072145771370735</c:v>
                </c:pt>
                <c:pt idx="502">
                  <c:v>24.267516320715306</c:v>
                </c:pt>
                <c:pt idx="503">
                  <c:v>24.460808459960472</c:v>
                </c:pt>
                <c:pt idx="504">
                  <c:v>24.652022189106219</c:v>
                </c:pt>
                <c:pt idx="505">
                  <c:v>24.847392738450797</c:v>
                </c:pt>
                <c:pt idx="506">
                  <c:v>25.036528057497137</c:v>
                </c:pt>
                <c:pt idx="507">
                  <c:v>25.227741786642891</c:v>
                </c:pt>
                <c:pt idx="508">
                  <c:v>25.418955515788642</c:v>
                </c:pt>
                <c:pt idx="509">
                  <c:v>25.626796525729677</c:v>
                </c:pt>
                <c:pt idx="510">
                  <c:v>25.836715945770123</c:v>
                </c:pt>
                <c:pt idx="511">
                  <c:v>26.044556955711155</c:v>
                </c:pt>
                <c:pt idx="512">
                  <c:v>26.250319555552785</c:v>
                </c:pt>
                <c:pt idx="513">
                  <c:v>26.45816056549382</c:v>
                </c:pt>
                <c:pt idx="514">
                  <c:v>26.663923165335447</c:v>
                </c:pt>
                <c:pt idx="515">
                  <c:v>26.875920995475301</c:v>
                </c:pt>
                <c:pt idx="516">
                  <c:v>27.083762005416332</c:v>
                </c:pt>
                <c:pt idx="517">
                  <c:v>27.293681425456786</c:v>
                </c:pt>
                <c:pt idx="518">
                  <c:v>27.516071306093693</c:v>
                </c:pt>
                <c:pt idx="519">
                  <c:v>27.732225956432366</c:v>
                </c:pt>
                <c:pt idx="520">
                  <c:v>27.946302196671631</c:v>
                </c:pt>
                <c:pt idx="521">
                  <c:v>28.158300026811489</c:v>
                </c:pt>
                <c:pt idx="522">
                  <c:v>28.384846727647219</c:v>
                </c:pt>
                <c:pt idx="523">
                  <c:v>28.607236608284129</c:v>
                </c:pt>
                <c:pt idx="524">
                  <c:v>28.827548078821625</c:v>
                </c:pt>
                <c:pt idx="525">
                  <c:v>29.045781139259709</c:v>
                </c:pt>
                <c:pt idx="526">
                  <c:v>29.282719890592492</c:v>
                </c:pt>
                <c:pt idx="527">
                  <c:v>29.513423411627041</c:v>
                </c:pt>
                <c:pt idx="528">
                  <c:v>29.746205342761002</c:v>
                </c:pt>
                <c:pt idx="529">
                  <c:v>29.978987273894962</c:v>
                </c:pt>
                <c:pt idx="530">
                  <c:v>30.21384761512833</c:v>
                </c:pt>
                <c:pt idx="531">
                  <c:v>30.461178416958159</c:v>
                </c:pt>
                <c:pt idx="532">
                  <c:v>30.708509218787995</c:v>
                </c:pt>
                <c:pt idx="533">
                  <c:v>30.951683200419009</c:v>
                </c:pt>
                <c:pt idx="534">
                  <c:v>31.199014002248838</c:v>
                </c:pt>
                <c:pt idx="535">
                  <c:v>31.444266393979262</c:v>
                </c:pt>
                <c:pt idx="536">
                  <c:v>31.687440375610269</c:v>
                </c:pt>
                <c:pt idx="537">
                  <c:v>31.949320048135977</c:v>
                </c:pt>
                <c:pt idx="538">
                  <c:v>32.207042900462859</c:v>
                </c:pt>
                <c:pt idx="539">
                  <c:v>32.468922572988568</c:v>
                </c:pt>
                <c:pt idx="540">
                  <c:v>32.722488605116631</c:v>
                </c:pt>
                <c:pt idx="541">
                  <c:v>32.982289867542924</c:v>
                </c:pt>
                <c:pt idx="542">
                  <c:v>33.24001271986981</c:v>
                </c:pt>
                <c:pt idx="543">
                  <c:v>33.493578751997873</c:v>
                </c:pt>
                <c:pt idx="544">
                  <c:v>33.765850475020628</c:v>
                </c:pt>
                <c:pt idx="545">
                  <c:v>34.042279018242212</c:v>
                </c:pt>
                <c:pt idx="546">
                  <c:v>34.316629151364374</c:v>
                </c:pt>
                <c:pt idx="547">
                  <c:v>34.578508823890076</c:v>
                </c:pt>
                <c:pt idx="548">
                  <c:v>34.861172597409883</c:v>
                </c:pt>
                <c:pt idx="549">
                  <c:v>35.141757960830283</c:v>
                </c:pt>
                <c:pt idx="550">
                  <c:v>35.420264914151275</c:v>
                </c:pt>
                <c:pt idx="551">
                  <c:v>35.702928687671083</c:v>
                </c:pt>
                <c:pt idx="552">
                  <c:v>35.97935723089266</c:v>
                </c:pt>
                <c:pt idx="553">
                  <c:v>36.266177824611283</c:v>
                </c:pt>
                <c:pt idx="554">
                  <c:v>36.552998418329913</c:v>
                </c:pt>
                <c:pt idx="555">
                  <c:v>36.835662191849721</c:v>
                </c:pt>
                <c:pt idx="556">
                  <c:v>37.120404375468937</c:v>
                </c:pt>
                <c:pt idx="557">
                  <c:v>37.41761701968462</c:v>
                </c:pt>
                <c:pt idx="558">
                  <c:v>37.714829663900304</c:v>
                </c:pt>
                <c:pt idx="559">
                  <c:v>38.016199128314803</c:v>
                </c:pt>
                <c:pt idx="560">
                  <c:v>38.319647002828717</c:v>
                </c:pt>
                <c:pt idx="561">
                  <c:v>38.627251697541446</c:v>
                </c:pt>
                <c:pt idx="562">
                  <c:v>38.93069957205536</c:v>
                </c:pt>
                <c:pt idx="563">
                  <c:v>39.236225856668682</c:v>
                </c:pt>
                <c:pt idx="564">
                  <c:v>39.550065781679642</c:v>
                </c:pt>
                <c:pt idx="565">
                  <c:v>39.857670476392379</c:v>
                </c:pt>
                <c:pt idx="566">
                  <c:v>40.169431991303938</c:v>
                </c:pt>
                <c:pt idx="567">
                  <c:v>40.479115096116075</c:v>
                </c:pt>
                <c:pt idx="568">
                  <c:v>40.79503343122645</c:v>
                </c:pt>
                <c:pt idx="569">
                  <c:v>41.073540384547435</c:v>
                </c:pt>
                <c:pt idx="570">
                  <c:v>40.50821283750782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2-40C4-B0E5-E159AB51B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41135"/>
        <c:axId val="164641615"/>
      </c:lineChart>
      <c:catAx>
        <c:axId val="16464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Deformação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641615"/>
        <c:crosses val="autoZero"/>
        <c:auto val="1"/>
        <c:lblAlgn val="ctr"/>
        <c:lblOffset val="100"/>
        <c:noMultiLvlLbl val="0"/>
      </c:catAx>
      <c:valAx>
        <c:axId val="16464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Tensão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64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Tensão X Deformação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184640617890049"/>
          <c:y val="0.13062158830780066"/>
          <c:w val="0.7676875918957311"/>
          <c:h val="0.62516884280114748"/>
        </c:manualLayout>
      </c:layout>
      <c:lineChart>
        <c:grouping val="standard"/>
        <c:varyColors val="0"/>
        <c:ser>
          <c:idx val="4"/>
          <c:order val="0"/>
          <c:tx>
            <c:v>A10-1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'A10-4'!$C$2:$C$648</c:f>
              <c:numCache>
                <c:formatCode>0.00</c:formatCode>
                <c:ptCount val="647"/>
                <c:pt idx="0">
                  <c:v>0</c:v>
                </c:pt>
                <c:pt idx="1">
                  <c:v>1.3900999999999998E-2</c:v>
                </c:pt>
                <c:pt idx="2">
                  <c:v>1.40126E-2</c:v>
                </c:pt>
                <c:pt idx="3">
                  <c:v>1.41224E-2</c:v>
                </c:pt>
                <c:pt idx="4">
                  <c:v>1.4236E-2</c:v>
                </c:pt>
                <c:pt idx="5">
                  <c:v>1.43476E-2</c:v>
                </c:pt>
                <c:pt idx="6">
                  <c:v>1.4483600000000001E-2</c:v>
                </c:pt>
                <c:pt idx="7">
                  <c:v>1.4623200000000001E-2</c:v>
                </c:pt>
                <c:pt idx="8">
                  <c:v>1.47628E-2</c:v>
                </c:pt>
                <c:pt idx="9">
                  <c:v>1.4900400000000001E-2</c:v>
                </c:pt>
                <c:pt idx="10">
                  <c:v>1.504E-2</c:v>
                </c:pt>
                <c:pt idx="11">
                  <c:v>1.51796E-2</c:v>
                </c:pt>
                <c:pt idx="12">
                  <c:v>1.5317400000000002E-2</c:v>
                </c:pt>
                <c:pt idx="13">
                  <c:v>1.5457E-2</c:v>
                </c:pt>
                <c:pt idx="14">
                  <c:v>1.55966E-2</c:v>
                </c:pt>
                <c:pt idx="15">
                  <c:v>1.57342E-2</c:v>
                </c:pt>
                <c:pt idx="16">
                  <c:v>1.58738E-2</c:v>
                </c:pt>
                <c:pt idx="17">
                  <c:v>1.6011600000000001E-2</c:v>
                </c:pt>
                <c:pt idx="18">
                  <c:v>1.6149199999999999E-2</c:v>
                </c:pt>
                <c:pt idx="19">
                  <c:v>1.6290800000000001E-2</c:v>
                </c:pt>
                <c:pt idx="20">
                  <c:v>1.6428399999999999E-2</c:v>
                </c:pt>
                <c:pt idx="21">
                  <c:v>1.65662E-2</c:v>
                </c:pt>
                <c:pt idx="22">
                  <c:v>1.67076E-2</c:v>
                </c:pt>
                <c:pt idx="23">
                  <c:v>1.68454E-2</c:v>
                </c:pt>
                <c:pt idx="24">
                  <c:v>1.6982999999999998E-2</c:v>
                </c:pt>
                <c:pt idx="25">
                  <c:v>1.71246E-2</c:v>
                </c:pt>
                <c:pt idx="26">
                  <c:v>1.7262200000000002E-2</c:v>
                </c:pt>
                <c:pt idx="27">
                  <c:v>1.7399999999999999E-2</c:v>
                </c:pt>
                <c:pt idx="28">
                  <c:v>1.7539599999999999E-2</c:v>
                </c:pt>
                <c:pt idx="29">
                  <c:v>1.7677200000000001E-2</c:v>
                </c:pt>
                <c:pt idx="30">
                  <c:v>1.7816800000000001E-2</c:v>
                </c:pt>
                <c:pt idx="31">
                  <c:v>1.7956399999999997E-2</c:v>
                </c:pt>
                <c:pt idx="32">
                  <c:v>1.8096000000000001E-2</c:v>
                </c:pt>
                <c:pt idx="33">
                  <c:v>1.8235600000000001E-2</c:v>
                </c:pt>
                <c:pt idx="34">
                  <c:v>1.84012E-2</c:v>
                </c:pt>
                <c:pt idx="35">
                  <c:v>1.85688E-2</c:v>
                </c:pt>
                <c:pt idx="36">
                  <c:v>1.8734399999999998E-2</c:v>
                </c:pt>
                <c:pt idx="37">
                  <c:v>1.8902000000000002E-2</c:v>
                </c:pt>
                <c:pt idx="38">
                  <c:v>1.9067600000000001E-2</c:v>
                </c:pt>
                <c:pt idx="39">
                  <c:v>1.9233199999999999E-2</c:v>
                </c:pt>
                <c:pt idx="40">
                  <c:v>1.9400799999999999E-2</c:v>
                </c:pt>
                <c:pt idx="41">
                  <c:v>1.9566399999999998E-2</c:v>
                </c:pt>
                <c:pt idx="42">
                  <c:v>1.9733799999999999E-2</c:v>
                </c:pt>
                <c:pt idx="43">
                  <c:v>1.99014E-2</c:v>
                </c:pt>
                <c:pt idx="44">
                  <c:v>2.0068000000000003E-2</c:v>
                </c:pt>
                <c:pt idx="45">
                  <c:v>2.0234000000000002E-2</c:v>
                </c:pt>
                <c:pt idx="46">
                  <c:v>2.0400000000000001E-2</c:v>
                </c:pt>
                <c:pt idx="47">
                  <c:v>2.0567999999999999E-2</c:v>
                </c:pt>
                <c:pt idx="48">
                  <c:v>2.0735999999999997E-2</c:v>
                </c:pt>
                <c:pt idx="49">
                  <c:v>2.0899999999999998E-2</c:v>
                </c:pt>
                <c:pt idx="50">
                  <c:v>2.1067999999999996E-2</c:v>
                </c:pt>
                <c:pt idx="51">
                  <c:v>2.1234000000000003E-2</c:v>
                </c:pt>
                <c:pt idx="52">
                  <c:v>2.1400000000000002E-2</c:v>
                </c:pt>
                <c:pt idx="53">
                  <c:v>2.1568E-2</c:v>
                </c:pt>
                <c:pt idx="54">
                  <c:v>2.1762E-2</c:v>
                </c:pt>
                <c:pt idx="55">
                  <c:v>2.1956000000000003E-2</c:v>
                </c:pt>
                <c:pt idx="56">
                  <c:v>2.2151999999999998E-2</c:v>
                </c:pt>
                <c:pt idx="57">
                  <c:v>2.2343999999999999E-2</c:v>
                </c:pt>
                <c:pt idx="58">
                  <c:v>2.2537999999999999E-2</c:v>
                </c:pt>
                <c:pt idx="59">
                  <c:v>2.2735999999999999E-2</c:v>
                </c:pt>
                <c:pt idx="60">
                  <c:v>2.2930000000000002E-2</c:v>
                </c:pt>
                <c:pt idx="61">
                  <c:v>2.3123999999999999E-2</c:v>
                </c:pt>
                <c:pt idx="62">
                  <c:v>2.3317999999999998E-2</c:v>
                </c:pt>
                <c:pt idx="63">
                  <c:v>2.3511999999999998E-2</c:v>
                </c:pt>
                <c:pt idx="64">
                  <c:v>2.3706000000000001E-2</c:v>
                </c:pt>
                <c:pt idx="65">
                  <c:v>2.3900000000000001E-2</c:v>
                </c:pt>
                <c:pt idx="66">
                  <c:v>2.4094000000000001E-2</c:v>
                </c:pt>
                <c:pt idx="67">
                  <c:v>2.4289999999999999E-2</c:v>
                </c:pt>
                <c:pt idx="68">
                  <c:v>2.4485999999999997E-2</c:v>
                </c:pt>
                <c:pt idx="69">
                  <c:v>2.4677999999999999E-2</c:v>
                </c:pt>
                <c:pt idx="70">
                  <c:v>2.4872000000000002E-2</c:v>
                </c:pt>
                <c:pt idx="71">
                  <c:v>2.5068E-2</c:v>
                </c:pt>
                <c:pt idx="72">
                  <c:v>2.529E-2</c:v>
                </c:pt>
                <c:pt idx="73">
                  <c:v>2.5512E-2</c:v>
                </c:pt>
                <c:pt idx="74">
                  <c:v>2.5734E-2</c:v>
                </c:pt>
                <c:pt idx="75">
                  <c:v>2.5956E-2</c:v>
                </c:pt>
                <c:pt idx="76">
                  <c:v>2.6179999999999998E-2</c:v>
                </c:pt>
                <c:pt idx="77">
                  <c:v>2.64E-2</c:v>
                </c:pt>
                <c:pt idx="78">
                  <c:v>2.6623999999999998E-2</c:v>
                </c:pt>
                <c:pt idx="79">
                  <c:v>2.6846000000000002E-2</c:v>
                </c:pt>
                <c:pt idx="80">
                  <c:v>2.7067999999999998E-2</c:v>
                </c:pt>
                <c:pt idx="81">
                  <c:v>2.7290000000000002E-2</c:v>
                </c:pt>
                <c:pt idx="82">
                  <c:v>2.7511999999999998E-2</c:v>
                </c:pt>
                <c:pt idx="83">
                  <c:v>2.7734000000000002E-2</c:v>
                </c:pt>
                <c:pt idx="84">
                  <c:v>2.7955999999999998E-2</c:v>
                </c:pt>
                <c:pt idx="85">
                  <c:v>2.818E-2</c:v>
                </c:pt>
                <c:pt idx="86">
                  <c:v>2.8401999999999997E-2</c:v>
                </c:pt>
                <c:pt idx="87">
                  <c:v>2.8622000000000002E-2</c:v>
                </c:pt>
                <c:pt idx="88">
                  <c:v>2.8871999999999998E-2</c:v>
                </c:pt>
                <c:pt idx="89">
                  <c:v>2.9123999999999997E-2</c:v>
                </c:pt>
                <c:pt idx="90">
                  <c:v>2.9371999999999999E-2</c:v>
                </c:pt>
                <c:pt idx="91">
                  <c:v>2.9624000000000001E-2</c:v>
                </c:pt>
                <c:pt idx="92">
                  <c:v>2.9874000000000001E-2</c:v>
                </c:pt>
                <c:pt idx="93">
                  <c:v>3.0121999999999999E-2</c:v>
                </c:pt>
                <c:pt idx="94">
                  <c:v>3.0373999999999998E-2</c:v>
                </c:pt>
                <c:pt idx="95">
                  <c:v>3.0621999999999996E-2</c:v>
                </c:pt>
                <c:pt idx="96">
                  <c:v>3.0872E-2</c:v>
                </c:pt>
                <c:pt idx="97">
                  <c:v>3.1122E-2</c:v>
                </c:pt>
                <c:pt idx="98">
                  <c:v>3.1373999999999999E-2</c:v>
                </c:pt>
                <c:pt idx="99">
                  <c:v>3.1621999999999997E-2</c:v>
                </c:pt>
                <c:pt idx="100">
                  <c:v>3.1871999999999998E-2</c:v>
                </c:pt>
                <c:pt idx="101">
                  <c:v>3.2124E-2</c:v>
                </c:pt>
                <c:pt idx="102">
                  <c:v>3.2374E-2</c:v>
                </c:pt>
                <c:pt idx="103">
                  <c:v>3.2652E-2</c:v>
                </c:pt>
                <c:pt idx="104">
                  <c:v>3.2930000000000001E-2</c:v>
                </c:pt>
                <c:pt idx="105">
                  <c:v>3.3203999999999997E-2</c:v>
                </c:pt>
                <c:pt idx="106">
                  <c:v>3.3484E-2</c:v>
                </c:pt>
                <c:pt idx="107">
                  <c:v>3.3763999999999995E-2</c:v>
                </c:pt>
                <c:pt idx="108">
                  <c:v>3.4037999999999999E-2</c:v>
                </c:pt>
                <c:pt idx="109">
                  <c:v>3.4318000000000001E-2</c:v>
                </c:pt>
                <c:pt idx="110">
                  <c:v>3.4596000000000002E-2</c:v>
                </c:pt>
                <c:pt idx="111">
                  <c:v>3.4872E-2</c:v>
                </c:pt>
                <c:pt idx="112">
                  <c:v>3.5152000000000003E-2</c:v>
                </c:pt>
                <c:pt idx="113">
                  <c:v>3.5430000000000003E-2</c:v>
                </c:pt>
                <c:pt idx="114">
                  <c:v>3.5706000000000002E-2</c:v>
                </c:pt>
                <c:pt idx="115">
                  <c:v>3.5983999999999995E-2</c:v>
                </c:pt>
                <c:pt idx="116">
                  <c:v>3.6288000000000001E-2</c:v>
                </c:pt>
                <c:pt idx="117">
                  <c:v>3.6596000000000004E-2</c:v>
                </c:pt>
                <c:pt idx="118">
                  <c:v>3.6901999999999997E-2</c:v>
                </c:pt>
                <c:pt idx="119">
                  <c:v>3.7206000000000003E-2</c:v>
                </c:pt>
                <c:pt idx="120">
                  <c:v>3.7511999999999997E-2</c:v>
                </c:pt>
                <c:pt idx="121">
                  <c:v>3.7817999999999997E-2</c:v>
                </c:pt>
                <c:pt idx="122">
                  <c:v>3.8123999999999998E-2</c:v>
                </c:pt>
                <c:pt idx="123">
                  <c:v>3.8401999999999999E-2</c:v>
                </c:pt>
                <c:pt idx="124">
                  <c:v>3.8705999999999997E-2</c:v>
                </c:pt>
                <c:pt idx="125">
                  <c:v>3.9011999999999998E-2</c:v>
                </c:pt>
                <c:pt idx="126">
                  <c:v>3.9317999999999999E-2</c:v>
                </c:pt>
                <c:pt idx="127">
                  <c:v>3.9539999999999999E-2</c:v>
                </c:pt>
                <c:pt idx="128">
                  <c:v>3.9845999999999999E-2</c:v>
                </c:pt>
                <c:pt idx="129">
                  <c:v>4.0149999999999998E-2</c:v>
                </c:pt>
                <c:pt idx="130">
                  <c:v>4.0483999999999999E-2</c:v>
                </c:pt>
                <c:pt idx="131">
                  <c:v>4.0763999999999995E-2</c:v>
                </c:pt>
                <c:pt idx="132">
                  <c:v>4.1066000000000005E-2</c:v>
                </c:pt>
                <c:pt idx="133">
                  <c:v>4.1346000000000001E-2</c:v>
                </c:pt>
                <c:pt idx="134">
                  <c:v>4.1622000000000006E-2</c:v>
                </c:pt>
                <c:pt idx="135">
                  <c:v>4.1897999999999998E-2</c:v>
                </c:pt>
                <c:pt idx="136">
                  <c:v>4.2206E-2</c:v>
                </c:pt>
                <c:pt idx="137">
                  <c:v>4.2510000000000006E-2</c:v>
                </c:pt>
                <c:pt idx="138">
                  <c:v>4.2816E-2</c:v>
                </c:pt>
                <c:pt idx="139">
                  <c:v>4.3095999999999995E-2</c:v>
                </c:pt>
                <c:pt idx="140">
                  <c:v>4.3373999999999996E-2</c:v>
                </c:pt>
                <c:pt idx="141">
                  <c:v>4.3680000000000004E-2</c:v>
                </c:pt>
                <c:pt idx="142">
                  <c:v>4.3956000000000002E-2</c:v>
                </c:pt>
                <c:pt idx="143">
                  <c:v>4.4261999999999996E-2</c:v>
                </c:pt>
                <c:pt idx="144">
                  <c:v>4.4568000000000003E-2</c:v>
                </c:pt>
                <c:pt idx="145">
                  <c:v>4.4871999999999995E-2</c:v>
                </c:pt>
                <c:pt idx="146">
                  <c:v>4.5151999999999998E-2</c:v>
                </c:pt>
                <c:pt idx="147">
                  <c:v>4.5429999999999998E-2</c:v>
                </c:pt>
                <c:pt idx="148">
                  <c:v>4.5734000000000004E-2</c:v>
                </c:pt>
                <c:pt idx="149">
                  <c:v>4.6012000000000004E-2</c:v>
                </c:pt>
                <c:pt idx="150">
                  <c:v>4.6260000000000003E-2</c:v>
                </c:pt>
                <c:pt idx="151">
                  <c:v>4.6567999999999998E-2</c:v>
                </c:pt>
                <c:pt idx="152">
                  <c:v>4.6817999999999999E-2</c:v>
                </c:pt>
                <c:pt idx="153">
                  <c:v>4.7065999999999997E-2</c:v>
                </c:pt>
                <c:pt idx="154">
                  <c:v>4.7317999999999999E-2</c:v>
                </c:pt>
                <c:pt idx="155">
                  <c:v>4.7567999999999999E-2</c:v>
                </c:pt>
                <c:pt idx="156">
                  <c:v>4.7789999999999999E-2</c:v>
                </c:pt>
                <c:pt idx="157">
                  <c:v>4.8011999999999999E-2</c:v>
                </c:pt>
                <c:pt idx="158">
                  <c:v>4.8263999999999994E-2</c:v>
                </c:pt>
                <c:pt idx="159">
                  <c:v>4.8512000000000007E-2</c:v>
                </c:pt>
                <c:pt idx="160">
                  <c:v>4.8734E-2</c:v>
                </c:pt>
                <c:pt idx="161">
                  <c:v>4.8986000000000002E-2</c:v>
                </c:pt>
                <c:pt idx="162">
                  <c:v>4.9208000000000002E-2</c:v>
                </c:pt>
                <c:pt idx="163">
                  <c:v>4.9456E-2</c:v>
                </c:pt>
                <c:pt idx="164">
                  <c:v>4.9680000000000002E-2</c:v>
                </c:pt>
                <c:pt idx="165">
                  <c:v>4.9901999999999995E-2</c:v>
                </c:pt>
                <c:pt idx="166">
                  <c:v>5.0122E-2</c:v>
                </c:pt>
                <c:pt idx="167">
                  <c:v>5.0372E-2</c:v>
                </c:pt>
                <c:pt idx="168">
                  <c:v>5.0595999999999995E-2</c:v>
                </c:pt>
                <c:pt idx="169">
                  <c:v>5.0818000000000002E-2</c:v>
                </c:pt>
                <c:pt idx="170">
                  <c:v>5.1040000000000002E-2</c:v>
                </c:pt>
                <c:pt idx="171">
                  <c:v>5.1262000000000002E-2</c:v>
                </c:pt>
                <c:pt idx="172">
                  <c:v>5.1458000000000004E-2</c:v>
                </c:pt>
                <c:pt idx="173">
                  <c:v>5.1680000000000004E-2</c:v>
                </c:pt>
                <c:pt idx="174">
                  <c:v>5.1874000000000003E-2</c:v>
                </c:pt>
                <c:pt idx="175">
                  <c:v>5.2096000000000003E-2</c:v>
                </c:pt>
                <c:pt idx="176">
                  <c:v>5.2317999999999996E-2</c:v>
                </c:pt>
                <c:pt idx="177">
                  <c:v>5.2538000000000001E-2</c:v>
                </c:pt>
                <c:pt idx="178">
                  <c:v>5.2760000000000001E-2</c:v>
                </c:pt>
                <c:pt idx="179">
                  <c:v>5.2956000000000003E-2</c:v>
                </c:pt>
                <c:pt idx="180">
                  <c:v>5.3178000000000003E-2</c:v>
                </c:pt>
                <c:pt idx="181">
                  <c:v>5.3372000000000003E-2</c:v>
                </c:pt>
                <c:pt idx="182">
                  <c:v>5.3596000000000005E-2</c:v>
                </c:pt>
                <c:pt idx="183">
                  <c:v>5.3789999999999998E-2</c:v>
                </c:pt>
                <c:pt idx="184">
                  <c:v>5.4009999999999996E-2</c:v>
                </c:pt>
                <c:pt idx="185">
                  <c:v>5.4233999999999997E-2</c:v>
                </c:pt>
                <c:pt idx="186">
                  <c:v>5.4429999999999999E-2</c:v>
                </c:pt>
                <c:pt idx="187">
                  <c:v>5.4652000000000006E-2</c:v>
                </c:pt>
                <c:pt idx="188">
                  <c:v>5.4846000000000006E-2</c:v>
                </c:pt>
                <c:pt idx="189">
                  <c:v>5.5038000000000004E-2</c:v>
                </c:pt>
                <c:pt idx="190">
                  <c:v>5.5264000000000001E-2</c:v>
                </c:pt>
                <c:pt idx="191">
                  <c:v>5.5456000000000005E-2</c:v>
                </c:pt>
                <c:pt idx="192">
                  <c:v>5.5652E-2</c:v>
                </c:pt>
                <c:pt idx="193">
                  <c:v>5.5872000000000005E-2</c:v>
                </c:pt>
                <c:pt idx="194">
                  <c:v>5.6068E-2</c:v>
                </c:pt>
                <c:pt idx="195">
                  <c:v>5.6262E-2</c:v>
                </c:pt>
                <c:pt idx="196">
                  <c:v>5.6455999999999999E-2</c:v>
                </c:pt>
                <c:pt idx="197">
                  <c:v>5.6622000000000006E-2</c:v>
                </c:pt>
                <c:pt idx="198">
                  <c:v>5.6787999999999998E-2</c:v>
                </c:pt>
                <c:pt idx="199">
                  <c:v>5.6984000000000007E-2</c:v>
                </c:pt>
                <c:pt idx="200">
                  <c:v>5.7152000000000001E-2</c:v>
                </c:pt>
                <c:pt idx="201">
                  <c:v>5.7318000000000001E-2</c:v>
                </c:pt>
                <c:pt idx="202">
                  <c:v>5.7484E-2</c:v>
                </c:pt>
                <c:pt idx="203">
                  <c:v>5.7652000000000002E-2</c:v>
                </c:pt>
                <c:pt idx="204">
                  <c:v>5.7815999999999999E-2</c:v>
                </c:pt>
                <c:pt idx="205">
                  <c:v>5.7984000000000001E-2</c:v>
                </c:pt>
                <c:pt idx="206">
                  <c:v>5.8152000000000002E-2</c:v>
                </c:pt>
                <c:pt idx="207">
                  <c:v>5.8292000000000004E-2</c:v>
                </c:pt>
                <c:pt idx="208">
                  <c:v>5.8456000000000001E-2</c:v>
                </c:pt>
                <c:pt idx="209">
                  <c:v>5.8621999999999994E-2</c:v>
                </c:pt>
                <c:pt idx="210">
                  <c:v>5.8789999999999995E-2</c:v>
                </c:pt>
                <c:pt idx="211">
                  <c:v>5.8956000000000001E-2</c:v>
                </c:pt>
                <c:pt idx="212">
                  <c:v>5.9096000000000003E-2</c:v>
                </c:pt>
                <c:pt idx="213">
                  <c:v>5.9261999999999995E-2</c:v>
                </c:pt>
                <c:pt idx="214">
                  <c:v>5.9400000000000001E-2</c:v>
                </c:pt>
                <c:pt idx="215">
                  <c:v>5.9566000000000001E-2</c:v>
                </c:pt>
                <c:pt idx="216">
                  <c:v>5.9706000000000002E-2</c:v>
                </c:pt>
                <c:pt idx="217">
                  <c:v>5.9846000000000003E-2</c:v>
                </c:pt>
                <c:pt idx="218">
                  <c:v>6.0014000000000005E-2</c:v>
                </c:pt>
                <c:pt idx="219">
                  <c:v>6.0124000000000004E-2</c:v>
                </c:pt>
                <c:pt idx="220">
                  <c:v>6.0262000000000003E-2</c:v>
                </c:pt>
                <c:pt idx="221">
                  <c:v>6.0400000000000002E-2</c:v>
                </c:pt>
                <c:pt idx="222">
                  <c:v>6.0540000000000004E-2</c:v>
                </c:pt>
                <c:pt idx="223">
                  <c:v>6.0679999999999998E-2</c:v>
                </c:pt>
                <c:pt idx="224">
                  <c:v>6.0818000000000004E-2</c:v>
                </c:pt>
                <c:pt idx="225">
                  <c:v>6.0956000000000003E-2</c:v>
                </c:pt>
                <c:pt idx="226">
                  <c:v>6.1096000000000004E-2</c:v>
                </c:pt>
                <c:pt idx="227">
                  <c:v>6.1234000000000004E-2</c:v>
                </c:pt>
                <c:pt idx="228">
                  <c:v>6.1374000000000005E-2</c:v>
                </c:pt>
                <c:pt idx="229">
                  <c:v>6.1513999999999999E-2</c:v>
                </c:pt>
                <c:pt idx="230">
                  <c:v>6.1650000000000003E-2</c:v>
                </c:pt>
                <c:pt idx="231">
                  <c:v>6.1761999999999997E-2</c:v>
                </c:pt>
                <c:pt idx="232">
                  <c:v>6.1901999999999999E-2</c:v>
                </c:pt>
                <c:pt idx="233">
                  <c:v>6.2011999999999998E-2</c:v>
                </c:pt>
                <c:pt idx="234">
                  <c:v>6.2149999999999997E-2</c:v>
                </c:pt>
                <c:pt idx="235">
                  <c:v>6.2262000000000005E-2</c:v>
                </c:pt>
                <c:pt idx="236">
                  <c:v>6.2371999999999997E-2</c:v>
                </c:pt>
                <c:pt idx="237">
                  <c:v>6.2481999999999996E-2</c:v>
                </c:pt>
                <c:pt idx="238">
                  <c:v>6.2623999999999999E-2</c:v>
                </c:pt>
                <c:pt idx="239">
                  <c:v>6.2736E-2</c:v>
                </c:pt>
                <c:pt idx="240">
                  <c:v>6.2845999999999999E-2</c:v>
                </c:pt>
                <c:pt idx="241">
                  <c:v>6.2958E-2</c:v>
                </c:pt>
                <c:pt idx="242">
                  <c:v>6.3070000000000001E-2</c:v>
                </c:pt>
                <c:pt idx="243">
                  <c:v>6.3177999999999998E-2</c:v>
                </c:pt>
                <c:pt idx="244">
                  <c:v>6.3315999999999997E-2</c:v>
                </c:pt>
                <c:pt idx="245">
                  <c:v>6.3427999999999998E-2</c:v>
                </c:pt>
                <c:pt idx="246">
                  <c:v>6.3539999999999999E-2</c:v>
                </c:pt>
                <c:pt idx="247">
                  <c:v>6.3624E-2</c:v>
                </c:pt>
                <c:pt idx="248">
                  <c:v>6.3736000000000001E-2</c:v>
                </c:pt>
                <c:pt idx="249">
                  <c:v>6.3846E-2</c:v>
                </c:pt>
                <c:pt idx="250">
                  <c:v>6.3955999999999999E-2</c:v>
                </c:pt>
                <c:pt idx="251">
                  <c:v>6.4065999999999998E-2</c:v>
                </c:pt>
                <c:pt idx="252">
                  <c:v>6.4177999999999999E-2</c:v>
                </c:pt>
                <c:pt idx="253">
                  <c:v>6.429E-2</c:v>
                </c:pt>
                <c:pt idx="254">
                  <c:v>6.4402000000000001E-2</c:v>
                </c:pt>
                <c:pt idx="255">
                  <c:v>6.4512E-2</c:v>
                </c:pt>
                <c:pt idx="256">
                  <c:v>6.4624000000000001E-2</c:v>
                </c:pt>
                <c:pt idx="257">
                  <c:v>6.4706E-2</c:v>
                </c:pt>
                <c:pt idx="258">
                  <c:v>6.4818000000000001E-2</c:v>
                </c:pt>
                <c:pt idx="259">
                  <c:v>6.4899999999999999E-2</c:v>
                </c:pt>
                <c:pt idx="260">
                  <c:v>6.5012E-2</c:v>
                </c:pt>
                <c:pt idx="261">
                  <c:v>6.5096000000000001E-2</c:v>
                </c:pt>
                <c:pt idx="262">
                  <c:v>6.5208000000000002E-2</c:v>
                </c:pt>
                <c:pt idx="263">
                  <c:v>6.5318000000000001E-2</c:v>
                </c:pt>
                <c:pt idx="264">
                  <c:v>6.5402000000000002E-2</c:v>
                </c:pt>
                <c:pt idx="265">
                  <c:v>6.5512000000000001E-2</c:v>
                </c:pt>
                <c:pt idx="266">
                  <c:v>6.5594E-2</c:v>
                </c:pt>
                <c:pt idx="267">
                  <c:v>6.5706000000000001E-2</c:v>
                </c:pt>
                <c:pt idx="268">
                  <c:v>6.5787999999999999E-2</c:v>
                </c:pt>
                <c:pt idx="269">
                  <c:v>6.5872E-2</c:v>
                </c:pt>
                <c:pt idx="270">
                  <c:v>6.5984000000000001E-2</c:v>
                </c:pt>
                <c:pt idx="271">
                  <c:v>6.6094E-2</c:v>
                </c:pt>
                <c:pt idx="272">
                  <c:v>6.6178000000000001E-2</c:v>
                </c:pt>
                <c:pt idx="273">
                  <c:v>6.6262000000000001E-2</c:v>
                </c:pt>
                <c:pt idx="274">
                  <c:v>6.6346000000000002E-2</c:v>
                </c:pt>
                <c:pt idx="275">
                  <c:v>6.6458000000000003E-2</c:v>
                </c:pt>
                <c:pt idx="276">
                  <c:v>6.6568000000000002E-2</c:v>
                </c:pt>
                <c:pt idx="277">
                  <c:v>6.6651999999999989E-2</c:v>
                </c:pt>
                <c:pt idx="278">
                  <c:v>6.6734000000000002E-2</c:v>
                </c:pt>
                <c:pt idx="279">
                  <c:v>6.6874000000000003E-2</c:v>
                </c:pt>
                <c:pt idx="280">
                  <c:v>6.7012000000000002E-2</c:v>
                </c:pt>
                <c:pt idx="281">
                  <c:v>6.7150000000000001E-2</c:v>
                </c:pt>
                <c:pt idx="282">
                  <c:v>6.7290000000000003E-2</c:v>
                </c:pt>
                <c:pt idx="283">
                  <c:v>6.7402000000000004E-2</c:v>
                </c:pt>
                <c:pt idx="284">
                  <c:v>6.7539999999999989E-2</c:v>
                </c:pt>
                <c:pt idx="285">
                  <c:v>6.7680000000000004E-2</c:v>
                </c:pt>
                <c:pt idx="286">
                  <c:v>6.7816000000000001E-2</c:v>
                </c:pt>
                <c:pt idx="287">
                  <c:v>6.7928000000000002E-2</c:v>
                </c:pt>
                <c:pt idx="288">
                  <c:v>6.8066000000000002E-2</c:v>
                </c:pt>
                <c:pt idx="289">
                  <c:v>6.8208000000000005E-2</c:v>
                </c:pt>
                <c:pt idx="290">
                  <c:v>6.8319999999999992E-2</c:v>
                </c:pt>
                <c:pt idx="291">
                  <c:v>6.8430000000000005E-2</c:v>
                </c:pt>
                <c:pt idx="292">
                  <c:v>6.8566000000000002E-2</c:v>
                </c:pt>
                <c:pt idx="293">
                  <c:v>6.8678000000000003E-2</c:v>
                </c:pt>
                <c:pt idx="294">
                  <c:v>6.878999999999999E-2</c:v>
                </c:pt>
                <c:pt idx="295">
                  <c:v>6.8929999999999991E-2</c:v>
                </c:pt>
                <c:pt idx="296">
                  <c:v>6.9067999999999991E-2</c:v>
                </c:pt>
                <c:pt idx="297">
                  <c:v>6.9178000000000003E-2</c:v>
                </c:pt>
                <c:pt idx="298">
                  <c:v>6.9318000000000005E-2</c:v>
                </c:pt>
                <c:pt idx="299">
                  <c:v>6.9428000000000004E-2</c:v>
                </c:pt>
                <c:pt idx="300">
                  <c:v>6.9539999999999991E-2</c:v>
                </c:pt>
                <c:pt idx="301">
                  <c:v>6.9650000000000004E-2</c:v>
                </c:pt>
                <c:pt idx="302">
                  <c:v>6.9762000000000005E-2</c:v>
                </c:pt>
                <c:pt idx="303">
                  <c:v>6.9874000000000006E-2</c:v>
                </c:pt>
                <c:pt idx="304">
                  <c:v>6.9985999999999993E-2</c:v>
                </c:pt>
                <c:pt idx="305">
                  <c:v>7.0095999999999992E-2</c:v>
                </c:pt>
                <c:pt idx="306">
                  <c:v>7.0206000000000005E-2</c:v>
                </c:pt>
                <c:pt idx="307">
                  <c:v>7.0316000000000004E-2</c:v>
                </c:pt>
                <c:pt idx="308">
                  <c:v>7.0427999999999991E-2</c:v>
                </c:pt>
                <c:pt idx="309">
                  <c:v>7.0540000000000005E-2</c:v>
                </c:pt>
                <c:pt idx="310">
                  <c:v>7.0651999999999993E-2</c:v>
                </c:pt>
                <c:pt idx="311">
                  <c:v>7.0762000000000005E-2</c:v>
                </c:pt>
                <c:pt idx="312">
                  <c:v>7.0872000000000004E-2</c:v>
                </c:pt>
                <c:pt idx="313">
                  <c:v>7.0983999999999992E-2</c:v>
                </c:pt>
                <c:pt idx="314">
                  <c:v>7.1096000000000006E-2</c:v>
                </c:pt>
                <c:pt idx="315">
                  <c:v>7.1207999999999994E-2</c:v>
                </c:pt>
                <c:pt idx="316">
                  <c:v>7.1318000000000006E-2</c:v>
                </c:pt>
                <c:pt idx="317">
                  <c:v>7.1429999999999993E-2</c:v>
                </c:pt>
                <c:pt idx="318">
                  <c:v>7.1539999999999992E-2</c:v>
                </c:pt>
                <c:pt idx="319">
                  <c:v>7.1650000000000005E-2</c:v>
                </c:pt>
                <c:pt idx="320">
                  <c:v>7.1788000000000005E-2</c:v>
                </c:pt>
                <c:pt idx="321">
                  <c:v>7.1929999999999994E-2</c:v>
                </c:pt>
                <c:pt idx="322">
                  <c:v>7.2068000000000007E-2</c:v>
                </c:pt>
                <c:pt idx="323">
                  <c:v>7.2207999999999994E-2</c:v>
                </c:pt>
                <c:pt idx="324">
                  <c:v>7.2346000000000008E-2</c:v>
                </c:pt>
                <c:pt idx="325">
                  <c:v>7.2481999999999991E-2</c:v>
                </c:pt>
                <c:pt idx="326">
                  <c:v>7.2622000000000006E-2</c:v>
                </c:pt>
                <c:pt idx="327">
                  <c:v>7.2762000000000007E-2</c:v>
                </c:pt>
                <c:pt idx="328">
                  <c:v>7.2900000000000006E-2</c:v>
                </c:pt>
                <c:pt idx="329">
                  <c:v>7.3040000000000008E-2</c:v>
                </c:pt>
                <c:pt idx="330">
                  <c:v>7.3178000000000007E-2</c:v>
                </c:pt>
                <c:pt idx="331">
                  <c:v>7.3315999999999992E-2</c:v>
                </c:pt>
                <c:pt idx="332">
                  <c:v>7.3456000000000007E-2</c:v>
                </c:pt>
                <c:pt idx="333">
                  <c:v>7.3567999999999995E-2</c:v>
                </c:pt>
                <c:pt idx="334">
                  <c:v>7.3707999999999996E-2</c:v>
                </c:pt>
                <c:pt idx="335">
                  <c:v>7.3817999999999995E-2</c:v>
                </c:pt>
                <c:pt idx="336">
                  <c:v>7.3955999999999994E-2</c:v>
                </c:pt>
                <c:pt idx="337">
                  <c:v>7.4067999999999995E-2</c:v>
                </c:pt>
                <c:pt idx="338">
                  <c:v>7.4177999999999994E-2</c:v>
                </c:pt>
                <c:pt idx="339">
                  <c:v>7.4290000000000009E-2</c:v>
                </c:pt>
                <c:pt idx="340">
                  <c:v>7.4429999999999996E-2</c:v>
                </c:pt>
                <c:pt idx="341">
                  <c:v>7.4539999999999995E-2</c:v>
                </c:pt>
                <c:pt idx="342">
                  <c:v>7.4651999999999996E-2</c:v>
                </c:pt>
                <c:pt idx="343">
                  <c:v>7.4759999999999993E-2</c:v>
                </c:pt>
                <c:pt idx="344">
                  <c:v>7.4871999999999994E-2</c:v>
                </c:pt>
                <c:pt idx="345">
                  <c:v>7.5011999999999995E-2</c:v>
                </c:pt>
                <c:pt idx="346">
                  <c:v>7.512400000000001E-2</c:v>
                </c:pt>
                <c:pt idx="347">
                  <c:v>7.5233999999999995E-2</c:v>
                </c:pt>
                <c:pt idx="348">
                  <c:v>7.5345999999999996E-2</c:v>
                </c:pt>
                <c:pt idx="349">
                  <c:v>7.5457999999999997E-2</c:v>
                </c:pt>
                <c:pt idx="350">
                  <c:v>7.5593999999999995E-2</c:v>
                </c:pt>
                <c:pt idx="351">
                  <c:v>7.573400000000001E-2</c:v>
                </c:pt>
                <c:pt idx="352">
                  <c:v>7.5873999999999997E-2</c:v>
                </c:pt>
                <c:pt idx="353">
                  <c:v>7.6009999999999994E-2</c:v>
                </c:pt>
                <c:pt idx="354">
                  <c:v>7.6151999999999997E-2</c:v>
                </c:pt>
                <c:pt idx="355">
                  <c:v>7.6289999999999997E-2</c:v>
                </c:pt>
                <c:pt idx="356">
                  <c:v>7.6427999999999996E-2</c:v>
                </c:pt>
                <c:pt idx="357">
                  <c:v>7.6567999999999997E-2</c:v>
                </c:pt>
                <c:pt idx="358">
                  <c:v>7.6707999999999998E-2</c:v>
                </c:pt>
                <c:pt idx="359">
                  <c:v>7.6845999999999998E-2</c:v>
                </c:pt>
                <c:pt idx="360">
                  <c:v>7.6985999999999999E-2</c:v>
                </c:pt>
                <c:pt idx="361">
                  <c:v>7.7121999999999996E-2</c:v>
                </c:pt>
                <c:pt idx="362">
                  <c:v>7.7259999999999995E-2</c:v>
                </c:pt>
                <c:pt idx="363">
                  <c:v>7.7399999999999997E-2</c:v>
                </c:pt>
                <c:pt idx="364">
                  <c:v>7.7539999999999998E-2</c:v>
                </c:pt>
                <c:pt idx="365">
                  <c:v>7.7679999999999999E-2</c:v>
                </c:pt>
                <c:pt idx="366">
                  <c:v>7.7817999999999998E-2</c:v>
                </c:pt>
                <c:pt idx="367">
                  <c:v>7.7955999999999998E-2</c:v>
                </c:pt>
                <c:pt idx="368">
                  <c:v>7.8095999999999999E-2</c:v>
                </c:pt>
                <c:pt idx="369">
                  <c:v>7.8236E-2</c:v>
                </c:pt>
                <c:pt idx="370">
                  <c:v>7.8373999999999999E-2</c:v>
                </c:pt>
                <c:pt idx="371">
                  <c:v>7.8511999999999998E-2</c:v>
                </c:pt>
                <c:pt idx="372">
                  <c:v>7.8652E-2</c:v>
                </c:pt>
                <c:pt idx="373">
                  <c:v>7.8787999999999997E-2</c:v>
                </c:pt>
                <c:pt idx="374">
                  <c:v>7.8955999999999998E-2</c:v>
                </c:pt>
                <c:pt idx="375">
                  <c:v>7.9093999999999998E-2</c:v>
                </c:pt>
                <c:pt idx="376">
                  <c:v>7.9261999999999999E-2</c:v>
                </c:pt>
                <c:pt idx="377">
                  <c:v>7.9399999999999998E-2</c:v>
                </c:pt>
                <c:pt idx="378">
                  <c:v>7.954E-2</c:v>
                </c:pt>
                <c:pt idx="379">
                  <c:v>7.9705999999999999E-2</c:v>
                </c:pt>
                <c:pt idx="380">
                  <c:v>7.9874000000000001E-2</c:v>
                </c:pt>
                <c:pt idx="381">
                  <c:v>8.0012000000000014E-2</c:v>
                </c:pt>
                <c:pt idx="382">
                  <c:v>8.0149999999999999E-2</c:v>
                </c:pt>
                <c:pt idx="383">
                  <c:v>8.029E-2</c:v>
                </c:pt>
                <c:pt idx="384">
                  <c:v>8.0429999999999988E-2</c:v>
                </c:pt>
                <c:pt idx="385">
                  <c:v>8.0568000000000015E-2</c:v>
                </c:pt>
                <c:pt idx="386">
                  <c:v>8.0708000000000002E-2</c:v>
                </c:pt>
                <c:pt idx="387">
                  <c:v>8.0846000000000001E-2</c:v>
                </c:pt>
                <c:pt idx="388">
                  <c:v>8.0981999999999998E-2</c:v>
                </c:pt>
                <c:pt idx="389">
                  <c:v>8.1122E-2</c:v>
                </c:pt>
                <c:pt idx="390">
                  <c:v>8.1262000000000001E-2</c:v>
                </c:pt>
                <c:pt idx="391">
                  <c:v>8.1402000000000002E-2</c:v>
                </c:pt>
                <c:pt idx="392">
                  <c:v>8.1541999999999989E-2</c:v>
                </c:pt>
                <c:pt idx="393">
                  <c:v>8.1678000000000001E-2</c:v>
                </c:pt>
                <c:pt idx="394">
                  <c:v>8.1846000000000002E-2</c:v>
                </c:pt>
                <c:pt idx="395">
                  <c:v>8.2012000000000002E-2</c:v>
                </c:pt>
                <c:pt idx="396">
                  <c:v>8.2180000000000003E-2</c:v>
                </c:pt>
                <c:pt idx="397">
                  <c:v>8.2318000000000002E-2</c:v>
                </c:pt>
                <c:pt idx="398">
                  <c:v>8.2484000000000002E-2</c:v>
                </c:pt>
                <c:pt idx="399">
                  <c:v>8.2622000000000001E-2</c:v>
                </c:pt>
                <c:pt idx="400">
                  <c:v>8.2790000000000002E-2</c:v>
                </c:pt>
                <c:pt idx="401">
                  <c:v>8.2928000000000002E-2</c:v>
                </c:pt>
                <c:pt idx="402">
                  <c:v>8.3096000000000003E-2</c:v>
                </c:pt>
                <c:pt idx="403">
                  <c:v>8.3233999999999989E-2</c:v>
                </c:pt>
                <c:pt idx="404">
                  <c:v>8.3374000000000004E-2</c:v>
                </c:pt>
                <c:pt idx="405">
                  <c:v>8.3512000000000003E-2</c:v>
                </c:pt>
                <c:pt idx="406">
                  <c:v>8.3650000000000002E-2</c:v>
                </c:pt>
                <c:pt idx="407">
                  <c:v>8.3789999999999989E-2</c:v>
                </c:pt>
                <c:pt idx="408">
                  <c:v>8.3930000000000005E-2</c:v>
                </c:pt>
                <c:pt idx="409">
                  <c:v>8.4065999999999988E-2</c:v>
                </c:pt>
                <c:pt idx="410">
                  <c:v>8.4206000000000003E-2</c:v>
                </c:pt>
                <c:pt idx="411">
                  <c:v>8.434599999999999E-2</c:v>
                </c:pt>
                <c:pt idx="412">
                  <c:v>8.4512000000000004E-2</c:v>
                </c:pt>
                <c:pt idx="413">
                  <c:v>8.4680000000000005E-2</c:v>
                </c:pt>
                <c:pt idx="414">
                  <c:v>8.4844000000000003E-2</c:v>
                </c:pt>
                <c:pt idx="415">
                  <c:v>8.5009999999999988E-2</c:v>
                </c:pt>
                <c:pt idx="416">
                  <c:v>8.5180000000000006E-2</c:v>
                </c:pt>
                <c:pt idx="417">
                  <c:v>8.5345999999999991E-2</c:v>
                </c:pt>
                <c:pt idx="418">
                  <c:v>8.5511999999999991E-2</c:v>
                </c:pt>
                <c:pt idx="419">
                  <c:v>8.5679999999999992E-2</c:v>
                </c:pt>
                <c:pt idx="420">
                  <c:v>8.5844000000000004E-2</c:v>
                </c:pt>
                <c:pt idx="421">
                  <c:v>8.6013999999999993E-2</c:v>
                </c:pt>
                <c:pt idx="422">
                  <c:v>8.6180000000000007E-2</c:v>
                </c:pt>
                <c:pt idx="423">
                  <c:v>8.634399999999999E-2</c:v>
                </c:pt>
                <c:pt idx="424">
                  <c:v>8.6511999999999992E-2</c:v>
                </c:pt>
                <c:pt idx="425">
                  <c:v>8.6677999999999991E-2</c:v>
                </c:pt>
                <c:pt idx="426">
                  <c:v>8.6845999999999993E-2</c:v>
                </c:pt>
                <c:pt idx="427">
                  <c:v>8.7040000000000006E-2</c:v>
                </c:pt>
                <c:pt idx="428">
                  <c:v>8.7205999999999992E-2</c:v>
                </c:pt>
                <c:pt idx="429">
                  <c:v>8.7400000000000005E-2</c:v>
                </c:pt>
                <c:pt idx="430">
                  <c:v>8.7593999999999991E-2</c:v>
                </c:pt>
                <c:pt idx="431">
                  <c:v>8.7761999999999993E-2</c:v>
                </c:pt>
                <c:pt idx="432">
                  <c:v>8.7956000000000006E-2</c:v>
                </c:pt>
                <c:pt idx="433">
                  <c:v>8.8122000000000006E-2</c:v>
                </c:pt>
                <c:pt idx="434">
                  <c:v>8.8290000000000007E-2</c:v>
                </c:pt>
                <c:pt idx="435">
                  <c:v>8.8458000000000009E-2</c:v>
                </c:pt>
                <c:pt idx="436">
                  <c:v>8.8650000000000007E-2</c:v>
                </c:pt>
                <c:pt idx="437">
                  <c:v>8.8818000000000008E-2</c:v>
                </c:pt>
                <c:pt idx="438">
                  <c:v>8.8985999999999996E-2</c:v>
                </c:pt>
                <c:pt idx="439">
                  <c:v>8.9152000000000009E-2</c:v>
                </c:pt>
                <c:pt idx="440">
                  <c:v>8.9318000000000008E-2</c:v>
                </c:pt>
                <c:pt idx="441">
                  <c:v>8.9511999999999994E-2</c:v>
                </c:pt>
                <c:pt idx="442">
                  <c:v>8.970800000000001E-2</c:v>
                </c:pt>
                <c:pt idx="443">
                  <c:v>8.9901999999999996E-2</c:v>
                </c:pt>
                <c:pt idx="444">
                  <c:v>9.0096000000000009E-2</c:v>
                </c:pt>
                <c:pt idx="445">
                  <c:v>9.0288000000000007E-2</c:v>
                </c:pt>
                <c:pt idx="446">
                  <c:v>9.0456000000000009E-2</c:v>
                </c:pt>
                <c:pt idx="447">
                  <c:v>9.065200000000001E-2</c:v>
                </c:pt>
                <c:pt idx="448">
                  <c:v>9.0845999999999996E-2</c:v>
                </c:pt>
                <c:pt idx="449">
                  <c:v>9.1037999999999994E-2</c:v>
                </c:pt>
                <c:pt idx="450">
                  <c:v>9.1233999999999996E-2</c:v>
                </c:pt>
                <c:pt idx="451">
                  <c:v>9.1400000000000009E-2</c:v>
                </c:pt>
                <c:pt idx="452">
                  <c:v>9.1569999999999999E-2</c:v>
                </c:pt>
                <c:pt idx="453">
                  <c:v>9.1761999999999996E-2</c:v>
                </c:pt>
                <c:pt idx="454">
                  <c:v>9.195600000000001E-2</c:v>
                </c:pt>
                <c:pt idx="455">
                  <c:v>9.2149999999999996E-2</c:v>
                </c:pt>
                <c:pt idx="456">
                  <c:v>9.2345999999999998E-2</c:v>
                </c:pt>
                <c:pt idx="457">
                  <c:v>9.2539999999999997E-2</c:v>
                </c:pt>
                <c:pt idx="458">
                  <c:v>9.2734000000000011E-2</c:v>
                </c:pt>
                <c:pt idx="459">
                  <c:v>9.2929999999999999E-2</c:v>
                </c:pt>
                <c:pt idx="460">
                  <c:v>9.3123999999999998E-2</c:v>
                </c:pt>
                <c:pt idx="461">
                  <c:v>9.3317999999999998E-2</c:v>
                </c:pt>
                <c:pt idx="462">
                  <c:v>9.3511999999999998E-2</c:v>
                </c:pt>
                <c:pt idx="463">
                  <c:v>9.3705999999999998E-2</c:v>
                </c:pt>
                <c:pt idx="464">
                  <c:v>9.3930000000000013E-2</c:v>
                </c:pt>
                <c:pt idx="465">
                  <c:v>9.4149999999999998E-2</c:v>
                </c:pt>
                <c:pt idx="466">
                  <c:v>9.4374E-2</c:v>
                </c:pt>
                <c:pt idx="467">
                  <c:v>9.4570000000000001E-2</c:v>
                </c:pt>
                <c:pt idx="468">
                  <c:v>9.4787999999999997E-2</c:v>
                </c:pt>
                <c:pt idx="469">
                  <c:v>9.4983999999999999E-2</c:v>
                </c:pt>
                <c:pt idx="470">
                  <c:v>9.5208000000000001E-2</c:v>
                </c:pt>
                <c:pt idx="471">
                  <c:v>9.5402000000000001E-2</c:v>
                </c:pt>
                <c:pt idx="472">
                  <c:v>9.5624000000000001E-2</c:v>
                </c:pt>
                <c:pt idx="473">
                  <c:v>9.5818E-2</c:v>
                </c:pt>
                <c:pt idx="474">
                  <c:v>9.6039999999999986E-2</c:v>
                </c:pt>
                <c:pt idx="475">
                  <c:v>9.6262000000000014E-2</c:v>
                </c:pt>
                <c:pt idx="476">
                  <c:v>9.6481999999999998E-2</c:v>
                </c:pt>
                <c:pt idx="477">
                  <c:v>9.6708000000000002E-2</c:v>
                </c:pt>
                <c:pt idx="478">
                  <c:v>9.6930000000000002E-2</c:v>
                </c:pt>
                <c:pt idx="479">
                  <c:v>9.7151999999999988E-2</c:v>
                </c:pt>
                <c:pt idx="480">
                  <c:v>9.7373999999999988E-2</c:v>
                </c:pt>
                <c:pt idx="481">
                  <c:v>9.7596000000000002E-2</c:v>
                </c:pt>
                <c:pt idx="482">
                  <c:v>9.7815999999999986E-2</c:v>
                </c:pt>
                <c:pt idx="483">
                  <c:v>9.8038000000000014E-2</c:v>
                </c:pt>
                <c:pt idx="484">
                  <c:v>9.8262000000000002E-2</c:v>
                </c:pt>
                <c:pt idx="485">
                  <c:v>9.8484000000000002E-2</c:v>
                </c:pt>
                <c:pt idx="486">
                  <c:v>9.8706000000000002E-2</c:v>
                </c:pt>
                <c:pt idx="487">
                  <c:v>9.8930000000000004E-2</c:v>
                </c:pt>
                <c:pt idx="488">
                  <c:v>9.9152000000000004E-2</c:v>
                </c:pt>
                <c:pt idx="489">
                  <c:v>9.9372000000000002E-2</c:v>
                </c:pt>
                <c:pt idx="490">
                  <c:v>9.9594000000000002E-2</c:v>
                </c:pt>
                <c:pt idx="491">
                  <c:v>9.9818000000000004E-2</c:v>
                </c:pt>
                <c:pt idx="492">
                  <c:v>0.10004200000000001</c:v>
                </c:pt>
                <c:pt idx="493">
                  <c:v>0.10029</c:v>
                </c:pt>
                <c:pt idx="494">
                  <c:v>0.10054</c:v>
                </c:pt>
                <c:pt idx="495">
                  <c:v>0.10079200000000001</c:v>
                </c:pt>
                <c:pt idx="496">
                  <c:v>0.101012</c:v>
                </c:pt>
                <c:pt idx="497">
                  <c:v>0.101234</c:v>
                </c:pt>
                <c:pt idx="498">
                  <c:v>0.101456</c:v>
                </c:pt>
                <c:pt idx="499">
                  <c:v>0.10167799999999999</c:v>
                </c:pt>
                <c:pt idx="500">
                  <c:v>0.10192999999999999</c:v>
                </c:pt>
                <c:pt idx="501">
                  <c:v>0.102178</c:v>
                </c:pt>
                <c:pt idx="502">
                  <c:v>0.10242800000000001</c:v>
                </c:pt>
                <c:pt idx="503">
                  <c:v>0.10267799999999999</c:v>
                </c:pt>
                <c:pt idx="504">
                  <c:v>0.10292999999999999</c:v>
                </c:pt>
                <c:pt idx="505">
                  <c:v>0.10315200000000001</c:v>
                </c:pt>
                <c:pt idx="506">
                  <c:v>0.10339999999999999</c:v>
                </c:pt>
                <c:pt idx="507">
                  <c:v>0.10362199999999999</c:v>
                </c:pt>
                <c:pt idx="508">
                  <c:v>0.10387600000000001</c:v>
                </c:pt>
                <c:pt idx="509">
                  <c:v>0.10412200000000001</c:v>
                </c:pt>
                <c:pt idx="510">
                  <c:v>0.10437400000000001</c:v>
                </c:pt>
                <c:pt idx="511">
                  <c:v>0.10462400000000001</c:v>
                </c:pt>
                <c:pt idx="512">
                  <c:v>0.10487199999999999</c:v>
                </c:pt>
                <c:pt idx="513">
                  <c:v>0.105124</c:v>
                </c:pt>
                <c:pt idx="514">
                  <c:v>0.105374</c:v>
                </c:pt>
                <c:pt idx="515">
                  <c:v>0.10565200000000001</c:v>
                </c:pt>
                <c:pt idx="516">
                  <c:v>0.10592800000000001</c:v>
                </c:pt>
                <c:pt idx="517">
                  <c:v>0.10620599999999999</c:v>
                </c:pt>
                <c:pt idx="518">
                  <c:v>0.10648400000000001</c:v>
                </c:pt>
                <c:pt idx="519">
                  <c:v>0.106762</c:v>
                </c:pt>
                <c:pt idx="520">
                  <c:v>0.107012</c:v>
                </c:pt>
                <c:pt idx="521">
                  <c:v>0.10729</c:v>
                </c:pt>
                <c:pt idx="522">
                  <c:v>0.107568</c:v>
                </c:pt>
                <c:pt idx="523">
                  <c:v>0.107844</c:v>
                </c:pt>
                <c:pt idx="524">
                  <c:v>0.10812200000000001</c:v>
                </c:pt>
                <c:pt idx="525">
                  <c:v>0.108402</c:v>
                </c:pt>
                <c:pt idx="526">
                  <c:v>0.10867800000000001</c:v>
                </c:pt>
                <c:pt idx="527">
                  <c:v>0.108956</c:v>
                </c:pt>
                <c:pt idx="528">
                  <c:v>0.109236</c:v>
                </c:pt>
                <c:pt idx="529">
                  <c:v>0.10951000000000001</c:v>
                </c:pt>
                <c:pt idx="530">
                  <c:v>0.109816</c:v>
                </c:pt>
                <c:pt idx="531">
                  <c:v>0.11009600000000001</c:v>
                </c:pt>
                <c:pt idx="532">
                  <c:v>0.110374</c:v>
                </c:pt>
                <c:pt idx="533">
                  <c:v>0.11065</c:v>
                </c:pt>
                <c:pt idx="534">
                  <c:v>0.110928</c:v>
                </c:pt>
                <c:pt idx="535">
                  <c:v>0.111236</c:v>
                </c:pt>
                <c:pt idx="536">
                  <c:v>0.111514</c:v>
                </c:pt>
                <c:pt idx="537">
                  <c:v>0.11181800000000001</c:v>
                </c:pt>
                <c:pt idx="538">
                  <c:v>0.112096</c:v>
                </c:pt>
                <c:pt idx="539">
                  <c:v>0.11237399999999999</c:v>
                </c:pt>
                <c:pt idx="540">
                  <c:v>0.11265</c:v>
                </c:pt>
                <c:pt idx="541">
                  <c:v>0.112958</c:v>
                </c:pt>
                <c:pt idx="542">
                  <c:v>0.11326</c:v>
                </c:pt>
                <c:pt idx="543">
                  <c:v>0.113568</c:v>
                </c:pt>
                <c:pt idx="544">
                  <c:v>0.11387399999999999</c:v>
                </c:pt>
                <c:pt idx="545">
                  <c:v>0.114178</c:v>
                </c:pt>
                <c:pt idx="546">
                  <c:v>0.114482</c:v>
                </c:pt>
                <c:pt idx="547">
                  <c:v>0.114788</c:v>
                </c:pt>
                <c:pt idx="548">
                  <c:v>0.11509399999999999</c:v>
                </c:pt>
                <c:pt idx="549">
                  <c:v>0.11542999999999999</c:v>
                </c:pt>
                <c:pt idx="550">
                  <c:v>0.115762</c:v>
                </c:pt>
                <c:pt idx="551">
                  <c:v>0.116096</c:v>
                </c:pt>
                <c:pt idx="552">
                  <c:v>0.11642799999999999</c:v>
                </c:pt>
                <c:pt idx="553">
                  <c:v>0.11676199999999999</c:v>
                </c:pt>
                <c:pt idx="554">
                  <c:v>0.117094</c:v>
                </c:pt>
                <c:pt idx="555">
                  <c:v>0.117428</c:v>
                </c:pt>
                <c:pt idx="556">
                  <c:v>0.11776400000000001</c:v>
                </c:pt>
                <c:pt idx="557">
                  <c:v>0.118094</c:v>
                </c:pt>
                <c:pt idx="558">
                  <c:v>0.11842999999999999</c:v>
                </c:pt>
                <c:pt idx="559">
                  <c:v>0.11876200000000001</c:v>
                </c:pt>
                <c:pt idx="560">
                  <c:v>0.11909599999999999</c:v>
                </c:pt>
                <c:pt idx="561">
                  <c:v>0.119426</c:v>
                </c:pt>
                <c:pt idx="562">
                  <c:v>0.11978999999999999</c:v>
                </c:pt>
                <c:pt idx="563">
                  <c:v>0.12012200000000001</c:v>
                </c:pt>
                <c:pt idx="564">
                  <c:v>0.12048400000000001</c:v>
                </c:pt>
                <c:pt idx="565">
                  <c:v>0.120846</c:v>
                </c:pt>
                <c:pt idx="566">
                  <c:v>0.12117800000000001</c:v>
                </c:pt>
                <c:pt idx="567">
                  <c:v>0.121542</c:v>
                </c:pt>
                <c:pt idx="568">
                  <c:v>0.12189999999999999</c:v>
                </c:pt>
                <c:pt idx="569">
                  <c:v>0.122264</c:v>
                </c:pt>
                <c:pt idx="570">
                  <c:v>0.122624</c:v>
                </c:pt>
                <c:pt idx="571">
                  <c:v>0.12298400000000001</c:v>
                </c:pt>
                <c:pt idx="572">
                  <c:v>0.123346</c:v>
                </c:pt>
                <c:pt idx="573">
                  <c:v>0.12370799999999998</c:v>
                </c:pt>
                <c:pt idx="574">
                  <c:v>0.124066</c:v>
                </c:pt>
                <c:pt idx="575">
                  <c:v>0.124428</c:v>
                </c:pt>
                <c:pt idx="576">
                  <c:v>0.124816</c:v>
                </c:pt>
                <c:pt idx="577">
                  <c:v>0.12520799999999999</c:v>
                </c:pt>
                <c:pt idx="578">
                  <c:v>0.12559599999999999</c:v>
                </c:pt>
                <c:pt idx="579">
                  <c:v>0.12598599999999999</c:v>
                </c:pt>
                <c:pt idx="580">
                  <c:v>0.12637200000000001</c:v>
                </c:pt>
                <c:pt idx="581">
                  <c:v>0.12676199999999999</c:v>
                </c:pt>
                <c:pt idx="582">
                  <c:v>0.12715199999999999</c:v>
                </c:pt>
                <c:pt idx="583">
                  <c:v>0.12753999999999999</c:v>
                </c:pt>
                <c:pt idx="584">
                  <c:v>0.12795600000000001</c:v>
                </c:pt>
                <c:pt idx="585">
                  <c:v>0.12837400000000002</c:v>
                </c:pt>
                <c:pt idx="586">
                  <c:v>0.12878999999999999</c:v>
                </c:pt>
                <c:pt idx="587">
                  <c:v>0.12920799999999999</c:v>
                </c:pt>
                <c:pt idx="588">
                  <c:v>0.12962400000000002</c:v>
                </c:pt>
                <c:pt idx="589">
                  <c:v>0.13004200000000002</c:v>
                </c:pt>
                <c:pt idx="590">
                  <c:v>0.13045600000000002</c:v>
                </c:pt>
                <c:pt idx="591">
                  <c:v>0.13087400000000002</c:v>
                </c:pt>
                <c:pt idx="592">
                  <c:v>0.13128999999999999</c:v>
                </c:pt>
                <c:pt idx="593">
                  <c:v>0.13170599999999999</c:v>
                </c:pt>
                <c:pt idx="594">
                  <c:v>0.13212400000000002</c:v>
                </c:pt>
                <c:pt idx="595">
                  <c:v>0.13253999999999999</c:v>
                </c:pt>
                <c:pt idx="596">
                  <c:v>0.13295799999999999</c:v>
                </c:pt>
                <c:pt idx="597">
                  <c:v>0.13337199999999999</c:v>
                </c:pt>
                <c:pt idx="598">
                  <c:v>0.13379200000000002</c:v>
                </c:pt>
                <c:pt idx="599">
                  <c:v>0.13423400000000002</c:v>
                </c:pt>
                <c:pt idx="600">
                  <c:v>0.13467999999999999</c:v>
                </c:pt>
                <c:pt idx="601">
                  <c:v>0.13512399999999999</c:v>
                </c:pt>
                <c:pt idx="602">
                  <c:v>0.13556599999999999</c:v>
                </c:pt>
                <c:pt idx="603">
                  <c:v>0.13603999999999999</c:v>
                </c:pt>
                <c:pt idx="604">
                  <c:v>0.13650999999999999</c:v>
                </c:pt>
                <c:pt idx="605">
                  <c:v>0.136986</c:v>
                </c:pt>
                <c:pt idx="606">
                  <c:v>0.13745599999999999</c:v>
                </c:pt>
                <c:pt idx="607">
                  <c:v>0.137928</c:v>
                </c:pt>
                <c:pt idx="608">
                  <c:v>0.138402</c:v>
                </c:pt>
                <c:pt idx="609">
                  <c:v>0.138872</c:v>
                </c:pt>
                <c:pt idx="610">
                  <c:v>0.139372</c:v>
                </c:pt>
                <c:pt idx="611">
                  <c:v>0.139874</c:v>
                </c:pt>
                <c:pt idx="612">
                  <c:v>0.140344</c:v>
                </c:pt>
                <c:pt idx="613">
                  <c:v>0.140846</c:v>
                </c:pt>
                <c:pt idx="614">
                  <c:v>0.141346</c:v>
                </c:pt>
                <c:pt idx="615">
                  <c:v>0.141846</c:v>
                </c:pt>
                <c:pt idx="616">
                  <c:v>0.142346</c:v>
                </c:pt>
                <c:pt idx="617">
                  <c:v>0.142846</c:v>
                </c:pt>
                <c:pt idx="618">
                  <c:v>0.143344</c:v>
                </c:pt>
                <c:pt idx="619">
                  <c:v>0.143846</c:v>
                </c:pt>
                <c:pt idx="620">
                  <c:v>0.144372</c:v>
                </c:pt>
                <c:pt idx="621">
                  <c:v>0.1449</c:v>
                </c:pt>
                <c:pt idx="622">
                  <c:v>0.145458</c:v>
                </c:pt>
                <c:pt idx="623">
                  <c:v>0.146012</c:v>
                </c:pt>
                <c:pt idx="624">
                  <c:v>0.146568</c:v>
                </c:pt>
                <c:pt idx="625">
                  <c:v>0.147124</c:v>
                </c:pt>
                <c:pt idx="626">
                  <c:v>0.14770800000000001</c:v>
                </c:pt>
                <c:pt idx="627">
                  <c:v>0.14829000000000001</c:v>
                </c:pt>
                <c:pt idx="628">
                  <c:v>0.14887400000000001</c:v>
                </c:pt>
                <c:pt idx="629">
                  <c:v>0.14948400000000001</c:v>
                </c:pt>
                <c:pt idx="630">
                  <c:v>0.15009600000000001</c:v>
                </c:pt>
                <c:pt idx="631">
                  <c:v>0.15070800000000001</c:v>
                </c:pt>
                <c:pt idx="632">
                  <c:v>0.15131800000000001</c:v>
                </c:pt>
                <c:pt idx="633">
                  <c:v>0.15192800000000001</c:v>
                </c:pt>
                <c:pt idx="634">
                  <c:v>0.15256800000000001</c:v>
                </c:pt>
                <c:pt idx="635">
                  <c:v>0.15323399999999998</c:v>
                </c:pt>
                <c:pt idx="636">
                  <c:v>0.15390200000000001</c:v>
                </c:pt>
                <c:pt idx="637">
                  <c:v>0.15462400000000001</c:v>
                </c:pt>
                <c:pt idx="638">
                  <c:v>0.15537400000000001</c:v>
                </c:pt>
                <c:pt idx="639">
                  <c:v>0.15615199999999999</c:v>
                </c:pt>
                <c:pt idx="640">
                  <c:v>0.15698399999999998</c:v>
                </c:pt>
                <c:pt idx="641">
                  <c:v>0.15781800000000001</c:v>
                </c:pt>
                <c:pt idx="642">
                  <c:v>0.15865000000000001</c:v>
                </c:pt>
                <c:pt idx="643">
                  <c:v>0.15948399999999999</c:v>
                </c:pt>
                <c:pt idx="644">
                  <c:v>0.16031800000000002</c:v>
                </c:pt>
                <c:pt idx="645">
                  <c:v>0.16114999999999999</c:v>
                </c:pt>
                <c:pt idx="646">
                  <c:v>0.16198399999999999</c:v>
                </c:pt>
              </c:numCache>
            </c:numRef>
          </c:cat>
          <c:val>
            <c:numRef>
              <c:f>'A10-1'!$F$2:$F$593</c:f>
              <c:numCache>
                <c:formatCode>0.00</c:formatCode>
                <c:ptCount val="592"/>
                <c:pt idx="0">
                  <c:v>7.0461625132555673E-3</c:v>
                </c:pt>
                <c:pt idx="1">
                  <c:v>7.0461625132555673E-3</c:v>
                </c:pt>
                <c:pt idx="2">
                  <c:v>0.24309467788971367</c:v>
                </c:pt>
                <c:pt idx="3">
                  <c:v>0.25013669803817601</c:v>
                </c:pt>
                <c:pt idx="4">
                  <c:v>0.26069972826086951</c:v>
                </c:pt>
                <c:pt idx="5">
                  <c:v>0.26069972826086951</c:v>
                </c:pt>
                <c:pt idx="6">
                  <c:v>0.26069972826086951</c:v>
                </c:pt>
                <c:pt idx="7">
                  <c:v>0.26422073833510068</c:v>
                </c:pt>
                <c:pt idx="8">
                  <c:v>0.26776246023329803</c:v>
                </c:pt>
                <c:pt idx="9">
                  <c:v>0.27832549045599153</c:v>
                </c:pt>
                <c:pt idx="10">
                  <c:v>0.2818465005302227</c:v>
                </c:pt>
                <c:pt idx="11">
                  <c:v>0.2818465005302227</c:v>
                </c:pt>
                <c:pt idx="12">
                  <c:v>0.28536751060445387</c:v>
                </c:pt>
                <c:pt idx="13">
                  <c:v>0.28888852067868503</c:v>
                </c:pt>
                <c:pt idx="14">
                  <c:v>0.29240953075291626</c:v>
                </c:pt>
                <c:pt idx="15">
                  <c:v>0.29593054082714737</c:v>
                </c:pt>
                <c:pt idx="16">
                  <c:v>0.29945155090137854</c:v>
                </c:pt>
                <c:pt idx="17">
                  <c:v>0.30651428287380694</c:v>
                </c:pt>
                <c:pt idx="18">
                  <c:v>0.30297256097560976</c:v>
                </c:pt>
                <c:pt idx="19">
                  <c:v>0.30651428287380694</c:v>
                </c:pt>
                <c:pt idx="20">
                  <c:v>0.30297256097560976</c:v>
                </c:pt>
                <c:pt idx="21">
                  <c:v>0.30651428287380694</c:v>
                </c:pt>
                <c:pt idx="22">
                  <c:v>0.31355630302226933</c:v>
                </c:pt>
                <c:pt idx="23">
                  <c:v>0.32411933324496284</c:v>
                </c:pt>
                <c:pt idx="24">
                  <c:v>0.32764034331919406</c:v>
                </c:pt>
                <c:pt idx="25">
                  <c:v>0.33468236346765634</c:v>
                </c:pt>
                <c:pt idx="26">
                  <c:v>0.33468236346765634</c:v>
                </c:pt>
                <c:pt idx="27">
                  <c:v>0.33468236346765634</c:v>
                </c:pt>
                <c:pt idx="28">
                  <c:v>0.33820337354188762</c:v>
                </c:pt>
                <c:pt idx="29">
                  <c:v>0.33468236346765634</c:v>
                </c:pt>
                <c:pt idx="30">
                  <c:v>0.33468236346765634</c:v>
                </c:pt>
                <c:pt idx="31">
                  <c:v>0.33468236346765634</c:v>
                </c:pt>
                <c:pt idx="32">
                  <c:v>0.33468236346765634</c:v>
                </c:pt>
                <c:pt idx="33">
                  <c:v>0.33820337354188762</c:v>
                </c:pt>
                <c:pt idx="34">
                  <c:v>0.33820337354188762</c:v>
                </c:pt>
                <c:pt idx="35">
                  <c:v>0.33820337354188762</c:v>
                </c:pt>
                <c:pt idx="36">
                  <c:v>0.33820337354188762</c:v>
                </c:pt>
                <c:pt idx="37">
                  <c:v>0.33820337354188762</c:v>
                </c:pt>
                <c:pt idx="38">
                  <c:v>0.33820337354188762</c:v>
                </c:pt>
                <c:pt idx="39">
                  <c:v>0.3417450954400848</c:v>
                </c:pt>
                <c:pt idx="40">
                  <c:v>0.3417450954400848</c:v>
                </c:pt>
                <c:pt idx="41">
                  <c:v>0.34526610551431602</c:v>
                </c:pt>
                <c:pt idx="42">
                  <c:v>0.34878711558854719</c:v>
                </c:pt>
                <c:pt idx="43">
                  <c:v>0.35230812566277842</c:v>
                </c:pt>
                <c:pt idx="44">
                  <c:v>0.35582913573700953</c:v>
                </c:pt>
                <c:pt idx="45">
                  <c:v>0.3593501458112407</c:v>
                </c:pt>
                <c:pt idx="46">
                  <c:v>0.36639216595970309</c:v>
                </c:pt>
                <c:pt idx="47">
                  <c:v>0.36991317603393425</c:v>
                </c:pt>
                <c:pt idx="48">
                  <c:v>0.36991317603393425</c:v>
                </c:pt>
                <c:pt idx="49">
                  <c:v>0.37343418610816542</c:v>
                </c:pt>
                <c:pt idx="50">
                  <c:v>0.37343418610816542</c:v>
                </c:pt>
                <c:pt idx="51">
                  <c:v>0.37343418610816542</c:v>
                </c:pt>
                <c:pt idx="52">
                  <c:v>0.37697590800636266</c:v>
                </c:pt>
                <c:pt idx="53">
                  <c:v>0.37697590800636266</c:v>
                </c:pt>
                <c:pt idx="54">
                  <c:v>0.37697590800636266</c:v>
                </c:pt>
                <c:pt idx="55">
                  <c:v>0.37697590800636266</c:v>
                </c:pt>
                <c:pt idx="56">
                  <c:v>0.37697590800636266</c:v>
                </c:pt>
                <c:pt idx="57">
                  <c:v>0.37697590800636266</c:v>
                </c:pt>
                <c:pt idx="58">
                  <c:v>0.37697590800636266</c:v>
                </c:pt>
                <c:pt idx="59">
                  <c:v>0.37697590800636266</c:v>
                </c:pt>
                <c:pt idx="60">
                  <c:v>0.37697590800636266</c:v>
                </c:pt>
                <c:pt idx="61">
                  <c:v>0.38049691808059383</c:v>
                </c:pt>
                <c:pt idx="62">
                  <c:v>0.38049691808059383</c:v>
                </c:pt>
                <c:pt idx="63">
                  <c:v>0.38049691808059383</c:v>
                </c:pt>
                <c:pt idx="64">
                  <c:v>0.38049691808059383</c:v>
                </c:pt>
                <c:pt idx="65">
                  <c:v>0.38049691808059383</c:v>
                </c:pt>
                <c:pt idx="66">
                  <c:v>0.38049691808059383</c:v>
                </c:pt>
                <c:pt idx="67">
                  <c:v>0.38401792815482499</c:v>
                </c:pt>
                <c:pt idx="68">
                  <c:v>0.38401792815482499</c:v>
                </c:pt>
                <c:pt idx="69">
                  <c:v>0.38401792815482499</c:v>
                </c:pt>
                <c:pt idx="70">
                  <c:v>0.38401792815482499</c:v>
                </c:pt>
                <c:pt idx="71">
                  <c:v>0.39105994830328739</c:v>
                </c:pt>
                <c:pt idx="72">
                  <c:v>0.3945809583775185</c:v>
                </c:pt>
                <c:pt idx="73">
                  <c:v>0.40162297852598083</c:v>
                </c:pt>
                <c:pt idx="74">
                  <c:v>0.41572773064687168</c:v>
                </c:pt>
                <c:pt idx="75">
                  <c:v>0.42629076086956519</c:v>
                </c:pt>
                <c:pt idx="76">
                  <c:v>0.44037480116648992</c:v>
                </c:pt>
                <c:pt idx="77">
                  <c:v>0.45095854321314949</c:v>
                </c:pt>
                <c:pt idx="78">
                  <c:v>0.46152157343584305</c:v>
                </c:pt>
                <c:pt idx="79">
                  <c:v>0.47560561373276777</c:v>
                </c:pt>
                <c:pt idx="80">
                  <c:v>0.48618935577942735</c:v>
                </c:pt>
                <c:pt idx="81">
                  <c:v>0.4967523860021209</c:v>
                </c:pt>
                <c:pt idx="82">
                  <c:v>0.51083642629904558</c:v>
                </c:pt>
                <c:pt idx="83">
                  <c:v>0.52142016834570515</c:v>
                </c:pt>
                <c:pt idx="84">
                  <c:v>0.53550420864262993</c:v>
                </c:pt>
                <c:pt idx="85">
                  <c:v>0.54254622879109227</c:v>
                </c:pt>
                <c:pt idx="86">
                  <c:v>0.55665098091198306</c:v>
                </c:pt>
                <c:pt idx="87">
                  <c:v>0.57073502120890773</c:v>
                </c:pt>
                <c:pt idx="88">
                  <c:v>0.58481906150583252</c:v>
                </c:pt>
                <c:pt idx="89">
                  <c:v>0.5989238136267232</c:v>
                </c:pt>
                <c:pt idx="90">
                  <c:v>0.61300785392364787</c:v>
                </c:pt>
                <c:pt idx="91">
                  <c:v>0.62711260604453867</c:v>
                </c:pt>
                <c:pt idx="92">
                  <c:v>0.64119664634146334</c:v>
                </c:pt>
                <c:pt idx="93">
                  <c:v>0.65528068663838812</c:v>
                </c:pt>
                <c:pt idx="94">
                  <c:v>0.66938543875927892</c:v>
                </c:pt>
                <c:pt idx="95">
                  <c:v>0.68346947905620359</c:v>
                </c:pt>
                <c:pt idx="96">
                  <c:v>0.69757423117709438</c:v>
                </c:pt>
                <c:pt idx="97">
                  <c:v>0.71165827147401906</c:v>
                </c:pt>
                <c:pt idx="98">
                  <c:v>0.72574231177094373</c:v>
                </c:pt>
                <c:pt idx="99">
                  <c:v>0.73984706389183441</c:v>
                </c:pt>
                <c:pt idx="100">
                  <c:v>0.7539311041887593</c:v>
                </c:pt>
                <c:pt idx="101">
                  <c:v>0.76803585630964999</c:v>
                </c:pt>
                <c:pt idx="102">
                  <c:v>0.78211989660657477</c:v>
                </c:pt>
                <c:pt idx="103">
                  <c:v>0.79620393690349944</c:v>
                </c:pt>
                <c:pt idx="104">
                  <c:v>0.81030868902439024</c:v>
                </c:pt>
                <c:pt idx="105">
                  <c:v>0.8243927293213148</c:v>
                </c:pt>
                <c:pt idx="106">
                  <c:v>0.83849748144220571</c:v>
                </c:pt>
                <c:pt idx="107">
                  <c:v>0.85258152173913038</c:v>
                </c:pt>
                <c:pt idx="108">
                  <c:v>0.86666556203605516</c:v>
                </c:pt>
                <c:pt idx="109">
                  <c:v>0.88077031415694584</c:v>
                </c:pt>
                <c:pt idx="110">
                  <c:v>0.89485435445387052</c:v>
                </c:pt>
                <c:pt idx="111">
                  <c:v>0.90893839475079519</c:v>
                </c:pt>
                <c:pt idx="112">
                  <c:v>0.92304314687168609</c:v>
                </c:pt>
                <c:pt idx="113">
                  <c:v>0.93712718716861088</c:v>
                </c:pt>
                <c:pt idx="114">
                  <c:v>0.95123193928950156</c:v>
                </c:pt>
                <c:pt idx="115">
                  <c:v>0.96531597958642623</c:v>
                </c:pt>
                <c:pt idx="116">
                  <c:v>0.9794000198833509</c:v>
                </c:pt>
                <c:pt idx="117">
                  <c:v>0.99350477200424181</c:v>
                </c:pt>
                <c:pt idx="118">
                  <c:v>1.0075888123011665</c:v>
                </c:pt>
                <c:pt idx="119">
                  <c:v>1.0216935644220573</c:v>
                </c:pt>
                <c:pt idx="120">
                  <c:v>1.0357776047189819</c:v>
                </c:pt>
                <c:pt idx="121">
                  <c:v>1.0498616450159066</c:v>
                </c:pt>
                <c:pt idx="122">
                  <c:v>1.0639663971367974</c:v>
                </c:pt>
                <c:pt idx="123">
                  <c:v>1.0780504374337219</c:v>
                </c:pt>
                <c:pt idx="124">
                  <c:v>1.0921551895546129</c:v>
                </c:pt>
                <c:pt idx="125">
                  <c:v>1.1062392298515376</c:v>
                </c:pt>
                <c:pt idx="126">
                  <c:v>1.1203232701484624</c:v>
                </c:pt>
                <c:pt idx="127">
                  <c:v>1.134428022269353</c:v>
                </c:pt>
                <c:pt idx="128">
                  <c:v>1.1485120625662779</c:v>
                </c:pt>
                <c:pt idx="129">
                  <c:v>1.1626168146871687</c:v>
                </c:pt>
                <c:pt idx="130">
                  <c:v>1.1767008549840932</c:v>
                </c:pt>
                <c:pt idx="131">
                  <c:v>1.1907848952810181</c:v>
                </c:pt>
                <c:pt idx="132">
                  <c:v>1.2048896474019086</c:v>
                </c:pt>
                <c:pt idx="133">
                  <c:v>1.2189736876988335</c:v>
                </c:pt>
                <c:pt idx="134">
                  <c:v>1.2330784398197241</c:v>
                </c:pt>
                <c:pt idx="135">
                  <c:v>1.247162480116649</c:v>
                </c:pt>
                <c:pt idx="136">
                  <c:v>1.2612465204135737</c:v>
                </c:pt>
                <c:pt idx="137">
                  <c:v>1.2753512725344645</c:v>
                </c:pt>
                <c:pt idx="138">
                  <c:v>1.2894353128313891</c:v>
                </c:pt>
                <c:pt idx="139">
                  <c:v>1.3035400649522799</c:v>
                </c:pt>
                <c:pt idx="140">
                  <c:v>1.3176241052492044</c:v>
                </c:pt>
                <c:pt idx="141">
                  <c:v>1.3317081455461293</c:v>
                </c:pt>
                <c:pt idx="142">
                  <c:v>1.3458128976670198</c:v>
                </c:pt>
                <c:pt idx="143">
                  <c:v>1.359896937963945</c:v>
                </c:pt>
                <c:pt idx="144">
                  <c:v>1.3740016900848355</c:v>
                </c:pt>
                <c:pt idx="145">
                  <c:v>1.3880857303817602</c:v>
                </c:pt>
                <c:pt idx="146">
                  <c:v>1.4021697706786851</c:v>
                </c:pt>
                <c:pt idx="147">
                  <c:v>1.4162745227995757</c:v>
                </c:pt>
                <c:pt idx="148">
                  <c:v>1.4303585630965006</c:v>
                </c:pt>
                <c:pt idx="149">
                  <c:v>1.4444633152173911</c:v>
                </c:pt>
                <c:pt idx="150">
                  <c:v>1.458547355514316</c:v>
                </c:pt>
                <c:pt idx="151">
                  <c:v>1.4726313958112407</c:v>
                </c:pt>
                <c:pt idx="152">
                  <c:v>1.4867361479321313</c:v>
                </c:pt>
                <c:pt idx="153">
                  <c:v>1.5008201882290564</c:v>
                </c:pt>
                <c:pt idx="154">
                  <c:v>1.5149042285259808</c:v>
                </c:pt>
                <c:pt idx="155">
                  <c:v>1.5290089806468714</c:v>
                </c:pt>
                <c:pt idx="156">
                  <c:v>1.5430930209437963</c:v>
                </c:pt>
                <c:pt idx="157">
                  <c:v>1.5571977730646871</c:v>
                </c:pt>
                <c:pt idx="158">
                  <c:v>1.571281813361612</c:v>
                </c:pt>
                <c:pt idx="159">
                  <c:v>1.5853658536585364</c:v>
                </c:pt>
                <c:pt idx="160">
                  <c:v>1.599470605779427</c:v>
                </c:pt>
                <c:pt idx="161">
                  <c:v>1.6135546460763521</c:v>
                </c:pt>
                <c:pt idx="162">
                  <c:v>1.6276593981972427</c:v>
                </c:pt>
                <c:pt idx="163">
                  <c:v>1.6417434384941676</c:v>
                </c:pt>
                <c:pt idx="164">
                  <c:v>1.655827478791092</c:v>
                </c:pt>
                <c:pt idx="165">
                  <c:v>1.6699322309119828</c:v>
                </c:pt>
                <c:pt idx="166">
                  <c:v>1.6840162712089077</c:v>
                </c:pt>
                <c:pt idx="167">
                  <c:v>1.6981210233297983</c:v>
                </c:pt>
                <c:pt idx="168">
                  <c:v>1.7122050636267234</c:v>
                </c:pt>
                <c:pt idx="169">
                  <c:v>1.7262891039236479</c:v>
                </c:pt>
                <c:pt idx="170">
                  <c:v>1.7403938560445384</c:v>
                </c:pt>
                <c:pt idx="171">
                  <c:v>1.7544778963414633</c:v>
                </c:pt>
                <c:pt idx="172">
                  <c:v>1.7685826484623541</c:v>
                </c:pt>
                <c:pt idx="173">
                  <c:v>1.7826666887592788</c:v>
                </c:pt>
                <c:pt idx="174">
                  <c:v>1.7967507290562035</c:v>
                </c:pt>
                <c:pt idx="175">
                  <c:v>1.8108554811770941</c:v>
                </c:pt>
                <c:pt idx="176">
                  <c:v>1.8249395214740192</c:v>
                </c:pt>
                <c:pt idx="177">
                  <c:v>1.8390442735949097</c:v>
                </c:pt>
                <c:pt idx="178">
                  <c:v>1.8531283138918344</c:v>
                </c:pt>
                <c:pt idx="179">
                  <c:v>1.8672123541887591</c:v>
                </c:pt>
                <c:pt idx="180">
                  <c:v>1.8813171063096501</c:v>
                </c:pt>
                <c:pt idx="181">
                  <c:v>1.8954011466065748</c:v>
                </c:pt>
                <c:pt idx="182">
                  <c:v>1.9095058987274653</c:v>
                </c:pt>
                <c:pt idx="183">
                  <c:v>1.92358993902439</c:v>
                </c:pt>
                <c:pt idx="184">
                  <c:v>1.941194989395546</c:v>
                </c:pt>
                <c:pt idx="185">
                  <c:v>1.9552997415164368</c:v>
                </c:pt>
                <c:pt idx="186">
                  <c:v>1.9693837818133615</c:v>
                </c:pt>
                <c:pt idx="187">
                  <c:v>1.9834885339342523</c:v>
                </c:pt>
                <c:pt idx="188">
                  <c:v>1.997572574231177</c:v>
                </c:pt>
                <c:pt idx="189">
                  <c:v>2.0116566145281021</c:v>
                </c:pt>
                <c:pt idx="190">
                  <c:v>2.0257613666489926</c:v>
                </c:pt>
                <c:pt idx="191">
                  <c:v>2.0398454069459171</c:v>
                </c:pt>
                <c:pt idx="192">
                  <c:v>2.0539501590668081</c:v>
                </c:pt>
                <c:pt idx="193">
                  <c:v>2.0680341993637326</c:v>
                </c:pt>
                <c:pt idx="194">
                  <c:v>2.0821596633085897</c:v>
                </c:pt>
                <c:pt idx="195">
                  <c:v>2.0962437036055142</c:v>
                </c:pt>
                <c:pt idx="196">
                  <c:v>2.1138487539766699</c:v>
                </c:pt>
                <c:pt idx="197">
                  <c:v>2.1279327942735948</c:v>
                </c:pt>
                <c:pt idx="198">
                  <c:v>2.1420168345705197</c:v>
                </c:pt>
                <c:pt idx="199">
                  <c:v>2.1561008748674437</c:v>
                </c:pt>
                <c:pt idx="200">
                  <c:v>2.1701849151643691</c:v>
                </c:pt>
                <c:pt idx="201">
                  <c:v>2.1842689554612935</c:v>
                </c:pt>
                <c:pt idx="202">
                  <c:v>2.1983529957582184</c:v>
                </c:pt>
                <c:pt idx="203">
                  <c:v>2.2159580461293742</c:v>
                </c:pt>
                <c:pt idx="204">
                  <c:v>2.2300420864262991</c:v>
                </c:pt>
                <c:pt idx="205">
                  <c:v>2.2441261267232235</c:v>
                </c:pt>
                <c:pt idx="206">
                  <c:v>2.2617311770943793</c:v>
                </c:pt>
                <c:pt idx="207">
                  <c:v>2.2758152173913042</c:v>
                </c:pt>
                <c:pt idx="208">
                  <c:v>2.2898992576882291</c:v>
                </c:pt>
                <c:pt idx="209">
                  <c:v>2.3039832979851536</c:v>
                </c:pt>
                <c:pt idx="210">
                  <c:v>2.3182744565217392</c:v>
                </c:pt>
                <c:pt idx="211">
                  <c:v>2.3323584968186637</c:v>
                </c:pt>
                <c:pt idx="212">
                  <c:v>2.3464425371155886</c:v>
                </c:pt>
                <c:pt idx="213">
                  <c:v>2.360526577412513</c:v>
                </c:pt>
                <c:pt idx="214">
                  <c:v>2.3746106177094379</c:v>
                </c:pt>
                <c:pt idx="215">
                  <c:v>2.3886946580063628</c:v>
                </c:pt>
                <c:pt idx="216">
                  <c:v>2.4027786983032873</c:v>
                </c:pt>
                <c:pt idx="217">
                  <c:v>2.4203837486744431</c:v>
                </c:pt>
                <c:pt idx="218">
                  <c:v>2.4379887990455993</c:v>
                </c:pt>
                <c:pt idx="219">
                  <c:v>2.4555938494167551</c:v>
                </c:pt>
                <c:pt idx="220">
                  <c:v>2.4696778897136795</c:v>
                </c:pt>
                <c:pt idx="221">
                  <c:v>2.4872829400848353</c:v>
                </c:pt>
                <c:pt idx="222">
                  <c:v>2.5013669803817602</c:v>
                </c:pt>
                <c:pt idx="223">
                  <c:v>2.5154510206786851</c:v>
                </c:pt>
                <c:pt idx="224">
                  <c:v>2.5295350609756095</c:v>
                </c:pt>
                <c:pt idx="225">
                  <c:v>2.5436191012725344</c:v>
                </c:pt>
                <c:pt idx="226">
                  <c:v>2.5577031415694589</c:v>
                </c:pt>
                <c:pt idx="227">
                  <c:v>2.5717871818663838</c:v>
                </c:pt>
                <c:pt idx="228">
                  <c:v>2.5858712221633082</c:v>
                </c:pt>
                <c:pt idx="229">
                  <c:v>2.5999552624602331</c:v>
                </c:pt>
                <c:pt idx="230">
                  <c:v>2.614039302757158</c:v>
                </c:pt>
                <c:pt idx="231">
                  <c:v>2.6281233430540829</c:v>
                </c:pt>
                <c:pt idx="232">
                  <c:v>2.6422073833510069</c:v>
                </c:pt>
                <c:pt idx="233">
                  <c:v>2.6562914236479322</c:v>
                </c:pt>
                <c:pt idx="234">
                  <c:v>2.6703754639448571</c:v>
                </c:pt>
                <c:pt idx="235">
                  <c:v>2.6846666224814419</c:v>
                </c:pt>
                <c:pt idx="236">
                  <c:v>2.6987506627783668</c:v>
                </c:pt>
                <c:pt idx="237">
                  <c:v>2.7128347030752913</c:v>
                </c:pt>
                <c:pt idx="238">
                  <c:v>2.7374817735949093</c:v>
                </c:pt>
                <c:pt idx="239">
                  <c:v>2.7621288441145282</c:v>
                </c:pt>
                <c:pt idx="240">
                  <c:v>2.7832549045599149</c:v>
                </c:pt>
                <c:pt idx="241">
                  <c:v>2.8043809650053024</c:v>
                </c:pt>
                <c:pt idx="242">
                  <c:v>2.8255070254506887</c:v>
                </c:pt>
                <c:pt idx="243">
                  <c:v>2.8466330858960762</c:v>
                </c:pt>
                <c:pt idx="244">
                  <c:v>2.8712801564156942</c:v>
                </c:pt>
                <c:pt idx="245">
                  <c:v>2.8924062168610818</c:v>
                </c:pt>
                <c:pt idx="246">
                  <c:v>2.9170532873806998</c:v>
                </c:pt>
                <c:pt idx="247">
                  <c:v>2.9381793478260869</c:v>
                </c:pt>
                <c:pt idx="248">
                  <c:v>2.959305408271474</c:v>
                </c:pt>
                <c:pt idx="249">
                  <c:v>2.9804314687168612</c:v>
                </c:pt>
                <c:pt idx="250">
                  <c:v>3.0015575291622478</c:v>
                </c:pt>
                <c:pt idx="251">
                  <c:v>3.0226835896076349</c:v>
                </c:pt>
                <c:pt idx="252">
                  <c:v>3.0475377783669138</c:v>
                </c:pt>
                <c:pt idx="253">
                  <c:v>3.0721848488865322</c:v>
                </c:pt>
                <c:pt idx="254">
                  <c:v>3.0968319194061507</c:v>
                </c:pt>
                <c:pt idx="255">
                  <c:v>3.1214789899257687</c:v>
                </c:pt>
                <c:pt idx="256">
                  <c:v>3.1461260604453871</c:v>
                </c:pt>
                <c:pt idx="257">
                  <c:v>3.1707731309650051</c:v>
                </c:pt>
                <c:pt idx="258">
                  <c:v>3.1954202014846236</c:v>
                </c:pt>
                <c:pt idx="259">
                  <c:v>3.2200672720042416</c:v>
                </c:pt>
                <c:pt idx="260">
                  <c:v>3.2447143425238596</c:v>
                </c:pt>
                <c:pt idx="261">
                  <c:v>3.2658404029692472</c:v>
                </c:pt>
                <c:pt idx="262">
                  <c:v>3.2869664634146338</c:v>
                </c:pt>
                <c:pt idx="263">
                  <c:v>3.3116135339342518</c:v>
                </c:pt>
                <c:pt idx="264">
                  <c:v>3.3362606044538707</c:v>
                </c:pt>
                <c:pt idx="265">
                  <c:v>3.3609076749734887</c:v>
                </c:pt>
                <c:pt idx="266">
                  <c:v>3.3855547454931072</c:v>
                </c:pt>
                <c:pt idx="267">
                  <c:v>3.410408934252386</c:v>
                </c:pt>
                <c:pt idx="268">
                  <c:v>3.4315349946977727</c:v>
                </c:pt>
                <c:pt idx="269">
                  <c:v>3.4526610551431598</c:v>
                </c:pt>
                <c:pt idx="270">
                  <c:v>3.4773081256627782</c:v>
                </c:pt>
                <c:pt idx="271">
                  <c:v>3.4984341861081654</c:v>
                </c:pt>
                <c:pt idx="272">
                  <c:v>3.5195602465535525</c:v>
                </c:pt>
                <c:pt idx="273">
                  <c:v>3.5442073170731705</c:v>
                </c:pt>
                <c:pt idx="274">
                  <c:v>3.5688543875927889</c:v>
                </c:pt>
                <c:pt idx="275">
                  <c:v>3.593501458112407</c:v>
                </c:pt>
                <c:pt idx="276">
                  <c:v>3.6181485286320254</c:v>
                </c:pt>
                <c:pt idx="277">
                  <c:v>3.6498376193001061</c:v>
                </c:pt>
                <c:pt idx="278">
                  <c:v>3.6815267099681863</c:v>
                </c:pt>
                <c:pt idx="279">
                  <c:v>3.7096947905620361</c:v>
                </c:pt>
                <c:pt idx="280">
                  <c:v>3.7378628711558854</c:v>
                </c:pt>
                <c:pt idx="281">
                  <c:v>3.7662380699893951</c:v>
                </c:pt>
                <c:pt idx="282">
                  <c:v>3.7944061505832445</c:v>
                </c:pt>
                <c:pt idx="283">
                  <c:v>3.8260952412513252</c:v>
                </c:pt>
                <c:pt idx="284">
                  <c:v>3.8577843319194054</c:v>
                </c:pt>
                <c:pt idx="285">
                  <c:v>3.8894734225874865</c:v>
                </c:pt>
                <c:pt idx="286">
                  <c:v>3.9211625132555668</c:v>
                </c:pt>
                <c:pt idx="287">
                  <c:v>3.949330593849417</c:v>
                </c:pt>
                <c:pt idx="288">
                  <c:v>3.9810196845174972</c:v>
                </c:pt>
                <c:pt idx="289">
                  <c:v>4.0127087751855779</c:v>
                </c:pt>
                <c:pt idx="290">
                  <c:v>4.0443978658536581</c:v>
                </c:pt>
                <c:pt idx="291">
                  <c:v>4.0760869565217392</c:v>
                </c:pt>
                <c:pt idx="292">
                  <c:v>4.1044621553552485</c:v>
                </c:pt>
                <c:pt idx="293">
                  <c:v>4.1361512460233296</c:v>
                </c:pt>
                <c:pt idx="294">
                  <c:v>4.1678403366914099</c:v>
                </c:pt>
                <c:pt idx="295">
                  <c:v>4.199529427359491</c:v>
                </c:pt>
                <c:pt idx="296">
                  <c:v>4.2276975079533399</c:v>
                </c:pt>
                <c:pt idx="297">
                  <c:v>4.259386598621421</c:v>
                </c:pt>
                <c:pt idx="298">
                  <c:v>4.2875546792152699</c:v>
                </c:pt>
                <c:pt idx="299">
                  <c:v>4.3157227598091197</c:v>
                </c:pt>
                <c:pt idx="300">
                  <c:v>4.3474118504771999</c:v>
                </c:pt>
                <c:pt idx="301">
                  <c:v>4.3755799310710497</c:v>
                </c:pt>
                <c:pt idx="302">
                  <c:v>4.4037480116648995</c:v>
                </c:pt>
                <c:pt idx="303">
                  <c:v>4.4354371023329797</c:v>
                </c:pt>
                <c:pt idx="304">
                  <c:v>4.4638123011664899</c:v>
                </c:pt>
                <c:pt idx="305">
                  <c:v>4.495501391834571</c:v>
                </c:pt>
                <c:pt idx="306">
                  <c:v>4.5236694724284199</c:v>
                </c:pt>
                <c:pt idx="307">
                  <c:v>4.5624005832449628</c:v>
                </c:pt>
                <c:pt idx="308">
                  <c:v>4.5976106839872735</c:v>
                </c:pt>
                <c:pt idx="309">
                  <c:v>4.6363417948038173</c:v>
                </c:pt>
                <c:pt idx="310">
                  <c:v>4.675072905620361</c:v>
                </c:pt>
                <c:pt idx="311">
                  <c:v>4.7102830063626717</c:v>
                </c:pt>
                <c:pt idx="312">
                  <c:v>4.7525351272534468</c:v>
                </c:pt>
                <c:pt idx="313">
                  <c:v>4.7912662380699897</c:v>
                </c:pt>
                <c:pt idx="314">
                  <c:v>4.8302044671261921</c:v>
                </c:pt>
                <c:pt idx="315">
                  <c:v>4.8724565880169672</c:v>
                </c:pt>
                <c:pt idx="316">
                  <c:v>4.9147087089077415</c:v>
                </c:pt>
                <c:pt idx="317">
                  <c:v>4.9569608297985157</c:v>
                </c:pt>
                <c:pt idx="318">
                  <c:v>4.9992129506892899</c:v>
                </c:pt>
                <c:pt idx="319">
                  <c:v>5.0414650715800633</c:v>
                </c:pt>
                <c:pt idx="320">
                  <c:v>5.0837171924708375</c:v>
                </c:pt>
                <c:pt idx="321">
                  <c:v>5.1259693133616118</c:v>
                </c:pt>
                <c:pt idx="322">
                  <c:v>5.1611794141039233</c:v>
                </c:pt>
                <c:pt idx="323">
                  <c:v>5.1965966330858961</c:v>
                </c:pt>
                <c:pt idx="324">
                  <c:v>5.2318067338282077</c:v>
                </c:pt>
                <c:pt idx="325">
                  <c:v>5.2670168345705193</c:v>
                </c:pt>
                <c:pt idx="326">
                  <c:v>5.3022269353128308</c:v>
                </c:pt>
                <c:pt idx="327">
                  <c:v>5.3409580461293737</c:v>
                </c:pt>
                <c:pt idx="328">
                  <c:v>5.3761681468716862</c:v>
                </c:pt>
                <c:pt idx="329">
                  <c:v>5.4113782476139969</c:v>
                </c:pt>
                <c:pt idx="330">
                  <c:v>5.4606723886532338</c:v>
                </c:pt>
                <c:pt idx="331">
                  <c:v>5.5064455196182394</c:v>
                </c:pt>
                <c:pt idx="332">
                  <c:v>5.5524257688229044</c:v>
                </c:pt>
                <c:pt idx="333">
                  <c:v>5.5981988997879109</c:v>
                </c:pt>
                <c:pt idx="334">
                  <c:v>5.6474930408271478</c:v>
                </c:pt>
                <c:pt idx="335">
                  <c:v>5.6932661717921524</c:v>
                </c:pt>
                <c:pt idx="336">
                  <c:v>5.7425603128313885</c:v>
                </c:pt>
                <c:pt idx="337">
                  <c:v>5.788333443796394</c:v>
                </c:pt>
                <c:pt idx="338">
                  <c:v>5.8376275848356309</c:v>
                </c:pt>
                <c:pt idx="339">
                  <c:v>5.883607834040296</c:v>
                </c:pt>
                <c:pt idx="340">
                  <c:v>5.9329019750795329</c:v>
                </c:pt>
                <c:pt idx="341">
                  <c:v>5.9821961161187689</c:v>
                </c:pt>
                <c:pt idx="342">
                  <c:v>6.0314902571580058</c:v>
                </c:pt>
                <c:pt idx="343">
                  <c:v>6.0807843981972418</c:v>
                </c:pt>
                <c:pt idx="344">
                  <c:v>6.1300785392364796</c:v>
                </c:pt>
                <c:pt idx="345">
                  <c:v>6.1793726802757156</c:v>
                </c:pt>
                <c:pt idx="346">
                  <c:v>6.2216248011664899</c:v>
                </c:pt>
                <c:pt idx="347">
                  <c:v>6.2711260604453862</c:v>
                </c:pt>
                <c:pt idx="348">
                  <c:v>6.3204202014846231</c:v>
                </c:pt>
                <c:pt idx="349">
                  <c:v>6.36971434252386</c:v>
                </c:pt>
                <c:pt idx="350">
                  <c:v>6.4190084835630961</c:v>
                </c:pt>
                <c:pt idx="351">
                  <c:v>6.468302624602333</c:v>
                </c:pt>
                <c:pt idx="352">
                  <c:v>6.517596765641569</c:v>
                </c:pt>
                <c:pt idx="353">
                  <c:v>6.5704119167550372</c:v>
                </c:pt>
                <c:pt idx="354">
                  <c:v>6.6199131760339336</c:v>
                </c:pt>
                <c:pt idx="355">
                  <c:v>6.6692073170731705</c:v>
                </c:pt>
                <c:pt idx="356">
                  <c:v>6.7185014581124065</c:v>
                </c:pt>
                <c:pt idx="357">
                  <c:v>6.7713166092258747</c:v>
                </c:pt>
                <c:pt idx="358">
                  <c:v>6.824131760339343</c:v>
                </c:pt>
                <c:pt idx="359">
                  <c:v>6.8769469114528095</c:v>
                </c:pt>
                <c:pt idx="360">
                  <c:v>6.9297620625662777</c:v>
                </c:pt>
                <c:pt idx="361">
                  <c:v>6.9827843319194054</c:v>
                </c:pt>
                <c:pt idx="362">
                  <c:v>7.0320784729586423</c:v>
                </c:pt>
                <c:pt idx="363">
                  <c:v>7.0848936240721105</c:v>
                </c:pt>
                <c:pt idx="364">
                  <c:v>7.1377087751855779</c:v>
                </c:pt>
                <c:pt idx="365">
                  <c:v>7.1905239262990461</c:v>
                </c:pt>
                <c:pt idx="366">
                  <c:v>7.2433390774125135</c:v>
                </c:pt>
                <c:pt idx="367">
                  <c:v>7.3067172587486739</c:v>
                </c:pt>
                <c:pt idx="368">
                  <c:v>7.3703025583244965</c:v>
                </c:pt>
                <c:pt idx="369">
                  <c:v>7.4336807396606579</c:v>
                </c:pt>
                <c:pt idx="370">
                  <c:v>7.4900169008483557</c:v>
                </c:pt>
                <c:pt idx="371">
                  <c:v>7.5533950821845171</c:v>
                </c:pt>
                <c:pt idx="372">
                  <c:v>7.6202942735949106</c:v>
                </c:pt>
                <c:pt idx="373">
                  <c:v>7.6838795731707314</c:v>
                </c:pt>
                <c:pt idx="374">
                  <c:v>7.7402157343584301</c:v>
                </c:pt>
                <c:pt idx="375">
                  <c:v>7.8035939156945906</c:v>
                </c:pt>
                <c:pt idx="376">
                  <c:v>7.8599300768822911</c:v>
                </c:pt>
                <c:pt idx="377">
                  <c:v>7.9233082582184515</c:v>
                </c:pt>
                <c:pt idx="378">
                  <c:v>7.9796444194061493</c:v>
                </c:pt>
                <c:pt idx="379">
                  <c:v>8.0361876988335101</c:v>
                </c:pt>
                <c:pt idx="380">
                  <c:v>8.0925238600212097</c:v>
                </c:pt>
                <c:pt idx="381">
                  <c:v>8.1488600212089075</c:v>
                </c:pt>
                <c:pt idx="382">
                  <c:v>8.2157592126193002</c:v>
                </c:pt>
                <c:pt idx="383">
                  <c:v>8.2826584040296911</c:v>
                </c:pt>
                <c:pt idx="384">
                  <c:v>8.353078605514316</c:v>
                </c:pt>
                <c:pt idx="385">
                  <c:v>8.4201849151643682</c:v>
                </c:pt>
                <c:pt idx="386">
                  <c:v>8.4906051166489931</c:v>
                </c:pt>
                <c:pt idx="387">
                  <c:v>8.5575043080593858</c:v>
                </c:pt>
                <c:pt idx="388">
                  <c:v>8.6279245095440071</c:v>
                </c:pt>
                <c:pt idx="389">
                  <c:v>8.698344711028632</c:v>
                </c:pt>
                <c:pt idx="390">
                  <c:v>8.7689720307529164</c:v>
                </c:pt>
                <c:pt idx="391">
                  <c:v>8.8393922322375378</c:v>
                </c:pt>
                <c:pt idx="392">
                  <c:v>8.9098124337221627</c:v>
                </c:pt>
                <c:pt idx="393">
                  <c:v>8.9802326352067876</c:v>
                </c:pt>
                <c:pt idx="394">
                  <c:v>9.0506528366914107</c:v>
                </c:pt>
                <c:pt idx="395">
                  <c:v>9.1248011664899256</c:v>
                </c:pt>
                <c:pt idx="396">
                  <c:v>9.1987423780487791</c:v>
                </c:pt>
                <c:pt idx="397">
                  <c:v>9.2691625795334041</c:v>
                </c:pt>
                <c:pt idx="398">
                  <c:v>9.3431037910922576</c:v>
                </c:pt>
                <c:pt idx="399">
                  <c:v>9.4135239925768825</c:v>
                </c:pt>
                <c:pt idx="400">
                  <c:v>9.4841513123011669</c:v>
                </c:pt>
                <c:pt idx="401">
                  <c:v>9.5580925238600205</c:v>
                </c:pt>
                <c:pt idx="402">
                  <c:v>9.6285127253446454</c:v>
                </c:pt>
                <c:pt idx="403">
                  <c:v>9.702453936903499</c:v>
                </c:pt>
                <c:pt idx="404">
                  <c:v>9.7728741383881239</c:v>
                </c:pt>
                <c:pt idx="405">
                  <c:v>9.847022468186637</c:v>
                </c:pt>
                <c:pt idx="406">
                  <c:v>9.9209636797454941</c:v>
                </c:pt>
                <c:pt idx="407">
                  <c:v>10.005467921527041</c:v>
                </c:pt>
                <c:pt idx="408">
                  <c:v>10.089972163308589</c:v>
                </c:pt>
                <c:pt idx="409">
                  <c:v>10.174683523329799</c:v>
                </c:pt>
                <c:pt idx="410">
                  <c:v>10.259187765111346</c:v>
                </c:pt>
                <c:pt idx="411">
                  <c:v>10.343692006892896</c:v>
                </c:pt>
                <c:pt idx="412">
                  <c:v>10.428196248674443</c:v>
                </c:pt>
                <c:pt idx="413">
                  <c:v>10.516221500530223</c:v>
                </c:pt>
                <c:pt idx="414">
                  <c:v>10.600932860551429</c:v>
                </c:pt>
                <c:pt idx="415">
                  <c:v>10.688958112407212</c:v>
                </c:pt>
                <c:pt idx="416">
                  <c:v>10.776983364262991</c:v>
                </c:pt>
                <c:pt idx="417">
                  <c:v>10.861487606044538</c:v>
                </c:pt>
                <c:pt idx="418">
                  <c:v>10.949719976139978</c:v>
                </c:pt>
                <c:pt idx="419">
                  <c:v>11.037745227995757</c:v>
                </c:pt>
                <c:pt idx="420">
                  <c:v>11.125770479851537</c:v>
                </c:pt>
                <c:pt idx="421">
                  <c:v>11.210274721633086</c:v>
                </c:pt>
                <c:pt idx="422">
                  <c:v>11.298507091728526</c:v>
                </c:pt>
                <c:pt idx="423">
                  <c:v>11.386532343584305</c:v>
                </c:pt>
                <c:pt idx="424">
                  <c:v>11.474557595440084</c:v>
                </c:pt>
                <c:pt idx="425">
                  <c:v>11.566103857370093</c:v>
                </c:pt>
                <c:pt idx="426">
                  <c:v>11.654336227465537</c:v>
                </c:pt>
                <c:pt idx="427">
                  <c:v>11.745882489395546</c:v>
                </c:pt>
                <c:pt idx="428">
                  <c:v>11.847991781548249</c:v>
                </c:pt>
                <c:pt idx="429">
                  <c:v>11.950308191940614</c:v>
                </c:pt>
                <c:pt idx="430">
                  <c:v>12.052417484093318</c:v>
                </c:pt>
                <c:pt idx="431">
                  <c:v>12.154526776246025</c:v>
                </c:pt>
                <c:pt idx="432">
                  <c:v>12.246073038176034</c:v>
                </c:pt>
                <c:pt idx="433">
                  <c:v>12.341347428419937</c:v>
                </c:pt>
                <c:pt idx="434">
                  <c:v>12.432893690349946</c:v>
                </c:pt>
                <c:pt idx="435">
                  <c:v>12.527960962354189</c:v>
                </c:pt>
                <c:pt idx="436">
                  <c:v>12.623028234358429</c:v>
                </c:pt>
                <c:pt idx="437">
                  <c:v>12.71830262460233</c:v>
                </c:pt>
                <c:pt idx="438">
                  <c:v>12.827453936903499</c:v>
                </c:pt>
                <c:pt idx="439">
                  <c:v>12.933084239130434</c:v>
                </c:pt>
                <c:pt idx="440">
                  <c:v>13.045963679745492</c:v>
                </c:pt>
                <c:pt idx="441">
                  <c:v>13.155114992046657</c:v>
                </c:pt>
                <c:pt idx="442">
                  <c:v>13.264266304347824</c:v>
                </c:pt>
                <c:pt idx="443">
                  <c:v>13.373624734888654</c:v>
                </c:pt>
                <c:pt idx="444">
                  <c:v>13.472213016967126</c:v>
                </c:pt>
                <c:pt idx="445">
                  <c:v>13.5708012990456</c:v>
                </c:pt>
                <c:pt idx="446">
                  <c:v>13.679952611346765</c:v>
                </c:pt>
                <c:pt idx="447">
                  <c:v>13.789311041887592</c:v>
                </c:pt>
                <c:pt idx="448">
                  <c:v>13.901983364262991</c:v>
                </c:pt>
                <c:pt idx="449">
                  <c:v>14.014655686638386</c:v>
                </c:pt>
                <c:pt idx="450">
                  <c:v>14.127535127253447</c:v>
                </c:pt>
                <c:pt idx="451">
                  <c:v>14.236686439554614</c:v>
                </c:pt>
                <c:pt idx="452">
                  <c:v>14.349358761930009</c:v>
                </c:pt>
                <c:pt idx="453">
                  <c:v>14.462238202545068</c:v>
                </c:pt>
                <c:pt idx="454">
                  <c:v>14.574910524920467</c:v>
                </c:pt>
                <c:pt idx="455">
                  <c:v>14.687582847295863</c:v>
                </c:pt>
                <c:pt idx="456">
                  <c:v>14.800462287910923</c:v>
                </c:pt>
                <c:pt idx="457">
                  <c:v>14.923697640509014</c:v>
                </c:pt>
                <c:pt idx="458">
                  <c:v>15.036369962884411</c:v>
                </c:pt>
                <c:pt idx="459">
                  <c:v>15.149042285259808</c:v>
                </c:pt>
                <c:pt idx="460">
                  <c:v>15.261921725874867</c:v>
                </c:pt>
                <c:pt idx="461">
                  <c:v>15.378115058324495</c:v>
                </c:pt>
                <c:pt idx="462">
                  <c:v>15.504871420996819</c:v>
                </c:pt>
                <c:pt idx="463">
                  <c:v>15.628313891834567</c:v>
                </c:pt>
                <c:pt idx="464">
                  <c:v>15.755070254506892</c:v>
                </c:pt>
                <c:pt idx="465">
                  <c:v>15.882033735418874</c:v>
                </c:pt>
                <c:pt idx="466">
                  <c:v>16.012311108165431</c:v>
                </c:pt>
                <c:pt idx="467">
                  <c:v>16.142588480911982</c:v>
                </c:pt>
                <c:pt idx="468">
                  <c:v>16.269551961823964</c:v>
                </c:pt>
                <c:pt idx="469">
                  <c:v>16.399829334570519</c:v>
                </c:pt>
                <c:pt idx="470">
                  <c:v>16.530106707317074</c:v>
                </c:pt>
                <c:pt idx="471">
                  <c:v>16.660591198303287</c:v>
                </c:pt>
                <c:pt idx="472">
                  <c:v>16.790868571049842</c:v>
                </c:pt>
                <c:pt idx="473">
                  <c:v>16.924666953870624</c:v>
                </c:pt>
                <c:pt idx="474">
                  <c:v>17.05515144485684</c:v>
                </c:pt>
                <c:pt idx="475">
                  <c:v>17.188949827677622</c:v>
                </c:pt>
                <c:pt idx="476">
                  <c:v>17.333518358960763</c:v>
                </c:pt>
                <c:pt idx="477">
                  <c:v>17.48140078207847</c:v>
                </c:pt>
                <c:pt idx="478">
                  <c:v>17.625762195121951</c:v>
                </c:pt>
                <c:pt idx="479">
                  <c:v>17.759767696182397</c:v>
                </c:pt>
                <c:pt idx="480">
                  <c:v>17.893566079003183</c:v>
                </c:pt>
                <c:pt idx="481">
                  <c:v>18.03109259013786</c:v>
                </c:pt>
                <c:pt idx="482">
                  <c:v>18.164890972958641</c:v>
                </c:pt>
                <c:pt idx="483">
                  <c:v>18.316294406150583</c:v>
                </c:pt>
                <c:pt idx="484">
                  <c:v>18.45734192735949</c:v>
                </c:pt>
                <c:pt idx="485">
                  <c:v>18.608745360551431</c:v>
                </c:pt>
                <c:pt idx="486">
                  <c:v>18.749792881760335</c:v>
                </c:pt>
                <c:pt idx="487">
                  <c:v>18.890633284729585</c:v>
                </c:pt>
                <c:pt idx="488">
                  <c:v>19.031473687698835</c:v>
                </c:pt>
                <c:pt idx="489">
                  <c:v>19.190126259278898</c:v>
                </c:pt>
                <c:pt idx="490">
                  <c:v>19.348571712619297</c:v>
                </c:pt>
                <c:pt idx="491">
                  <c:v>19.503703274125133</c:v>
                </c:pt>
                <c:pt idx="492">
                  <c:v>19.658627717391305</c:v>
                </c:pt>
                <c:pt idx="493">
                  <c:v>19.817280288971364</c:v>
                </c:pt>
                <c:pt idx="494">
                  <c:v>19.975725742311774</c:v>
                </c:pt>
                <c:pt idx="495">
                  <c:v>20.137692205726403</c:v>
                </c:pt>
                <c:pt idx="496">
                  <c:v>20.296344777306466</c:v>
                </c:pt>
                <c:pt idx="497">
                  <c:v>20.454790230646871</c:v>
                </c:pt>
                <c:pt idx="498">
                  <c:v>20.609921792152704</c:v>
                </c:pt>
                <c:pt idx="499">
                  <c:v>20.765674708377517</c:v>
                </c:pt>
                <c:pt idx="500">
                  <c:v>20.93344048250265</c:v>
                </c:pt>
                <c:pt idx="501">
                  <c:v>21.099135074231178</c:v>
                </c:pt>
                <c:pt idx="502">
                  <c:v>21.273114395546127</c:v>
                </c:pt>
                <c:pt idx="503">
                  <c:v>21.440880169671264</c:v>
                </c:pt>
                <c:pt idx="504">
                  <c:v>21.614859490986213</c:v>
                </c:pt>
                <c:pt idx="505">
                  <c:v>21.782625265111346</c:v>
                </c:pt>
                <c:pt idx="506">
                  <c:v>21.952462221633088</c:v>
                </c:pt>
                <c:pt idx="507">
                  <c:v>22.124370360551431</c:v>
                </c:pt>
                <c:pt idx="508">
                  <c:v>22.29834968186638</c:v>
                </c:pt>
                <c:pt idx="509">
                  <c:v>22.470257820784727</c:v>
                </c:pt>
                <c:pt idx="510">
                  <c:v>22.642165959703078</c:v>
                </c:pt>
                <c:pt idx="511">
                  <c:v>22.828572375397666</c:v>
                </c:pt>
                <c:pt idx="512">
                  <c:v>23.017049973488863</c:v>
                </c:pt>
                <c:pt idx="513">
                  <c:v>23.205527571580063</c:v>
                </c:pt>
                <c:pt idx="514">
                  <c:v>23.381578075291621</c:v>
                </c:pt>
                <c:pt idx="515">
                  <c:v>23.572126855779423</c:v>
                </c:pt>
                <c:pt idx="516">
                  <c:v>23.758533271474015</c:v>
                </c:pt>
                <c:pt idx="517">
                  <c:v>23.94908205196182</c:v>
                </c:pt>
                <c:pt idx="518">
                  <c:v>24.139630832449626</c:v>
                </c:pt>
                <c:pt idx="519">
                  <c:v>24.334321977730646</c:v>
                </c:pt>
                <c:pt idx="520">
                  <c:v>24.516586028632027</c:v>
                </c:pt>
                <c:pt idx="521">
                  <c:v>24.711277173913039</c:v>
                </c:pt>
                <c:pt idx="522">
                  <c:v>24.908039501590665</c:v>
                </c:pt>
                <c:pt idx="523">
                  <c:v>25.102730646871684</c:v>
                </c:pt>
                <c:pt idx="524">
                  <c:v>25.29949297454931</c:v>
                </c:pt>
                <c:pt idx="525">
                  <c:v>25.510753579003183</c:v>
                </c:pt>
                <c:pt idx="526">
                  <c:v>25.722014183457055</c:v>
                </c:pt>
                <c:pt idx="527">
                  <c:v>25.929132423117707</c:v>
                </c:pt>
                <c:pt idx="528">
                  <c:v>26.138321845174971</c:v>
                </c:pt>
                <c:pt idx="529">
                  <c:v>26.34544008483563</c:v>
                </c:pt>
                <c:pt idx="530">
                  <c:v>26.552558324496289</c:v>
                </c:pt>
                <c:pt idx="531">
                  <c:v>26.761747746553549</c:v>
                </c:pt>
                <c:pt idx="532">
                  <c:v>26.964723621420998</c:v>
                </c:pt>
                <c:pt idx="533">
                  <c:v>27.173913043478258</c:v>
                </c:pt>
                <c:pt idx="534">
                  <c:v>27.385173647932131</c:v>
                </c:pt>
                <c:pt idx="535">
                  <c:v>27.606790164369034</c:v>
                </c:pt>
                <c:pt idx="536">
                  <c:v>27.8180507688229</c:v>
                </c:pt>
                <c:pt idx="537">
                  <c:v>28.039667285259807</c:v>
                </c:pt>
                <c:pt idx="538">
                  <c:v>28.265426166489924</c:v>
                </c:pt>
                <c:pt idx="539">
                  <c:v>28.491185047720041</c:v>
                </c:pt>
                <c:pt idx="540">
                  <c:v>28.716943928950158</c:v>
                </c:pt>
                <c:pt idx="541">
                  <c:v>28.938560445387061</c:v>
                </c:pt>
                <c:pt idx="542">
                  <c:v>29.164319326617179</c:v>
                </c:pt>
                <c:pt idx="543">
                  <c:v>29.402505302226931</c:v>
                </c:pt>
                <c:pt idx="544">
                  <c:v>29.628264183457052</c:v>
                </c:pt>
                <c:pt idx="545">
                  <c:v>29.858165429480376</c:v>
                </c:pt>
                <c:pt idx="546">
                  <c:v>30.10049376988335</c:v>
                </c:pt>
                <c:pt idx="547">
                  <c:v>30.344893292682922</c:v>
                </c:pt>
                <c:pt idx="548">
                  <c:v>30.591363997879107</c:v>
                </c:pt>
                <c:pt idx="549">
                  <c:v>30.823336426299047</c:v>
                </c:pt>
                <c:pt idx="550">
                  <c:v>31.076020678685047</c:v>
                </c:pt>
                <c:pt idx="551">
                  <c:v>31.322491383881225</c:v>
                </c:pt>
                <c:pt idx="552">
                  <c:v>31.571033271474015</c:v>
                </c:pt>
                <c:pt idx="553">
                  <c:v>31.829931071049838</c:v>
                </c:pt>
                <c:pt idx="554">
                  <c:v>32.088828870625662</c:v>
                </c:pt>
                <c:pt idx="555">
                  <c:v>32.345655487804876</c:v>
                </c:pt>
                <c:pt idx="556">
                  <c:v>32.59833974019088</c:v>
                </c:pt>
                <c:pt idx="557">
                  <c:v>32.85309517497349</c:v>
                </c:pt>
                <c:pt idx="558">
                  <c:v>33.109921792152697</c:v>
                </c:pt>
                <c:pt idx="559">
                  <c:v>33.362606044538701</c:v>
                </c:pt>
                <c:pt idx="560">
                  <c:v>33.61736147932131</c:v>
                </c:pt>
                <c:pt idx="561">
                  <c:v>33.884544008483559</c:v>
                </c:pt>
                <c:pt idx="562">
                  <c:v>34.155868902439018</c:v>
                </c:pt>
                <c:pt idx="563">
                  <c:v>34.423051431601273</c:v>
                </c:pt>
                <c:pt idx="564">
                  <c:v>34.704732237539758</c:v>
                </c:pt>
                <c:pt idx="565">
                  <c:v>34.988484225874863</c:v>
                </c:pt>
                <c:pt idx="566">
                  <c:v>35.257737937433717</c:v>
                </c:pt>
                <c:pt idx="567">
                  <c:v>35.543561108165427</c:v>
                </c:pt>
                <c:pt idx="568">
                  <c:v>35.833526643690348</c:v>
                </c:pt>
                <c:pt idx="569">
                  <c:v>36.115207449628848</c:v>
                </c:pt>
                <c:pt idx="570">
                  <c:v>36.407244167550367</c:v>
                </c:pt>
                <c:pt idx="571">
                  <c:v>36.695138520678682</c:v>
                </c:pt>
                <c:pt idx="572">
                  <c:v>36.980961691410393</c:v>
                </c:pt>
                <c:pt idx="573">
                  <c:v>37.281283138918347</c:v>
                </c:pt>
                <c:pt idx="574">
                  <c:v>37.579533404029689</c:v>
                </c:pt>
                <c:pt idx="575">
                  <c:v>37.879854851537644</c:v>
                </c:pt>
                <c:pt idx="576">
                  <c:v>38.186389846235414</c:v>
                </c:pt>
                <c:pt idx="577">
                  <c:v>38.492924840933192</c:v>
                </c:pt>
                <c:pt idx="578">
                  <c:v>38.795317470837752</c:v>
                </c:pt>
                <c:pt idx="579">
                  <c:v>39.110137195121951</c:v>
                </c:pt>
                <c:pt idx="580">
                  <c:v>39.422885737009551</c:v>
                </c:pt>
                <c:pt idx="581">
                  <c:v>39.733563096500532</c:v>
                </c:pt>
                <c:pt idx="582">
                  <c:v>43.488616781548245</c:v>
                </c:pt>
                <c:pt idx="583">
                  <c:v>43.7247315747614</c:v>
                </c:pt>
                <c:pt idx="584">
                  <c:v>43.929778632025453</c:v>
                </c:pt>
                <c:pt idx="585">
                  <c:v>44.105829135737011</c:v>
                </c:pt>
                <c:pt idx="586">
                  <c:v>44.248740721102862</c:v>
                </c:pt>
                <c:pt idx="587">
                  <c:v>44.366798117709436</c:v>
                </c:pt>
                <c:pt idx="588">
                  <c:v>44.457930143160127</c:v>
                </c:pt>
                <c:pt idx="589">
                  <c:v>44.513852067868498</c:v>
                </c:pt>
                <c:pt idx="590">
                  <c:v>44.549062168610817</c:v>
                </c:pt>
                <c:pt idx="591">
                  <c:v>44.567702810180279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13-4202-842D-7AEA35D67AD7}"/>
            </c:ext>
          </c:extLst>
        </c:ser>
        <c:ser>
          <c:idx val="3"/>
          <c:order val="1"/>
          <c:tx>
            <c:strRef>
              <c:f>{"A10-2"}</c:f>
              <c:strCache>
                <c:ptCount val="1"/>
                <c:pt idx="0">
                  <c:v>A10-2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'A10-4'!$C$2:$C$648</c:f>
              <c:numCache>
                <c:formatCode>0.00</c:formatCode>
                <c:ptCount val="647"/>
                <c:pt idx="0">
                  <c:v>0</c:v>
                </c:pt>
                <c:pt idx="1">
                  <c:v>1.3900999999999998E-2</c:v>
                </c:pt>
                <c:pt idx="2">
                  <c:v>1.40126E-2</c:v>
                </c:pt>
                <c:pt idx="3">
                  <c:v>1.41224E-2</c:v>
                </c:pt>
                <c:pt idx="4">
                  <c:v>1.4236E-2</c:v>
                </c:pt>
                <c:pt idx="5">
                  <c:v>1.43476E-2</c:v>
                </c:pt>
                <c:pt idx="6">
                  <c:v>1.4483600000000001E-2</c:v>
                </c:pt>
                <c:pt idx="7">
                  <c:v>1.4623200000000001E-2</c:v>
                </c:pt>
                <c:pt idx="8">
                  <c:v>1.47628E-2</c:v>
                </c:pt>
                <c:pt idx="9">
                  <c:v>1.4900400000000001E-2</c:v>
                </c:pt>
                <c:pt idx="10">
                  <c:v>1.504E-2</c:v>
                </c:pt>
                <c:pt idx="11">
                  <c:v>1.51796E-2</c:v>
                </c:pt>
                <c:pt idx="12">
                  <c:v>1.5317400000000002E-2</c:v>
                </c:pt>
                <c:pt idx="13">
                  <c:v>1.5457E-2</c:v>
                </c:pt>
                <c:pt idx="14">
                  <c:v>1.55966E-2</c:v>
                </c:pt>
                <c:pt idx="15">
                  <c:v>1.57342E-2</c:v>
                </c:pt>
                <c:pt idx="16">
                  <c:v>1.58738E-2</c:v>
                </c:pt>
                <c:pt idx="17">
                  <c:v>1.6011600000000001E-2</c:v>
                </c:pt>
                <c:pt idx="18">
                  <c:v>1.6149199999999999E-2</c:v>
                </c:pt>
                <c:pt idx="19">
                  <c:v>1.6290800000000001E-2</c:v>
                </c:pt>
                <c:pt idx="20">
                  <c:v>1.6428399999999999E-2</c:v>
                </c:pt>
                <c:pt idx="21">
                  <c:v>1.65662E-2</c:v>
                </c:pt>
                <c:pt idx="22">
                  <c:v>1.67076E-2</c:v>
                </c:pt>
                <c:pt idx="23">
                  <c:v>1.68454E-2</c:v>
                </c:pt>
                <c:pt idx="24">
                  <c:v>1.6982999999999998E-2</c:v>
                </c:pt>
                <c:pt idx="25">
                  <c:v>1.71246E-2</c:v>
                </c:pt>
                <c:pt idx="26">
                  <c:v>1.7262200000000002E-2</c:v>
                </c:pt>
                <c:pt idx="27">
                  <c:v>1.7399999999999999E-2</c:v>
                </c:pt>
                <c:pt idx="28">
                  <c:v>1.7539599999999999E-2</c:v>
                </c:pt>
                <c:pt idx="29">
                  <c:v>1.7677200000000001E-2</c:v>
                </c:pt>
                <c:pt idx="30">
                  <c:v>1.7816800000000001E-2</c:v>
                </c:pt>
                <c:pt idx="31">
                  <c:v>1.7956399999999997E-2</c:v>
                </c:pt>
                <c:pt idx="32">
                  <c:v>1.8096000000000001E-2</c:v>
                </c:pt>
                <c:pt idx="33">
                  <c:v>1.8235600000000001E-2</c:v>
                </c:pt>
                <c:pt idx="34">
                  <c:v>1.84012E-2</c:v>
                </c:pt>
                <c:pt idx="35">
                  <c:v>1.85688E-2</c:v>
                </c:pt>
                <c:pt idx="36">
                  <c:v>1.8734399999999998E-2</c:v>
                </c:pt>
                <c:pt idx="37">
                  <c:v>1.8902000000000002E-2</c:v>
                </c:pt>
                <c:pt idx="38">
                  <c:v>1.9067600000000001E-2</c:v>
                </c:pt>
                <c:pt idx="39">
                  <c:v>1.9233199999999999E-2</c:v>
                </c:pt>
                <c:pt idx="40">
                  <c:v>1.9400799999999999E-2</c:v>
                </c:pt>
                <c:pt idx="41">
                  <c:v>1.9566399999999998E-2</c:v>
                </c:pt>
                <c:pt idx="42">
                  <c:v>1.9733799999999999E-2</c:v>
                </c:pt>
                <c:pt idx="43">
                  <c:v>1.99014E-2</c:v>
                </c:pt>
                <c:pt idx="44">
                  <c:v>2.0068000000000003E-2</c:v>
                </c:pt>
                <c:pt idx="45">
                  <c:v>2.0234000000000002E-2</c:v>
                </c:pt>
                <c:pt idx="46">
                  <c:v>2.0400000000000001E-2</c:v>
                </c:pt>
                <c:pt idx="47">
                  <c:v>2.0567999999999999E-2</c:v>
                </c:pt>
                <c:pt idx="48">
                  <c:v>2.0735999999999997E-2</c:v>
                </c:pt>
                <c:pt idx="49">
                  <c:v>2.0899999999999998E-2</c:v>
                </c:pt>
                <c:pt idx="50">
                  <c:v>2.1067999999999996E-2</c:v>
                </c:pt>
                <c:pt idx="51">
                  <c:v>2.1234000000000003E-2</c:v>
                </c:pt>
                <c:pt idx="52">
                  <c:v>2.1400000000000002E-2</c:v>
                </c:pt>
                <c:pt idx="53">
                  <c:v>2.1568E-2</c:v>
                </c:pt>
                <c:pt idx="54">
                  <c:v>2.1762E-2</c:v>
                </c:pt>
                <c:pt idx="55">
                  <c:v>2.1956000000000003E-2</c:v>
                </c:pt>
                <c:pt idx="56">
                  <c:v>2.2151999999999998E-2</c:v>
                </c:pt>
                <c:pt idx="57">
                  <c:v>2.2343999999999999E-2</c:v>
                </c:pt>
                <c:pt idx="58">
                  <c:v>2.2537999999999999E-2</c:v>
                </c:pt>
                <c:pt idx="59">
                  <c:v>2.2735999999999999E-2</c:v>
                </c:pt>
                <c:pt idx="60">
                  <c:v>2.2930000000000002E-2</c:v>
                </c:pt>
                <c:pt idx="61">
                  <c:v>2.3123999999999999E-2</c:v>
                </c:pt>
                <c:pt idx="62">
                  <c:v>2.3317999999999998E-2</c:v>
                </c:pt>
                <c:pt idx="63">
                  <c:v>2.3511999999999998E-2</c:v>
                </c:pt>
                <c:pt idx="64">
                  <c:v>2.3706000000000001E-2</c:v>
                </c:pt>
                <c:pt idx="65">
                  <c:v>2.3900000000000001E-2</c:v>
                </c:pt>
                <c:pt idx="66">
                  <c:v>2.4094000000000001E-2</c:v>
                </c:pt>
                <c:pt idx="67">
                  <c:v>2.4289999999999999E-2</c:v>
                </c:pt>
                <c:pt idx="68">
                  <c:v>2.4485999999999997E-2</c:v>
                </c:pt>
                <c:pt idx="69">
                  <c:v>2.4677999999999999E-2</c:v>
                </c:pt>
                <c:pt idx="70">
                  <c:v>2.4872000000000002E-2</c:v>
                </c:pt>
                <c:pt idx="71">
                  <c:v>2.5068E-2</c:v>
                </c:pt>
                <c:pt idx="72">
                  <c:v>2.529E-2</c:v>
                </c:pt>
                <c:pt idx="73">
                  <c:v>2.5512E-2</c:v>
                </c:pt>
                <c:pt idx="74">
                  <c:v>2.5734E-2</c:v>
                </c:pt>
                <c:pt idx="75">
                  <c:v>2.5956E-2</c:v>
                </c:pt>
                <c:pt idx="76">
                  <c:v>2.6179999999999998E-2</c:v>
                </c:pt>
                <c:pt idx="77">
                  <c:v>2.64E-2</c:v>
                </c:pt>
                <c:pt idx="78">
                  <c:v>2.6623999999999998E-2</c:v>
                </c:pt>
                <c:pt idx="79">
                  <c:v>2.6846000000000002E-2</c:v>
                </c:pt>
                <c:pt idx="80">
                  <c:v>2.7067999999999998E-2</c:v>
                </c:pt>
                <c:pt idx="81">
                  <c:v>2.7290000000000002E-2</c:v>
                </c:pt>
                <c:pt idx="82">
                  <c:v>2.7511999999999998E-2</c:v>
                </c:pt>
                <c:pt idx="83">
                  <c:v>2.7734000000000002E-2</c:v>
                </c:pt>
                <c:pt idx="84">
                  <c:v>2.7955999999999998E-2</c:v>
                </c:pt>
                <c:pt idx="85">
                  <c:v>2.818E-2</c:v>
                </c:pt>
                <c:pt idx="86">
                  <c:v>2.8401999999999997E-2</c:v>
                </c:pt>
                <c:pt idx="87">
                  <c:v>2.8622000000000002E-2</c:v>
                </c:pt>
                <c:pt idx="88">
                  <c:v>2.8871999999999998E-2</c:v>
                </c:pt>
                <c:pt idx="89">
                  <c:v>2.9123999999999997E-2</c:v>
                </c:pt>
                <c:pt idx="90">
                  <c:v>2.9371999999999999E-2</c:v>
                </c:pt>
                <c:pt idx="91">
                  <c:v>2.9624000000000001E-2</c:v>
                </c:pt>
                <c:pt idx="92">
                  <c:v>2.9874000000000001E-2</c:v>
                </c:pt>
                <c:pt idx="93">
                  <c:v>3.0121999999999999E-2</c:v>
                </c:pt>
                <c:pt idx="94">
                  <c:v>3.0373999999999998E-2</c:v>
                </c:pt>
                <c:pt idx="95">
                  <c:v>3.0621999999999996E-2</c:v>
                </c:pt>
                <c:pt idx="96">
                  <c:v>3.0872E-2</c:v>
                </c:pt>
                <c:pt idx="97">
                  <c:v>3.1122E-2</c:v>
                </c:pt>
                <c:pt idx="98">
                  <c:v>3.1373999999999999E-2</c:v>
                </c:pt>
                <c:pt idx="99">
                  <c:v>3.1621999999999997E-2</c:v>
                </c:pt>
                <c:pt idx="100">
                  <c:v>3.1871999999999998E-2</c:v>
                </c:pt>
                <c:pt idx="101">
                  <c:v>3.2124E-2</c:v>
                </c:pt>
                <c:pt idx="102">
                  <c:v>3.2374E-2</c:v>
                </c:pt>
                <c:pt idx="103">
                  <c:v>3.2652E-2</c:v>
                </c:pt>
                <c:pt idx="104">
                  <c:v>3.2930000000000001E-2</c:v>
                </c:pt>
                <c:pt idx="105">
                  <c:v>3.3203999999999997E-2</c:v>
                </c:pt>
                <c:pt idx="106">
                  <c:v>3.3484E-2</c:v>
                </c:pt>
                <c:pt idx="107">
                  <c:v>3.3763999999999995E-2</c:v>
                </c:pt>
                <c:pt idx="108">
                  <c:v>3.4037999999999999E-2</c:v>
                </c:pt>
                <c:pt idx="109">
                  <c:v>3.4318000000000001E-2</c:v>
                </c:pt>
                <c:pt idx="110">
                  <c:v>3.4596000000000002E-2</c:v>
                </c:pt>
                <c:pt idx="111">
                  <c:v>3.4872E-2</c:v>
                </c:pt>
                <c:pt idx="112">
                  <c:v>3.5152000000000003E-2</c:v>
                </c:pt>
                <c:pt idx="113">
                  <c:v>3.5430000000000003E-2</c:v>
                </c:pt>
                <c:pt idx="114">
                  <c:v>3.5706000000000002E-2</c:v>
                </c:pt>
                <c:pt idx="115">
                  <c:v>3.5983999999999995E-2</c:v>
                </c:pt>
                <c:pt idx="116">
                  <c:v>3.6288000000000001E-2</c:v>
                </c:pt>
                <c:pt idx="117">
                  <c:v>3.6596000000000004E-2</c:v>
                </c:pt>
                <c:pt idx="118">
                  <c:v>3.6901999999999997E-2</c:v>
                </c:pt>
                <c:pt idx="119">
                  <c:v>3.7206000000000003E-2</c:v>
                </c:pt>
                <c:pt idx="120">
                  <c:v>3.7511999999999997E-2</c:v>
                </c:pt>
                <c:pt idx="121">
                  <c:v>3.7817999999999997E-2</c:v>
                </c:pt>
                <c:pt idx="122">
                  <c:v>3.8123999999999998E-2</c:v>
                </c:pt>
                <c:pt idx="123">
                  <c:v>3.8401999999999999E-2</c:v>
                </c:pt>
                <c:pt idx="124">
                  <c:v>3.8705999999999997E-2</c:v>
                </c:pt>
                <c:pt idx="125">
                  <c:v>3.9011999999999998E-2</c:v>
                </c:pt>
                <c:pt idx="126">
                  <c:v>3.9317999999999999E-2</c:v>
                </c:pt>
                <c:pt idx="127">
                  <c:v>3.9539999999999999E-2</c:v>
                </c:pt>
                <c:pt idx="128">
                  <c:v>3.9845999999999999E-2</c:v>
                </c:pt>
                <c:pt idx="129">
                  <c:v>4.0149999999999998E-2</c:v>
                </c:pt>
                <c:pt idx="130">
                  <c:v>4.0483999999999999E-2</c:v>
                </c:pt>
                <c:pt idx="131">
                  <c:v>4.0763999999999995E-2</c:v>
                </c:pt>
                <c:pt idx="132">
                  <c:v>4.1066000000000005E-2</c:v>
                </c:pt>
                <c:pt idx="133">
                  <c:v>4.1346000000000001E-2</c:v>
                </c:pt>
                <c:pt idx="134">
                  <c:v>4.1622000000000006E-2</c:v>
                </c:pt>
                <c:pt idx="135">
                  <c:v>4.1897999999999998E-2</c:v>
                </c:pt>
                <c:pt idx="136">
                  <c:v>4.2206E-2</c:v>
                </c:pt>
                <c:pt idx="137">
                  <c:v>4.2510000000000006E-2</c:v>
                </c:pt>
                <c:pt idx="138">
                  <c:v>4.2816E-2</c:v>
                </c:pt>
                <c:pt idx="139">
                  <c:v>4.3095999999999995E-2</c:v>
                </c:pt>
                <c:pt idx="140">
                  <c:v>4.3373999999999996E-2</c:v>
                </c:pt>
                <c:pt idx="141">
                  <c:v>4.3680000000000004E-2</c:v>
                </c:pt>
                <c:pt idx="142">
                  <c:v>4.3956000000000002E-2</c:v>
                </c:pt>
                <c:pt idx="143">
                  <c:v>4.4261999999999996E-2</c:v>
                </c:pt>
                <c:pt idx="144">
                  <c:v>4.4568000000000003E-2</c:v>
                </c:pt>
                <c:pt idx="145">
                  <c:v>4.4871999999999995E-2</c:v>
                </c:pt>
                <c:pt idx="146">
                  <c:v>4.5151999999999998E-2</c:v>
                </c:pt>
                <c:pt idx="147">
                  <c:v>4.5429999999999998E-2</c:v>
                </c:pt>
                <c:pt idx="148">
                  <c:v>4.5734000000000004E-2</c:v>
                </c:pt>
                <c:pt idx="149">
                  <c:v>4.6012000000000004E-2</c:v>
                </c:pt>
                <c:pt idx="150">
                  <c:v>4.6260000000000003E-2</c:v>
                </c:pt>
                <c:pt idx="151">
                  <c:v>4.6567999999999998E-2</c:v>
                </c:pt>
                <c:pt idx="152">
                  <c:v>4.6817999999999999E-2</c:v>
                </c:pt>
                <c:pt idx="153">
                  <c:v>4.7065999999999997E-2</c:v>
                </c:pt>
                <c:pt idx="154">
                  <c:v>4.7317999999999999E-2</c:v>
                </c:pt>
                <c:pt idx="155">
                  <c:v>4.7567999999999999E-2</c:v>
                </c:pt>
                <c:pt idx="156">
                  <c:v>4.7789999999999999E-2</c:v>
                </c:pt>
                <c:pt idx="157">
                  <c:v>4.8011999999999999E-2</c:v>
                </c:pt>
                <c:pt idx="158">
                  <c:v>4.8263999999999994E-2</c:v>
                </c:pt>
                <c:pt idx="159">
                  <c:v>4.8512000000000007E-2</c:v>
                </c:pt>
                <c:pt idx="160">
                  <c:v>4.8734E-2</c:v>
                </c:pt>
                <c:pt idx="161">
                  <c:v>4.8986000000000002E-2</c:v>
                </c:pt>
                <c:pt idx="162">
                  <c:v>4.9208000000000002E-2</c:v>
                </c:pt>
                <c:pt idx="163">
                  <c:v>4.9456E-2</c:v>
                </c:pt>
                <c:pt idx="164">
                  <c:v>4.9680000000000002E-2</c:v>
                </c:pt>
                <c:pt idx="165">
                  <c:v>4.9901999999999995E-2</c:v>
                </c:pt>
                <c:pt idx="166">
                  <c:v>5.0122E-2</c:v>
                </c:pt>
                <c:pt idx="167">
                  <c:v>5.0372E-2</c:v>
                </c:pt>
                <c:pt idx="168">
                  <c:v>5.0595999999999995E-2</c:v>
                </c:pt>
                <c:pt idx="169">
                  <c:v>5.0818000000000002E-2</c:v>
                </c:pt>
                <c:pt idx="170">
                  <c:v>5.1040000000000002E-2</c:v>
                </c:pt>
                <c:pt idx="171">
                  <c:v>5.1262000000000002E-2</c:v>
                </c:pt>
                <c:pt idx="172">
                  <c:v>5.1458000000000004E-2</c:v>
                </c:pt>
                <c:pt idx="173">
                  <c:v>5.1680000000000004E-2</c:v>
                </c:pt>
                <c:pt idx="174">
                  <c:v>5.1874000000000003E-2</c:v>
                </c:pt>
                <c:pt idx="175">
                  <c:v>5.2096000000000003E-2</c:v>
                </c:pt>
                <c:pt idx="176">
                  <c:v>5.2317999999999996E-2</c:v>
                </c:pt>
                <c:pt idx="177">
                  <c:v>5.2538000000000001E-2</c:v>
                </c:pt>
                <c:pt idx="178">
                  <c:v>5.2760000000000001E-2</c:v>
                </c:pt>
                <c:pt idx="179">
                  <c:v>5.2956000000000003E-2</c:v>
                </c:pt>
                <c:pt idx="180">
                  <c:v>5.3178000000000003E-2</c:v>
                </c:pt>
                <c:pt idx="181">
                  <c:v>5.3372000000000003E-2</c:v>
                </c:pt>
                <c:pt idx="182">
                  <c:v>5.3596000000000005E-2</c:v>
                </c:pt>
                <c:pt idx="183">
                  <c:v>5.3789999999999998E-2</c:v>
                </c:pt>
                <c:pt idx="184">
                  <c:v>5.4009999999999996E-2</c:v>
                </c:pt>
                <c:pt idx="185">
                  <c:v>5.4233999999999997E-2</c:v>
                </c:pt>
                <c:pt idx="186">
                  <c:v>5.4429999999999999E-2</c:v>
                </c:pt>
                <c:pt idx="187">
                  <c:v>5.4652000000000006E-2</c:v>
                </c:pt>
                <c:pt idx="188">
                  <c:v>5.4846000000000006E-2</c:v>
                </c:pt>
                <c:pt idx="189">
                  <c:v>5.5038000000000004E-2</c:v>
                </c:pt>
                <c:pt idx="190">
                  <c:v>5.5264000000000001E-2</c:v>
                </c:pt>
                <c:pt idx="191">
                  <c:v>5.5456000000000005E-2</c:v>
                </c:pt>
                <c:pt idx="192">
                  <c:v>5.5652E-2</c:v>
                </c:pt>
                <c:pt idx="193">
                  <c:v>5.5872000000000005E-2</c:v>
                </c:pt>
                <c:pt idx="194">
                  <c:v>5.6068E-2</c:v>
                </c:pt>
                <c:pt idx="195">
                  <c:v>5.6262E-2</c:v>
                </c:pt>
                <c:pt idx="196">
                  <c:v>5.6455999999999999E-2</c:v>
                </c:pt>
                <c:pt idx="197">
                  <c:v>5.6622000000000006E-2</c:v>
                </c:pt>
                <c:pt idx="198">
                  <c:v>5.6787999999999998E-2</c:v>
                </c:pt>
                <c:pt idx="199">
                  <c:v>5.6984000000000007E-2</c:v>
                </c:pt>
                <c:pt idx="200">
                  <c:v>5.7152000000000001E-2</c:v>
                </c:pt>
                <c:pt idx="201">
                  <c:v>5.7318000000000001E-2</c:v>
                </c:pt>
                <c:pt idx="202">
                  <c:v>5.7484E-2</c:v>
                </c:pt>
                <c:pt idx="203">
                  <c:v>5.7652000000000002E-2</c:v>
                </c:pt>
                <c:pt idx="204">
                  <c:v>5.7815999999999999E-2</c:v>
                </c:pt>
                <c:pt idx="205">
                  <c:v>5.7984000000000001E-2</c:v>
                </c:pt>
                <c:pt idx="206">
                  <c:v>5.8152000000000002E-2</c:v>
                </c:pt>
                <c:pt idx="207">
                  <c:v>5.8292000000000004E-2</c:v>
                </c:pt>
                <c:pt idx="208">
                  <c:v>5.8456000000000001E-2</c:v>
                </c:pt>
                <c:pt idx="209">
                  <c:v>5.8621999999999994E-2</c:v>
                </c:pt>
                <c:pt idx="210">
                  <c:v>5.8789999999999995E-2</c:v>
                </c:pt>
                <c:pt idx="211">
                  <c:v>5.8956000000000001E-2</c:v>
                </c:pt>
                <c:pt idx="212">
                  <c:v>5.9096000000000003E-2</c:v>
                </c:pt>
                <c:pt idx="213">
                  <c:v>5.9261999999999995E-2</c:v>
                </c:pt>
                <c:pt idx="214">
                  <c:v>5.9400000000000001E-2</c:v>
                </c:pt>
                <c:pt idx="215">
                  <c:v>5.9566000000000001E-2</c:v>
                </c:pt>
                <c:pt idx="216">
                  <c:v>5.9706000000000002E-2</c:v>
                </c:pt>
                <c:pt idx="217">
                  <c:v>5.9846000000000003E-2</c:v>
                </c:pt>
                <c:pt idx="218">
                  <c:v>6.0014000000000005E-2</c:v>
                </c:pt>
                <c:pt idx="219">
                  <c:v>6.0124000000000004E-2</c:v>
                </c:pt>
                <c:pt idx="220">
                  <c:v>6.0262000000000003E-2</c:v>
                </c:pt>
                <c:pt idx="221">
                  <c:v>6.0400000000000002E-2</c:v>
                </c:pt>
                <c:pt idx="222">
                  <c:v>6.0540000000000004E-2</c:v>
                </c:pt>
                <c:pt idx="223">
                  <c:v>6.0679999999999998E-2</c:v>
                </c:pt>
                <c:pt idx="224">
                  <c:v>6.0818000000000004E-2</c:v>
                </c:pt>
                <c:pt idx="225">
                  <c:v>6.0956000000000003E-2</c:v>
                </c:pt>
                <c:pt idx="226">
                  <c:v>6.1096000000000004E-2</c:v>
                </c:pt>
                <c:pt idx="227">
                  <c:v>6.1234000000000004E-2</c:v>
                </c:pt>
                <c:pt idx="228">
                  <c:v>6.1374000000000005E-2</c:v>
                </c:pt>
                <c:pt idx="229">
                  <c:v>6.1513999999999999E-2</c:v>
                </c:pt>
                <c:pt idx="230">
                  <c:v>6.1650000000000003E-2</c:v>
                </c:pt>
                <c:pt idx="231">
                  <c:v>6.1761999999999997E-2</c:v>
                </c:pt>
                <c:pt idx="232">
                  <c:v>6.1901999999999999E-2</c:v>
                </c:pt>
                <c:pt idx="233">
                  <c:v>6.2011999999999998E-2</c:v>
                </c:pt>
                <c:pt idx="234">
                  <c:v>6.2149999999999997E-2</c:v>
                </c:pt>
                <c:pt idx="235">
                  <c:v>6.2262000000000005E-2</c:v>
                </c:pt>
                <c:pt idx="236">
                  <c:v>6.2371999999999997E-2</c:v>
                </c:pt>
                <c:pt idx="237">
                  <c:v>6.2481999999999996E-2</c:v>
                </c:pt>
                <c:pt idx="238">
                  <c:v>6.2623999999999999E-2</c:v>
                </c:pt>
                <c:pt idx="239">
                  <c:v>6.2736E-2</c:v>
                </c:pt>
                <c:pt idx="240">
                  <c:v>6.2845999999999999E-2</c:v>
                </c:pt>
                <c:pt idx="241">
                  <c:v>6.2958E-2</c:v>
                </c:pt>
                <c:pt idx="242">
                  <c:v>6.3070000000000001E-2</c:v>
                </c:pt>
                <c:pt idx="243">
                  <c:v>6.3177999999999998E-2</c:v>
                </c:pt>
                <c:pt idx="244">
                  <c:v>6.3315999999999997E-2</c:v>
                </c:pt>
                <c:pt idx="245">
                  <c:v>6.3427999999999998E-2</c:v>
                </c:pt>
                <c:pt idx="246">
                  <c:v>6.3539999999999999E-2</c:v>
                </c:pt>
                <c:pt idx="247">
                  <c:v>6.3624E-2</c:v>
                </c:pt>
                <c:pt idx="248">
                  <c:v>6.3736000000000001E-2</c:v>
                </c:pt>
                <c:pt idx="249">
                  <c:v>6.3846E-2</c:v>
                </c:pt>
                <c:pt idx="250">
                  <c:v>6.3955999999999999E-2</c:v>
                </c:pt>
                <c:pt idx="251">
                  <c:v>6.4065999999999998E-2</c:v>
                </c:pt>
                <c:pt idx="252">
                  <c:v>6.4177999999999999E-2</c:v>
                </c:pt>
                <c:pt idx="253">
                  <c:v>6.429E-2</c:v>
                </c:pt>
                <c:pt idx="254">
                  <c:v>6.4402000000000001E-2</c:v>
                </c:pt>
                <c:pt idx="255">
                  <c:v>6.4512E-2</c:v>
                </c:pt>
                <c:pt idx="256">
                  <c:v>6.4624000000000001E-2</c:v>
                </c:pt>
                <c:pt idx="257">
                  <c:v>6.4706E-2</c:v>
                </c:pt>
                <c:pt idx="258">
                  <c:v>6.4818000000000001E-2</c:v>
                </c:pt>
                <c:pt idx="259">
                  <c:v>6.4899999999999999E-2</c:v>
                </c:pt>
                <c:pt idx="260">
                  <c:v>6.5012E-2</c:v>
                </c:pt>
                <c:pt idx="261">
                  <c:v>6.5096000000000001E-2</c:v>
                </c:pt>
                <c:pt idx="262">
                  <c:v>6.5208000000000002E-2</c:v>
                </c:pt>
                <c:pt idx="263">
                  <c:v>6.5318000000000001E-2</c:v>
                </c:pt>
                <c:pt idx="264">
                  <c:v>6.5402000000000002E-2</c:v>
                </c:pt>
                <c:pt idx="265">
                  <c:v>6.5512000000000001E-2</c:v>
                </c:pt>
                <c:pt idx="266">
                  <c:v>6.5594E-2</c:v>
                </c:pt>
                <c:pt idx="267">
                  <c:v>6.5706000000000001E-2</c:v>
                </c:pt>
                <c:pt idx="268">
                  <c:v>6.5787999999999999E-2</c:v>
                </c:pt>
                <c:pt idx="269">
                  <c:v>6.5872E-2</c:v>
                </c:pt>
                <c:pt idx="270">
                  <c:v>6.5984000000000001E-2</c:v>
                </c:pt>
                <c:pt idx="271">
                  <c:v>6.6094E-2</c:v>
                </c:pt>
                <c:pt idx="272">
                  <c:v>6.6178000000000001E-2</c:v>
                </c:pt>
                <c:pt idx="273">
                  <c:v>6.6262000000000001E-2</c:v>
                </c:pt>
                <c:pt idx="274">
                  <c:v>6.6346000000000002E-2</c:v>
                </c:pt>
                <c:pt idx="275">
                  <c:v>6.6458000000000003E-2</c:v>
                </c:pt>
                <c:pt idx="276">
                  <c:v>6.6568000000000002E-2</c:v>
                </c:pt>
                <c:pt idx="277">
                  <c:v>6.6651999999999989E-2</c:v>
                </c:pt>
                <c:pt idx="278">
                  <c:v>6.6734000000000002E-2</c:v>
                </c:pt>
                <c:pt idx="279">
                  <c:v>6.6874000000000003E-2</c:v>
                </c:pt>
                <c:pt idx="280">
                  <c:v>6.7012000000000002E-2</c:v>
                </c:pt>
                <c:pt idx="281">
                  <c:v>6.7150000000000001E-2</c:v>
                </c:pt>
                <c:pt idx="282">
                  <c:v>6.7290000000000003E-2</c:v>
                </c:pt>
                <c:pt idx="283">
                  <c:v>6.7402000000000004E-2</c:v>
                </c:pt>
                <c:pt idx="284">
                  <c:v>6.7539999999999989E-2</c:v>
                </c:pt>
                <c:pt idx="285">
                  <c:v>6.7680000000000004E-2</c:v>
                </c:pt>
                <c:pt idx="286">
                  <c:v>6.7816000000000001E-2</c:v>
                </c:pt>
                <c:pt idx="287">
                  <c:v>6.7928000000000002E-2</c:v>
                </c:pt>
                <c:pt idx="288">
                  <c:v>6.8066000000000002E-2</c:v>
                </c:pt>
                <c:pt idx="289">
                  <c:v>6.8208000000000005E-2</c:v>
                </c:pt>
                <c:pt idx="290">
                  <c:v>6.8319999999999992E-2</c:v>
                </c:pt>
                <c:pt idx="291">
                  <c:v>6.8430000000000005E-2</c:v>
                </c:pt>
                <c:pt idx="292">
                  <c:v>6.8566000000000002E-2</c:v>
                </c:pt>
                <c:pt idx="293">
                  <c:v>6.8678000000000003E-2</c:v>
                </c:pt>
                <c:pt idx="294">
                  <c:v>6.878999999999999E-2</c:v>
                </c:pt>
                <c:pt idx="295">
                  <c:v>6.8929999999999991E-2</c:v>
                </c:pt>
                <c:pt idx="296">
                  <c:v>6.9067999999999991E-2</c:v>
                </c:pt>
                <c:pt idx="297">
                  <c:v>6.9178000000000003E-2</c:v>
                </c:pt>
                <c:pt idx="298">
                  <c:v>6.9318000000000005E-2</c:v>
                </c:pt>
                <c:pt idx="299">
                  <c:v>6.9428000000000004E-2</c:v>
                </c:pt>
                <c:pt idx="300">
                  <c:v>6.9539999999999991E-2</c:v>
                </c:pt>
                <c:pt idx="301">
                  <c:v>6.9650000000000004E-2</c:v>
                </c:pt>
                <c:pt idx="302">
                  <c:v>6.9762000000000005E-2</c:v>
                </c:pt>
                <c:pt idx="303">
                  <c:v>6.9874000000000006E-2</c:v>
                </c:pt>
                <c:pt idx="304">
                  <c:v>6.9985999999999993E-2</c:v>
                </c:pt>
                <c:pt idx="305">
                  <c:v>7.0095999999999992E-2</c:v>
                </c:pt>
                <c:pt idx="306">
                  <c:v>7.0206000000000005E-2</c:v>
                </c:pt>
                <c:pt idx="307">
                  <c:v>7.0316000000000004E-2</c:v>
                </c:pt>
                <c:pt idx="308">
                  <c:v>7.0427999999999991E-2</c:v>
                </c:pt>
                <c:pt idx="309">
                  <c:v>7.0540000000000005E-2</c:v>
                </c:pt>
                <c:pt idx="310">
                  <c:v>7.0651999999999993E-2</c:v>
                </c:pt>
                <c:pt idx="311">
                  <c:v>7.0762000000000005E-2</c:v>
                </c:pt>
                <c:pt idx="312">
                  <c:v>7.0872000000000004E-2</c:v>
                </c:pt>
                <c:pt idx="313">
                  <c:v>7.0983999999999992E-2</c:v>
                </c:pt>
                <c:pt idx="314">
                  <c:v>7.1096000000000006E-2</c:v>
                </c:pt>
                <c:pt idx="315">
                  <c:v>7.1207999999999994E-2</c:v>
                </c:pt>
                <c:pt idx="316">
                  <c:v>7.1318000000000006E-2</c:v>
                </c:pt>
                <c:pt idx="317">
                  <c:v>7.1429999999999993E-2</c:v>
                </c:pt>
                <c:pt idx="318">
                  <c:v>7.1539999999999992E-2</c:v>
                </c:pt>
                <c:pt idx="319">
                  <c:v>7.1650000000000005E-2</c:v>
                </c:pt>
                <c:pt idx="320">
                  <c:v>7.1788000000000005E-2</c:v>
                </c:pt>
                <c:pt idx="321">
                  <c:v>7.1929999999999994E-2</c:v>
                </c:pt>
                <c:pt idx="322">
                  <c:v>7.2068000000000007E-2</c:v>
                </c:pt>
                <c:pt idx="323">
                  <c:v>7.2207999999999994E-2</c:v>
                </c:pt>
                <c:pt idx="324">
                  <c:v>7.2346000000000008E-2</c:v>
                </c:pt>
                <c:pt idx="325">
                  <c:v>7.2481999999999991E-2</c:v>
                </c:pt>
                <c:pt idx="326">
                  <c:v>7.2622000000000006E-2</c:v>
                </c:pt>
                <c:pt idx="327">
                  <c:v>7.2762000000000007E-2</c:v>
                </c:pt>
                <c:pt idx="328">
                  <c:v>7.2900000000000006E-2</c:v>
                </c:pt>
                <c:pt idx="329">
                  <c:v>7.3040000000000008E-2</c:v>
                </c:pt>
                <c:pt idx="330">
                  <c:v>7.3178000000000007E-2</c:v>
                </c:pt>
                <c:pt idx="331">
                  <c:v>7.3315999999999992E-2</c:v>
                </c:pt>
                <c:pt idx="332">
                  <c:v>7.3456000000000007E-2</c:v>
                </c:pt>
                <c:pt idx="333">
                  <c:v>7.3567999999999995E-2</c:v>
                </c:pt>
                <c:pt idx="334">
                  <c:v>7.3707999999999996E-2</c:v>
                </c:pt>
                <c:pt idx="335">
                  <c:v>7.3817999999999995E-2</c:v>
                </c:pt>
                <c:pt idx="336">
                  <c:v>7.3955999999999994E-2</c:v>
                </c:pt>
                <c:pt idx="337">
                  <c:v>7.4067999999999995E-2</c:v>
                </c:pt>
                <c:pt idx="338">
                  <c:v>7.4177999999999994E-2</c:v>
                </c:pt>
                <c:pt idx="339">
                  <c:v>7.4290000000000009E-2</c:v>
                </c:pt>
                <c:pt idx="340">
                  <c:v>7.4429999999999996E-2</c:v>
                </c:pt>
                <c:pt idx="341">
                  <c:v>7.4539999999999995E-2</c:v>
                </c:pt>
                <c:pt idx="342">
                  <c:v>7.4651999999999996E-2</c:v>
                </c:pt>
                <c:pt idx="343">
                  <c:v>7.4759999999999993E-2</c:v>
                </c:pt>
                <c:pt idx="344">
                  <c:v>7.4871999999999994E-2</c:v>
                </c:pt>
                <c:pt idx="345">
                  <c:v>7.5011999999999995E-2</c:v>
                </c:pt>
                <c:pt idx="346">
                  <c:v>7.512400000000001E-2</c:v>
                </c:pt>
                <c:pt idx="347">
                  <c:v>7.5233999999999995E-2</c:v>
                </c:pt>
                <c:pt idx="348">
                  <c:v>7.5345999999999996E-2</c:v>
                </c:pt>
                <c:pt idx="349">
                  <c:v>7.5457999999999997E-2</c:v>
                </c:pt>
                <c:pt idx="350">
                  <c:v>7.5593999999999995E-2</c:v>
                </c:pt>
                <c:pt idx="351">
                  <c:v>7.573400000000001E-2</c:v>
                </c:pt>
                <c:pt idx="352">
                  <c:v>7.5873999999999997E-2</c:v>
                </c:pt>
                <c:pt idx="353">
                  <c:v>7.6009999999999994E-2</c:v>
                </c:pt>
                <c:pt idx="354">
                  <c:v>7.6151999999999997E-2</c:v>
                </c:pt>
                <c:pt idx="355">
                  <c:v>7.6289999999999997E-2</c:v>
                </c:pt>
                <c:pt idx="356">
                  <c:v>7.6427999999999996E-2</c:v>
                </c:pt>
                <c:pt idx="357">
                  <c:v>7.6567999999999997E-2</c:v>
                </c:pt>
                <c:pt idx="358">
                  <c:v>7.6707999999999998E-2</c:v>
                </c:pt>
                <c:pt idx="359">
                  <c:v>7.6845999999999998E-2</c:v>
                </c:pt>
                <c:pt idx="360">
                  <c:v>7.6985999999999999E-2</c:v>
                </c:pt>
                <c:pt idx="361">
                  <c:v>7.7121999999999996E-2</c:v>
                </c:pt>
                <c:pt idx="362">
                  <c:v>7.7259999999999995E-2</c:v>
                </c:pt>
                <c:pt idx="363">
                  <c:v>7.7399999999999997E-2</c:v>
                </c:pt>
                <c:pt idx="364">
                  <c:v>7.7539999999999998E-2</c:v>
                </c:pt>
                <c:pt idx="365">
                  <c:v>7.7679999999999999E-2</c:v>
                </c:pt>
                <c:pt idx="366">
                  <c:v>7.7817999999999998E-2</c:v>
                </c:pt>
                <c:pt idx="367">
                  <c:v>7.7955999999999998E-2</c:v>
                </c:pt>
                <c:pt idx="368">
                  <c:v>7.8095999999999999E-2</c:v>
                </c:pt>
                <c:pt idx="369">
                  <c:v>7.8236E-2</c:v>
                </c:pt>
                <c:pt idx="370">
                  <c:v>7.8373999999999999E-2</c:v>
                </c:pt>
                <c:pt idx="371">
                  <c:v>7.8511999999999998E-2</c:v>
                </c:pt>
                <c:pt idx="372">
                  <c:v>7.8652E-2</c:v>
                </c:pt>
                <c:pt idx="373">
                  <c:v>7.8787999999999997E-2</c:v>
                </c:pt>
                <c:pt idx="374">
                  <c:v>7.8955999999999998E-2</c:v>
                </c:pt>
                <c:pt idx="375">
                  <c:v>7.9093999999999998E-2</c:v>
                </c:pt>
                <c:pt idx="376">
                  <c:v>7.9261999999999999E-2</c:v>
                </c:pt>
                <c:pt idx="377">
                  <c:v>7.9399999999999998E-2</c:v>
                </c:pt>
                <c:pt idx="378">
                  <c:v>7.954E-2</c:v>
                </c:pt>
                <c:pt idx="379">
                  <c:v>7.9705999999999999E-2</c:v>
                </c:pt>
                <c:pt idx="380">
                  <c:v>7.9874000000000001E-2</c:v>
                </c:pt>
                <c:pt idx="381">
                  <c:v>8.0012000000000014E-2</c:v>
                </c:pt>
                <c:pt idx="382">
                  <c:v>8.0149999999999999E-2</c:v>
                </c:pt>
                <c:pt idx="383">
                  <c:v>8.029E-2</c:v>
                </c:pt>
                <c:pt idx="384">
                  <c:v>8.0429999999999988E-2</c:v>
                </c:pt>
                <c:pt idx="385">
                  <c:v>8.0568000000000015E-2</c:v>
                </c:pt>
                <c:pt idx="386">
                  <c:v>8.0708000000000002E-2</c:v>
                </c:pt>
                <c:pt idx="387">
                  <c:v>8.0846000000000001E-2</c:v>
                </c:pt>
                <c:pt idx="388">
                  <c:v>8.0981999999999998E-2</c:v>
                </c:pt>
                <c:pt idx="389">
                  <c:v>8.1122E-2</c:v>
                </c:pt>
                <c:pt idx="390">
                  <c:v>8.1262000000000001E-2</c:v>
                </c:pt>
                <c:pt idx="391">
                  <c:v>8.1402000000000002E-2</c:v>
                </c:pt>
                <c:pt idx="392">
                  <c:v>8.1541999999999989E-2</c:v>
                </c:pt>
                <c:pt idx="393">
                  <c:v>8.1678000000000001E-2</c:v>
                </c:pt>
                <c:pt idx="394">
                  <c:v>8.1846000000000002E-2</c:v>
                </c:pt>
                <c:pt idx="395">
                  <c:v>8.2012000000000002E-2</c:v>
                </c:pt>
                <c:pt idx="396">
                  <c:v>8.2180000000000003E-2</c:v>
                </c:pt>
                <c:pt idx="397">
                  <c:v>8.2318000000000002E-2</c:v>
                </c:pt>
                <c:pt idx="398">
                  <c:v>8.2484000000000002E-2</c:v>
                </c:pt>
                <c:pt idx="399">
                  <c:v>8.2622000000000001E-2</c:v>
                </c:pt>
                <c:pt idx="400">
                  <c:v>8.2790000000000002E-2</c:v>
                </c:pt>
                <c:pt idx="401">
                  <c:v>8.2928000000000002E-2</c:v>
                </c:pt>
                <c:pt idx="402">
                  <c:v>8.3096000000000003E-2</c:v>
                </c:pt>
                <c:pt idx="403">
                  <c:v>8.3233999999999989E-2</c:v>
                </c:pt>
                <c:pt idx="404">
                  <c:v>8.3374000000000004E-2</c:v>
                </c:pt>
                <c:pt idx="405">
                  <c:v>8.3512000000000003E-2</c:v>
                </c:pt>
                <c:pt idx="406">
                  <c:v>8.3650000000000002E-2</c:v>
                </c:pt>
                <c:pt idx="407">
                  <c:v>8.3789999999999989E-2</c:v>
                </c:pt>
                <c:pt idx="408">
                  <c:v>8.3930000000000005E-2</c:v>
                </c:pt>
                <c:pt idx="409">
                  <c:v>8.4065999999999988E-2</c:v>
                </c:pt>
                <c:pt idx="410">
                  <c:v>8.4206000000000003E-2</c:v>
                </c:pt>
                <c:pt idx="411">
                  <c:v>8.434599999999999E-2</c:v>
                </c:pt>
                <c:pt idx="412">
                  <c:v>8.4512000000000004E-2</c:v>
                </c:pt>
                <c:pt idx="413">
                  <c:v>8.4680000000000005E-2</c:v>
                </c:pt>
                <c:pt idx="414">
                  <c:v>8.4844000000000003E-2</c:v>
                </c:pt>
                <c:pt idx="415">
                  <c:v>8.5009999999999988E-2</c:v>
                </c:pt>
                <c:pt idx="416">
                  <c:v>8.5180000000000006E-2</c:v>
                </c:pt>
                <c:pt idx="417">
                  <c:v>8.5345999999999991E-2</c:v>
                </c:pt>
                <c:pt idx="418">
                  <c:v>8.5511999999999991E-2</c:v>
                </c:pt>
                <c:pt idx="419">
                  <c:v>8.5679999999999992E-2</c:v>
                </c:pt>
                <c:pt idx="420">
                  <c:v>8.5844000000000004E-2</c:v>
                </c:pt>
                <c:pt idx="421">
                  <c:v>8.6013999999999993E-2</c:v>
                </c:pt>
                <c:pt idx="422">
                  <c:v>8.6180000000000007E-2</c:v>
                </c:pt>
                <c:pt idx="423">
                  <c:v>8.634399999999999E-2</c:v>
                </c:pt>
                <c:pt idx="424">
                  <c:v>8.6511999999999992E-2</c:v>
                </c:pt>
                <c:pt idx="425">
                  <c:v>8.6677999999999991E-2</c:v>
                </c:pt>
                <c:pt idx="426">
                  <c:v>8.6845999999999993E-2</c:v>
                </c:pt>
                <c:pt idx="427">
                  <c:v>8.7040000000000006E-2</c:v>
                </c:pt>
                <c:pt idx="428">
                  <c:v>8.7205999999999992E-2</c:v>
                </c:pt>
                <c:pt idx="429">
                  <c:v>8.7400000000000005E-2</c:v>
                </c:pt>
                <c:pt idx="430">
                  <c:v>8.7593999999999991E-2</c:v>
                </c:pt>
                <c:pt idx="431">
                  <c:v>8.7761999999999993E-2</c:v>
                </c:pt>
                <c:pt idx="432">
                  <c:v>8.7956000000000006E-2</c:v>
                </c:pt>
                <c:pt idx="433">
                  <c:v>8.8122000000000006E-2</c:v>
                </c:pt>
                <c:pt idx="434">
                  <c:v>8.8290000000000007E-2</c:v>
                </c:pt>
                <c:pt idx="435">
                  <c:v>8.8458000000000009E-2</c:v>
                </c:pt>
                <c:pt idx="436">
                  <c:v>8.8650000000000007E-2</c:v>
                </c:pt>
                <c:pt idx="437">
                  <c:v>8.8818000000000008E-2</c:v>
                </c:pt>
                <c:pt idx="438">
                  <c:v>8.8985999999999996E-2</c:v>
                </c:pt>
                <c:pt idx="439">
                  <c:v>8.9152000000000009E-2</c:v>
                </c:pt>
                <c:pt idx="440">
                  <c:v>8.9318000000000008E-2</c:v>
                </c:pt>
                <c:pt idx="441">
                  <c:v>8.9511999999999994E-2</c:v>
                </c:pt>
                <c:pt idx="442">
                  <c:v>8.970800000000001E-2</c:v>
                </c:pt>
                <c:pt idx="443">
                  <c:v>8.9901999999999996E-2</c:v>
                </c:pt>
                <c:pt idx="444">
                  <c:v>9.0096000000000009E-2</c:v>
                </c:pt>
                <c:pt idx="445">
                  <c:v>9.0288000000000007E-2</c:v>
                </c:pt>
                <c:pt idx="446">
                  <c:v>9.0456000000000009E-2</c:v>
                </c:pt>
                <c:pt idx="447">
                  <c:v>9.065200000000001E-2</c:v>
                </c:pt>
                <c:pt idx="448">
                  <c:v>9.0845999999999996E-2</c:v>
                </c:pt>
                <c:pt idx="449">
                  <c:v>9.1037999999999994E-2</c:v>
                </c:pt>
                <c:pt idx="450">
                  <c:v>9.1233999999999996E-2</c:v>
                </c:pt>
                <c:pt idx="451">
                  <c:v>9.1400000000000009E-2</c:v>
                </c:pt>
                <c:pt idx="452">
                  <c:v>9.1569999999999999E-2</c:v>
                </c:pt>
                <c:pt idx="453">
                  <c:v>9.1761999999999996E-2</c:v>
                </c:pt>
                <c:pt idx="454">
                  <c:v>9.195600000000001E-2</c:v>
                </c:pt>
                <c:pt idx="455">
                  <c:v>9.2149999999999996E-2</c:v>
                </c:pt>
                <c:pt idx="456">
                  <c:v>9.2345999999999998E-2</c:v>
                </c:pt>
                <c:pt idx="457">
                  <c:v>9.2539999999999997E-2</c:v>
                </c:pt>
                <c:pt idx="458">
                  <c:v>9.2734000000000011E-2</c:v>
                </c:pt>
                <c:pt idx="459">
                  <c:v>9.2929999999999999E-2</c:v>
                </c:pt>
                <c:pt idx="460">
                  <c:v>9.3123999999999998E-2</c:v>
                </c:pt>
                <c:pt idx="461">
                  <c:v>9.3317999999999998E-2</c:v>
                </c:pt>
                <c:pt idx="462">
                  <c:v>9.3511999999999998E-2</c:v>
                </c:pt>
                <c:pt idx="463">
                  <c:v>9.3705999999999998E-2</c:v>
                </c:pt>
                <c:pt idx="464">
                  <c:v>9.3930000000000013E-2</c:v>
                </c:pt>
                <c:pt idx="465">
                  <c:v>9.4149999999999998E-2</c:v>
                </c:pt>
                <c:pt idx="466">
                  <c:v>9.4374E-2</c:v>
                </c:pt>
                <c:pt idx="467">
                  <c:v>9.4570000000000001E-2</c:v>
                </c:pt>
                <c:pt idx="468">
                  <c:v>9.4787999999999997E-2</c:v>
                </c:pt>
                <c:pt idx="469">
                  <c:v>9.4983999999999999E-2</c:v>
                </c:pt>
                <c:pt idx="470">
                  <c:v>9.5208000000000001E-2</c:v>
                </c:pt>
                <c:pt idx="471">
                  <c:v>9.5402000000000001E-2</c:v>
                </c:pt>
                <c:pt idx="472">
                  <c:v>9.5624000000000001E-2</c:v>
                </c:pt>
                <c:pt idx="473">
                  <c:v>9.5818E-2</c:v>
                </c:pt>
                <c:pt idx="474">
                  <c:v>9.6039999999999986E-2</c:v>
                </c:pt>
                <c:pt idx="475">
                  <c:v>9.6262000000000014E-2</c:v>
                </c:pt>
                <c:pt idx="476">
                  <c:v>9.6481999999999998E-2</c:v>
                </c:pt>
                <c:pt idx="477">
                  <c:v>9.6708000000000002E-2</c:v>
                </c:pt>
                <c:pt idx="478">
                  <c:v>9.6930000000000002E-2</c:v>
                </c:pt>
                <c:pt idx="479">
                  <c:v>9.7151999999999988E-2</c:v>
                </c:pt>
                <c:pt idx="480">
                  <c:v>9.7373999999999988E-2</c:v>
                </c:pt>
                <c:pt idx="481">
                  <c:v>9.7596000000000002E-2</c:v>
                </c:pt>
                <c:pt idx="482">
                  <c:v>9.7815999999999986E-2</c:v>
                </c:pt>
                <c:pt idx="483">
                  <c:v>9.8038000000000014E-2</c:v>
                </c:pt>
                <c:pt idx="484">
                  <c:v>9.8262000000000002E-2</c:v>
                </c:pt>
                <c:pt idx="485">
                  <c:v>9.8484000000000002E-2</c:v>
                </c:pt>
                <c:pt idx="486">
                  <c:v>9.8706000000000002E-2</c:v>
                </c:pt>
                <c:pt idx="487">
                  <c:v>9.8930000000000004E-2</c:v>
                </c:pt>
                <c:pt idx="488">
                  <c:v>9.9152000000000004E-2</c:v>
                </c:pt>
                <c:pt idx="489">
                  <c:v>9.9372000000000002E-2</c:v>
                </c:pt>
                <c:pt idx="490">
                  <c:v>9.9594000000000002E-2</c:v>
                </c:pt>
                <c:pt idx="491">
                  <c:v>9.9818000000000004E-2</c:v>
                </c:pt>
                <c:pt idx="492">
                  <c:v>0.10004200000000001</c:v>
                </c:pt>
                <c:pt idx="493">
                  <c:v>0.10029</c:v>
                </c:pt>
                <c:pt idx="494">
                  <c:v>0.10054</c:v>
                </c:pt>
                <c:pt idx="495">
                  <c:v>0.10079200000000001</c:v>
                </c:pt>
                <c:pt idx="496">
                  <c:v>0.101012</c:v>
                </c:pt>
                <c:pt idx="497">
                  <c:v>0.101234</c:v>
                </c:pt>
                <c:pt idx="498">
                  <c:v>0.101456</c:v>
                </c:pt>
                <c:pt idx="499">
                  <c:v>0.10167799999999999</c:v>
                </c:pt>
                <c:pt idx="500">
                  <c:v>0.10192999999999999</c:v>
                </c:pt>
                <c:pt idx="501">
                  <c:v>0.102178</c:v>
                </c:pt>
                <c:pt idx="502">
                  <c:v>0.10242800000000001</c:v>
                </c:pt>
                <c:pt idx="503">
                  <c:v>0.10267799999999999</c:v>
                </c:pt>
                <c:pt idx="504">
                  <c:v>0.10292999999999999</c:v>
                </c:pt>
                <c:pt idx="505">
                  <c:v>0.10315200000000001</c:v>
                </c:pt>
                <c:pt idx="506">
                  <c:v>0.10339999999999999</c:v>
                </c:pt>
                <c:pt idx="507">
                  <c:v>0.10362199999999999</c:v>
                </c:pt>
                <c:pt idx="508">
                  <c:v>0.10387600000000001</c:v>
                </c:pt>
                <c:pt idx="509">
                  <c:v>0.10412200000000001</c:v>
                </c:pt>
                <c:pt idx="510">
                  <c:v>0.10437400000000001</c:v>
                </c:pt>
                <c:pt idx="511">
                  <c:v>0.10462400000000001</c:v>
                </c:pt>
                <c:pt idx="512">
                  <c:v>0.10487199999999999</c:v>
                </c:pt>
                <c:pt idx="513">
                  <c:v>0.105124</c:v>
                </c:pt>
                <c:pt idx="514">
                  <c:v>0.105374</c:v>
                </c:pt>
                <c:pt idx="515">
                  <c:v>0.10565200000000001</c:v>
                </c:pt>
                <c:pt idx="516">
                  <c:v>0.10592800000000001</c:v>
                </c:pt>
                <c:pt idx="517">
                  <c:v>0.10620599999999999</c:v>
                </c:pt>
                <c:pt idx="518">
                  <c:v>0.10648400000000001</c:v>
                </c:pt>
                <c:pt idx="519">
                  <c:v>0.106762</c:v>
                </c:pt>
                <c:pt idx="520">
                  <c:v>0.107012</c:v>
                </c:pt>
                <c:pt idx="521">
                  <c:v>0.10729</c:v>
                </c:pt>
                <c:pt idx="522">
                  <c:v>0.107568</c:v>
                </c:pt>
                <c:pt idx="523">
                  <c:v>0.107844</c:v>
                </c:pt>
                <c:pt idx="524">
                  <c:v>0.10812200000000001</c:v>
                </c:pt>
                <c:pt idx="525">
                  <c:v>0.108402</c:v>
                </c:pt>
                <c:pt idx="526">
                  <c:v>0.10867800000000001</c:v>
                </c:pt>
                <c:pt idx="527">
                  <c:v>0.108956</c:v>
                </c:pt>
                <c:pt idx="528">
                  <c:v>0.109236</c:v>
                </c:pt>
                <c:pt idx="529">
                  <c:v>0.10951000000000001</c:v>
                </c:pt>
                <c:pt idx="530">
                  <c:v>0.109816</c:v>
                </c:pt>
                <c:pt idx="531">
                  <c:v>0.11009600000000001</c:v>
                </c:pt>
                <c:pt idx="532">
                  <c:v>0.110374</c:v>
                </c:pt>
                <c:pt idx="533">
                  <c:v>0.11065</c:v>
                </c:pt>
                <c:pt idx="534">
                  <c:v>0.110928</c:v>
                </c:pt>
                <c:pt idx="535">
                  <c:v>0.111236</c:v>
                </c:pt>
                <c:pt idx="536">
                  <c:v>0.111514</c:v>
                </c:pt>
                <c:pt idx="537">
                  <c:v>0.11181800000000001</c:v>
                </c:pt>
                <c:pt idx="538">
                  <c:v>0.112096</c:v>
                </c:pt>
                <c:pt idx="539">
                  <c:v>0.11237399999999999</c:v>
                </c:pt>
                <c:pt idx="540">
                  <c:v>0.11265</c:v>
                </c:pt>
                <c:pt idx="541">
                  <c:v>0.112958</c:v>
                </c:pt>
                <c:pt idx="542">
                  <c:v>0.11326</c:v>
                </c:pt>
                <c:pt idx="543">
                  <c:v>0.113568</c:v>
                </c:pt>
                <c:pt idx="544">
                  <c:v>0.11387399999999999</c:v>
                </c:pt>
                <c:pt idx="545">
                  <c:v>0.114178</c:v>
                </c:pt>
                <c:pt idx="546">
                  <c:v>0.114482</c:v>
                </c:pt>
                <c:pt idx="547">
                  <c:v>0.114788</c:v>
                </c:pt>
                <c:pt idx="548">
                  <c:v>0.11509399999999999</c:v>
                </c:pt>
                <c:pt idx="549">
                  <c:v>0.11542999999999999</c:v>
                </c:pt>
                <c:pt idx="550">
                  <c:v>0.115762</c:v>
                </c:pt>
                <c:pt idx="551">
                  <c:v>0.116096</c:v>
                </c:pt>
                <c:pt idx="552">
                  <c:v>0.11642799999999999</c:v>
                </c:pt>
                <c:pt idx="553">
                  <c:v>0.11676199999999999</c:v>
                </c:pt>
                <c:pt idx="554">
                  <c:v>0.117094</c:v>
                </c:pt>
                <c:pt idx="555">
                  <c:v>0.117428</c:v>
                </c:pt>
                <c:pt idx="556">
                  <c:v>0.11776400000000001</c:v>
                </c:pt>
                <c:pt idx="557">
                  <c:v>0.118094</c:v>
                </c:pt>
                <c:pt idx="558">
                  <c:v>0.11842999999999999</c:v>
                </c:pt>
                <c:pt idx="559">
                  <c:v>0.11876200000000001</c:v>
                </c:pt>
                <c:pt idx="560">
                  <c:v>0.11909599999999999</c:v>
                </c:pt>
                <c:pt idx="561">
                  <c:v>0.119426</c:v>
                </c:pt>
                <c:pt idx="562">
                  <c:v>0.11978999999999999</c:v>
                </c:pt>
                <c:pt idx="563">
                  <c:v>0.12012200000000001</c:v>
                </c:pt>
                <c:pt idx="564">
                  <c:v>0.12048400000000001</c:v>
                </c:pt>
                <c:pt idx="565">
                  <c:v>0.120846</c:v>
                </c:pt>
                <c:pt idx="566">
                  <c:v>0.12117800000000001</c:v>
                </c:pt>
                <c:pt idx="567">
                  <c:v>0.121542</c:v>
                </c:pt>
                <c:pt idx="568">
                  <c:v>0.12189999999999999</c:v>
                </c:pt>
                <c:pt idx="569">
                  <c:v>0.122264</c:v>
                </c:pt>
                <c:pt idx="570">
                  <c:v>0.122624</c:v>
                </c:pt>
                <c:pt idx="571">
                  <c:v>0.12298400000000001</c:v>
                </c:pt>
                <c:pt idx="572">
                  <c:v>0.123346</c:v>
                </c:pt>
                <c:pt idx="573">
                  <c:v>0.12370799999999998</c:v>
                </c:pt>
                <c:pt idx="574">
                  <c:v>0.124066</c:v>
                </c:pt>
                <c:pt idx="575">
                  <c:v>0.124428</c:v>
                </c:pt>
                <c:pt idx="576">
                  <c:v>0.124816</c:v>
                </c:pt>
                <c:pt idx="577">
                  <c:v>0.12520799999999999</c:v>
                </c:pt>
                <c:pt idx="578">
                  <c:v>0.12559599999999999</c:v>
                </c:pt>
                <c:pt idx="579">
                  <c:v>0.12598599999999999</c:v>
                </c:pt>
                <c:pt idx="580">
                  <c:v>0.12637200000000001</c:v>
                </c:pt>
                <c:pt idx="581">
                  <c:v>0.12676199999999999</c:v>
                </c:pt>
                <c:pt idx="582">
                  <c:v>0.12715199999999999</c:v>
                </c:pt>
                <c:pt idx="583">
                  <c:v>0.12753999999999999</c:v>
                </c:pt>
                <c:pt idx="584">
                  <c:v>0.12795600000000001</c:v>
                </c:pt>
                <c:pt idx="585">
                  <c:v>0.12837400000000002</c:v>
                </c:pt>
                <c:pt idx="586">
                  <c:v>0.12878999999999999</c:v>
                </c:pt>
                <c:pt idx="587">
                  <c:v>0.12920799999999999</c:v>
                </c:pt>
                <c:pt idx="588">
                  <c:v>0.12962400000000002</c:v>
                </c:pt>
                <c:pt idx="589">
                  <c:v>0.13004200000000002</c:v>
                </c:pt>
                <c:pt idx="590">
                  <c:v>0.13045600000000002</c:v>
                </c:pt>
                <c:pt idx="591">
                  <c:v>0.13087400000000002</c:v>
                </c:pt>
                <c:pt idx="592">
                  <c:v>0.13128999999999999</c:v>
                </c:pt>
                <c:pt idx="593">
                  <c:v>0.13170599999999999</c:v>
                </c:pt>
                <c:pt idx="594">
                  <c:v>0.13212400000000002</c:v>
                </c:pt>
                <c:pt idx="595">
                  <c:v>0.13253999999999999</c:v>
                </c:pt>
                <c:pt idx="596">
                  <c:v>0.13295799999999999</c:v>
                </c:pt>
                <c:pt idx="597">
                  <c:v>0.13337199999999999</c:v>
                </c:pt>
                <c:pt idx="598">
                  <c:v>0.13379200000000002</c:v>
                </c:pt>
                <c:pt idx="599">
                  <c:v>0.13423400000000002</c:v>
                </c:pt>
                <c:pt idx="600">
                  <c:v>0.13467999999999999</c:v>
                </c:pt>
                <c:pt idx="601">
                  <c:v>0.13512399999999999</c:v>
                </c:pt>
                <c:pt idx="602">
                  <c:v>0.13556599999999999</c:v>
                </c:pt>
                <c:pt idx="603">
                  <c:v>0.13603999999999999</c:v>
                </c:pt>
                <c:pt idx="604">
                  <c:v>0.13650999999999999</c:v>
                </c:pt>
                <c:pt idx="605">
                  <c:v>0.136986</c:v>
                </c:pt>
                <c:pt idx="606">
                  <c:v>0.13745599999999999</c:v>
                </c:pt>
                <c:pt idx="607">
                  <c:v>0.137928</c:v>
                </c:pt>
                <c:pt idx="608">
                  <c:v>0.138402</c:v>
                </c:pt>
                <c:pt idx="609">
                  <c:v>0.138872</c:v>
                </c:pt>
                <c:pt idx="610">
                  <c:v>0.139372</c:v>
                </c:pt>
                <c:pt idx="611">
                  <c:v>0.139874</c:v>
                </c:pt>
                <c:pt idx="612">
                  <c:v>0.140344</c:v>
                </c:pt>
                <c:pt idx="613">
                  <c:v>0.140846</c:v>
                </c:pt>
                <c:pt idx="614">
                  <c:v>0.141346</c:v>
                </c:pt>
                <c:pt idx="615">
                  <c:v>0.141846</c:v>
                </c:pt>
                <c:pt idx="616">
                  <c:v>0.142346</c:v>
                </c:pt>
                <c:pt idx="617">
                  <c:v>0.142846</c:v>
                </c:pt>
                <c:pt idx="618">
                  <c:v>0.143344</c:v>
                </c:pt>
                <c:pt idx="619">
                  <c:v>0.143846</c:v>
                </c:pt>
                <c:pt idx="620">
                  <c:v>0.144372</c:v>
                </c:pt>
                <c:pt idx="621">
                  <c:v>0.1449</c:v>
                </c:pt>
                <c:pt idx="622">
                  <c:v>0.145458</c:v>
                </c:pt>
                <c:pt idx="623">
                  <c:v>0.146012</c:v>
                </c:pt>
                <c:pt idx="624">
                  <c:v>0.146568</c:v>
                </c:pt>
                <c:pt idx="625">
                  <c:v>0.147124</c:v>
                </c:pt>
                <c:pt idx="626">
                  <c:v>0.14770800000000001</c:v>
                </c:pt>
                <c:pt idx="627">
                  <c:v>0.14829000000000001</c:v>
                </c:pt>
                <c:pt idx="628">
                  <c:v>0.14887400000000001</c:v>
                </c:pt>
                <c:pt idx="629">
                  <c:v>0.14948400000000001</c:v>
                </c:pt>
                <c:pt idx="630">
                  <c:v>0.15009600000000001</c:v>
                </c:pt>
                <c:pt idx="631">
                  <c:v>0.15070800000000001</c:v>
                </c:pt>
                <c:pt idx="632">
                  <c:v>0.15131800000000001</c:v>
                </c:pt>
                <c:pt idx="633">
                  <c:v>0.15192800000000001</c:v>
                </c:pt>
                <c:pt idx="634">
                  <c:v>0.15256800000000001</c:v>
                </c:pt>
                <c:pt idx="635">
                  <c:v>0.15323399999999998</c:v>
                </c:pt>
                <c:pt idx="636">
                  <c:v>0.15390200000000001</c:v>
                </c:pt>
                <c:pt idx="637">
                  <c:v>0.15462400000000001</c:v>
                </c:pt>
                <c:pt idx="638">
                  <c:v>0.15537400000000001</c:v>
                </c:pt>
                <c:pt idx="639">
                  <c:v>0.15615199999999999</c:v>
                </c:pt>
                <c:pt idx="640">
                  <c:v>0.15698399999999998</c:v>
                </c:pt>
                <c:pt idx="641">
                  <c:v>0.15781800000000001</c:v>
                </c:pt>
                <c:pt idx="642">
                  <c:v>0.15865000000000001</c:v>
                </c:pt>
                <c:pt idx="643">
                  <c:v>0.15948399999999999</c:v>
                </c:pt>
                <c:pt idx="644">
                  <c:v>0.16031800000000002</c:v>
                </c:pt>
                <c:pt idx="645">
                  <c:v>0.16114999999999999</c:v>
                </c:pt>
                <c:pt idx="646">
                  <c:v>0.16198399999999999</c:v>
                </c:pt>
              </c:numCache>
            </c:numRef>
          </c:cat>
          <c:val>
            <c:numRef>
              <c:f>'A10-2'!$F$2:$F$625</c:f>
              <c:numCache>
                <c:formatCode>0.00</c:formatCode>
                <c:ptCount val="624"/>
                <c:pt idx="0">
                  <c:v>0</c:v>
                </c:pt>
                <c:pt idx="1">
                  <c:v>0.25768307285559827</c:v>
                </c:pt>
                <c:pt idx="2">
                  <c:v>0.26121098800301323</c:v>
                </c:pt>
                <c:pt idx="3">
                  <c:v>0.2647389031504282</c:v>
                </c:pt>
                <c:pt idx="4">
                  <c:v>0.26828757073988679</c:v>
                </c:pt>
                <c:pt idx="5">
                  <c:v>0.26828757073988679</c:v>
                </c:pt>
                <c:pt idx="6">
                  <c:v>0.26828757073988679</c:v>
                </c:pt>
                <c:pt idx="7">
                  <c:v>0.2647389031504282</c:v>
                </c:pt>
                <c:pt idx="8">
                  <c:v>0.26828757073988679</c:v>
                </c:pt>
                <c:pt idx="9">
                  <c:v>0.26828757073988679</c:v>
                </c:pt>
                <c:pt idx="10">
                  <c:v>0.26828757073988679</c:v>
                </c:pt>
                <c:pt idx="11">
                  <c:v>0.27181548588730181</c:v>
                </c:pt>
                <c:pt idx="12">
                  <c:v>0.27181548588730181</c:v>
                </c:pt>
                <c:pt idx="13">
                  <c:v>0.27181548588730181</c:v>
                </c:pt>
                <c:pt idx="14">
                  <c:v>0.27181548588730181</c:v>
                </c:pt>
                <c:pt idx="15">
                  <c:v>0.27181548588730181</c:v>
                </c:pt>
                <c:pt idx="16">
                  <c:v>0.27534340103471677</c:v>
                </c:pt>
                <c:pt idx="17">
                  <c:v>0.27534340103471677</c:v>
                </c:pt>
                <c:pt idx="18">
                  <c:v>0.27534340103471677</c:v>
                </c:pt>
                <c:pt idx="19">
                  <c:v>0.27534340103471677</c:v>
                </c:pt>
                <c:pt idx="20">
                  <c:v>0.27181548588730181</c:v>
                </c:pt>
                <c:pt idx="21">
                  <c:v>0.26828757073988679</c:v>
                </c:pt>
                <c:pt idx="22">
                  <c:v>0.26828757073988679</c:v>
                </c:pt>
                <c:pt idx="23">
                  <c:v>0.26828757073988679</c:v>
                </c:pt>
                <c:pt idx="24">
                  <c:v>0.27181548588730181</c:v>
                </c:pt>
                <c:pt idx="25">
                  <c:v>0.27181548588730181</c:v>
                </c:pt>
                <c:pt idx="26">
                  <c:v>0.27181548588730181</c:v>
                </c:pt>
                <c:pt idx="27">
                  <c:v>0.27181548588730181</c:v>
                </c:pt>
                <c:pt idx="28">
                  <c:v>0.27181548588730181</c:v>
                </c:pt>
                <c:pt idx="29">
                  <c:v>0.27181548588730181</c:v>
                </c:pt>
                <c:pt idx="30">
                  <c:v>0.27887131618213168</c:v>
                </c:pt>
                <c:pt idx="31">
                  <c:v>0.27887131618213168</c:v>
                </c:pt>
                <c:pt idx="32">
                  <c:v>0.27887131618213168</c:v>
                </c:pt>
                <c:pt idx="33">
                  <c:v>0.27887131618213168</c:v>
                </c:pt>
                <c:pt idx="34">
                  <c:v>0.27534340103471677</c:v>
                </c:pt>
                <c:pt idx="35">
                  <c:v>0.27887131618213168</c:v>
                </c:pt>
                <c:pt idx="36">
                  <c:v>0.28239923132954664</c:v>
                </c:pt>
                <c:pt idx="37">
                  <c:v>0.27534340103471677</c:v>
                </c:pt>
                <c:pt idx="38">
                  <c:v>0.27181548588730181</c:v>
                </c:pt>
                <c:pt idx="39">
                  <c:v>0.27181548588730181</c:v>
                </c:pt>
                <c:pt idx="40">
                  <c:v>0.27181548588730181</c:v>
                </c:pt>
                <c:pt idx="41">
                  <c:v>0.27181548588730181</c:v>
                </c:pt>
                <c:pt idx="42">
                  <c:v>0.27534340103471677</c:v>
                </c:pt>
                <c:pt idx="43">
                  <c:v>0.27887131618213168</c:v>
                </c:pt>
                <c:pt idx="44">
                  <c:v>0.28592714647696166</c:v>
                </c:pt>
                <c:pt idx="45">
                  <c:v>0.2965108919192066</c:v>
                </c:pt>
                <c:pt idx="46">
                  <c:v>0.30356672221403652</c:v>
                </c:pt>
                <c:pt idx="47">
                  <c:v>0.30711538980349506</c:v>
                </c:pt>
                <c:pt idx="48">
                  <c:v>0.31064330495091003</c:v>
                </c:pt>
                <c:pt idx="49">
                  <c:v>0.31064330495091003</c:v>
                </c:pt>
                <c:pt idx="50">
                  <c:v>0.31417122009832504</c:v>
                </c:pt>
                <c:pt idx="51">
                  <c:v>0.31417122009832504</c:v>
                </c:pt>
                <c:pt idx="52">
                  <c:v>0.31769913524574001</c:v>
                </c:pt>
                <c:pt idx="53">
                  <c:v>0.31769913524574001</c:v>
                </c:pt>
                <c:pt idx="54">
                  <c:v>0.31769913524574001</c:v>
                </c:pt>
                <c:pt idx="55">
                  <c:v>0.31769913524574001</c:v>
                </c:pt>
                <c:pt idx="56">
                  <c:v>0.32122705039315497</c:v>
                </c:pt>
                <c:pt idx="57">
                  <c:v>0.32475496554056993</c:v>
                </c:pt>
                <c:pt idx="58">
                  <c:v>0.32475496554056993</c:v>
                </c:pt>
                <c:pt idx="59">
                  <c:v>0.32475496554056993</c:v>
                </c:pt>
                <c:pt idx="60">
                  <c:v>0.32475496554056993</c:v>
                </c:pt>
                <c:pt idx="61">
                  <c:v>0.32122705039315497</c:v>
                </c:pt>
                <c:pt idx="62">
                  <c:v>0.32122705039315497</c:v>
                </c:pt>
                <c:pt idx="63">
                  <c:v>0.32122705039315497</c:v>
                </c:pt>
                <c:pt idx="64">
                  <c:v>0.32122705039315497</c:v>
                </c:pt>
                <c:pt idx="65">
                  <c:v>0.32475496554056993</c:v>
                </c:pt>
                <c:pt idx="66">
                  <c:v>0.32122705039315497</c:v>
                </c:pt>
                <c:pt idx="67">
                  <c:v>0.31769913524574001</c:v>
                </c:pt>
                <c:pt idx="68">
                  <c:v>0.32122705039315497</c:v>
                </c:pt>
                <c:pt idx="69">
                  <c:v>0.32828288068798495</c:v>
                </c:pt>
                <c:pt idx="70">
                  <c:v>0.33533871098281481</c:v>
                </c:pt>
                <c:pt idx="71">
                  <c:v>0.33886662613022983</c:v>
                </c:pt>
                <c:pt idx="72">
                  <c:v>0.33886662613022983</c:v>
                </c:pt>
                <c:pt idx="73">
                  <c:v>0.33533871098281481</c:v>
                </c:pt>
                <c:pt idx="74">
                  <c:v>0.33533871098281481</c:v>
                </c:pt>
                <c:pt idx="75">
                  <c:v>0.33533871098281481</c:v>
                </c:pt>
                <c:pt idx="76">
                  <c:v>0.33181079583539991</c:v>
                </c:pt>
                <c:pt idx="77">
                  <c:v>0.32828288068798495</c:v>
                </c:pt>
                <c:pt idx="78">
                  <c:v>0.32828288068798495</c:v>
                </c:pt>
                <c:pt idx="79">
                  <c:v>0.33181079583539991</c:v>
                </c:pt>
                <c:pt idx="80">
                  <c:v>0.33181079583539991</c:v>
                </c:pt>
                <c:pt idx="81">
                  <c:v>0.32828288068798495</c:v>
                </c:pt>
                <c:pt idx="82">
                  <c:v>0.33533871098281481</c:v>
                </c:pt>
                <c:pt idx="83">
                  <c:v>0.33886662613022983</c:v>
                </c:pt>
                <c:pt idx="84">
                  <c:v>0.34241529371968843</c:v>
                </c:pt>
                <c:pt idx="85">
                  <c:v>0.34594320886710345</c:v>
                </c:pt>
                <c:pt idx="86">
                  <c:v>0.34947112401451841</c:v>
                </c:pt>
                <c:pt idx="87">
                  <c:v>0.35299903916193337</c:v>
                </c:pt>
                <c:pt idx="88">
                  <c:v>0.36005486945676329</c:v>
                </c:pt>
                <c:pt idx="89">
                  <c:v>0.3741665300464232</c:v>
                </c:pt>
                <c:pt idx="90">
                  <c:v>0.38829894307812662</c:v>
                </c:pt>
                <c:pt idx="91">
                  <c:v>0.40241060366778653</c:v>
                </c:pt>
                <c:pt idx="92">
                  <c:v>0.4130151015520751</c:v>
                </c:pt>
                <c:pt idx="93">
                  <c:v>0.42007093184690503</c:v>
                </c:pt>
                <c:pt idx="94">
                  <c:v>0.43065467728914997</c:v>
                </c:pt>
                <c:pt idx="95">
                  <c:v>0.43418259243656498</c:v>
                </c:pt>
                <c:pt idx="96">
                  <c:v>0.43771050758397989</c:v>
                </c:pt>
                <c:pt idx="97">
                  <c:v>0.44476633787880981</c:v>
                </c:pt>
                <c:pt idx="98">
                  <c:v>0.45184292061568343</c:v>
                </c:pt>
                <c:pt idx="99">
                  <c:v>0.46242666605792837</c:v>
                </c:pt>
                <c:pt idx="100">
                  <c:v>0.46948249635275824</c:v>
                </c:pt>
                <c:pt idx="101">
                  <c:v>0.4730104115001732</c:v>
                </c:pt>
                <c:pt idx="102">
                  <c:v>0.48006624179500318</c:v>
                </c:pt>
                <c:pt idx="103">
                  <c:v>0.49067073967929165</c:v>
                </c:pt>
                <c:pt idx="104">
                  <c:v>0.49419865482670666</c:v>
                </c:pt>
                <c:pt idx="105">
                  <c:v>0.49772656997412168</c:v>
                </c:pt>
                <c:pt idx="106">
                  <c:v>0.50831031541636651</c:v>
                </c:pt>
                <c:pt idx="107">
                  <c:v>0.51891481330065514</c:v>
                </c:pt>
                <c:pt idx="108">
                  <c:v>0.52949855874290008</c:v>
                </c:pt>
                <c:pt idx="109">
                  <c:v>0.54008230418514491</c:v>
                </c:pt>
                <c:pt idx="110">
                  <c:v>0.55066604962738985</c:v>
                </c:pt>
                <c:pt idx="111">
                  <c:v>0.56127054751167837</c:v>
                </c:pt>
                <c:pt idx="112">
                  <c:v>0.57538220810133822</c:v>
                </c:pt>
                <c:pt idx="113">
                  <c:v>0.58243803839616815</c:v>
                </c:pt>
                <c:pt idx="114">
                  <c:v>0.59657045142787168</c:v>
                </c:pt>
                <c:pt idx="115">
                  <c:v>0.60715419687011662</c:v>
                </c:pt>
                <c:pt idx="116">
                  <c:v>0.61773794231236157</c:v>
                </c:pt>
                <c:pt idx="117">
                  <c:v>0.62479377260719149</c:v>
                </c:pt>
                <c:pt idx="118">
                  <c:v>0.63539827049148001</c:v>
                </c:pt>
                <c:pt idx="119">
                  <c:v>0.64598201593372495</c:v>
                </c:pt>
                <c:pt idx="120">
                  <c:v>0.65656576137596989</c:v>
                </c:pt>
                <c:pt idx="121">
                  <c:v>0.67069817440767343</c:v>
                </c:pt>
                <c:pt idx="122">
                  <c:v>0.68480983499733328</c:v>
                </c:pt>
                <c:pt idx="123">
                  <c:v>0.69539358043957811</c:v>
                </c:pt>
                <c:pt idx="124">
                  <c:v>0.70952599347128165</c:v>
                </c:pt>
                <c:pt idx="125">
                  <c:v>0.72010973891352659</c:v>
                </c:pt>
                <c:pt idx="126">
                  <c:v>0.73424215194523013</c:v>
                </c:pt>
                <c:pt idx="127">
                  <c:v>0.74482589738747496</c:v>
                </c:pt>
                <c:pt idx="128">
                  <c:v>0.7589375579771348</c:v>
                </c:pt>
                <c:pt idx="129">
                  <c:v>0.77306997100883834</c:v>
                </c:pt>
                <c:pt idx="130">
                  <c:v>0.7871816315984983</c:v>
                </c:pt>
                <c:pt idx="131">
                  <c:v>0.80129329218815815</c:v>
                </c:pt>
                <c:pt idx="132">
                  <c:v>0.81542570521986169</c:v>
                </c:pt>
                <c:pt idx="133">
                  <c:v>0.82953736580952153</c:v>
                </c:pt>
                <c:pt idx="134">
                  <c:v>0.84366977884122507</c:v>
                </c:pt>
                <c:pt idx="135">
                  <c:v>0.85778143943088503</c:v>
                </c:pt>
                <c:pt idx="136">
                  <c:v>0.87189310002054488</c:v>
                </c:pt>
                <c:pt idx="137">
                  <c:v>0.88602551305224841</c:v>
                </c:pt>
                <c:pt idx="138">
                  <c:v>0.90013717364190826</c:v>
                </c:pt>
                <c:pt idx="139">
                  <c:v>0.91426958667361169</c:v>
                </c:pt>
                <c:pt idx="140">
                  <c:v>0.92838124726327165</c:v>
                </c:pt>
                <c:pt idx="141">
                  <c:v>0.94249290785293138</c:v>
                </c:pt>
                <c:pt idx="142">
                  <c:v>0.95662532088463492</c:v>
                </c:pt>
                <c:pt idx="143">
                  <c:v>0.97073698147429488</c:v>
                </c:pt>
                <c:pt idx="144">
                  <c:v>0.98486939450599831</c:v>
                </c:pt>
                <c:pt idx="145">
                  <c:v>0.99898105509565827</c:v>
                </c:pt>
                <c:pt idx="146">
                  <c:v>1.013092715685318</c:v>
                </c:pt>
                <c:pt idx="147">
                  <c:v>1.0272251287170218</c:v>
                </c:pt>
                <c:pt idx="148">
                  <c:v>1.0413367893066816</c:v>
                </c:pt>
                <c:pt idx="149">
                  <c:v>1.0554692023383851</c:v>
                </c:pt>
                <c:pt idx="150">
                  <c:v>1.069580862928045</c:v>
                </c:pt>
                <c:pt idx="151">
                  <c:v>1.0836925235177048</c:v>
                </c:pt>
                <c:pt idx="152">
                  <c:v>1.0978249365494084</c:v>
                </c:pt>
                <c:pt idx="153">
                  <c:v>1.1119365971390682</c:v>
                </c:pt>
                <c:pt idx="154">
                  <c:v>1.1260690101707718</c:v>
                </c:pt>
                <c:pt idx="155">
                  <c:v>1.1401806707604316</c:v>
                </c:pt>
                <c:pt idx="156">
                  <c:v>1.1542923313500917</c:v>
                </c:pt>
                <c:pt idx="157">
                  <c:v>1.168424744381795</c:v>
                </c:pt>
                <c:pt idx="158">
                  <c:v>1.1825364049714548</c:v>
                </c:pt>
                <c:pt idx="159">
                  <c:v>1.1966480655611149</c:v>
                </c:pt>
                <c:pt idx="160">
                  <c:v>1.2107804785928185</c:v>
                </c:pt>
                <c:pt idx="161">
                  <c:v>1.2248921391824781</c:v>
                </c:pt>
                <c:pt idx="162">
                  <c:v>1.2390245522141818</c:v>
                </c:pt>
                <c:pt idx="163">
                  <c:v>1.2531362128038415</c:v>
                </c:pt>
                <c:pt idx="164">
                  <c:v>1.2672478733935013</c:v>
                </c:pt>
                <c:pt idx="165">
                  <c:v>1.2813802864252049</c:v>
                </c:pt>
                <c:pt idx="166">
                  <c:v>1.2954919470148647</c:v>
                </c:pt>
                <c:pt idx="167">
                  <c:v>1.3096243600465682</c:v>
                </c:pt>
                <c:pt idx="168">
                  <c:v>1.3237360206362281</c:v>
                </c:pt>
                <c:pt idx="169">
                  <c:v>1.3378476812258882</c:v>
                </c:pt>
                <c:pt idx="170">
                  <c:v>1.3519800942575915</c:v>
                </c:pt>
                <c:pt idx="171">
                  <c:v>1.3660917548472515</c:v>
                </c:pt>
                <c:pt idx="172">
                  <c:v>1.3802241678789551</c:v>
                </c:pt>
                <c:pt idx="173">
                  <c:v>1.3943358284686147</c:v>
                </c:pt>
                <c:pt idx="174">
                  <c:v>1.4084474890582748</c:v>
                </c:pt>
                <c:pt idx="175">
                  <c:v>1.4225799020899783</c:v>
                </c:pt>
                <c:pt idx="176">
                  <c:v>1.4366915626796382</c:v>
                </c:pt>
                <c:pt idx="177">
                  <c:v>1.4508239757113417</c:v>
                </c:pt>
                <c:pt idx="178">
                  <c:v>1.4649356363010015</c:v>
                </c:pt>
                <c:pt idx="179">
                  <c:v>1.4790472968906616</c:v>
                </c:pt>
                <c:pt idx="180">
                  <c:v>1.4931797099223649</c:v>
                </c:pt>
                <c:pt idx="181">
                  <c:v>1.507291370512025</c:v>
                </c:pt>
                <c:pt idx="182">
                  <c:v>1.5214237835437283</c:v>
                </c:pt>
                <c:pt idx="183">
                  <c:v>1.5355354441333882</c:v>
                </c:pt>
                <c:pt idx="184">
                  <c:v>1.5496471047230482</c:v>
                </c:pt>
                <c:pt idx="185">
                  <c:v>1.5637795177547518</c:v>
                </c:pt>
                <c:pt idx="186">
                  <c:v>1.5778911783444116</c:v>
                </c:pt>
                <c:pt idx="187">
                  <c:v>1.5920235913761152</c:v>
                </c:pt>
                <c:pt idx="188">
                  <c:v>1.606135251965775</c:v>
                </c:pt>
                <c:pt idx="189">
                  <c:v>1.6202469125554348</c:v>
                </c:pt>
                <c:pt idx="190">
                  <c:v>1.6343793255871384</c:v>
                </c:pt>
                <c:pt idx="191">
                  <c:v>1.6484909861767985</c:v>
                </c:pt>
                <c:pt idx="192">
                  <c:v>1.6626233992085018</c:v>
                </c:pt>
                <c:pt idx="193">
                  <c:v>1.6767350597981614</c:v>
                </c:pt>
                <c:pt idx="194">
                  <c:v>1.6908467203878215</c:v>
                </c:pt>
                <c:pt idx="195">
                  <c:v>1.704979133419525</c:v>
                </c:pt>
                <c:pt idx="196">
                  <c:v>1.7190907940091846</c:v>
                </c:pt>
                <c:pt idx="197">
                  <c:v>1.7332232070408884</c:v>
                </c:pt>
                <c:pt idx="198">
                  <c:v>1.7473348676305482</c:v>
                </c:pt>
                <c:pt idx="199">
                  <c:v>1.7614465282202081</c:v>
                </c:pt>
                <c:pt idx="200">
                  <c:v>1.7755789412519116</c:v>
                </c:pt>
                <c:pt idx="201">
                  <c:v>1.7896906018415715</c:v>
                </c:pt>
                <c:pt idx="202">
                  <c:v>1.8038022624312315</c:v>
                </c:pt>
                <c:pt idx="203">
                  <c:v>1.8179346754629349</c:v>
                </c:pt>
                <c:pt idx="204">
                  <c:v>1.8320463360525949</c:v>
                </c:pt>
                <c:pt idx="205">
                  <c:v>1.8461787490842982</c:v>
                </c:pt>
                <c:pt idx="206">
                  <c:v>1.8602904096739581</c:v>
                </c:pt>
                <c:pt idx="207">
                  <c:v>1.8744020702636182</c:v>
                </c:pt>
                <c:pt idx="208">
                  <c:v>1.8885344832953217</c:v>
                </c:pt>
                <c:pt idx="209">
                  <c:v>1.9026461438849815</c:v>
                </c:pt>
                <c:pt idx="210">
                  <c:v>1.9167785569166851</c:v>
                </c:pt>
                <c:pt idx="211">
                  <c:v>1.9308902175063449</c:v>
                </c:pt>
                <c:pt idx="212">
                  <c:v>1.9450018780960048</c:v>
                </c:pt>
                <c:pt idx="213">
                  <c:v>1.9591342911277083</c:v>
                </c:pt>
                <c:pt idx="214">
                  <c:v>1.9732459517173682</c:v>
                </c:pt>
                <c:pt idx="215">
                  <c:v>1.9873783647490717</c:v>
                </c:pt>
                <c:pt idx="216">
                  <c:v>2.0014900253387315</c:v>
                </c:pt>
                <c:pt idx="217">
                  <c:v>2.0156016859283916</c:v>
                </c:pt>
                <c:pt idx="218">
                  <c:v>2.0297340989600947</c:v>
                </c:pt>
                <c:pt idx="219">
                  <c:v>2.0438457595497548</c:v>
                </c:pt>
                <c:pt idx="220">
                  <c:v>2.0579781725814583</c:v>
                </c:pt>
                <c:pt idx="221">
                  <c:v>2.0720898331711184</c:v>
                </c:pt>
                <c:pt idx="222">
                  <c:v>2.0862429986448654</c:v>
                </c:pt>
                <c:pt idx="223">
                  <c:v>2.100354659234525</c:v>
                </c:pt>
                <c:pt idx="224">
                  <c:v>2.1144663198241851</c:v>
                </c:pt>
                <c:pt idx="225">
                  <c:v>2.1285779804138447</c:v>
                </c:pt>
                <c:pt idx="226">
                  <c:v>2.1426896410035048</c:v>
                </c:pt>
                <c:pt idx="227">
                  <c:v>2.1568013015931649</c:v>
                </c:pt>
                <c:pt idx="228">
                  <c:v>2.1709129621828245</c:v>
                </c:pt>
                <c:pt idx="229">
                  <c:v>2.1850246227724845</c:v>
                </c:pt>
                <c:pt idx="230">
                  <c:v>2.1991362833621446</c:v>
                </c:pt>
                <c:pt idx="231">
                  <c:v>2.2132479439518042</c:v>
                </c:pt>
                <c:pt idx="232">
                  <c:v>2.2273596045414643</c:v>
                </c:pt>
                <c:pt idx="233">
                  <c:v>2.2449991802785392</c:v>
                </c:pt>
                <c:pt idx="234">
                  <c:v>2.2591108408681988</c:v>
                </c:pt>
                <c:pt idx="235">
                  <c:v>2.2732225014578589</c:v>
                </c:pt>
                <c:pt idx="236">
                  <c:v>2.2873341620475189</c:v>
                </c:pt>
                <c:pt idx="237">
                  <c:v>2.301445822637179</c:v>
                </c:pt>
                <c:pt idx="238">
                  <c:v>2.3155574832268386</c:v>
                </c:pt>
                <c:pt idx="239">
                  <c:v>2.3298766682369347</c:v>
                </c:pt>
                <c:pt idx="240">
                  <c:v>2.3439883288265948</c:v>
                </c:pt>
                <c:pt idx="241">
                  <c:v>2.3580999894162544</c:v>
                </c:pt>
                <c:pt idx="242">
                  <c:v>2.3757395651533293</c:v>
                </c:pt>
                <c:pt idx="243">
                  <c:v>2.3898512257429894</c:v>
                </c:pt>
                <c:pt idx="244">
                  <c:v>2.403962886332649</c:v>
                </c:pt>
                <c:pt idx="245">
                  <c:v>2.4180745469223091</c:v>
                </c:pt>
                <c:pt idx="246">
                  <c:v>2.4321862075119691</c:v>
                </c:pt>
                <c:pt idx="247">
                  <c:v>2.4462978681016283</c:v>
                </c:pt>
                <c:pt idx="248">
                  <c:v>2.4604095286912884</c:v>
                </c:pt>
                <c:pt idx="249">
                  <c:v>2.474521189280948</c:v>
                </c:pt>
                <c:pt idx="250">
                  <c:v>2.4886328498706081</c:v>
                </c:pt>
                <c:pt idx="251">
                  <c:v>2.5027445104602681</c:v>
                </c:pt>
                <c:pt idx="252">
                  <c:v>2.5168561710499282</c:v>
                </c:pt>
                <c:pt idx="253">
                  <c:v>2.5309678316395878</c:v>
                </c:pt>
                <c:pt idx="254">
                  <c:v>2.5450794922292479</c:v>
                </c:pt>
                <c:pt idx="255">
                  <c:v>2.5591911528189075</c:v>
                </c:pt>
                <c:pt idx="256">
                  <c:v>2.5733028134085676</c:v>
                </c:pt>
                <c:pt idx="257">
                  <c:v>2.5874144739982277</c:v>
                </c:pt>
                <c:pt idx="258">
                  <c:v>2.6015261345878873</c:v>
                </c:pt>
                <c:pt idx="259">
                  <c:v>2.6191657103249621</c:v>
                </c:pt>
                <c:pt idx="260">
                  <c:v>2.6332773709146222</c:v>
                </c:pt>
                <c:pt idx="261">
                  <c:v>2.6473890315042818</c:v>
                </c:pt>
                <c:pt idx="262">
                  <c:v>2.6615006920939419</c:v>
                </c:pt>
                <c:pt idx="263">
                  <c:v>2.675612352683602</c:v>
                </c:pt>
                <c:pt idx="264">
                  <c:v>2.6899315376936981</c:v>
                </c:pt>
                <c:pt idx="265">
                  <c:v>2.7075711134307725</c:v>
                </c:pt>
                <c:pt idx="266">
                  <c:v>2.7216827740204326</c:v>
                </c:pt>
                <c:pt idx="267">
                  <c:v>2.7428502649049222</c:v>
                </c:pt>
                <c:pt idx="268">
                  <c:v>2.7640177557894123</c:v>
                </c:pt>
                <c:pt idx="269">
                  <c:v>2.785185246673902</c:v>
                </c:pt>
                <c:pt idx="270">
                  <c:v>2.8063527375583921</c:v>
                </c:pt>
                <c:pt idx="271">
                  <c:v>2.8310481435902966</c:v>
                </c:pt>
                <c:pt idx="272">
                  <c:v>2.8522156344747867</c:v>
                </c:pt>
                <c:pt idx="273">
                  <c:v>2.8733831253592763</c:v>
                </c:pt>
                <c:pt idx="274">
                  <c:v>2.894550616243766</c:v>
                </c:pt>
                <c:pt idx="275">
                  <c:v>2.9157181071282561</c:v>
                </c:pt>
                <c:pt idx="276">
                  <c:v>2.9368855980127457</c:v>
                </c:pt>
                <c:pt idx="277">
                  <c:v>2.9580530888972358</c:v>
                </c:pt>
                <c:pt idx="278">
                  <c:v>2.9792205797817255</c:v>
                </c:pt>
                <c:pt idx="279">
                  <c:v>3.0003880706662156</c:v>
                </c:pt>
                <c:pt idx="280">
                  <c:v>3.0215555615507053</c:v>
                </c:pt>
                <c:pt idx="281">
                  <c:v>3.042930576855631</c:v>
                </c:pt>
                <c:pt idx="282">
                  <c:v>3.0640980677401211</c:v>
                </c:pt>
                <c:pt idx="283">
                  <c:v>3.0852655586246107</c:v>
                </c:pt>
                <c:pt idx="284">
                  <c:v>3.1099609646565161</c:v>
                </c:pt>
                <c:pt idx="285">
                  <c:v>3.1346563706884205</c:v>
                </c:pt>
                <c:pt idx="286">
                  <c:v>3.1593517767203254</c:v>
                </c:pt>
                <c:pt idx="287">
                  <c:v>3.1840471827522303</c:v>
                </c:pt>
                <c:pt idx="288">
                  <c:v>3.2087425887841348</c:v>
                </c:pt>
                <c:pt idx="289">
                  <c:v>3.2299100796686244</c:v>
                </c:pt>
                <c:pt idx="290">
                  <c:v>3.2546054857005293</c:v>
                </c:pt>
                <c:pt idx="291">
                  <c:v>3.2757729765850194</c:v>
                </c:pt>
                <c:pt idx="292">
                  <c:v>3.2969404674695091</c:v>
                </c:pt>
                <c:pt idx="293">
                  <c:v>3.3181079583539987</c:v>
                </c:pt>
                <c:pt idx="294">
                  <c:v>3.3392754492384888</c:v>
                </c:pt>
                <c:pt idx="295">
                  <c:v>3.3604429401229789</c:v>
                </c:pt>
                <c:pt idx="296">
                  <c:v>3.3851383461548834</c:v>
                </c:pt>
                <c:pt idx="297">
                  <c:v>3.4065133614598095</c:v>
                </c:pt>
                <c:pt idx="298">
                  <c:v>3.4276808523442992</c:v>
                </c:pt>
                <c:pt idx="299">
                  <c:v>3.4488483432287889</c:v>
                </c:pt>
                <c:pt idx="300">
                  <c:v>3.4735437492606938</c:v>
                </c:pt>
                <c:pt idx="301">
                  <c:v>3.4947112401451834</c:v>
                </c:pt>
                <c:pt idx="302">
                  <c:v>3.5158787310296735</c:v>
                </c:pt>
                <c:pt idx="303">
                  <c:v>3.5405741370615789</c:v>
                </c:pt>
                <c:pt idx="304">
                  <c:v>3.5617416279460681</c:v>
                </c:pt>
                <c:pt idx="305">
                  <c:v>3.586437033977973</c:v>
                </c:pt>
                <c:pt idx="306">
                  <c:v>3.6076045248624631</c:v>
                </c:pt>
                <c:pt idx="307">
                  <c:v>3.6287720157469532</c:v>
                </c:pt>
                <c:pt idx="308">
                  <c:v>3.6605232520736872</c:v>
                </c:pt>
                <c:pt idx="309">
                  <c:v>3.6887465732530069</c:v>
                </c:pt>
                <c:pt idx="310">
                  <c:v>3.7169698944323271</c:v>
                </c:pt>
                <c:pt idx="311">
                  <c:v>3.7487211307590611</c:v>
                </c:pt>
                <c:pt idx="312">
                  <c:v>3.7771519763588173</c:v>
                </c:pt>
                <c:pt idx="313">
                  <c:v>3.8089032126855522</c:v>
                </c:pt>
                <c:pt idx="314">
                  <c:v>3.8406544490122871</c:v>
                </c:pt>
                <c:pt idx="315">
                  <c:v>3.8688777701916073</c:v>
                </c:pt>
                <c:pt idx="316">
                  <c:v>3.9006290065183418</c:v>
                </c:pt>
                <c:pt idx="317">
                  <c:v>3.9323802428450767</c:v>
                </c:pt>
                <c:pt idx="318">
                  <c:v>3.9641314791718112</c:v>
                </c:pt>
                <c:pt idx="319">
                  <c:v>3.9923548003511309</c:v>
                </c:pt>
                <c:pt idx="320">
                  <c:v>4.0241060366778658</c:v>
                </c:pt>
                <c:pt idx="321">
                  <c:v>4.0558572730046007</c:v>
                </c:pt>
                <c:pt idx="322">
                  <c:v>4.0876085093313357</c:v>
                </c:pt>
                <c:pt idx="323">
                  <c:v>4.1195672700785062</c:v>
                </c:pt>
                <c:pt idx="324">
                  <c:v>4.1513185064052411</c:v>
                </c:pt>
                <c:pt idx="325">
                  <c:v>4.1830697427319752</c:v>
                </c:pt>
                <c:pt idx="326">
                  <c:v>4.2148209790587101</c:v>
                </c:pt>
                <c:pt idx="327">
                  <c:v>4.246572215385445</c:v>
                </c:pt>
                <c:pt idx="328">
                  <c:v>4.27832345171218</c:v>
                </c:pt>
                <c:pt idx="329">
                  <c:v>4.310074688038914</c:v>
                </c:pt>
                <c:pt idx="330">
                  <c:v>4.3382980092182342</c:v>
                </c:pt>
                <c:pt idx="331">
                  <c:v>4.3700492455449691</c:v>
                </c:pt>
                <c:pt idx="332">
                  <c:v>4.401800481871704</c:v>
                </c:pt>
                <c:pt idx="333">
                  <c:v>4.4335517181984381</c:v>
                </c:pt>
                <c:pt idx="334">
                  <c:v>4.4655104789456095</c:v>
                </c:pt>
                <c:pt idx="335">
                  <c:v>4.4972617152723444</c:v>
                </c:pt>
                <c:pt idx="336">
                  <c:v>4.5254850364516637</c:v>
                </c:pt>
                <c:pt idx="337">
                  <c:v>4.5642921030732291</c:v>
                </c:pt>
                <c:pt idx="338">
                  <c:v>4.6030991696947936</c:v>
                </c:pt>
                <c:pt idx="339">
                  <c:v>4.6383783211689433</c:v>
                </c:pt>
                <c:pt idx="340">
                  <c:v>4.6736574726430931</c:v>
                </c:pt>
                <c:pt idx="341">
                  <c:v>4.7124645392646576</c:v>
                </c:pt>
                <c:pt idx="342">
                  <c:v>4.7477436907388073</c:v>
                </c:pt>
                <c:pt idx="343">
                  <c:v>4.7830228422129561</c:v>
                </c:pt>
                <c:pt idx="344">
                  <c:v>4.8183019936871077</c:v>
                </c:pt>
                <c:pt idx="345">
                  <c:v>4.8573165847291069</c:v>
                </c:pt>
                <c:pt idx="346">
                  <c:v>4.8925957362032566</c:v>
                </c:pt>
                <c:pt idx="347">
                  <c:v>4.9278748876774072</c:v>
                </c:pt>
                <c:pt idx="348">
                  <c:v>4.963154039151557</c:v>
                </c:pt>
                <c:pt idx="349">
                  <c:v>4.9984331906257067</c:v>
                </c:pt>
                <c:pt idx="350">
                  <c:v>5.0337123420998564</c:v>
                </c:pt>
                <c:pt idx="351">
                  <c:v>5.0689914935740052</c:v>
                </c:pt>
                <c:pt idx="352">
                  <c:v>5.1042706450481559</c:v>
                </c:pt>
                <c:pt idx="353">
                  <c:v>5.1395497965223056</c:v>
                </c:pt>
                <c:pt idx="354">
                  <c:v>5.1748289479964553</c:v>
                </c:pt>
                <c:pt idx="355">
                  <c:v>5.2103156238910406</c:v>
                </c:pt>
                <c:pt idx="356">
                  <c:v>5.249122690512606</c:v>
                </c:pt>
                <c:pt idx="357">
                  <c:v>5.2844018419867549</c:v>
                </c:pt>
                <c:pt idx="358">
                  <c:v>5.3196809934609046</c:v>
                </c:pt>
                <c:pt idx="359">
                  <c:v>5.3549601449350543</c:v>
                </c:pt>
                <c:pt idx="360">
                  <c:v>5.390239296409205</c:v>
                </c:pt>
                <c:pt idx="361">
                  <c:v>5.4290463630307686</c:v>
                </c:pt>
                <c:pt idx="362">
                  <c:v>5.4749092599471636</c:v>
                </c:pt>
                <c:pt idx="363">
                  <c:v>5.5172442417161438</c:v>
                </c:pt>
                <c:pt idx="364">
                  <c:v>5.5633146630529744</c:v>
                </c:pt>
                <c:pt idx="365">
                  <c:v>5.6091775599693694</c:v>
                </c:pt>
                <c:pt idx="366">
                  <c:v>5.6550404568857635</c:v>
                </c:pt>
                <c:pt idx="367">
                  <c:v>5.7009033538021576</c:v>
                </c:pt>
                <c:pt idx="368">
                  <c:v>5.7432383355711378</c:v>
                </c:pt>
                <c:pt idx="369">
                  <c:v>5.7891012324875319</c:v>
                </c:pt>
                <c:pt idx="370">
                  <c:v>5.8349641294039269</c:v>
                </c:pt>
                <c:pt idx="371">
                  <c:v>5.8772991111729063</c:v>
                </c:pt>
                <c:pt idx="372">
                  <c:v>5.9198416173623221</c:v>
                </c:pt>
                <c:pt idx="373">
                  <c:v>5.9692324294261319</c:v>
                </c:pt>
                <c:pt idx="374">
                  <c:v>6.0115674111951112</c:v>
                </c:pt>
                <c:pt idx="375">
                  <c:v>6.0609582232589219</c:v>
                </c:pt>
                <c:pt idx="376">
                  <c:v>6.1032932050279012</c:v>
                </c:pt>
                <c:pt idx="377">
                  <c:v>6.1456281867968805</c:v>
                </c:pt>
                <c:pt idx="378">
                  <c:v>6.1950189988606894</c:v>
                </c:pt>
                <c:pt idx="379">
                  <c:v>6.2373539806296705</c:v>
                </c:pt>
                <c:pt idx="380">
                  <c:v>6.2798964868190854</c:v>
                </c:pt>
                <c:pt idx="381">
                  <c:v>6.3222314685880656</c:v>
                </c:pt>
                <c:pt idx="382">
                  <c:v>6.3645664503570449</c:v>
                </c:pt>
                <c:pt idx="383">
                  <c:v>6.4174851775682695</c:v>
                </c:pt>
                <c:pt idx="384">
                  <c:v>6.4668759896320793</c:v>
                </c:pt>
                <c:pt idx="385">
                  <c:v>6.5197947168433039</c:v>
                </c:pt>
                <c:pt idx="386">
                  <c:v>6.5691855289071137</c:v>
                </c:pt>
                <c:pt idx="387">
                  <c:v>6.61878386539136</c:v>
                </c:pt>
                <c:pt idx="388">
                  <c:v>6.6717025926025837</c:v>
                </c:pt>
                <c:pt idx="389">
                  <c:v>6.7246213198138083</c:v>
                </c:pt>
                <c:pt idx="390">
                  <c:v>6.777540047025032</c:v>
                </c:pt>
                <c:pt idx="391">
                  <c:v>6.8304587742362575</c:v>
                </c:pt>
                <c:pt idx="392">
                  <c:v>6.8833775014474821</c:v>
                </c:pt>
                <c:pt idx="393">
                  <c:v>6.9362962286587067</c:v>
                </c:pt>
                <c:pt idx="394">
                  <c:v>6.9858945651429529</c:v>
                </c:pt>
                <c:pt idx="395">
                  <c:v>7.0388132923541766</c:v>
                </c:pt>
                <c:pt idx="396">
                  <c:v>7.0917320195654012</c:v>
                </c:pt>
                <c:pt idx="397">
                  <c:v>7.1446507467766258</c:v>
                </c:pt>
                <c:pt idx="398">
                  <c:v>7.1975694739878504</c:v>
                </c:pt>
                <c:pt idx="399">
                  <c:v>7.250488201199075</c:v>
                </c:pt>
                <c:pt idx="400">
                  <c:v>7.3104627587051301</c:v>
                </c:pt>
                <c:pt idx="401">
                  <c:v>7.3741727557790355</c:v>
                </c:pt>
                <c:pt idx="402">
                  <c:v>7.4341473132850897</c:v>
                </c:pt>
                <c:pt idx="403">
                  <c:v>7.4905939556437291</c:v>
                </c:pt>
                <c:pt idx="404">
                  <c:v>7.5505685131497842</c:v>
                </c:pt>
                <c:pt idx="405">
                  <c:v>7.6140709858032531</c:v>
                </c:pt>
                <c:pt idx="406">
                  <c:v>7.6740455433093082</c:v>
                </c:pt>
                <c:pt idx="407">
                  <c:v>7.7377555403832146</c:v>
                </c:pt>
                <c:pt idx="408">
                  <c:v>7.8012580130366835</c:v>
                </c:pt>
                <c:pt idx="409">
                  <c:v>7.857704655395322</c:v>
                </c:pt>
                <c:pt idx="410">
                  <c:v>7.9212071280487928</c:v>
                </c:pt>
                <c:pt idx="411">
                  <c:v>7.9847096007022618</c:v>
                </c:pt>
                <c:pt idx="412">
                  <c:v>8.0413637674813376</c:v>
                </c:pt>
                <c:pt idx="413">
                  <c:v>8.1048662401348075</c:v>
                </c:pt>
                <c:pt idx="414">
                  <c:v>8.161312882493446</c:v>
                </c:pt>
                <c:pt idx="415">
                  <c:v>8.2248153551469159</c:v>
                </c:pt>
                <c:pt idx="416">
                  <c:v>8.2883178278003857</c:v>
                </c:pt>
                <c:pt idx="417">
                  <c:v>8.3553482156012695</c:v>
                </c:pt>
                <c:pt idx="418">
                  <c:v>8.4190582126751767</c:v>
                </c:pt>
                <c:pt idx="419">
                  <c:v>8.4860886004760605</c:v>
                </c:pt>
                <c:pt idx="420">
                  <c:v>8.5531189882769443</c:v>
                </c:pt>
                <c:pt idx="421">
                  <c:v>8.6236772912252437</c:v>
                </c:pt>
                <c:pt idx="422">
                  <c:v>8.6907076790261293</c:v>
                </c:pt>
                <c:pt idx="423">
                  <c:v>8.7614735063948643</c:v>
                </c:pt>
                <c:pt idx="424">
                  <c:v>8.8285038941957481</c:v>
                </c:pt>
                <c:pt idx="425">
                  <c:v>8.8990621971440476</c:v>
                </c:pt>
                <c:pt idx="426">
                  <c:v>8.9660925849449313</c:v>
                </c:pt>
                <c:pt idx="427">
                  <c:v>9.0366508878932308</c:v>
                </c:pt>
                <c:pt idx="428">
                  <c:v>9.107209190841532</c:v>
                </c:pt>
                <c:pt idx="429">
                  <c:v>9.1815029333576827</c:v>
                </c:pt>
                <c:pt idx="430">
                  <c:v>9.2520612363059822</c:v>
                </c:pt>
                <c:pt idx="431">
                  <c:v>9.3261474544016956</c:v>
                </c:pt>
                <c:pt idx="432">
                  <c:v>9.396705757349995</c:v>
                </c:pt>
                <c:pt idx="433">
                  <c:v>9.4745274150135614</c:v>
                </c:pt>
                <c:pt idx="434">
                  <c:v>9.5486136331092748</c:v>
                </c:pt>
                <c:pt idx="435">
                  <c:v>9.6226998512049899</c:v>
                </c:pt>
                <c:pt idx="436">
                  <c:v>9.6967860693007033</c:v>
                </c:pt>
                <c:pt idx="437">
                  <c:v>9.7708722873964184</c:v>
                </c:pt>
                <c:pt idx="438">
                  <c:v>9.8486939450599831</c:v>
                </c:pt>
                <c:pt idx="439">
                  <c:v>9.9227801631556964</c:v>
                </c:pt>
                <c:pt idx="440">
                  <c:v>10.000394296398827</c:v>
                </c:pt>
                <c:pt idx="441">
                  <c:v>10.078008429641956</c:v>
                </c:pt>
                <c:pt idx="442">
                  <c:v>10.155622562885087</c:v>
                </c:pt>
                <c:pt idx="443">
                  <c:v>10.240500050843481</c:v>
                </c:pt>
                <c:pt idx="444">
                  <c:v>10.318114184086612</c:v>
                </c:pt>
                <c:pt idx="445">
                  <c:v>10.406312062771985</c:v>
                </c:pt>
                <c:pt idx="446">
                  <c:v>10.490982026309945</c:v>
                </c:pt>
                <c:pt idx="447">
                  <c:v>10.56880368397351</c:v>
                </c:pt>
                <c:pt idx="448">
                  <c:v>10.646417817216641</c:v>
                </c:pt>
                <c:pt idx="449">
                  <c:v>10.72403195045977</c:v>
                </c:pt>
                <c:pt idx="450">
                  <c:v>10.801646083702899</c:v>
                </c:pt>
                <c:pt idx="451">
                  <c:v>10.882788132093443</c:v>
                </c:pt>
                <c:pt idx="452">
                  <c:v>10.971193535199253</c:v>
                </c:pt>
                <c:pt idx="453">
                  <c:v>11.062919329032043</c:v>
                </c:pt>
                <c:pt idx="454">
                  <c:v>11.154645122864832</c:v>
                </c:pt>
                <c:pt idx="455">
                  <c:v>11.24637091669762</c:v>
                </c:pt>
                <c:pt idx="456">
                  <c:v>11.338304234950845</c:v>
                </c:pt>
                <c:pt idx="457">
                  <c:v>11.430030028783635</c:v>
                </c:pt>
                <c:pt idx="458">
                  <c:v>11.521755822616425</c:v>
                </c:pt>
                <c:pt idx="459">
                  <c:v>11.617217056017065</c:v>
                </c:pt>
                <c:pt idx="460">
                  <c:v>11.708942849849855</c:v>
                </c:pt>
                <c:pt idx="461">
                  <c:v>11.793612813387814</c:v>
                </c:pt>
                <c:pt idx="462">
                  <c:v>11.885338607220604</c:v>
                </c:pt>
                <c:pt idx="463">
                  <c:v>11.980799840621245</c:v>
                </c:pt>
                <c:pt idx="464">
                  <c:v>12.076053549601447</c:v>
                </c:pt>
                <c:pt idx="465">
                  <c:v>12.171307258581653</c:v>
                </c:pt>
                <c:pt idx="466">
                  <c:v>12.266560967561858</c:v>
                </c:pt>
                <c:pt idx="467">
                  <c:v>12.3620222009625</c:v>
                </c:pt>
                <c:pt idx="468">
                  <c:v>12.457275909942702</c:v>
                </c:pt>
                <c:pt idx="469">
                  <c:v>12.552529618922906</c:v>
                </c:pt>
                <c:pt idx="470">
                  <c:v>12.651311243050525</c:v>
                </c:pt>
                <c:pt idx="471">
                  <c:v>12.75030039159858</c:v>
                </c:pt>
                <c:pt idx="472">
                  <c:v>12.8490820157262</c:v>
                </c:pt>
                <c:pt idx="473">
                  <c:v>12.951391555001235</c:v>
                </c:pt>
                <c:pt idx="474">
                  <c:v>13.060964448991534</c:v>
                </c:pt>
                <c:pt idx="475">
                  <c:v>13.159746073119152</c:v>
                </c:pt>
                <c:pt idx="476">
                  <c:v>13.262055612394185</c:v>
                </c:pt>
                <c:pt idx="477">
                  <c:v>13.367893066816636</c:v>
                </c:pt>
                <c:pt idx="478">
                  <c:v>13.470410130512107</c:v>
                </c:pt>
                <c:pt idx="479">
                  <c:v>13.569191754639727</c:v>
                </c:pt>
                <c:pt idx="480">
                  <c:v>13.685612954504421</c:v>
                </c:pt>
                <c:pt idx="481">
                  <c:v>13.791657933347306</c:v>
                </c:pt>
                <c:pt idx="482">
                  <c:v>13.908079133212</c:v>
                </c:pt>
                <c:pt idx="483">
                  <c:v>14.024500333076693</c:v>
                </c:pt>
                <c:pt idx="484">
                  <c:v>14.141129057361823</c:v>
                </c:pt>
                <c:pt idx="485">
                  <c:v>14.257550257226518</c:v>
                </c:pt>
                <c:pt idx="486">
                  <c:v>14.373971457091212</c:v>
                </c:pt>
                <c:pt idx="487">
                  <c:v>14.490600181376342</c:v>
                </c:pt>
                <c:pt idx="488">
                  <c:v>14.607021381241037</c:v>
                </c:pt>
                <c:pt idx="489">
                  <c:v>14.723442581105731</c:v>
                </c:pt>
                <c:pt idx="490">
                  <c:v>14.843599220538275</c:v>
                </c:pt>
                <c:pt idx="491">
                  <c:v>14.963548335550383</c:v>
                </c:pt>
                <c:pt idx="492">
                  <c:v>15.083497450562493</c:v>
                </c:pt>
                <c:pt idx="493">
                  <c:v>15.200126174847625</c:v>
                </c:pt>
                <c:pt idx="494">
                  <c:v>15.316547374712316</c:v>
                </c:pt>
                <c:pt idx="495">
                  <c:v>15.432968574577011</c:v>
                </c:pt>
                <c:pt idx="496">
                  <c:v>15.553125214009556</c:v>
                </c:pt>
                <c:pt idx="497">
                  <c:v>15.683658074463912</c:v>
                </c:pt>
                <c:pt idx="498">
                  <c:v>15.803607189476018</c:v>
                </c:pt>
                <c:pt idx="499">
                  <c:v>15.927291744055982</c:v>
                </c:pt>
                <c:pt idx="500">
                  <c:v>16.057824604510333</c:v>
                </c:pt>
                <c:pt idx="501">
                  <c:v>16.177773719522442</c:v>
                </c:pt>
                <c:pt idx="502">
                  <c:v>16.297930358954989</c:v>
                </c:pt>
                <c:pt idx="503">
                  <c:v>16.431991134556757</c:v>
                </c:pt>
                <c:pt idx="504">
                  <c:v>16.566051910158524</c:v>
                </c:pt>
                <c:pt idx="505">
                  <c:v>16.703848125328147</c:v>
                </c:pt>
                <c:pt idx="506">
                  <c:v>16.837908900929918</c:v>
                </c:pt>
                <c:pt idx="507">
                  <c:v>16.972177200952121</c:v>
                </c:pt>
                <c:pt idx="508">
                  <c:v>17.106237976553889</c:v>
                </c:pt>
                <c:pt idx="509">
                  <c:v>17.240298752155656</c:v>
                </c:pt>
                <c:pt idx="510">
                  <c:v>17.378094967325278</c:v>
                </c:pt>
                <c:pt idx="511">
                  <c:v>17.515683658074462</c:v>
                </c:pt>
                <c:pt idx="512">
                  <c:v>17.653272348823645</c:v>
                </c:pt>
                <c:pt idx="513">
                  <c:v>17.794596479140679</c:v>
                </c:pt>
                <c:pt idx="514">
                  <c:v>17.932185169889863</c:v>
                </c:pt>
                <c:pt idx="515">
                  <c:v>18.077037215354316</c:v>
                </c:pt>
                <c:pt idx="516">
                  <c:v>18.218153821250915</c:v>
                </c:pt>
                <c:pt idx="517">
                  <c:v>18.359270427147511</c:v>
                </c:pt>
                <c:pt idx="518">
                  <c:v>18.504122472611964</c:v>
                </c:pt>
                <c:pt idx="519">
                  <c:v>18.648766993655975</c:v>
                </c:pt>
                <c:pt idx="520">
                  <c:v>18.790091123973014</c:v>
                </c:pt>
                <c:pt idx="521">
                  <c:v>18.931207729869612</c:v>
                </c:pt>
                <c:pt idx="522">
                  <c:v>19.075852250913623</c:v>
                </c:pt>
                <c:pt idx="523">
                  <c:v>19.231288041820321</c:v>
                </c:pt>
                <c:pt idx="524">
                  <c:v>19.390044223453994</c:v>
                </c:pt>
                <c:pt idx="525">
                  <c:v>19.5490079295081</c:v>
                </c:pt>
                <c:pt idx="526">
                  <c:v>19.707764111141774</c:v>
                </c:pt>
                <c:pt idx="527">
                  <c:v>19.866727817195887</c:v>
                </c:pt>
                <c:pt idx="528">
                  <c:v>20.025483998829561</c:v>
                </c:pt>
                <c:pt idx="529">
                  <c:v>20.180712265315819</c:v>
                </c:pt>
                <c:pt idx="530">
                  <c:v>20.339675971369928</c:v>
                </c:pt>
                <c:pt idx="531">
                  <c:v>20.494904237856186</c:v>
                </c:pt>
                <c:pt idx="532">
                  <c:v>20.653867943910296</c:v>
                </c:pt>
                <c:pt idx="533">
                  <c:v>20.808473637135247</c:v>
                </c:pt>
                <c:pt idx="534">
                  <c:v>20.982794150301636</c:v>
                </c:pt>
                <c:pt idx="535">
                  <c:v>21.155039419263662</c:v>
                </c:pt>
                <c:pt idx="536">
                  <c:v>21.316908467203877</c:v>
                </c:pt>
                <c:pt idx="537">
                  <c:v>21.487078491961544</c:v>
                </c:pt>
                <c:pt idx="538">
                  <c:v>21.659323760923563</c:v>
                </c:pt>
                <c:pt idx="539">
                  <c:v>21.833644274089952</c:v>
                </c:pt>
                <c:pt idx="540">
                  <c:v>22.005889543051978</c:v>
                </c:pt>
                <c:pt idx="541">
                  <c:v>22.182285300422727</c:v>
                </c:pt>
                <c:pt idx="542">
                  <c:v>22.358681057793476</c:v>
                </c:pt>
                <c:pt idx="543">
                  <c:v>22.539227303572947</c:v>
                </c:pt>
                <c:pt idx="544">
                  <c:v>22.719773549352418</c:v>
                </c:pt>
                <c:pt idx="545">
                  <c:v>22.898244550927529</c:v>
                </c:pt>
                <c:pt idx="546">
                  <c:v>23.082941285115723</c:v>
                </c:pt>
                <c:pt idx="547">
                  <c:v>23.265562775099557</c:v>
                </c:pt>
                <c:pt idx="548">
                  <c:v>23.452334753492114</c:v>
                </c:pt>
                <c:pt idx="549">
                  <c:v>23.637031487680307</c:v>
                </c:pt>
                <c:pt idx="550">
                  <c:v>23.823803466072867</c:v>
                </c:pt>
                <c:pt idx="551">
                  <c:v>24.006424956056698</c:v>
                </c:pt>
                <c:pt idx="552">
                  <c:v>24.195272178653624</c:v>
                </c:pt>
                <c:pt idx="553">
                  <c:v>24.382044157046181</c:v>
                </c:pt>
                <c:pt idx="554">
                  <c:v>24.57296662384746</c:v>
                </c:pt>
                <c:pt idx="555">
                  <c:v>24.77426531167055</c:v>
                </c:pt>
                <c:pt idx="556">
                  <c:v>24.973488755289278</c:v>
                </c:pt>
                <c:pt idx="557">
                  <c:v>25.174787443112361</c:v>
                </c:pt>
                <c:pt idx="558">
                  <c:v>25.376086130935452</c:v>
                </c:pt>
                <c:pt idx="559">
                  <c:v>25.577384818758542</c:v>
                </c:pt>
                <c:pt idx="560">
                  <c:v>25.77660826237727</c:v>
                </c:pt>
                <c:pt idx="561">
                  <c:v>25.97790695020036</c:v>
                </c:pt>
                <c:pt idx="562">
                  <c:v>26.175055149614728</c:v>
                </c:pt>
                <c:pt idx="563">
                  <c:v>26.376353837437815</c:v>
                </c:pt>
                <c:pt idx="564">
                  <c:v>26.592179234691439</c:v>
                </c:pt>
                <c:pt idx="565">
                  <c:v>26.795553166718893</c:v>
                </c:pt>
                <c:pt idx="566">
                  <c:v>27.007228075563791</c:v>
                </c:pt>
                <c:pt idx="567">
                  <c:v>27.227203961226135</c:v>
                </c:pt>
                <c:pt idx="568">
                  <c:v>27.438878870071036</c:v>
                </c:pt>
                <c:pt idx="569">
                  <c:v>27.654704267324654</c:v>
                </c:pt>
                <c:pt idx="570">
                  <c:v>27.866379176169552</c:v>
                </c:pt>
                <c:pt idx="571">
                  <c:v>28.084279817627536</c:v>
                </c:pt>
                <c:pt idx="572">
                  <c:v>28.304255703289886</c:v>
                </c:pt>
                <c:pt idx="573">
                  <c:v>28.522156344747867</c:v>
                </c:pt>
                <c:pt idx="574">
                  <c:v>28.744207474614573</c:v>
                </c:pt>
                <c:pt idx="575">
                  <c:v>28.96418336027692</c:v>
                </c:pt>
                <c:pt idx="576">
                  <c:v>29.200761199574153</c:v>
                </c:pt>
                <c:pt idx="577">
                  <c:v>29.439414283075756</c:v>
                </c:pt>
                <c:pt idx="578">
                  <c:v>29.675992122372996</c:v>
                </c:pt>
                <c:pt idx="579">
                  <c:v>29.91256996167024</c:v>
                </c:pt>
                <c:pt idx="580">
                  <c:v>30.149147800967473</c:v>
                </c:pt>
                <c:pt idx="581">
                  <c:v>30.389876128673443</c:v>
                </c:pt>
                <c:pt idx="582">
                  <c:v>30.626453967970676</c:v>
                </c:pt>
                <c:pt idx="583">
                  <c:v>30.86303180726792</c:v>
                </c:pt>
                <c:pt idx="584">
                  <c:v>31.109985867586964</c:v>
                </c:pt>
                <c:pt idx="585">
                  <c:v>31.356939927906016</c:v>
                </c:pt>
                <c:pt idx="586">
                  <c:v>31.60389398822506</c:v>
                </c:pt>
                <c:pt idx="587">
                  <c:v>31.850848048544108</c:v>
                </c:pt>
                <c:pt idx="588">
                  <c:v>32.097802108863164</c:v>
                </c:pt>
                <c:pt idx="589">
                  <c:v>32.355132390204012</c:v>
                </c:pt>
                <c:pt idx="590">
                  <c:v>32.602086450523061</c:v>
                </c:pt>
                <c:pt idx="591">
                  <c:v>32.863567220272643</c:v>
                </c:pt>
                <c:pt idx="592">
                  <c:v>33.120897501613499</c:v>
                </c:pt>
                <c:pt idx="593">
                  <c:v>33.380303027158718</c:v>
                </c:pt>
                <c:pt idx="594">
                  <c:v>33.639708552703937</c:v>
                </c:pt>
                <c:pt idx="595">
                  <c:v>33.905339810862237</c:v>
                </c:pt>
                <c:pt idx="596">
                  <c:v>34.166820580611827</c:v>
                </c:pt>
                <c:pt idx="597">
                  <c:v>34.430376594565757</c:v>
                </c:pt>
                <c:pt idx="598">
                  <c:v>34.700158341132791</c:v>
                </c:pt>
                <c:pt idx="599">
                  <c:v>34.972015331904181</c:v>
                </c:pt>
                <c:pt idx="600">
                  <c:v>35.239721834266838</c:v>
                </c:pt>
                <c:pt idx="601">
                  <c:v>35.507428336629509</c:v>
                </c:pt>
                <c:pt idx="602">
                  <c:v>35.787586304218344</c:v>
                </c:pt>
                <c:pt idx="603">
                  <c:v>36.069819516011542</c:v>
                </c:pt>
                <c:pt idx="604">
                  <c:v>36.347902239396021</c:v>
                </c:pt>
                <c:pt idx="605">
                  <c:v>36.630135451189211</c:v>
                </c:pt>
                <c:pt idx="606">
                  <c:v>36.922744884004217</c:v>
                </c:pt>
                <c:pt idx="607">
                  <c:v>37.213279072614867</c:v>
                </c:pt>
                <c:pt idx="608">
                  <c:v>37.501738017021147</c:v>
                </c:pt>
                <c:pt idx="609">
                  <c:v>37.79434744983616</c:v>
                </c:pt>
                <c:pt idx="610">
                  <c:v>38.099408347877329</c:v>
                </c:pt>
                <c:pt idx="611">
                  <c:v>38.396168269101061</c:v>
                </c:pt>
                <c:pt idx="612">
                  <c:v>38.692928190324793</c:v>
                </c:pt>
                <c:pt idx="613">
                  <c:v>38.987612867344161</c:v>
                </c:pt>
                <c:pt idx="614">
                  <c:v>39.298899497998427</c:v>
                </c:pt>
                <c:pt idx="615">
                  <c:v>39.60603564024396</c:v>
                </c:pt>
                <c:pt idx="616">
                  <c:v>39.919397515102581</c:v>
                </c:pt>
                <c:pt idx="617">
                  <c:v>40.230684145756847</c:v>
                </c:pt>
                <c:pt idx="618">
                  <c:v>40.541970776411105</c:v>
                </c:pt>
                <c:pt idx="619">
                  <c:v>40.863633628087179</c:v>
                </c:pt>
                <c:pt idx="620">
                  <c:v>41.181145991354533</c:v>
                </c:pt>
                <c:pt idx="621">
                  <c:v>41.5028088430306</c:v>
                </c:pt>
                <c:pt idx="622">
                  <c:v>41.830697427319755</c:v>
                </c:pt>
                <c:pt idx="623">
                  <c:v>42.164811744221993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13-4202-842D-7AEA35D67AD7}"/>
            </c:ext>
          </c:extLst>
        </c:ser>
        <c:ser>
          <c:idx val="2"/>
          <c:order val="2"/>
          <c:tx>
            <c:strRef>
              <c:f>{"A10-3"}</c:f>
              <c:strCache>
                <c:ptCount val="1"/>
                <c:pt idx="0">
                  <c:v>A10-3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'A10-4'!$C$2:$C$648</c:f>
              <c:numCache>
                <c:formatCode>0.00</c:formatCode>
                <c:ptCount val="647"/>
                <c:pt idx="0">
                  <c:v>0</c:v>
                </c:pt>
                <c:pt idx="1">
                  <c:v>1.3900999999999998E-2</c:v>
                </c:pt>
                <c:pt idx="2">
                  <c:v>1.40126E-2</c:v>
                </c:pt>
                <c:pt idx="3">
                  <c:v>1.41224E-2</c:v>
                </c:pt>
                <c:pt idx="4">
                  <c:v>1.4236E-2</c:v>
                </c:pt>
                <c:pt idx="5">
                  <c:v>1.43476E-2</c:v>
                </c:pt>
                <c:pt idx="6">
                  <c:v>1.4483600000000001E-2</c:v>
                </c:pt>
                <c:pt idx="7">
                  <c:v>1.4623200000000001E-2</c:v>
                </c:pt>
                <c:pt idx="8">
                  <c:v>1.47628E-2</c:v>
                </c:pt>
                <c:pt idx="9">
                  <c:v>1.4900400000000001E-2</c:v>
                </c:pt>
                <c:pt idx="10">
                  <c:v>1.504E-2</c:v>
                </c:pt>
                <c:pt idx="11">
                  <c:v>1.51796E-2</c:v>
                </c:pt>
                <c:pt idx="12">
                  <c:v>1.5317400000000002E-2</c:v>
                </c:pt>
                <c:pt idx="13">
                  <c:v>1.5457E-2</c:v>
                </c:pt>
                <c:pt idx="14">
                  <c:v>1.55966E-2</c:v>
                </c:pt>
                <c:pt idx="15">
                  <c:v>1.57342E-2</c:v>
                </c:pt>
                <c:pt idx="16">
                  <c:v>1.58738E-2</c:v>
                </c:pt>
                <c:pt idx="17">
                  <c:v>1.6011600000000001E-2</c:v>
                </c:pt>
                <c:pt idx="18">
                  <c:v>1.6149199999999999E-2</c:v>
                </c:pt>
                <c:pt idx="19">
                  <c:v>1.6290800000000001E-2</c:v>
                </c:pt>
                <c:pt idx="20">
                  <c:v>1.6428399999999999E-2</c:v>
                </c:pt>
                <c:pt idx="21">
                  <c:v>1.65662E-2</c:v>
                </c:pt>
                <c:pt idx="22">
                  <c:v>1.67076E-2</c:v>
                </c:pt>
                <c:pt idx="23">
                  <c:v>1.68454E-2</c:v>
                </c:pt>
                <c:pt idx="24">
                  <c:v>1.6982999999999998E-2</c:v>
                </c:pt>
                <c:pt idx="25">
                  <c:v>1.71246E-2</c:v>
                </c:pt>
                <c:pt idx="26">
                  <c:v>1.7262200000000002E-2</c:v>
                </c:pt>
                <c:pt idx="27">
                  <c:v>1.7399999999999999E-2</c:v>
                </c:pt>
                <c:pt idx="28">
                  <c:v>1.7539599999999999E-2</c:v>
                </c:pt>
                <c:pt idx="29">
                  <c:v>1.7677200000000001E-2</c:v>
                </c:pt>
                <c:pt idx="30">
                  <c:v>1.7816800000000001E-2</c:v>
                </c:pt>
                <c:pt idx="31">
                  <c:v>1.7956399999999997E-2</c:v>
                </c:pt>
                <c:pt idx="32">
                  <c:v>1.8096000000000001E-2</c:v>
                </c:pt>
                <c:pt idx="33">
                  <c:v>1.8235600000000001E-2</c:v>
                </c:pt>
                <c:pt idx="34">
                  <c:v>1.84012E-2</c:v>
                </c:pt>
                <c:pt idx="35">
                  <c:v>1.85688E-2</c:v>
                </c:pt>
                <c:pt idx="36">
                  <c:v>1.8734399999999998E-2</c:v>
                </c:pt>
                <c:pt idx="37">
                  <c:v>1.8902000000000002E-2</c:v>
                </c:pt>
                <c:pt idx="38">
                  <c:v>1.9067600000000001E-2</c:v>
                </c:pt>
                <c:pt idx="39">
                  <c:v>1.9233199999999999E-2</c:v>
                </c:pt>
                <c:pt idx="40">
                  <c:v>1.9400799999999999E-2</c:v>
                </c:pt>
                <c:pt idx="41">
                  <c:v>1.9566399999999998E-2</c:v>
                </c:pt>
                <c:pt idx="42">
                  <c:v>1.9733799999999999E-2</c:v>
                </c:pt>
                <c:pt idx="43">
                  <c:v>1.99014E-2</c:v>
                </c:pt>
                <c:pt idx="44">
                  <c:v>2.0068000000000003E-2</c:v>
                </c:pt>
                <c:pt idx="45">
                  <c:v>2.0234000000000002E-2</c:v>
                </c:pt>
                <c:pt idx="46">
                  <c:v>2.0400000000000001E-2</c:v>
                </c:pt>
                <c:pt idx="47">
                  <c:v>2.0567999999999999E-2</c:v>
                </c:pt>
                <c:pt idx="48">
                  <c:v>2.0735999999999997E-2</c:v>
                </c:pt>
                <c:pt idx="49">
                  <c:v>2.0899999999999998E-2</c:v>
                </c:pt>
                <c:pt idx="50">
                  <c:v>2.1067999999999996E-2</c:v>
                </c:pt>
                <c:pt idx="51">
                  <c:v>2.1234000000000003E-2</c:v>
                </c:pt>
                <c:pt idx="52">
                  <c:v>2.1400000000000002E-2</c:v>
                </c:pt>
                <c:pt idx="53">
                  <c:v>2.1568E-2</c:v>
                </c:pt>
                <c:pt idx="54">
                  <c:v>2.1762E-2</c:v>
                </c:pt>
                <c:pt idx="55">
                  <c:v>2.1956000000000003E-2</c:v>
                </c:pt>
                <c:pt idx="56">
                  <c:v>2.2151999999999998E-2</c:v>
                </c:pt>
                <c:pt idx="57">
                  <c:v>2.2343999999999999E-2</c:v>
                </c:pt>
                <c:pt idx="58">
                  <c:v>2.2537999999999999E-2</c:v>
                </c:pt>
                <c:pt idx="59">
                  <c:v>2.2735999999999999E-2</c:v>
                </c:pt>
                <c:pt idx="60">
                  <c:v>2.2930000000000002E-2</c:v>
                </c:pt>
                <c:pt idx="61">
                  <c:v>2.3123999999999999E-2</c:v>
                </c:pt>
                <c:pt idx="62">
                  <c:v>2.3317999999999998E-2</c:v>
                </c:pt>
                <c:pt idx="63">
                  <c:v>2.3511999999999998E-2</c:v>
                </c:pt>
                <c:pt idx="64">
                  <c:v>2.3706000000000001E-2</c:v>
                </c:pt>
                <c:pt idx="65">
                  <c:v>2.3900000000000001E-2</c:v>
                </c:pt>
                <c:pt idx="66">
                  <c:v>2.4094000000000001E-2</c:v>
                </c:pt>
                <c:pt idx="67">
                  <c:v>2.4289999999999999E-2</c:v>
                </c:pt>
                <c:pt idx="68">
                  <c:v>2.4485999999999997E-2</c:v>
                </c:pt>
                <c:pt idx="69">
                  <c:v>2.4677999999999999E-2</c:v>
                </c:pt>
                <c:pt idx="70">
                  <c:v>2.4872000000000002E-2</c:v>
                </c:pt>
                <c:pt idx="71">
                  <c:v>2.5068E-2</c:v>
                </c:pt>
                <c:pt idx="72">
                  <c:v>2.529E-2</c:v>
                </c:pt>
                <c:pt idx="73">
                  <c:v>2.5512E-2</c:v>
                </c:pt>
                <c:pt idx="74">
                  <c:v>2.5734E-2</c:v>
                </c:pt>
                <c:pt idx="75">
                  <c:v>2.5956E-2</c:v>
                </c:pt>
                <c:pt idx="76">
                  <c:v>2.6179999999999998E-2</c:v>
                </c:pt>
                <c:pt idx="77">
                  <c:v>2.64E-2</c:v>
                </c:pt>
                <c:pt idx="78">
                  <c:v>2.6623999999999998E-2</c:v>
                </c:pt>
                <c:pt idx="79">
                  <c:v>2.6846000000000002E-2</c:v>
                </c:pt>
                <c:pt idx="80">
                  <c:v>2.7067999999999998E-2</c:v>
                </c:pt>
                <c:pt idx="81">
                  <c:v>2.7290000000000002E-2</c:v>
                </c:pt>
                <c:pt idx="82">
                  <c:v>2.7511999999999998E-2</c:v>
                </c:pt>
                <c:pt idx="83">
                  <c:v>2.7734000000000002E-2</c:v>
                </c:pt>
                <c:pt idx="84">
                  <c:v>2.7955999999999998E-2</c:v>
                </c:pt>
                <c:pt idx="85">
                  <c:v>2.818E-2</c:v>
                </c:pt>
                <c:pt idx="86">
                  <c:v>2.8401999999999997E-2</c:v>
                </c:pt>
                <c:pt idx="87">
                  <c:v>2.8622000000000002E-2</c:v>
                </c:pt>
                <c:pt idx="88">
                  <c:v>2.8871999999999998E-2</c:v>
                </c:pt>
                <c:pt idx="89">
                  <c:v>2.9123999999999997E-2</c:v>
                </c:pt>
                <c:pt idx="90">
                  <c:v>2.9371999999999999E-2</c:v>
                </c:pt>
                <c:pt idx="91">
                  <c:v>2.9624000000000001E-2</c:v>
                </c:pt>
                <c:pt idx="92">
                  <c:v>2.9874000000000001E-2</c:v>
                </c:pt>
                <c:pt idx="93">
                  <c:v>3.0121999999999999E-2</c:v>
                </c:pt>
                <c:pt idx="94">
                  <c:v>3.0373999999999998E-2</c:v>
                </c:pt>
                <c:pt idx="95">
                  <c:v>3.0621999999999996E-2</c:v>
                </c:pt>
                <c:pt idx="96">
                  <c:v>3.0872E-2</c:v>
                </c:pt>
                <c:pt idx="97">
                  <c:v>3.1122E-2</c:v>
                </c:pt>
                <c:pt idx="98">
                  <c:v>3.1373999999999999E-2</c:v>
                </c:pt>
                <c:pt idx="99">
                  <c:v>3.1621999999999997E-2</c:v>
                </c:pt>
                <c:pt idx="100">
                  <c:v>3.1871999999999998E-2</c:v>
                </c:pt>
                <c:pt idx="101">
                  <c:v>3.2124E-2</c:v>
                </c:pt>
                <c:pt idx="102">
                  <c:v>3.2374E-2</c:v>
                </c:pt>
                <c:pt idx="103">
                  <c:v>3.2652E-2</c:v>
                </c:pt>
                <c:pt idx="104">
                  <c:v>3.2930000000000001E-2</c:v>
                </c:pt>
                <c:pt idx="105">
                  <c:v>3.3203999999999997E-2</c:v>
                </c:pt>
                <c:pt idx="106">
                  <c:v>3.3484E-2</c:v>
                </c:pt>
                <c:pt idx="107">
                  <c:v>3.3763999999999995E-2</c:v>
                </c:pt>
                <c:pt idx="108">
                  <c:v>3.4037999999999999E-2</c:v>
                </c:pt>
                <c:pt idx="109">
                  <c:v>3.4318000000000001E-2</c:v>
                </c:pt>
                <c:pt idx="110">
                  <c:v>3.4596000000000002E-2</c:v>
                </c:pt>
                <c:pt idx="111">
                  <c:v>3.4872E-2</c:v>
                </c:pt>
                <c:pt idx="112">
                  <c:v>3.5152000000000003E-2</c:v>
                </c:pt>
                <c:pt idx="113">
                  <c:v>3.5430000000000003E-2</c:v>
                </c:pt>
                <c:pt idx="114">
                  <c:v>3.5706000000000002E-2</c:v>
                </c:pt>
                <c:pt idx="115">
                  <c:v>3.5983999999999995E-2</c:v>
                </c:pt>
                <c:pt idx="116">
                  <c:v>3.6288000000000001E-2</c:v>
                </c:pt>
                <c:pt idx="117">
                  <c:v>3.6596000000000004E-2</c:v>
                </c:pt>
                <c:pt idx="118">
                  <c:v>3.6901999999999997E-2</c:v>
                </c:pt>
                <c:pt idx="119">
                  <c:v>3.7206000000000003E-2</c:v>
                </c:pt>
                <c:pt idx="120">
                  <c:v>3.7511999999999997E-2</c:v>
                </c:pt>
                <c:pt idx="121">
                  <c:v>3.7817999999999997E-2</c:v>
                </c:pt>
                <c:pt idx="122">
                  <c:v>3.8123999999999998E-2</c:v>
                </c:pt>
                <c:pt idx="123">
                  <c:v>3.8401999999999999E-2</c:v>
                </c:pt>
                <c:pt idx="124">
                  <c:v>3.8705999999999997E-2</c:v>
                </c:pt>
                <c:pt idx="125">
                  <c:v>3.9011999999999998E-2</c:v>
                </c:pt>
                <c:pt idx="126">
                  <c:v>3.9317999999999999E-2</c:v>
                </c:pt>
                <c:pt idx="127">
                  <c:v>3.9539999999999999E-2</c:v>
                </c:pt>
                <c:pt idx="128">
                  <c:v>3.9845999999999999E-2</c:v>
                </c:pt>
                <c:pt idx="129">
                  <c:v>4.0149999999999998E-2</c:v>
                </c:pt>
                <c:pt idx="130">
                  <c:v>4.0483999999999999E-2</c:v>
                </c:pt>
                <c:pt idx="131">
                  <c:v>4.0763999999999995E-2</c:v>
                </c:pt>
                <c:pt idx="132">
                  <c:v>4.1066000000000005E-2</c:v>
                </c:pt>
                <c:pt idx="133">
                  <c:v>4.1346000000000001E-2</c:v>
                </c:pt>
                <c:pt idx="134">
                  <c:v>4.1622000000000006E-2</c:v>
                </c:pt>
                <c:pt idx="135">
                  <c:v>4.1897999999999998E-2</c:v>
                </c:pt>
                <c:pt idx="136">
                  <c:v>4.2206E-2</c:v>
                </c:pt>
                <c:pt idx="137">
                  <c:v>4.2510000000000006E-2</c:v>
                </c:pt>
                <c:pt idx="138">
                  <c:v>4.2816E-2</c:v>
                </c:pt>
                <c:pt idx="139">
                  <c:v>4.3095999999999995E-2</c:v>
                </c:pt>
                <c:pt idx="140">
                  <c:v>4.3373999999999996E-2</c:v>
                </c:pt>
                <c:pt idx="141">
                  <c:v>4.3680000000000004E-2</c:v>
                </c:pt>
                <c:pt idx="142">
                  <c:v>4.3956000000000002E-2</c:v>
                </c:pt>
                <c:pt idx="143">
                  <c:v>4.4261999999999996E-2</c:v>
                </c:pt>
                <c:pt idx="144">
                  <c:v>4.4568000000000003E-2</c:v>
                </c:pt>
                <c:pt idx="145">
                  <c:v>4.4871999999999995E-2</c:v>
                </c:pt>
                <c:pt idx="146">
                  <c:v>4.5151999999999998E-2</c:v>
                </c:pt>
                <c:pt idx="147">
                  <c:v>4.5429999999999998E-2</c:v>
                </c:pt>
                <c:pt idx="148">
                  <c:v>4.5734000000000004E-2</c:v>
                </c:pt>
                <c:pt idx="149">
                  <c:v>4.6012000000000004E-2</c:v>
                </c:pt>
                <c:pt idx="150">
                  <c:v>4.6260000000000003E-2</c:v>
                </c:pt>
                <c:pt idx="151">
                  <c:v>4.6567999999999998E-2</c:v>
                </c:pt>
                <c:pt idx="152">
                  <c:v>4.6817999999999999E-2</c:v>
                </c:pt>
                <c:pt idx="153">
                  <c:v>4.7065999999999997E-2</c:v>
                </c:pt>
                <c:pt idx="154">
                  <c:v>4.7317999999999999E-2</c:v>
                </c:pt>
                <c:pt idx="155">
                  <c:v>4.7567999999999999E-2</c:v>
                </c:pt>
                <c:pt idx="156">
                  <c:v>4.7789999999999999E-2</c:v>
                </c:pt>
                <c:pt idx="157">
                  <c:v>4.8011999999999999E-2</c:v>
                </c:pt>
                <c:pt idx="158">
                  <c:v>4.8263999999999994E-2</c:v>
                </c:pt>
                <c:pt idx="159">
                  <c:v>4.8512000000000007E-2</c:v>
                </c:pt>
                <c:pt idx="160">
                  <c:v>4.8734E-2</c:v>
                </c:pt>
                <c:pt idx="161">
                  <c:v>4.8986000000000002E-2</c:v>
                </c:pt>
                <c:pt idx="162">
                  <c:v>4.9208000000000002E-2</c:v>
                </c:pt>
                <c:pt idx="163">
                  <c:v>4.9456E-2</c:v>
                </c:pt>
                <c:pt idx="164">
                  <c:v>4.9680000000000002E-2</c:v>
                </c:pt>
                <c:pt idx="165">
                  <c:v>4.9901999999999995E-2</c:v>
                </c:pt>
                <c:pt idx="166">
                  <c:v>5.0122E-2</c:v>
                </c:pt>
                <c:pt idx="167">
                  <c:v>5.0372E-2</c:v>
                </c:pt>
                <c:pt idx="168">
                  <c:v>5.0595999999999995E-2</c:v>
                </c:pt>
                <c:pt idx="169">
                  <c:v>5.0818000000000002E-2</c:v>
                </c:pt>
                <c:pt idx="170">
                  <c:v>5.1040000000000002E-2</c:v>
                </c:pt>
                <c:pt idx="171">
                  <c:v>5.1262000000000002E-2</c:v>
                </c:pt>
                <c:pt idx="172">
                  <c:v>5.1458000000000004E-2</c:v>
                </c:pt>
                <c:pt idx="173">
                  <c:v>5.1680000000000004E-2</c:v>
                </c:pt>
                <c:pt idx="174">
                  <c:v>5.1874000000000003E-2</c:v>
                </c:pt>
                <c:pt idx="175">
                  <c:v>5.2096000000000003E-2</c:v>
                </c:pt>
                <c:pt idx="176">
                  <c:v>5.2317999999999996E-2</c:v>
                </c:pt>
                <c:pt idx="177">
                  <c:v>5.2538000000000001E-2</c:v>
                </c:pt>
                <c:pt idx="178">
                  <c:v>5.2760000000000001E-2</c:v>
                </c:pt>
                <c:pt idx="179">
                  <c:v>5.2956000000000003E-2</c:v>
                </c:pt>
                <c:pt idx="180">
                  <c:v>5.3178000000000003E-2</c:v>
                </c:pt>
                <c:pt idx="181">
                  <c:v>5.3372000000000003E-2</c:v>
                </c:pt>
                <c:pt idx="182">
                  <c:v>5.3596000000000005E-2</c:v>
                </c:pt>
                <c:pt idx="183">
                  <c:v>5.3789999999999998E-2</c:v>
                </c:pt>
                <c:pt idx="184">
                  <c:v>5.4009999999999996E-2</c:v>
                </c:pt>
                <c:pt idx="185">
                  <c:v>5.4233999999999997E-2</c:v>
                </c:pt>
                <c:pt idx="186">
                  <c:v>5.4429999999999999E-2</c:v>
                </c:pt>
                <c:pt idx="187">
                  <c:v>5.4652000000000006E-2</c:v>
                </c:pt>
                <c:pt idx="188">
                  <c:v>5.4846000000000006E-2</c:v>
                </c:pt>
                <c:pt idx="189">
                  <c:v>5.5038000000000004E-2</c:v>
                </c:pt>
                <c:pt idx="190">
                  <c:v>5.5264000000000001E-2</c:v>
                </c:pt>
                <c:pt idx="191">
                  <c:v>5.5456000000000005E-2</c:v>
                </c:pt>
                <c:pt idx="192">
                  <c:v>5.5652E-2</c:v>
                </c:pt>
                <c:pt idx="193">
                  <c:v>5.5872000000000005E-2</c:v>
                </c:pt>
                <c:pt idx="194">
                  <c:v>5.6068E-2</c:v>
                </c:pt>
                <c:pt idx="195">
                  <c:v>5.6262E-2</c:v>
                </c:pt>
                <c:pt idx="196">
                  <c:v>5.6455999999999999E-2</c:v>
                </c:pt>
                <c:pt idx="197">
                  <c:v>5.6622000000000006E-2</c:v>
                </c:pt>
                <c:pt idx="198">
                  <c:v>5.6787999999999998E-2</c:v>
                </c:pt>
                <c:pt idx="199">
                  <c:v>5.6984000000000007E-2</c:v>
                </c:pt>
                <c:pt idx="200">
                  <c:v>5.7152000000000001E-2</c:v>
                </c:pt>
                <c:pt idx="201">
                  <c:v>5.7318000000000001E-2</c:v>
                </c:pt>
                <c:pt idx="202">
                  <c:v>5.7484E-2</c:v>
                </c:pt>
                <c:pt idx="203">
                  <c:v>5.7652000000000002E-2</c:v>
                </c:pt>
                <c:pt idx="204">
                  <c:v>5.7815999999999999E-2</c:v>
                </c:pt>
                <c:pt idx="205">
                  <c:v>5.7984000000000001E-2</c:v>
                </c:pt>
                <c:pt idx="206">
                  <c:v>5.8152000000000002E-2</c:v>
                </c:pt>
                <c:pt idx="207">
                  <c:v>5.8292000000000004E-2</c:v>
                </c:pt>
                <c:pt idx="208">
                  <c:v>5.8456000000000001E-2</c:v>
                </c:pt>
                <c:pt idx="209">
                  <c:v>5.8621999999999994E-2</c:v>
                </c:pt>
                <c:pt idx="210">
                  <c:v>5.8789999999999995E-2</c:v>
                </c:pt>
                <c:pt idx="211">
                  <c:v>5.8956000000000001E-2</c:v>
                </c:pt>
                <c:pt idx="212">
                  <c:v>5.9096000000000003E-2</c:v>
                </c:pt>
                <c:pt idx="213">
                  <c:v>5.9261999999999995E-2</c:v>
                </c:pt>
                <c:pt idx="214">
                  <c:v>5.9400000000000001E-2</c:v>
                </c:pt>
                <c:pt idx="215">
                  <c:v>5.9566000000000001E-2</c:v>
                </c:pt>
                <c:pt idx="216">
                  <c:v>5.9706000000000002E-2</c:v>
                </c:pt>
                <c:pt idx="217">
                  <c:v>5.9846000000000003E-2</c:v>
                </c:pt>
                <c:pt idx="218">
                  <c:v>6.0014000000000005E-2</c:v>
                </c:pt>
                <c:pt idx="219">
                  <c:v>6.0124000000000004E-2</c:v>
                </c:pt>
                <c:pt idx="220">
                  <c:v>6.0262000000000003E-2</c:v>
                </c:pt>
                <c:pt idx="221">
                  <c:v>6.0400000000000002E-2</c:v>
                </c:pt>
                <c:pt idx="222">
                  <c:v>6.0540000000000004E-2</c:v>
                </c:pt>
                <c:pt idx="223">
                  <c:v>6.0679999999999998E-2</c:v>
                </c:pt>
                <c:pt idx="224">
                  <c:v>6.0818000000000004E-2</c:v>
                </c:pt>
                <c:pt idx="225">
                  <c:v>6.0956000000000003E-2</c:v>
                </c:pt>
                <c:pt idx="226">
                  <c:v>6.1096000000000004E-2</c:v>
                </c:pt>
                <c:pt idx="227">
                  <c:v>6.1234000000000004E-2</c:v>
                </c:pt>
                <c:pt idx="228">
                  <c:v>6.1374000000000005E-2</c:v>
                </c:pt>
                <c:pt idx="229">
                  <c:v>6.1513999999999999E-2</c:v>
                </c:pt>
                <c:pt idx="230">
                  <c:v>6.1650000000000003E-2</c:v>
                </c:pt>
                <c:pt idx="231">
                  <c:v>6.1761999999999997E-2</c:v>
                </c:pt>
                <c:pt idx="232">
                  <c:v>6.1901999999999999E-2</c:v>
                </c:pt>
                <c:pt idx="233">
                  <c:v>6.2011999999999998E-2</c:v>
                </c:pt>
                <c:pt idx="234">
                  <c:v>6.2149999999999997E-2</c:v>
                </c:pt>
                <c:pt idx="235">
                  <c:v>6.2262000000000005E-2</c:v>
                </c:pt>
                <c:pt idx="236">
                  <c:v>6.2371999999999997E-2</c:v>
                </c:pt>
                <c:pt idx="237">
                  <c:v>6.2481999999999996E-2</c:v>
                </c:pt>
                <c:pt idx="238">
                  <c:v>6.2623999999999999E-2</c:v>
                </c:pt>
                <c:pt idx="239">
                  <c:v>6.2736E-2</c:v>
                </c:pt>
                <c:pt idx="240">
                  <c:v>6.2845999999999999E-2</c:v>
                </c:pt>
                <c:pt idx="241">
                  <c:v>6.2958E-2</c:v>
                </c:pt>
                <c:pt idx="242">
                  <c:v>6.3070000000000001E-2</c:v>
                </c:pt>
                <c:pt idx="243">
                  <c:v>6.3177999999999998E-2</c:v>
                </c:pt>
                <c:pt idx="244">
                  <c:v>6.3315999999999997E-2</c:v>
                </c:pt>
                <c:pt idx="245">
                  <c:v>6.3427999999999998E-2</c:v>
                </c:pt>
                <c:pt idx="246">
                  <c:v>6.3539999999999999E-2</c:v>
                </c:pt>
                <c:pt idx="247">
                  <c:v>6.3624E-2</c:v>
                </c:pt>
                <c:pt idx="248">
                  <c:v>6.3736000000000001E-2</c:v>
                </c:pt>
                <c:pt idx="249">
                  <c:v>6.3846E-2</c:v>
                </c:pt>
                <c:pt idx="250">
                  <c:v>6.3955999999999999E-2</c:v>
                </c:pt>
                <c:pt idx="251">
                  <c:v>6.4065999999999998E-2</c:v>
                </c:pt>
                <c:pt idx="252">
                  <c:v>6.4177999999999999E-2</c:v>
                </c:pt>
                <c:pt idx="253">
                  <c:v>6.429E-2</c:v>
                </c:pt>
                <c:pt idx="254">
                  <c:v>6.4402000000000001E-2</c:v>
                </c:pt>
                <c:pt idx="255">
                  <c:v>6.4512E-2</c:v>
                </c:pt>
                <c:pt idx="256">
                  <c:v>6.4624000000000001E-2</c:v>
                </c:pt>
                <c:pt idx="257">
                  <c:v>6.4706E-2</c:v>
                </c:pt>
                <c:pt idx="258">
                  <c:v>6.4818000000000001E-2</c:v>
                </c:pt>
                <c:pt idx="259">
                  <c:v>6.4899999999999999E-2</c:v>
                </c:pt>
                <c:pt idx="260">
                  <c:v>6.5012E-2</c:v>
                </c:pt>
                <c:pt idx="261">
                  <c:v>6.5096000000000001E-2</c:v>
                </c:pt>
                <c:pt idx="262">
                  <c:v>6.5208000000000002E-2</c:v>
                </c:pt>
                <c:pt idx="263">
                  <c:v>6.5318000000000001E-2</c:v>
                </c:pt>
                <c:pt idx="264">
                  <c:v>6.5402000000000002E-2</c:v>
                </c:pt>
                <c:pt idx="265">
                  <c:v>6.5512000000000001E-2</c:v>
                </c:pt>
                <c:pt idx="266">
                  <c:v>6.5594E-2</c:v>
                </c:pt>
                <c:pt idx="267">
                  <c:v>6.5706000000000001E-2</c:v>
                </c:pt>
                <c:pt idx="268">
                  <c:v>6.5787999999999999E-2</c:v>
                </c:pt>
                <c:pt idx="269">
                  <c:v>6.5872E-2</c:v>
                </c:pt>
                <c:pt idx="270">
                  <c:v>6.5984000000000001E-2</c:v>
                </c:pt>
                <c:pt idx="271">
                  <c:v>6.6094E-2</c:v>
                </c:pt>
                <c:pt idx="272">
                  <c:v>6.6178000000000001E-2</c:v>
                </c:pt>
                <c:pt idx="273">
                  <c:v>6.6262000000000001E-2</c:v>
                </c:pt>
                <c:pt idx="274">
                  <c:v>6.6346000000000002E-2</c:v>
                </c:pt>
                <c:pt idx="275">
                  <c:v>6.6458000000000003E-2</c:v>
                </c:pt>
                <c:pt idx="276">
                  <c:v>6.6568000000000002E-2</c:v>
                </c:pt>
                <c:pt idx="277">
                  <c:v>6.6651999999999989E-2</c:v>
                </c:pt>
                <c:pt idx="278">
                  <c:v>6.6734000000000002E-2</c:v>
                </c:pt>
                <c:pt idx="279">
                  <c:v>6.6874000000000003E-2</c:v>
                </c:pt>
                <c:pt idx="280">
                  <c:v>6.7012000000000002E-2</c:v>
                </c:pt>
                <c:pt idx="281">
                  <c:v>6.7150000000000001E-2</c:v>
                </c:pt>
                <c:pt idx="282">
                  <c:v>6.7290000000000003E-2</c:v>
                </c:pt>
                <c:pt idx="283">
                  <c:v>6.7402000000000004E-2</c:v>
                </c:pt>
                <c:pt idx="284">
                  <c:v>6.7539999999999989E-2</c:v>
                </c:pt>
                <c:pt idx="285">
                  <c:v>6.7680000000000004E-2</c:v>
                </c:pt>
                <c:pt idx="286">
                  <c:v>6.7816000000000001E-2</c:v>
                </c:pt>
                <c:pt idx="287">
                  <c:v>6.7928000000000002E-2</c:v>
                </c:pt>
                <c:pt idx="288">
                  <c:v>6.8066000000000002E-2</c:v>
                </c:pt>
                <c:pt idx="289">
                  <c:v>6.8208000000000005E-2</c:v>
                </c:pt>
                <c:pt idx="290">
                  <c:v>6.8319999999999992E-2</c:v>
                </c:pt>
                <c:pt idx="291">
                  <c:v>6.8430000000000005E-2</c:v>
                </c:pt>
                <c:pt idx="292">
                  <c:v>6.8566000000000002E-2</c:v>
                </c:pt>
                <c:pt idx="293">
                  <c:v>6.8678000000000003E-2</c:v>
                </c:pt>
                <c:pt idx="294">
                  <c:v>6.878999999999999E-2</c:v>
                </c:pt>
                <c:pt idx="295">
                  <c:v>6.8929999999999991E-2</c:v>
                </c:pt>
                <c:pt idx="296">
                  <c:v>6.9067999999999991E-2</c:v>
                </c:pt>
                <c:pt idx="297">
                  <c:v>6.9178000000000003E-2</c:v>
                </c:pt>
                <c:pt idx="298">
                  <c:v>6.9318000000000005E-2</c:v>
                </c:pt>
                <c:pt idx="299">
                  <c:v>6.9428000000000004E-2</c:v>
                </c:pt>
                <c:pt idx="300">
                  <c:v>6.9539999999999991E-2</c:v>
                </c:pt>
                <c:pt idx="301">
                  <c:v>6.9650000000000004E-2</c:v>
                </c:pt>
                <c:pt idx="302">
                  <c:v>6.9762000000000005E-2</c:v>
                </c:pt>
                <c:pt idx="303">
                  <c:v>6.9874000000000006E-2</c:v>
                </c:pt>
                <c:pt idx="304">
                  <c:v>6.9985999999999993E-2</c:v>
                </c:pt>
                <c:pt idx="305">
                  <c:v>7.0095999999999992E-2</c:v>
                </c:pt>
                <c:pt idx="306">
                  <c:v>7.0206000000000005E-2</c:v>
                </c:pt>
                <c:pt idx="307">
                  <c:v>7.0316000000000004E-2</c:v>
                </c:pt>
                <c:pt idx="308">
                  <c:v>7.0427999999999991E-2</c:v>
                </c:pt>
                <c:pt idx="309">
                  <c:v>7.0540000000000005E-2</c:v>
                </c:pt>
                <c:pt idx="310">
                  <c:v>7.0651999999999993E-2</c:v>
                </c:pt>
                <c:pt idx="311">
                  <c:v>7.0762000000000005E-2</c:v>
                </c:pt>
                <c:pt idx="312">
                  <c:v>7.0872000000000004E-2</c:v>
                </c:pt>
                <c:pt idx="313">
                  <c:v>7.0983999999999992E-2</c:v>
                </c:pt>
                <c:pt idx="314">
                  <c:v>7.1096000000000006E-2</c:v>
                </c:pt>
                <c:pt idx="315">
                  <c:v>7.1207999999999994E-2</c:v>
                </c:pt>
                <c:pt idx="316">
                  <c:v>7.1318000000000006E-2</c:v>
                </c:pt>
                <c:pt idx="317">
                  <c:v>7.1429999999999993E-2</c:v>
                </c:pt>
                <c:pt idx="318">
                  <c:v>7.1539999999999992E-2</c:v>
                </c:pt>
                <c:pt idx="319">
                  <c:v>7.1650000000000005E-2</c:v>
                </c:pt>
                <c:pt idx="320">
                  <c:v>7.1788000000000005E-2</c:v>
                </c:pt>
                <c:pt idx="321">
                  <c:v>7.1929999999999994E-2</c:v>
                </c:pt>
                <c:pt idx="322">
                  <c:v>7.2068000000000007E-2</c:v>
                </c:pt>
                <c:pt idx="323">
                  <c:v>7.2207999999999994E-2</c:v>
                </c:pt>
                <c:pt idx="324">
                  <c:v>7.2346000000000008E-2</c:v>
                </c:pt>
                <c:pt idx="325">
                  <c:v>7.2481999999999991E-2</c:v>
                </c:pt>
                <c:pt idx="326">
                  <c:v>7.2622000000000006E-2</c:v>
                </c:pt>
                <c:pt idx="327">
                  <c:v>7.2762000000000007E-2</c:v>
                </c:pt>
                <c:pt idx="328">
                  <c:v>7.2900000000000006E-2</c:v>
                </c:pt>
                <c:pt idx="329">
                  <c:v>7.3040000000000008E-2</c:v>
                </c:pt>
                <c:pt idx="330">
                  <c:v>7.3178000000000007E-2</c:v>
                </c:pt>
                <c:pt idx="331">
                  <c:v>7.3315999999999992E-2</c:v>
                </c:pt>
                <c:pt idx="332">
                  <c:v>7.3456000000000007E-2</c:v>
                </c:pt>
                <c:pt idx="333">
                  <c:v>7.3567999999999995E-2</c:v>
                </c:pt>
                <c:pt idx="334">
                  <c:v>7.3707999999999996E-2</c:v>
                </c:pt>
                <c:pt idx="335">
                  <c:v>7.3817999999999995E-2</c:v>
                </c:pt>
                <c:pt idx="336">
                  <c:v>7.3955999999999994E-2</c:v>
                </c:pt>
                <c:pt idx="337">
                  <c:v>7.4067999999999995E-2</c:v>
                </c:pt>
                <c:pt idx="338">
                  <c:v>7.4177999999999994E-2</c:v>
                </c:pt>
                <c:pt idx="339">
                  <c:v>7.4290000000000009E-2</c:v>
                </c:pt>
                <c:pt idx="340">
                  <c:v>7.4429999999999996E-2</c:v>
                </c:pt>
                <c:pt idx="341">
                  <c:v>7.4539999999999995E-2</c:v>
                </c:pt>
                <c:pt idx="342">
                  <c:v>7.4651999999999996E-2</c:v>
                </c:pt>
                <c:pt idx="343">
                  <c:v>7.4759999999999993E-2</c:v>
                </c:pt>
                <c:pt idx="344">
                  <c:v>7.4871999999999994E-2</c:v>
                </c:pt>
                <c:pt idx="345">
                  <c:v>7.5011999999999995E-2</c:v>
                </c:pt>
                <c:pt idx="346">
                  <c:v>7.512400000000001E-2</c:v>
                </c:pt>
                <c:pt idx="347">
                  <c:v>7.5233999999999995E-2</c:v>
                </c:pt>
                <c:pt idx="348">
                  <c:v>7.5345999999999996E-2</c:v>
                </c:pt>
                <c:pt idx="349">
                  <c:v>7.5457999999999997E-2</c:v>
                </c:pt>
                <c:pt idx="350">
                  <c:v>7.5593999999999995E-2</c:v>
                </c:pt>
                <c:pt idx="351">
                  <c:v>7.573400000000001E-2</c:v>
                </c:pt>
                <c:pt idx="352">
                  <c:v>7.5873999999999997E-2</c:v>
                </c:pt>
                <c:pt idx="353">
                  <c:v>7.6009999999999994E-2</c:v>
                </c:pt>
                <c:pt idx="354">
                  <c:v>7.6151999999999997E-2</c:v>
                </c:pt>
                <c:pt idx="355">
                  <c:v>7.6289999999999997E-2</c:v>
                </c:pt>
                <c:pt idx="356">
                  <c:v>7.6427999999999996E-2</c:v>
                </c:pt>
                <c:pt idx="357">
                  <c:v>7.6567999999999997E-2</c:v>
                </c:pt>
                <c:pt idx="358">
                  <c:v>7.6707999999999998E-2</c:v>
                </c:pt>
                <c:pt idx="359">
                  <c:v>7.6845999999999998E-2</c:v>
                </c:pt>
                <c:pt idx="360">
                  <c:v>7.6985999999999999E-2</c:v>
                </c:pt>
                <c:pt idx="361">
                  <c:v>7.7121999999999996E-2</c:v>
                </c:pt>
                <c:pt idx="362">
                  <c:v>7.7259999999999995E-2</c:v>
                </c:pt>
                <c:pt idx="363">
                  <c:v>7.7399999999999997E-2</c:v>
                </c:pt>
                <c:pt idx="364">
                  <c:v>7.7539999999999998E-2</c:v>
                </c:pt>
                <c:pt idx="365">
                  <c:v>7.7679999999999999E-2</c:v>
                </c:pt>
                <c:pt idx="366">
                  <c:v>7.7817999999999998E-2</c:v>
                </c:pt>
                <c:pt idx="367">
                  <c:v>7.7955999999999998E-2</c:v>
                </c:pt>
                <c:pt idx="368">
                  <c:v>7.8095999999999999E-2</c:v>
                </c:pt>
                <c:pt idx="369">
                  <c:v>7.8236E-2</c:v>
                </c:pt>
                <c:pt idx="370">
                  <c:v>7.8373999999999999E-2</c:v>
                </c:pt>
                <c:pt idx="371">
                  <c:v>7.8511999999999998E-2</c:v>
                </c:pt>
                <c:pt idx="372">
                  <c:v>7.8652E-2</c:v>
                </c:pt>
                <c:pt idx="373">
                  <c:v>7.8787999999999997E-2</c:v>
                </c:pt>
                <c:pt idx="374">
                  <c:v>7.8955999999999998E-2</c:v>
                </c:pt>
                <c:pt idx="375">
                  <c:v>7.9093999999999998E-2</c:v>
                </c:pt>
                <c:pt idx="376">
                  <c:v>7.9261999999999999E-2</c:v>
                </c:pt>
                <c:pt idx="377">
                  <c:v>7.9399999999999998E-2</c:v>
                </c:pt>
                <c:pt idx="378">
                  <c:v>7.954E-2</c:v>
                </c:pt>
                <c:pt idx="379">
                  <c:v>7.9705999999999999E-2</c:v>
                </c:pt>
                <c:pt idx="380">
                  <c:v>7.9874000000000001E-2</c:v>
                </c:pt>
                <c:pt idx="381">
                  <c:v>8.0012000000000014E-2</c:v>
                </c:pt>
                <c:pt idx="382">
                  <c:v>8.0149999999999999E-2</c:v>
                </c:pt>
                <c:pt idx="383">
                  <c:v>8.029E-2</c:v>
                </c:pt>
                <c:pt idx="384">
                  <c:v>8.0429999999999988E-2</c:v>
                </c:pt>
                <c:pt idx="385">
                  <c:v>8.0568000000000015E-2</c:v>
                </c:pt>
                <c:pt idx="386">
                  <c:v>8.0708000000000002E-2</c:v>
                </c:pt>
                <c:pt idx="387">
                  <c:v>8.0846000000000001E-2</c:v>
                </c:pt>
                <c:pt idx="388">
                  <c:v>8.0981999999999998E-2</c:v>
                </c:pt>
                <c:pt idx="389">
                  <c:v>8.1122E-2</c:v>
                </c:pt>
                <c:pt idx="390">
                  <c:v>8.1262000000000001E-2</c:v>
                </c:pt>
                <c:pt idx="391">
                  <c:v>8.1402000000000002E-2</c:v>
                </c:pt>
                <c:pt idx="392">
                  <c:v>8.1541999999999989E-2</c:v>
                </c:pt>
                <c:pt idx="393">
                  <c:v>8.1678000000000001E-2</c:v>
                </c:pt>
                <c:pt idx="394">
                  <c:v>8.1846000000000002E-2</c:v>
                </c:pt>
                <c:pt idx="395">
                  <c:v>8.2012000000000002E-2</c:v>
                </c:pt>
                <c:pt idx="396">
                  <c:v>8.2180000000000003E-2</c:v>
                </c:pt>
                <c:pt idx="397">
                  <c:v>8.2318000000000002E-2</c:v>
                </c:pt>
                <c:pt idx="398">
                  <c:v>8.2484000000000002E-2</c:v>
                </c:pt>
                <c:pt idx="399">
                  <c:v>8.2622000000000001E-2</c:v>
                </c:pt>
                <c:pt idx="400">
                  <c:v>8.2790000000000002E-2</c:v>
                </c:pt>
                <c:pt idx="401">
                  <c:v>8.2928000000000002E-2</c:v>
                </c:pt>
                <c:pt idx="402">
                  <c:v>8.3096000000000003E-2</c:v>
                </c:pt>
                <c:pt idx="403">
                  <c:v>8.3233999999999989E-2</c:v>
                </c:pt>
                <c:pt idx="404">
                  <c:v>8.3374000000000004E-2</c:v>
                </c:pt>
                <c:pt idx="405">
                  <c:v>8.3512000000000003E-2</c:v>
                </c:pt>
                <c:pt idx="406">
                  <c:v>8.3650000000000002E-2</c:v>
                </c:pt>
                <c:pt idx="407">
                  <c:v>8.3789999999999989E-2</c:v>
                </c:pt>
                <c:pt idx="408">
                  <c:v>8.3930000000000005E-2</c:v>
                </c:pt>
                <c:pt idx="409">
                  <c:v>8.4065999999999988E-2</c:v>
                </c:pt>
                <c:pt idx="410">
                  <c:v>8.4206000000000003E-2</c:v>
                </c:pt>
                <c:pt idx="411">
                  <c:v>8.434599999999999E-2</c:v>
                </c:pt>
                <c:pt idx="412">
                  <c:v>8.4512000000000004E-2</c:v>
                </c:pt>
                <c:pt idx="413">
                  <c:v>8.4680000000000005E-2</c:v>
                </c:pt>
                <c:pt idx="414">
                  <c:v>8.4844000000000003E-2</c:v>
                </c:pt>
                <c:pt idx="415">
                  <c:v>8.5009999999999988E-2</c:v>
                </c:pt>
                <c:pt idx="416">
                  <c:v>8.5180000000000006E-2</c:v>
                </c:pt>
                <c:pt idx="417">
                  <c:v>8.5345999999999991E-2</c:v>
                </c:pt>
                <c:pt idx="418">
                  <c:v>8.5511999999999991E-2</c:v>
                </c:pt>
                <c:pt idx="419">
                  <c:v>8.5679999999999992E-2</c:v>
                </c:pt>
                <c:pt idx="420">
                  <c:v>8.5844000000000004E-2</c:v>
                </c:pt>
                <c:pt idx="421">
                  <c:v>8.6013999999999993E-2</c:v>
                </c:pt>
                <c:pt idx="422">
                  <c:v>8.6180000000000007E-2</c:v>
                </c:pt>
                <c:pt idx="423">
                  <c:v>8.634399999999999E-2</c:v>
                </c:pt>
                <c:pt idx="424">
                  <c:v>8.6511999999999992E-2</c:v>
                </c:pt>
                <c:pt idx="425">
                  <c:v>8.6677999999999991E-2</c:v>
                </c:pt>
                <c:pt idx="426">
                  <c:v>8.6845999999999993E-2</c:v>
                </c:pt>
                <c:pt idx="427">
                  <c:v>8.7040000000000006E-2</c:v>
                </c:pt>
                <c:pt idx="428">
                  <c:v>8.7205999999999992E-2</c:v>
                </c:pt>
                <c:pt idx="429">
                  <c:v>8.7400000000000005E-2</c:v>
                </c:pt>
                <c:pt idx="430">
                  <c:v>8.7593999999999991E-2</c:v>
                </c:pt>
                <c:pt idx="431">
                  <c:v>8.7761999999999993E-2</c:v>
                </c:pt>
                <c:pt idx="432">
                  <c:v>8.7956000000000006E-2</c:v>
                </c:pt>
                <c:pt idx="433">
                  <c:v>8.8122000000000006E-2</c:v>
                </c:pt>
                <c:pt idx="434">
                  <c:v>8.8290000000000007E-2</c:v>
                </c:pt>
                <c:pt idx="435">
                  <c:v>8.8458000000000009E-2</c:v>
                </c:pt>
                <c:pt idx="436">
                  <c:v>8.8650000000000007E-2</c:v>
                </c:pt>
                <c:pt idx="437">
                  <c:v>8.8818000000000008E-2</c:v>
                </c:pt>
                <c:pt idx="438">
                  <c:v>8.8985999999999996E-2</c:v>
                </c:pt>
                <c:pt idx="439">
                  <c:v>8.9152000000000009E-2</c:v>
                </c:pt>
                <c:pt idx="440">
                  <c:v>8.9318000000000008E-2</c:v>
                </c:pt>
                <c:pt idx="441">
                  <c:v>8.9511999999999994E-2</c:v>
                </c:pt>
                <c:pt idx="442">
                  <c:v>8.970800000000001E-2</c:v>
                </c:pt>
                <c:pt idx="443">
                  <c:v>8.9901999999999996E-2</c:v>
                </c:pt>
                <c:pt idx="444">
                  <c:v>9.0096000000000009E-2</c:v>
                </c:pt>
                <c:pt idx="445">
                  <c:v>9.0288000000000007E-2</c:v>
                </c:pt>
                <c:pt idx="446">
                  <c:v>9.0456000000000009E-2</c:v>
                </c:pt>
                <c:pt idx="447">
                  <c:v>9.065200000000001E-2</c:v>
                </c:pt>
                <c:pt idx="448">
                  <c:v>9.0845999999999996E-2</c:v>
                </c:pt>
                <c:pt idx="449">
                  <c:v>9.1037999999999994E-2</c:v>
                </c:pt>
                <c:pt idx="450">
                  <c:v>9.1233999999999996E-2</c:v>
                </c:pt>
                <c:pt idx="451">
                  <c:v>9.1400000000000009E-2</c:v>
                </c:pt>
                <c:pt idx="452">
                  <c:v>9.1569999999999999E-2</c:v>
                </c:pt>
                <c:pt idx="453">
                  <c:v>9.1761999999999996E-2</c:v>
                </c:pt>
                <c:pt idx="454">
                  <c:v>9.195600000000001E-2</c:v>
                </c:pt>
                <c:pt idx="455">
                  <c:v>9.2149999999999996E-2</c:v>
                </c:pt>
                <c:pt idx="456">
                  <c:v>9.2345999999999998E-2</c:v>
                </c:pt>
                <c:pt idx="457">
                  <c:v>9.2539999999999997E-2</c:v>
                </c:pt>
                <c:pt idx="458">
                  <c:v>9.2734000000000011E-2</c:v>
                </c:pt>
                <c:pt idx="459">
                  <c:v>9.2929999999999999E-2</c:v>
                </c:pt>
                <c:pt idx="460">
                  <c:v>9.3123999999999998E-2</c:v>
                </c:pt>
                <c:pt idx="461">
                  <c:v>9.3317999999999998E-2</c:v>
                </c:pt>
                <c:pt idx="462">
                  <c:v>9.3511999999999998E-2</c:v>
                </c:pt>
                <c:pt idx="463">
                  <c:v>9.3705999999999998E-2</c:v>
                </c:pt>
                <c:pt idx="464">
                  <c:v>9.3930000000000013E-2</c:v>
                </c:pt>
                <c:pt idx="465">
                  <c:v>9.4149999999999998E-2</c:v>
                </c:pt>
                <c:pt idx="466">
                  <c:v>9.4374E-2</c:v>
                </c:pt>
                <c:pt idx="467">
                  <c:v>9.4570000000000001E-2</c:v>
                </c:pt>
                <c:pt idx="468">
                  <c:v>9.4787999999999997E-2</c:v>
                </c:pt>
                <c:pt idx="469">
                  <c:v>9.4983999999999999E-2</c:v>
                </c:pt>
                <c:pt idx="470">
                  <c:v>9.5208000000000001E-2</c:v>
                </c:pt>
                <c:pt idx="471">
                  <c:v>9.5402000000000001E-2</c:v>
                </c:pt>
                <c:pt idx="472">
                  <c:v>9.5624000000000001E-2</c:v>
                </c:pt>
                <c:pt idx="473">
                  <c:v>9.5818E-2</c:v>
                </c:pt>
                <c:pt idx="474">
                  <c:v>9.6039999999999986E-2</c:v>
                </c:pt>
                <c:pt idx="475">
                  <c:v>9.6262000000000014E-2</c:v>
                </c:pt>
                <c:pt idx="476">
                  <c:v>9.6481999999999998E-2</c:v>
                </c:pt>
                <c:pt idx="477">
                  <c:v>9.6708000000000002E-2</c:v>
                </c:pt>
                <c:pt idx="478">
                  <c:v>9.6930000000000002E-2</c:v>
                </c:pt>
                <c:pt idx="479">
                  <c:v>9.7151999999999988E-2</c:v>
                </c:pt>
                <c:pt idx="480">
                  <c:v>9.7373999999999988E-2</c:v>
                </c:pt>
                <c:pt idx="481">
                  <c:v>9.7596000000000002E-2</c:v>
                </c:pt>
                <c:pt idx="482">
                  <c:v>9.7815999999999986E-2</c:v>
                </c:pt>
                <c:pt idx="483">
                  <c:v>9.8038000000000014E-2</c:v>
                </c:pt>
                <c:pt idx="484">
                  <c:v>9.8262000000000002E-2</c:v>
                </c:pt>
                <c:pt idx="485">
                  <c:v>9.8484000000000002E-2</c:v>
                </c:pt>
                <c:pt idx="486">
                  <c:v>9.8706000000000002E-2</c:v>
                </c:pt>
                <c:pt idx="487">
                  <c:v>9.8930000000000004E-2</c:v>
                </c:pt>
                <c:pt idx="488">
                  <c:v>9.9152000000000004E-2</c:v>
                </c:pt>
                <c:pt idx="489">
                  <c:v>9.9372000000000002E-2</c:v>
                </c:pt>
                <c:pt idx="490">
                  <c:v>9.9594000000000002E-2</c:v>
                </c:pt>
                <c:pt idx="491">
                  <c:v>9.9818000000000004E-2</c:v>
                </c:pt>
                <c:pt idx="492">
                  <c:v>0.10004200000000001</c:v>
                </c:pt>
                <c:pt idx="493">
                  <c:v>0.10029</c:v>
                </c:pt>
                <c:pt idx="494">
                  <c:v>0.10054</c:v>
                </c:pt>
                <c:pt idx="495">
                  <c:v>0.10079200000000001</c:v>
                </c:pt>
                <c:pt idx="496">
                  <c:v>0.101012</c:v>
                </c:pt>
                <c:pt idx="497">
                  <c:v>0.101234</c:v>
                </c:pt>
                <c:pt idx="498">
                  <c:v>0.101456</c:v>
                </c:pt>
                <c:pt idx="499">
                  <c:v>0.10167799999999999</c:v>
                </c:pt>
                <c:pt idx="500">
                  <c:v>0.10192999999999999</c:v>
                </c:pt>
                <c:pt idx="501">
                  <c:v>0.102178</c:v>
                </c:pt>
                <c:pt idx="502">
                  <c:v>0.10242800000000001</c:v>
                </c:pt>
                <c:pt idx="503">
                  <c:v>0.10267799999999999</c:v>
                </c:pt>
                <c:pt idx="504">
                  <c:v>0.10292999999999999</c:v>
                </c:pt>
                <c:pt idx="505">
                  <c:v>0.10315200000000001</c:v>
                </c:pt>
                <c:pt idx="506">
                  <c:v>0.10339999999999999</c:v>
                </c:pt>
                <c:pt idx="507">
                  <c:v>0.10362199999999999</c:v>
                </c:pt>
                <c:pt idx="508">
                  <c:v>0.10387600000000001</c:v>
                </c:pt>
                <c:pt idx="509">
                  <c:v>0.10412200000000001</c:v>
                </c:pt>
                <c:pt idx="510">
                  <c:v>0.10437400000000001</c:v>
                </c:pt>
                <c:pt idx="511">
                  <c:v>0.10462400000000001</c:v>
                </c:pt>
                <c:pt idx="512">
                  <c:v>0.10487199999999999</c:v>
                </c:pt>
                <c:pt idx="513">
                  <c:v>0.105124</c:v>
                </c:pt>
                <c:pt idx="514">
                  <c:v>0.105374</c:v>
                </c:pt>
                <c:pt idx="515">
                  <c:v>0.10565200000000001</c:v>
                </c:pt>
                <c:pt idx="516">
                  <c:v>0.10592800000000001</c:v>
                </c:pt>
                <c:pt idx="517">
                  <c:v>0.10620599999999999</c:v>
                </c:pt>
                <c:pt idx="518">
                  <c:v>0.10648400000000001</c:v>
                </c:pt>
                <c:pt idx="519">
                  <c:v>0.106762</c:v>
                </c:pt>
                <c:pt idx="520">
                  <c:v>0.107012</c:v>
                </c:pt>
                <c:pt idx="521">
                  <c:v>0.10729</c:v>
                </c:pt>
                <c:pt idx="522">
                  <c:v>0.107568</c:v>
                </c:pt>
                <c:pt idx="523">
                  <c:v>0.107844</c:v>
                </c:pt>
                <c:pt idx="524">
                  <c:v>0.10812200000000001</c:v>
                </c:pt>
                <c:pt idx="525">
                  <c:v>0.108402</c:v>
                </c:pt>
                <c:pt idx="526">
                  <c:v>0.10867800000000001</c:v>
                </c:pt>
                <c:pt idx="527">
                  <c:v>0.108956</c:v>
                </c:pt>
                <c:pt idx="528">
                  <c:v>0.109236</c:v>
                </c:pt>
                <c:pt idx="529">
                  <c:v>0.10951000000000001</c:v>
                </c:pt>
                <c:pt idx="530">
                  <c:v>0.109816</c:v>
                </c:pt>
                <c:pt idx="531">
                  <c:v>0.11009600000000001</c:v>
                </c:pt>
                <c:pt idx="532">
                  <c:v>0.110374</c:v>
                </c:pt>
                <c:pt idx="533">
                  <c:v>0.11065</c:v>
                </c:pt>
                <c:pt idx="534">
                  <c:v>0.110928</c:v>
                </c:pt>
                <c:pt idx="535">
                  <c:v>0.111236</c:v>
                </c:pt>
                <c:pt idx="536">
                  <c:v>0.111514</c:v>
                </c:pt>
                <c:pt idx="537">
                  <c:v>0.11181800000000001</c:v>
                </c:pt>
                <c:pt idx="538">
                  <c:v>0.112096</c:v>
                </c:pt>
                <c:pt idx="539">
                  <c:v>0.11237399999999999</c:v>
                </c:pt>
                <c:pt idx="540">
                  <c:v>0.11265</c:v>
                </c:pt>
                <c:pt idx="541">
                  <c:v>0.112958</c:v>
                </c:pt>
                <c:pt idx="542">
                  <c:v>0.11326</c:v>
                </c:pt>
                <c:pt idx="543">
                  <c:v>0.113568</c:v>
                </c:pt>
                <c:pt idx="544">
                  <c:v>0.11387399999999999</c:v>
                </c:pt>
                <c:pt idx="545">
                  <c:v>0.114178</c:v>
                </c:pt>
                <c:pt idx="546">
                  <c:v>0.114482</c:v>
                </c:pt>
                <c:pt idx="547">
                  <c:v>0.114788</c:v>
                </c:pt>
                <c:pt idx="548">
                  <c:v>0.11509399999999999</c:v>
                </c:pt>
                <c:pt idx="549">
                  <c:v>0.11542999999999999</c:v>
                </c:pt>
                <c:pt idx="550">
                  <c:v>0.115762</c:v>
                </c:pt>
                <c:pt idx="551">
                  <c:v>0.116096</c:v>
                </c:pt>
                <c:pt idx="552">
                  <c:v>0.11642799999999999</c:v>
                </c:pt>
                <c:pt idx="553">
                  <c:v>0.11676199999999999</c:v>
                </c:pt>
                <c:pt idx="554">
                  <c:v>0.117094</c:v>
                </c:pt>
                <c:pt idx="555">
                  <c:v>0.117428</c:v>
                </c:pt>
                <c:pt idx="556">
                  <c:v>0.11776400000000001</c:v>
                </c:pt>
                <c:pt idx="557">
                  <c:v>0.118094</c:v>
                </c:pt>
                <c:pt idx="558">
                  <c:v>0.11842999999999999</c:v>
                </c:pt>
                <c:pt idx="559">
                  <c:v>0.11876200000000001</c:v>
                </c:pt>
                <c:pt idx="560">
                  <c:v>0.11909599999999999</c:v>
                </c:pt>
                <c:pt idx="561">
                  <c:v>0.119426</c:v>
                </c:pt>
                <c:pt idx="562">
                  <c:v>0.11978999999999999</c:v>
                </c:pt>
                <c:pt idx="563">
                  <c:v>0.12012200000000001</c:v>
                </c:pt>
                <c:pt idx="564">
                  <c:v>0.12048400000000001</c:v>
                </c:pt>
                <c:pt idx="565">
                  <c:v>0.120846</c:v>
                </c:pt>
                <c:pt idx="566">
                  <c:v>0.12117800000000001</c:v>
                </c:pt>
                <c:pt idx="567">
                  <c:v>0.121542</c:v>
                </c:pt>
                <c:pt idx="568">
                  <c:v>0.12189999999999999</c:v>
                </c:pt>
                <c:pt idx="569">
                  <c:v>0.122264</c:v>
                </c:pt>
                <c:pt idx="570">
                  <c:v>0.122624</c:v>
                </c:pt>
                <c:pt idx="571">
                  <c:v>0.12298400000000001</c:v>
                </c:pt>
                <c:pt idx="572">
                  <c:v>0.123346</c:v>
                </c:pt>
                <c:pt idx="573">
                  <c:v>0.12370799999999998</c:v>
                </c:pt>
                <c:pt idx="574">
                  <c:v>0.124066</c:v>
                </c:pt>
                <c:pt idx="575">
                  <c:v>0.124428</c:v>
                </c:pt>
                <c:pt idx="576">
                  <c:v>0.124816</c:v>
                </c:pt>
                <c:pt idx="577">
                  <c:v>0.12520799999999999</c:v>
                </c:pt>
                <c:pt idx="578">
                  <c:v>0.12559599999999999</c:v>
                </c:pt>
                <c:pt idx="579">
                  <c:v>0.12598599999999999</c:v>
                </c:pt>
                <c:pt idx="580">
                  <c:v>0.12637200000000001</c:v>
                </c:pt>
                <c:pt idx="581">
                  <c:v>0.12676199999999999</c:v>
                </c:pt>
                <c:pt idx="582">
                  <c:v>0.12715199999999999</c:v>
                </c:pt>
                <c:pt idx="583">
                  <c:v>0.12753999999999999</c:v>
                </c:pt>
                <c:pt idx="584">
                  <c:v>0.12795600000000001</c:v>
                </c:pt>
                <c:pt idx="585">
                  <c:v>0.12837400000000002</c:v>
                </c:pt>
                <c:pt idx="586">
                  <c:v>0.12878999999999999</c:v>
                </c:pt>
                <c:pt idx="587">
                  <c:v>0.12920799999999999</c:v>
                </c:pt>
                <c:pt idx="588">
                  <c:v>0.12962400000000002</c:v>
                </c:pt>
                <c:pt idx="589">
                  <c:v>0.13004200000000002</c:v>
                </c:pt>
                <c:pt idx="590">
                  <c:v>0.13045600000000002</c:v>
                </c:pt>
                <c:pt idx="591">
                  <c:v>0.13087400000000002</c:v>
                </c:pt>
                <c:pt idx="592">
                  <c:v>0.13128999999999999</c:v>
                </c:pt>
                <c:pt idx="593">
                  <c:v>0.13170599999999999</c:v>
                </c:pt>
                <c:pt idx="594">
                  <c:v>0.13212400000000002</c:v>
                </c:pt>
                <c:pt idx="595">
                  <c:v>0.13253999999999999</c:v>
                </c:pt>
                <c:pt idx="596">
                  <c:v>0.13295799999999999</c:v>
                </c:pt>
                <c:pt idx="597">
                  <c:v>0.13337199999999999</c:v>
                </c:pt>
                <c:pt idx="598">
                  <c:v>0.13379200000000002</c:v>
                </c:pt>
                <c:pt idx="599">
                  <c:v>0.13423400000000002</c:v>
                </c:pt>
                <c:pt idx="600">
                  <c:v>0.13467999999999999</c:v>
                </c:pt>
                <c:pt idx="601">
                  <c:v>0.13512399999999999</c:v>
                </c:pt>
                <c:pt idx="602">
                  <c:v>0.13556599999999999</c:v>
                </c:pt>
                <c:pt idx="603">
                  <c:v>0.13603999999999999</c:v>
                </c:pt>
                <c:pt idx="604">
                  <c:v>0.13650999999999999</c:v>
                </c:pt>
                <c:pt idx="605">
                  <c:v>0.136986</c:v>
                </c:pt>
                <c:pt idx="606">
                  <c:v>0.13745599999999999</c:v>
                </c:pt>
                <c:pt idx="607">
                  <c:v>0.137928</c:v>
                </c:pt>
                <c:pt idx="608">
                  <c:v>0.138402</c:v>
                </c:pt>
                <c:pt idx="609">
                  <c:v>0.138872</c:v>
                </c:pt>
                <c:pt idx="610">
                  <c:v>0.139372</c:v>
                </c:pt>
                <c:pt idx="611">
                  <c:v>0.139874</c:v>
                </c:pt>
                <c:pt idx="612">
                  <c:v>0.140344</c:v>
                </c:pt>
                <c:pt idx="613">
                  <c:v>0.140846</c:v>
                </c:pt>
                <c:pt idx="614">
                  <c:v>0.141346</c:v>
                </c:pt>
                <c:pt idx="615">
                  <c:v>0.141846</c:v>
                </c:pt>
                <c:pt idx="616">
                  <c:v>0.142346</c:v>
                </c:pt>
                <c:pt idx="617">
                  <c:v>0.142846</c:v>
                </c:pt>
                <c:pt idx="618">
                  <c:v>0.143344</c:v>
                </c:pt>
                <c:pt idx="619">
                  <c:v>0.143846</c:v>
                </c:pt>
                <c:pt idx="620">
                  <c:v>0.144372</c:v>
                </c:pt>
                <c:pt idx="621">
                  <c:v>0.1449</c:v>
                </c:pt>
                <c:pt idx="622">
                  <c:v>0.145458</c:v>
                </c:pt>
                <c:pt idx="623">
                  <c:v>0.146012</c:v>
                </c:pt>
                <c:pt idx="624">
                  <c:v>0.146568</c:v>
                </c:pt>
                <c:pt idx="625">
                  <c:v>0.147124</c:v>
                </c:pt>
                <c:pt idx="626">
                  <c:v>0.14770800000000001</c:v>
                </c:pt>
                <c:pt idx="627">
                  <c:v>0.14829000000000001</c:v>
                </c:pt>
                <c:pt idx="628">
                  <c:v>0.14887400000000001</c:v>
                </c:pt>
                <c:pt idx="629">
                  <c:v>0.14948400000000001</c:v>
                </c:pt>
                <c:pt idx="630">
                  <c:v>0.15009600000000001</c:v>
                </c:pt>
                <c:pt idx="631">
                  <c:v>0.15070800000000001</c:v>
                </c:pt>
                <c:pt idx="632">
                  <c:v>0.15131800000000001</c:v>
                </c:pt>
                <c:pt idx="633">
                  <c:v>0.15192800000000001</c:v>
                </c:pt>
                <c:pt idx="634">
                  <c:v>0.15256800000000001</c:v>
                </c:pt>
                <c:pt idx="635">
                  <c:v>0.15323399999999998</c:v>
                </c:pt>
                <c:pt idx="636">
                  <c:v>0.15390200000000001</c:v>
                </c:pt>
                <c:pt idx="637">
                  <c:v>0.15462400000000001</c:v>
                </c:pt>
                <c:pt idx="638">
                  <c:v>0.15537400000000001</c:v>
                </c:pt>
                <c:pt idx="639">
                  <c:v>0.15615199999999999</c:v>
                </c:pt>
                <c:pt idx="640">
                  <c:v>0.15698399999999998</c:v>
                </c:pt>
                <c:pt idx="641">
                  <c:v>0.15781800000000001</c:v>
                </c:pt>
                <c:pt idx="642">
                  <c:v>0.15865000000000001</c:v>
                </c:pt>
                <c:pt idx="643">
                  <c:v>0.15948399999999999</c:v>
                </c:pt>
                <c:pt idx="644">
                  <c:v>0.16031800000000002</c:v>
                </c:pt>
                <c:pt idx="645">
                  <c:v>0.16114999999999999</c:v>
                </c:pt>
                <c:pt idx="646">
                  <c:v>0.16198399999999999</c:v>
                </c:pt>
              </c:numCache>
            </c:numRef>
          </c:cat>
          <c:val>
            <c:numRef>
              <c:f>'A10-3'!$F$2:$F$853</c:f>
              <c:numCache>
                <c:formatCode>0.00</c:formatCode>
                <c:ptCount val="852"/>
                <c:pt idx="0">
                  <c:v>0</c:v>
                </c:pt>
                <c:pt idx="1">
                  <c:v>3.5192690844314239E-3</c:v>
                </c:pt>
                <c:pt idx="2">
                  <c:v>3.5192690844314239E-3</c:v>
                </c:pt>
                <c:pt idx="3">
                  <c:v>3.5192690844314239E-3</c:v>
                </c:pt>
                <c:pt idx="4">
                  <c:v>7.0385381688628477E-3</c:v>
                </c:pt>
                <c:pt idx="5">
                  <c:v>7.0385381688628477E-3</c:v>
                </c:pt>
                <c:pt idx="6">
                  <c:v>7.0385381688628477E-3</c:v>
                </c:pt>
                <c:pt idx="7">
                  <c:v>7.0385381688628477E-3</c:v>
                </c:pt>
                <c:pt idx="8">
                  <c:v>1.0557807253294272E-2</c:v>
                </c:pt>
                <c:pt idx="9">
                  <c:v>1.0557807253294272E-2</c:v>
                </c:pt>
                <c:pt idx="10">
                  <c:v>1.0557807253294272E-2</c:v>
                </c:pt>
                <c:pt idx="11">
                  <c:v>1.0557807253294272E-2</c:v>
                </c:pt>
                <c:pt idx="12">
                  <c:v>1.0557807253294272E-2</c:v>
                </c:pt>
                <c:pt idx="13">
                  <c:v>1.0557807253294272E-2</c:v>
                </c:pt>
                <c:pt idx="14">
                  <c:v>1.0557807253294272E-2</c:v>
                </c:pt>
                <c:pt idx="15">
                  <c:v>1.0557807253294272E-2</c:v>
                </c:pt>
                <c:pt idx="16">
                  <c:v>1.0557807253294272E-2</c:v>
                </c:pt>
                <c:pt idx="17">
                  <c:v>1.0557807253294272E-2</c:v>
                </c:pt>
                <c:pt idx="18">
                  <c:v>1.0557807253294272E-2</c:v>
                </c:pt>
                <c:pt idx="19">
                  <c:v>1.4077076337725695E-2</c:v>
                </c:pt>
                <c:pt idx="20">
                  <c:v>1.4077076337725695E-2</c:v>
                </c:pt>
                <c:pt idx="21">
                  <c:v>1.4077076337725695E-2</c:v>
                </c:pt>
                <c:pt idx="22">
                  <c:v>1.4077076337725695E-2</c:v>
                </c:pt>
                <c:pt idx="23">
                  <c:v>1.4077076337725695E-2</c:v>
                </c:pt>
                <c:pt idx="24">
                  <c:v>1.4077076337725695E-2</c:v>
                </c:pt>
                <c:pt idx="25">
                  <c:v>1.759613852803105E-2</c:v>
                </c:pt>
                <c:pt idx="26">
                  <c:v>1.759613852803105E-2</c:v>
                </c:pt>
                <c:pt idx="27">
                  <c:v>1.759613852803105E-2</c:v>
                </c:pt>
                <c:pt idx="28">
                  <c:v>1.759613852803105E-2</c:v>
                </c:pt>
                <c:pt idx="29">
                  <c:v>1.759613852803105E-2</c:v>
                </c:pt>
                <c:pt idx="30">
                  <c:v>1.759613852803105E-2</c:v>
                </c:pt>
                <c:pt idx="31">
                  <c:v>1.759613852803105E-2</c:v>
                </c:pt>
                <c:pt idx="32">
                  <c:v>1.759613852803105E-2</c:v>
                </c:pt>
                <c:pt idx="33">
                  <c:v>1.759613852803105E-2</c:v>
                </c:pt>
                <c:pt idx="34">
                  <c:v>1.759613852803105E-2</c:v>
                </c:pt>
                <c:pt idx="35">
                  <c:v>1.759613852803105E-2</c:v>
                </c:pt>
                <c:pt idx="36">
                  <c:v>1.759613852803105E-2</c:v>
                </c:pt>
                <c:pt idx="37">
                  <c:v>1.759613852803105E-2</c:v>
                </c:pt>
                <c:pt idx="38">
                  <c:v>1.759613852803105E-2</c:v>
                </c:pt>
                <c:pt idx="39">
                  <c:v>1.759613852803105E-2</c:v>
                </c:pt>
                <c:pt idx="40">
                  <c:v>1.759613852803105E-2</c:v>
                </c:pt>
                <c:pt idx="41">
                  <c:v>2.1115614506588543E-2</c:v>
                </c:pt>
                <c:pt idx="42">
                  <c:v>2.1115614506588543E-2</c:v>
                </c:pt>
                <c:pt idx="43">
                  <c:v>2.1115614506588543E-2</c:v>
                </c:pt>
                <c:pt idx="44">
                  <c:v>2.1115614506588543E-2</c:v>
                </c:pt>
                <c:pt idx="45">
                  <c:v>2.1115614506588543E-2</c:v>
                </c:pt>
                <c:pt idx="46">
                  <c:v>2.1115614506588543E-2</c:v>
                </c:pt>
                <c:pt idx="47">
                  <c:v>2.1115614506588543E-2</c:v>
                </c:pt>
                <c:pt idx="48">
                  <c:v>2.1115614506588543E-2</c:v>
                </c:pt>
                <c:pt idx="49">
                  <c:v>2.1115614506588543E-2</c:v>
                </c:pt>
                <c:pt idx="50">
                  <c:v>2.1115614506588543E-2</c:v>
                </c:pt>
                <c:pt idx="51">
                  <c:v>2.1115614506588543E-2</c:v>
                </c:pt>
                <c:pt idx="52">
                  <c:v>2.1115614506588543E-2</c:v>
                </c:pt>
                <c:pt idx="53">
                  <c:v>2.1115614506588543E-2</c:v>
                </c:pt>
                <c:pt idx="54">
                  <c:v>2.1115614506588543E-2</c:v>
                </c:pt>
                <c:pt idx="55">
                  <c:v>2.1115614506588543E-2</c:v>
                </c:pt>
                <c:pt idx="56">
                  <c:v>2.1115614506588543E-2</c:v>
                </c:pt>
                <c:pt idx="57">
                  <c:v>2.1115614506588543E-2</c:v>
                </c:pt>
                <c:pt idx="58">
                  <c:v>2.1115614506588543E-2</c:v>
                </c:pt>
                <c:pt idx="59">
                  <c:v>2.1115614506588543E-2</c:v>
                </c:pt>
                <c:pt idx="60">
                  <c:v>2.1115614506588543E-2</c:v>
                </c:pt>
                <c:pt idx="61">
                  <c:v>2.1115614506588543E-2</c:v>
                </c:pt>
                <c:pt idx="62">
                  <c:v>2.1115614506588543E-2</c:v>
                </c:pt>
                <c:pt idx="63">
                  <c:v>2.1115614506588543E-2</c:v>
                </c:pt>
                <c:pt idx="64">
                  <c:v>2.4634883591019965E-2</c:v>
                </c:pt>
                <c:pt idx="65">
                  <c:v>2.4634883591019965E-2</c:v>
                </c:pt>
                <c:pt idx="66">
                  <c:v>2.4634883591019965E-2</c:v>
                </c:pt>
                <c:pt idx="67">
                  <c:v>2.4634883591019965E-2</c:v>
                </c:pt>
                <c:pt idx="68">
                  <c:v>2.4634883591019965E-2</c:v>
                </c:pt>
                <c:pt idx="69">
                  <c:v>2.4634883591019965E-2</c:v>
                </c:pt>
                <c:pt idx="70">
                  <c:v>2.4634883591019965E-2</c:v>
                </c:pt>
                <c:pt idx="71">
                  <c:v>2.8154152675451391E-2</c:v>
                </c:pt>
                <c:pt idx="72">
                  <c:v>2.8154152675451391E-2</c:v>
                </c:pt>
                <c:pt idx="73">
                  <c:v>2.8154152675451391E-2</c:v>
                </c:pt>
                <c:pt idx="74">
                  <c:v>2.8154152675451391E-2</c:v>
                </c:pt>
                <c:pt idx="75">
                  <c:v>2.8154152675451391E-2</c:v>
                </c:pt>
                <c:pt idx="76">
                  <c:v>2.8154152675451391E-2</c:v>
                </c:pt>
                <c:pt idx="77">
                  <c:v>3.167342175988281E-2</c:v>
                </c:pt>
                <c:pt idx="78">
                  <c:v>3.167342175988281E-2</c:v>
                </c:pt>
                <c:pt idx="79">
                  <c:v>3.167342175988281E-2</c:v>
                </c:pt>
                <c:pt idx="80">
                  <c:v>3.5192690844314235E-2</c:v>
                </c:pt>
                <c:pt idx="81">
                  <c:v>3.5192690844314235E-2</c:v>
                </c:pt>
                <c:pt idx="82">
                  <c:v>3.5192690844314235E-2</c:v>
                </c:pt>
                <c:pt idx="83">
                  <c:v>3.5192690844314235E-2</c:v>
                </c:pt>
                <c:pt idx="84">
                  <c:v>3.5192690844314235E-2</c:v>
                </c:pt>
                <c:pt idx="85">
                  <c:v>3.8711959928745661E-2</c:v>
                </c:pt>
                <c:pt idx="86">
                  <c:v>3.8711959928745661E-2</c:v>
                </c:pt>
                <c:pt idx="87">
                  <c:v>3.8711959928745661E-2</c:v>
                </c:pt>
                <c:pt idx="88">
                  <c:v>3.8711959928745661E-2</c:v>
                </c:pt>
                <c:pt idx="89">
                  <c:v>3.8711959928745661E-2</c:v>
                </c:pt>
                <c:pt idx="90">
                  <c:v>3.8711959928745661E-2</c:v>
                </c:pt>
                <c:pt idx="91">
                  <c:v>3.8711959928745661E-2</c:v>
                </c:pt>
                <c:pt idx="92">
                  <c:v>3.8711959928745661E-2</c:v>
                </c:pt>
                <c:pt idx="93">
                  <c:v>3.8711959928745661E-2</c:v>
                </c:pt>
                <c:pt idx="94">
                  <c:v>3.8711959928745661E-2</c:v>
                </c:pt>
                <c:pt idx="95">
                  <c:v>3.5192690844314235E-2</c:v>
                </c:pt>
                <c:pt idx="96">
                  <c:v>3.5192690844314235E-2</c:v>
                </c:pt>
                <c:pt idx="97">
                  <c:v>3.5192690844314235E-2</c:v>
                </c:pt>
                <c:pt idx="98">
                  <c:v>3.5192690844314235E-2</c:v>
                </c:pt>
                <c:pt idx="99">
                  <c:v>3.5192690844314235E-2</c:v>
                </c:pt>
                <c:pt idx="100">
                  <c:v>3.5192690844314235E-2</c:v>
                </c:pt>
                <c:pt idx="101">
                  <c:v>3.5192690844314235E-2</c:v>
                </c:pt>
                <c:pt idx="102">
                  <c:v>3.5192690844314235E-2</c:v>
                </c:pt>
                <c:pt idx="103">
                  <c:v>3.5192690844314235E-2</c:v>
                </c:pt>
                <c:pt idx="104">
                  <c:v>3.5192690844314235E-2</c:v>
                </c:pt>
                <c:pt idx="105">
                  <c:v>3.8711959928745661E-2</c:v>
                </c:pt>
                <c:pt idx="106">
                  <c:v>3.8711959928745661E-2</c:v>
                </c:pt>
                <c:pt idx="107">
                  <c:v>3.8711959928745661E-2</c:v>
                </c:pt>
                <c:pt idx="108">
                  <c:v>3.8711959928745661E-2</c:v>
                </c:pt>
                <c:pt idx="109">
                  <c:v>3.8711959928745661E-2</c:v>
                </c:pt>
                <c:pt idx="110">
                  <c:v>3.8711959928745661E-2</c:v>
                </c:pt>
                <c:pt idx="111">
                  <c:v>3.8711959928745661E-2</c:v>
                </c:pt>
                <c:pt idx="112">
                  <c:v>3.8711959928745661E-2</c:v>
                </c:pt>
                <c:pt idx="113">
                  <c:v>4.2231229013177086E-2</c:v>
                </c:pt>
                <c:pt idx="114">
                  <c:v>4.2231229013177086E-2</c:v>
                </c:pt>
                <c:pt idx="115">
                  <c:v>4.2231229013177086E-2</c:v>
                </c:pt>
                <c:pt idx="116">
                  <c:v>4.2231229013177086E-2</c:v>
                </c:pt>
                <c:pt idx="117">
                  <c:v>4.2231229013177086E-2</c:v>
                </c:pt>
                <c:pt idx="118">
                  <c:v>4.2231229013177086E-2</c:v>
                </c:pt>
                <c:pt idx="119">
                  <c:v>4.2231229013177086E-2</c:v>
                </c:pt>
                <c:pt idx="120">
                  <c:v>4.2231229013177086E-2</c:v>
                </c:pt>
                <c:pt idx="121">
                  <c:v>4.2231229013177086E-2</c:v>
                </c:pt>
                <c:pt idx="122">
                  <c:v>4.2231229013177086E-2</c:v>
                </c:pt>
                <c:pt idx="123">
                  <c:v>4.2231229013177086E-2</c:v>
                </c:pt>
                <c:pt idx="124">
                  <c:v>4.2231229013177086E-2</c:v>
                </c:pt>
                <c:pt idx="125">
                  <c:v>4.2231229013177086E-2</c:v>
                </c:pt>
                <c:pt idx="126">
                  <c:v>4.5750498097608512E-2</c:v>
                </c:pt>
                <c:pt idx="127">
                  <c:v>4.5750498097608512E-2</c:v>
                </c:pt>
                <c:pt idx="128">
                  <c:v>4.5750498097608512E-2</c:v>
                </c:pt>
                <c:pt idx="129">
                  <c:v>4.5750498097608512E-2</c:v>
                </c:pt>
                <c:pt idx="130">
                  <c:v>4.5750498097608512E-2</c:v>
                </c:pt>
                <c:pt idx="131">
                  <c:v>4.9269767182039931E-2</c:v>
                </c:pt>
                <c:pt idx="132">
                  <c:v>4.9269767182039931E-2</c:v>
                </c:pt>
                <c:pt idx="133">
                  <c:v>4.5750498097608512E-2</c:v>
                </c:pt>
                <c:pt idx="134">
                  <c:v>4.5750498097608512E-2</c:v>
                </c:pt>
                <c:pt idx="135">
                  <c:v>4.9269767182039931E-2</c:v>
                </c:pt>
                <c:pt idx="136">
                  <c:v>4.9269767182039931E-2</c:v>
                </c:pt>
                <c:pt idx="137">
                  <c:v>5.2789036266471356E-2</c:v>
                </c:pt>
                <c:pt idx="138">
                  <c:v>5.2789036266471356E-2</c:v>
                </c:pt>
                <c:pt idx="139">
                  <c:v>5.2789036266471356E-2</c:v>
                </c:pt>
                <c:pt idx="140">
                  <c:v>5.2789036266471356E-2</c:v>
                </c:pt>
                <c:pt idx="141">
                  <c:v>5.6308305350902782E-2</c:v>
                </c:pt>
                <c:pt idx="142">
                  <c:v>5.9827574435334208E-2</c:v>
                </c:pt>
                <c:pt idx="143">
                  <c:v>5.6308305350902782E-2</c:v>
                </c:pt>
                <c:pt idx="144">
                  <c:v>5.6308305350902782E-2</c:v>
                </c:pt>
                <c:pt idx="145">
                  <c:v>5.6308305350902782E-2</c:v>
                </c:pt>
                <c:pt idx="146">
                  <c:v>5.6308305350902782E-2</c:v>
                </c:pt>
                <c:pt idx="147">
                  <c:v>5.6308305350902782E-2</c:v>
                </c:pt>
                <c:pt idx="148">
                  <c:v>5.9827574435334208E-2</c:v>
                </c:pt>
                <c:pt idx="149">
                  <c:v>5.9827574435334208E-2</c:v>
                </c:pt>
                <c:pt idx="150">
                  <c:v>5.9827574435334208E-2</c:v>
                </c:pt>
                <c:pt idx="151">
                  <c:v>6.3346843519765619E-2</c:v>
                </c:pt>
                <c:pt idx="152">
                  <c:v>6.3346843519765619E-2</c:v>
                </c:pt>
                <c:pt idx="153">
                  <c:v>6.6866112604197059E-2</c:v>
                </c:pt>
                <c:pt idx="154">
                  <c:v>7.0385381688628471E-2</c:v>
                </c:pt>
                <c:pt idx="155">
                  <c:v>7.0385381688628471E-2</c:v>
                </c:pt>
                <c:pt idx="156">
                  <c:v>7.0385381688628471E-2</c:v>
                </c:pt>
                <c:pt idx="157">
                  <c:v>7.0385381688628471E-2</c:v>
                </c:pt>
                <c:pt idx="158">
                  <c:v>7.0385381688628471E-2</c:v>
                </c:pt>
                <c:pt idx="159">
                  <c:v>7.0385381688628471E-2</c:v>
                </c:pt>
                <c:pt idx="160">
                  <c:v>7.0385381688628471E-2</c:v>
                </c:pt>
                <c:pt idx="161">
                  <c:v>7.0385381688628471E-2</c:v>
                </c:pt>
                <c:pt idx="162">
                  <c:v>7.0385381688628471E-2</c:v>
                </c:pt>
                <c:pt idx="163">
                  <c:v>7.0385381688628471E-2</c:v>
                </c:pt>
                <c:pt idx="164">
                  <c:v>7.0385381688628471E-2</c:v>
                </c:pt>
                <c:pt idx="165">
                  <c:v>7.0385381688628471E-2</c:v>
                </c:pt>
                <c:pt idx="166">
                  <c:v>7.0385381688628471E-2</c:v>
                </c:pt>
                <c:pt idx="167">
                  <c:v>7.0385381688628471E-2</c:v>
                </c:pt>
                <c:pt idx="168">
                  <c:v>7.0385381688628471E-2</c:v>
                </c:pt>
                <c:pt idx="169">
                  <c:v>7.0385381688628471E-2</c:v>
                </c:pt>
                <c:pt idx="170">
                  <c:v>7.0385381688628471E-2</c:v>
                </c:pt>
                <c:pt idx="171">
                  <c:v>7.0385381688628471E-2</c:v>
                </c:pt>
                <c:pt idx="172">
                  <c:v>7.0385381688628471E-2</c:v>
                </c:pt>
                <c:pt idx="173">
                  <c:v>7.3904650773059896E-2</c:v>
                </c:pt>
                <c:pt idx="174">
                  <c:v>7.7423919857491322E-2</c:v>
                </c:pt>
                <c:pt idx="175">
                  <c:v>7.7423919857491322E-2</c:v>
                </c:pt>
                <c:pt idx="176">
                  <c:v>8.0943188941922747E-2</c:v>
                </c:pt>
                <c:pt idx="177">
                  <c:v>8.0943188941922747E-2</c:v>
                </c:pt>
                <c:pt idx="178">
                  <c:v>8.4462458026354173E-2</c:v>
                </c:pt>
                <c:pt idx="179">
                  <c:v>8.7981727110785612E-2</c:v>
                </c:pt>
                <c:pt idx="180">
                  <c:v>8.7981727110785612E-2</c:v>
                </c:pt>
                <c:pt idx="181">
                  <c:v>9.1500996195217024E-2</c:v>
                </c:pt>
                <c:pt idx="182">
                  <c:v>9.1500996195217024E-2</c:v>
                </c:pt>
                <c:pt idx="183">
                  <c:v>9.5020265279648436E-2</c:v>
                </c:pt>
                <c:pt idx="184">
                  <c:v>9.8539534364079862E-2</c:v>
                </c:pt>
                <c:pt idx="185">
                  <c:v>9.8539534364079862E-2</c:v>
                </c:pt>
                <c:pt idx="186">
                  <c:v>0.10205880344851129</c:v>
                </c:pt>
                <c:pt idx="187">
                  <c:v>0.10557807253294271</c:v>
                </c:pt>
                <c:pt idx="188">
                  <c:v>0.10557807253294271</c:v>
                </c:pt>
                <c:pt idx="189">
                  <c:v>0.10909734161737414</c:v>
                </c:pt>
                <c:pt idx="190">
                  <c:v>0.11261661070180556</c:v>
                </c:pt>
                <c:pt idx="191">
                  <c:v>0.11261661070180556</c:v>
                </c:pt>
                <c:pt idx="192">
                  <c:v>0.11613587978623699</c:v>
                </c:pt>
                <c:pt idx="193">
                  <c:v>0.11965514887066842</c:v>
                </c:pt>
                <c:pt idx="194">
                  <c:v>0.11965514887066842</c:v>
                </c:pt>
                <c:pt idx="195">
                  <c:v>0.12317441795509984</c:v>
                </c:pt>
                <c:pt idx="196">
                  <c:v>0.12317441795509984</c:v>
                </c:pt>
                <c:pt idx="197">
                  <c:v>0.12669368703953124</c:v>
                </c:pt>
                <c:pt idx="198">
                  <c:v>0.13021295612396269</c:v>
                </c:pt>
                <c:pt idx="199">
                  <c:v>0.13021295612396269</c:v>
                </c:pt>
                <c:pt idx="200">
                  <c:v>0.13373222520839412</c:v>
                </c:pt>
                <c:pt idx="201">
                  <c:v>0.13725149429282552</c:v>
                </c:pt>
                <c:pt idx="202">
                  <c:v>0.14077076337725694</c:v>
                </c:pt>
                <c:pt idx="203">
                  <c:v>0.14429003246168839</c:v>
                </c:pt>
                <c:pt idx="204">
                  <c:v>0.14780930154611979</c:v>
                </c:pt>
                <c:pt idx="205">
                  <c:v>0.15132650168929054</c:v>
                </c:pt>
                <c:pt idx="206">
                  <c:v>0.15132650168929054</c:v>
                </c:pt>
                <c:pt idx="207">
                  <c:v>0.15484577077372197</c:v>
                </c:pt>
                <c:pt idx="208">
                  <c:v>0.15836503985815339</c:v>
                </c:pt>
                <c:pt idx="209">
                  <c:v>0.16188430894258479</c:v>
                </c:pt>
                <c:pt idx="210">
                  <c:v>0.16540357802701622</c:v>
                </c:pt>
                <c:pt idx="211">
                  <c:v>0.16892284711144764</c:v>
                </c:pt>
                <c:pt idx="212">
                  <c:v>0.16892284711144764</c:v>
                </c:pt>
                <c:pt idx="213">
                  <c:v>0.16892284711144764</c:v>
                </c:pt>
                <c:pt idx="214">
                  <c:v>0.16892284711144764</c:v>
                </c:pt>
                <c:pt idx="215">
                  <c:v>0.17244211619587907</c:v>
                </c:pt>
                <c:pt idx="216">
                  <c:v>0.17244211619587907</c:v>
                </c:pt>
                <c:pt idx="217">
                  <c:v>0.17244211619587907</c:v>
                </c:pt>
                <c:pt idx="218">
                  <c:v>0.17596138528031049</c:v>
                </c:pt>
                <c:pt idx="219">
                  <c:v>0.17948065436474192</c:v>
                </c:pt>
                <c:pt idx="220">
                  <c:v>0.18299992344917337</c:v>
                </c:pt>
                <c:pt idx="221">
                  <c:v>0.18299992344917337</c:v>
                </c:pt>
                <c:pt idx="222">
                  <c:v>0.18651919253360477</c:v>
                </c:pt>
                <c:pt idx="223">
                  <c:v>0.1900384616180362</c:v>
                </c:pt>
                <c:pt idx="224">
                  <c:v>0.1900384616180362</c:v>
                </c:pt>
                <c:pt idx="225">
                  <c:v>0.1900384616180362</c:v>
                </c:pt>
                <c:pt idx="226">
                  <c:v>0.1900384616180362</c:v>
                </c:pt>
                <c:pt idx="227">
                  <c:v>0.1900384616180362</c:v>
                </c:pt>
                <c:pt idx="228">
                  <c:v>0.1900384616180362</c:v>
                </c:pt>
                <c:pt idx="229">
                  <c:v>0.1900384616180362</c:v>
                </c:pt>
                <c:pt idx="230">
                  <c:v>0.1900384616180362</c:v>
                </c:pt>
                <c:pt idx="231">
                  <c:v>0.19355773070246762</c:v>
                </c:pt>
                <c:pt idx="232">
                  <c:v>0.19355773070246762</c:v>
                </c:pt>
                <c:pt idx="233">
                  <c:v>0.19707699978689902</c:v>
                </c:pt>
                <c:pt idx="234">
                  <c:v>0.19707699978689902</c:v>
                </c:pt>
                <c:pt idx="235">
                  <c:v>0.19707699978689902</c:v>
                </c:pt>
                <c:pt idx="236">
                  <c:v>0.19707699978689902</c:v>
                </c:pt>
                <c:pt idx="237">
                  <c:v>0.19707699978689902</c:v>
                </c:pt>
                <c:pt idx="238">
                  <c:v>0.19707699978689902</c:v>
                </c:pt>
                <c:pt idx="239">
                  <c:v>0.19707699978689902</c:v>
                </c:pt>
                <c:pt idx="240">
                  <c:v>0.19707699978689902</c:v>
                </c:pt>
                <c:pt idx="241">
                  <c:v>0.19707699978689902</c:v>
                </c:pt>
                <c:pt idx="242">
                  <c:v>0.19707699978689902</c:v>
                </c:pt>
                <c:pt idx="243">
                  <c:v>0.19707699978689902</c:v>
                </c:pt>
                <c:pt idx="244">
                  <c:v>0.19707699978689902</c:v>
                </c:pt>
                <c:pt idx="245">
                  <c:v>0.19707699978689902</c:v>
                </c:pt>
                <c:pt idx="246">
                  <c:v>0.19707699978689902</c:v>
                </c:pt>
                <c:pt idx="247">
                  <c:v>0.20059626887133047</c:v>
                </c:pt>
                <c:pt idx="248">
                  <c:v>0.2076389449227147</c:v>
                </c:pt>
                <c:pt idx="249">
                  <c:v>0.21115614506588543</c:v>
                </c:pt>
                <c:pt idx="250">
                  <c:v>0.21819054535222687</c:v>
                </c:pt>
                <c:pt idx="251">
                  <c:v>0.22522494563856835</c:v>
                </c:pt>
                <c:pt idx="252">
                  <c:v>0.2322800353375167</c:v>
                </c:pt>
                <c:pt idx="253">
                  <c:v>0.23579723548068746</c:v>
                </c:pt>
                <c:pt idx="254">
                  <c:v>0.23579723548068746</c:v>
                </c:pt>
                <c:pt idx="255">
                  <c:v>0.23579723548068746</c:v>
                </c:pt>
                <c:pt idx="256">
                  <c:v>0.23931443562385821</c:v>
                </c:pt>
                <c:pt idx="257">
                  <c:v>0.23931443562385821</c:v>
                </c:pt>
                <c:pt idx="258">
                  <c:v>0.23931443562385821</c:v>
                </c:pt>
                <c:pt idx="259">
                  <c:v>0.23931443562385821</c:v>
                </c:pt>
                <c:pt idx="260">
                  <c:v>0.23931443562385821</c:v>
                </c:pt>
                <c:pt idx="261">
                  <c:v>0.23931443562385821</c:v>
                </c:pt>
                <c:pt idx="262">
                  <c:v>0.23931443562385821</c:v>
                </c:pt>
                <c:pt idx="263">
                  <c:v>0.23931443562385821</c:v>
                </c:pt>
                <c:pt idx="264">
                  <c:v>0.23931443562385821</c:v>
                </c:pt>
                <c:pt idx="265">
                  <c:v>0.23931443562385821</c:v>
                </c:pt>
                <c:pt idx="266">
                  <c:v>0.23931443562385821</c:v>
                </c:pt>
                <c:pt idx="267">
                  <c:v>0.23931443562385821</c:v>
                </c:pt>
                <c:pt idx="268">
                  <c:v>0.23931443562385821</c:v>
                </c:pt>
                <c:pt idx="269">
                  <c:v>0.23931443562385821</c:v>
                </c:pt>
                <c:pt idx="270">
                  <c:v>0.23931443562385821</c:v>
                </c:pt>
                <c:pt idx="271">
                  <c:v>0.23931443562385821</c:v>
                </c:pt>
                <c:pt idx="272">
                  <c:v>0.23931443562385821</c:v>
                </c:pt>
                <c:pt idx="273">
                  <c:v>0.23931443562385821</c:v>
                </c:pt>
                <c:pt idx="274">
                  <c:v>0.23931443562385821</c:v>
                </c:pt>
                <c:pt idx="275">
                  <c:v>0.23931443562385821</c:v>
                </c:pt>
                <c:pt idx="276">
                  <c:v>0.23931443562385821</c:v>
                </c:pt>
                <c:pt idx="277">
                  <c:v>0.23931443562385821</c:v>
                </c:pt>
                <c:pt idx="278">
                  <c:v>0.23931443562385821</c:v>
                </c:pt>
                <c:pt idx="279">
                  <c:v>0.24283163576702893</c:v>
                </c:pt>
                <c:pt idx="280">
                  <c:v>0.24283163576702893</c:v>
                </c:pt>
                <c:pt idx="281">
                  <c:v>0.24283163576702893</c:v>
                </c:pt>
                <c:pt idx="282">
                  <c:v>0.24283163576702893</c:v>
                </c:pt>
                <c:pt idx="283">
                  <c:v>0.24283163576702893</c:v>
                </c:pt>
                <c:pt idx="284">
                  <c:v>0.24634883591019968</c:v>
                </c:pt>
                <c:pt idx="285">
                  <c:v>0.24986603605337041</c:v>
                </c:pt>
                <c:pt idx="286">
                  <c:v>0.26041763648288263</c:v>
                </c:pt>
                <c:pt idx="287">
                  <c:v>0.26393483662605333</c:v>
                </c:pt>
                <c:pt idx="288">
                  <c:v>0.27098992632500168</c:v>
                </c:pt>
                <c:pt idx="289">
                  <c:v>0.27450712646817249</c:v>
                </c:pt>
                <c:pt idx="290">
                  <c:v>0.27802432661134319</c:v>
                </c:pt>
                <c:pt idx="291">
                  <c:v>0.27802432661134319</c:v>
                </c:pt>
                <c:pt idx="292">
                  <c:v>0.28154152675451388</c:v>
                </c:pt>
                <c:pt idx="293">
                  <c:v>0.28154152675451388</c:v>
                </c:pt>
                <c:pt idx="294">
                  <c:v>0.28154152675451388</c:v>
                </c:pt>
                <c:pt idx="295">
                  <c:v>0.28154152675451388</c:v>
                </c:pt>
                <c:pt idx="296">
                  <c:v>0.28154152675451388</c:v>
                </c:pt>
                <c:pt idx="297">
                  <c:v>0.28154152675451388</c:v>
                </c:pt>
                <c:pt idx="298">
                  <c:v>0.28154152675451388</c:v>
                </c:pt>
                <c:pt idx="299">
                  <c:v>0.28154152675451388</c:v>
                </c:pt>
                <c:pt idx="300">
                  <c:v>0.28154152675451388</c:v>
                </c:pt>
                <c:pt idx="301">
                  <c:v>0.28154152675451388</c:v>
                </c:pt>
                <c:pt idx="302">
                  <c:v>0.28154152675451388</c:v>
                </c:pt>
                <c:pt idx="303">
                  <c:v>0.28154152675451388</c:v>
                </c:pt>
                <c:pt idx="304">
                  <c:v>0.28154152675451388</c:v>
                </c:pt>
                <c:pt idx="305">
                  <c:v>0.28154152675451388</c:v>
                </c:pt>
                <c:pt idx="306">
                  <c:v>0.28154152675451388</c:v>
                </c:pt>
                <c:pt idx="307">
                  <c:v>0.28154152675451388</c:v>
                </c:pt>
                <c:pt idx="308">
                  <c:v>0.28154152675451388</c:v>
                </c:pt>
                <c:pt idx="309">
                  <c:v>0.28154152675451388</c:v>
                </c:pt>
                <c:pt idx="310">
                  <c:v>0.28154152675451388</c:v>
                </c:pt>
                <c:pt idx="311">
                  <c:v>0.28154152675451388</c:v>
                </c:pt>
                <c:pt idx="312">
                  <c:v>0.28505872689768463</c:v>
                </c:pt>
                <c:pt idx="313">
                  <c:v>0.28154152675451388</c:v>
                </c:pt>
                <c:pt idx="314">
                  <c:v>0.28154152675451388</c:v>
                </c:pt>
                <c:pt idx="315">
                  <c:v>0.28505872689768463</c:v>
                </c:pt>
                <c:pt idx="316">
                  <c:v>0.28505872689768463</c:v>
                </c:pt>
                <c:pt idx="317">
                  <c:v>0.28505872689768463</c:v>
                </c:pt>
                <c:pt idx="318">
                  <c:v>0.28505872689768463</c:v>
                </c:pt>
                <c:pt idx="319">
                  <c:v>0.28505872689768463</c:v>
                </c:pt>
                <c:pt idx="320">
                  <c:v>0.28505872689768463</c:v>
                </c:pt>
                <c:pt idx="321">
                  <c:v>0.28505872689768463</c:v>
                </c:pt>
                <c:pt idx="322">
                  <c:v>0.28505872689768463</c:v>
                </c:pt>
                <c:pt idx="323">
                  <c:v>0.28505872689768463</c:v>
                </c:pt>
                <c:pt idx="324">
                  <c:v>0.28505872689768463</c:v>
                </c:pt>
                <c:pt idx="325">
                  <c:v>0.28857592704085538</c:v>
                </c:pt>
                <c:pt idx="326">
                  <c:v>0.28857592704085538</c:v>
                </c:pt>
                <c:pt idx="327">
                  <c:v>0.28857592704085538</c:v>
                </c:pt>
                <c:pt idx="328">
                  <c:v>0.28857592704085538</c:v>
                </c:pt>
                <c:pt idx="329">
                  <c:v>0.28857592704085538</c:v>
                </c:pt>
                <c:pt idx="330">
                  <c:v>0.28857592704085538</c:v>
                </c:pt>
                <c:pt idx="331">
                  <c:v>0.28857592704085538</c:v>
                </c:pt>
                <c:pt idx="332">
                  <c:v>0.28857592704085538</c:v>
                </c:pt>
                <c:pt idx="333">
                  <c:v>0.29209312718402614</c:v>
                </c:pt>
                <c:pt idx="334">
                  <c:v>0.29561032732719683</c:v>
                </c:pt>
                <c:pt idx="335">
                  <c:v>0.29561032732719683</c:v>
                </c:pt>
                <c:pt idx="336">
                  <c:v>0.29912752747036764</c:v>
                </c:pt>
                <c:pt idx="337">
                  <c:v>0.29912752747036764</c:v>
                </c:pt>
                <c:pt idx="338">
                  <c:v>0.30264472761353833</c:v>
                </c:pt>
                <c:pt idx="339">
                  <c:v>0.30969981731248664</c:v>
                </c:pt>
                <c:pt idx="340">
                  <c:v>0.31321701745565744</c:v>
                </c:pt>
                <c:pt idx="341">
                  <c:v>0.31321701745565744</c:v>
                </c:pt>
                <c:pt idx="342">
                  <c:v>0.32025141774199883</c:v>
                </c:pt>
                <c:pt idx="343">
                  <c:v>0.32376861788516959</c:v>
                </c:pt>
                <c:pt idx="344">
                  <c:v>0.33080301817151114</c:v>
                </c:pt>
                <c:pt idx="345">
                  <c:v>0.34137530801363014</c:v>
                </c:pt>
                <c:pt idx="346">
                  <c:v>0.35192690844314245</c:v>
                </c:pt>
                <c:pt idx="347">
                  <c:v>0.36247850887265459</c:v>
                </c:pt>
                <c:pt idx="348">
                  <c:v>0.37303010930216679</c:v>
                </c:pt>
                <c:pt idx="349">
                  <c:v>0.3836023991442859</c:v>
                </c:pt>
                <c:pt idx="350">
                  <c:v>0.39415399957379804</c:v>
                </c:pt>
                <c:pt idx="351">
                  <c:v>0.40118839986013954</c:v>
                </c:pt>
                <c:pt idx="352">
                  <c:v>0.4082228001464811</c:v>
                </c:pt>
                <c:pt idx="353">
                  <c:v>0.4152778898454294</c:v>
                </c:pt>
                <c:pt idx="354">
                  <c:v>0.4293466904181123</c:v>
                </c:pt>
                <c:pt idx="355">
                  <c:v>0.44341549099079525</c:v>
                </c:pt>
                <c:pt idx="356">
                  <c:v>0.45398778083291441</c:v>
                </c:pt>
                <c:pt idx="357">
                  <c:v>0.46805658140559731</c:v>
                </c:pt>
                <c:pt idx="358">
                  <c:v>0.48214607139088705</c:v>
                </c:pt>
                <c:pt idx="359">
                  <c:v>0.49621487196357011</c:v>
                </c:pt>
                <c:pt idx="360">
                  <c:v>0.51028367253625306</c:v>
                </c:pt>
                <c:pt idx="361">
                  <c:v>0.52437316252154287</c:v>
                </c:pt>
                <c:pt idx="362">
                  <c:v>0.53844196309422576</c:v>
                </c:pt>
                <c:pt idx="363">
                  <c:v>0.55253145307951557</c:v>
                </c:pt>
                <c:pt idx="364">
                  <c:v>0.57011745379536927</c:v>
                </c:pt>
                <c:pt idx="365">
                  <c:v>0.58772414392382988</c:v>
                </c:pt>
                <c:pt idx="366">
                  <c:v>0.60179294449651277</c:v>
                </c:pt>
                <c:pt idx="367">
                  <c:v>0.61586174506919578</c:v>
                </c:pt>
                <c:pt idx="368">
                  <c:v>0.62995123505448547</c:v>
                </c:pt>
                <c:pt idx="369">
                  <c:v>0.64402003562716847</c:v>
                </c:pt>
                <c:pt idx="370">
                  <c:v>0.65808883619985148</c:v>
                </c:pt>
                <c:pt idx="371">
                  <c:v>0.67217832618514117</c:v>
                </c:pt>
                <c:pt idx="372">
                  <c:v>0.68624712675782407</c:v>
                </c:pt>
                <c:pt idx="373">
                  <c:v>0.70033661674311409</c:v>
                </c:pt>
                <c:pt idx="374">
                  <c:v>0.71440541731579699</c:v>
                </c:pt>
                <c:pt idx="375">
                  <c:v>0.72847421788847999</c:v>
                </c:pt>
                <c:pt idx="376">
                  <c:v>0.74256370787376969</c:v>
                </c:pt>
                <c:pt idx="377">
                  <c:v>0.75663250844645269</c:v>
                </c:pt>
                <c:pt idx="378">
                  <c:v>0.77072199843174249</c:v>
                </c:pt>
                <c:pt idx="379">
                  <c:v>0.7847907990044255</c:v>
                </c:pt>
                <c:pt idx="380">
                  <c:v>0.79885959957710839</c:v>
                </c:pt>
                <c:pt idx="381">
                  <c:v>0.8129490895623982</c:v>
                </c:pt>
                <c:pt idx="382">
                  <c:v>0.82701789013508109</c:v>
                </c:pt>
                <c:pt idx="383">
                  <c:v>0.84110738012037101</c:v>
                </c:pt>
                <c:pt idx="384">
                  <c:v>0.85517618069305401</c:v>
                </c:pt>
                <c:pt idx="385">
                  <c:v>0.8692449812657369</c:v>
                </c:pt>
                <c:pt idx="386">
                  <c:v>0.88333447125102671</c:v>
                </c:pt>
                <c:pt idx="387">
                  <c:v>0.8974032718237096</c:v>
                </c:pt>
                <c:pt idx="388">
                  <c:v>0.9114927618089993</c:v>
                </c:pt>
                <c:pt idx="389">
                  <c:v>0.9255615623816823</c:v>
                </c:pt>
                <c:pt idx="390">
                  <c:v>0.93963036295436531</c:v>
                </c:pt>
                <c:pt idx="391">
                  <c:v>0.95371985293965522</c:v>
                </c:pt>
                <c:pt idx="392">
                  <c:v>0.96778865351233823</c:v>
                </c:pt>
                <c:pt idx="393">
                  <c:v>0.98187814349762792</c:v>
                </c:pt>
                <c:pt idx="394">
                  <c:v>0.99594694407031081</c:v>
                </c:pt>
                <c:pt idx="395">
                  <c:v>1.0100157446429938</c:v>
                </c:pt>
                <c:pt idx="396">
                  <c:v>1.0241052346282837</c:v>
                </c:pt>
                <c:pt idx="397">
                  <c:v>1.0381740352009667</c:v>
                </c:pt>
                <c:pt idx="398">
                  <c:v>1.0522635251862564</c:v>
                </c:pt>
                <c:pt idx="399">
                  <c:v>1.0663323257589394</c:v>
                </c:pt>
                <c:pt idx="400">
                  <c:v>1.0804011263316222</c:v>
                </c:pt>
                <c:pt idx="401">
                  <c:v>1.0944906163169121</c:v>
                </c:pt>
                <c:pt idx="402">
                  <c:v>1.1085594168895951</c:v>
                </c:pt>
                <c:pt idx="403">
                  <c:v>1.1226489068748848</c:v>
                </c:pt>
                <c:pt idx="404">
                  <c:v>1.1367177074475676</c:v>
                </c:pt>
                <c:pt idx="405">
                  <c:v>1.1507865080202508</c:v>
                </c:pt>
                <c:pt idx="406">
                  <c:v>1.1648759980055405</c:v>
                </c:pt>
                <c:pt idx="407">
                  <c:v>1.1789447985782235</c:v>
                </c:pt>
                <c:pt idx="408">
                  <c:v>1.1930135991509063</c:v>
                </c:pt>
                <c:pt idx="409">
                  <c:v>1.2106202892793672</c:v>
                </c:pt>
                <c:pt idx="410">
                  <c:v>1.2282062899952206</c:v>
                </c:pt>
                <c:pt idx="411">
                  <c:v>1.2422957799805106</c:v>
                </c:pt>
                <c:pt idx="412">
                  <c:v>1.2563645805531936</c:v>
                </c:pt>
                <c:pt idx="413">
                  <c:v>1.2704540705384832</c:v>
                </c:pt>
                <c:pt idx="414">
                  <c:v>1.2845228711111663</c:v>
                </c:pt>
                <c:pt idx="415">
                  <c:v>1.298591671683849</c:v>
                </c:pt>
                <c:pt idx="416">
                  <c:v>1.3161983618123096</c:v>
                </c:pt>
                <c:pt idx="417">
                  <c:v>1.3302671623849927</c:v>
                </c:pt>
                <c:pt idx="418">
                  <c:v>1.3443566523702823</c:v>
                </c:pt>
                <c:pt idx="419">
                  <c:v>1.3584254529429656</c:v>
                </c:pt>
                <c:pt idx="420">
                  <c:v>1.3725149429282553</c:v>
                </c:pt>
                <c:pt idx="421">
                  <c:v>1.3901009436441087</c:v>
                </c:pt>
                <c:pt idx="422">
                  <c:v>1.4041697442167917</c:v>
                </c:pt>
                <c:pt idx="423">
                  <c:v>1.4182592342020817</c:v>
                </c:pt>
                <c:pt idx="424">
                  <c:v>1.4323280347747647</c:v>
                </c:pt>
                <c:pt idx="425">
                  <c:v>1.4464175247600544</c:v>
                </c:pt>
                <c:pt idx="426">
                  <c:v>1.4604863253327374</c:v>
                </c:pt>
                <c:pt idx="427">
                  <c:v>1.4745551259054204</c:v>
                </c:pt>
                <c:pt idx="428">
                  <c:v>1.492161816033881</c:v>
                </c:pt>
                <c:pt idx="429">
                  <c:v>1.506230616606564</c:v>
                </c:pt>
                <c:pt idx="430">
                  <c:v>1.5203201065918537</c:v>
                </c:pt>
                <c:pt idx="431">
                  <c:v>1.5343889071645367</c:v>
                </c:pt>
                <c:pt idx="432">
                  <c:v>1.5484577077372197</c:v>
                </c:pt>
                <c:pt idx="433">
                  <c:v>1.5625471977225096</c:v>
                </c:pt>
                <c:pt idx="434">
                  <c:v>1.5766159982951922</c:v>
                </c:pt>
                <c:pt idx="435">
                  <c:v>1.5907054882804823</c:v>
                </c:pt>
                <c:pt idx="436">
                  <c:v>1.6047742888531651</c:v>
                </c:pt>
                <c:pt idx="437">
                  <c:v>1.6188430894258481</c:v>
                </c:pt>
                <c:pt idx="438">
                  <c:v>1.6329325794111378</c:v>
                </c:pt>
                <c:pt idx="439">
                  <c:v>1.6505185801269915</c:v>
                </c:pt>
                <c:pt idx="440">
                  <c:v>1.6681252702554521</c:v>
                </c:pt>
                <c:pt idx="441">
                  <c:v>1.6857112709713058</c:v>
                </c:pt>
                <c:pt idx="442">
                  <c:v>1.6998007609565957</c:v>
                </c:pt>
                <c:pt idx="443">
                  <c:v>1.7138695615292785</c:v>
                </c:pt>
                <c:pt idx="444">
                  <c:v>1.7279590515145684</c:v>
                </c:pt>
                <c:pt idx="445">
                  <c:v>1.7420278520872514</c:v>
                </c:pt>
                <c:pt idx="446">
                  <c:v>1.7560966526599344</c:v>
                </c:pt>
                <c:pt idx="447">
                  <c:v>1.7701861426452243</c:v>
                </c:pt>
                <c:pt idx="448">
                  <c:v>1.7842549432179069</c:v>
                </c:pt>
                <c:pt idx="449">
                  <c:v>1.7983237437905899</c:v>
                </c:pt>
                <c:pt idx="450">
                  <c:v>1.8124132337758798</c:v>
                </c:pt>
                <c:pt idx="451">
                  <c:v>1.8264820343485628</c:v>
                </c:pt>
                <c:pt idx="452">
                  <c:v>1.8405715243338525</c:v>
                </c:pt>
                <c:pt idx="453">
                  <c:v>1.8546403249065355</c:v>
                </c:pt>
                <c:pt idx="454">
                  <c:v>1.8687091254792185</c:v>
                </c:pt>
                <c:pt idx="455">
                  <c:v>1.8827986154645082</c:v>
                </c:pt>
                <c:pt idx="456">
                  <c:v>1.8968674160371914</c:v>
                </c:pt>
                <c:pt idx="457">
                  <c:v>1.9144741061656518</c:v>
                </c:pt>
                <c:pt idx="458">
                  <c:v>1.9285429067383348</c:v>
                </c:pt>
                <c:pt idx="459">
                  <c:v>1.9426323967236245</c:v>
                </c:pt>
                <c:pt idx="460">
                  <c:v>1.9567011972963078</c:v>
                </c:pt>
                <c:pt idx="461">
                  <c:v>1.974287198012161</c:v>
                </c:pt>
                <c:pt idx="462">
                  <c:v>1.9883766879974507</c:v>
                </c:pt>
                <c:pt idx="463">
                  <c:v>2.0059626887133049</c:v>
                </c:pt>
                <c:pt idx="464">
                  <c:v>2.0200521786985943</c:v>
                </c:pt>
                <c:pt idx="465">
                  <c:v>2.0341209792712771</c:v>
                </c:pt>
                <c:pt idx="466">
                  <c:v>2.0517276693997379</c:v>
                </c:pt>
                <c:pt idx="467">
                  <c:v>2.0657964699724212</c:v>
                </c:pt>
                <c:pt idx="468">
                  <c:v>2.0834238495134882</c:v>
                </c:pt>
                <c:pt idx="469">
                  <c:v>2.0974926500861715</c:v>
                </c:pt>
                <c:pt idx="470">
                  <c:v>2.1150786508020252</c:v>
                </c:pt>
                <c:pt idx="471">
                  <c:v>2.129147451374708</c:v>
                </c:pt>
                <c:pt idx="472">
                  <c:v>2.1467334520905617</c:v>
                </c:pt>
                <c:pt idx="473">
                  <c:v>2.1608022526632444</c:v>
                </c:pt>
                <c:pt idx="474">
                  <c:v>2.1748710532359277</c:v>
                </c:pt>
                <c:pt idx="475">
                  <c:v>2.1889398538086104</c:v>
                </c:pt>
                <c:pt idx="476">
                  <c:v>2.2065258545244641</c:v>
                </c:pt>
                <c:pt idx="477">
                  <c:v>2.2205946550971469</c:v>
                </c:pt>
                <c:pt idx="478">
                  <c:v>2.2381806558130011</c:v>
                </c:pt>
                <c:pt idx="479">
                  <c:v>2.2557666565288543</c:v>
                </c:pt>
                <c:pt idx="480">
                  <c:v>2.273352657244708</c:v>
                </c:pt>
                <c:pt idx="481">
                  <c:v>2.2874214578173908</c:v>
                </c:pt>
                <c:pt idx="482">
                  <c:v>2.3014902583900736</c:v>
                </c:pt>
                <c:pt idx="483">
                  <c:v>2.3192831532319964</c:v>
                </c:pt>
                <c:pt idx="484">
                  <c:v>2.3368691539478501</c:v>
                </c:pt>
                <c:pt idx="485">
                  <c:v>2.3544551546637038</c:v>
                </c:pt>
                <c:pt idx="486">
                  <c:v>2.3720411553795575</c:v>
                </c:pt>
                <c:pt idx="487">
                  <c:v>2.3896271560954112</c:v>
                </c:pt>
                <c:pt idx="488">
                  <c:v>2.4072131568112649</c:v>
                </c:pt>
                <c:pt idx="489">
                  <c:v>2.4247991575271186</c:v>
                </c:pt>
                <c:pt idx="490">
                  <c:v>2.4388679580998014</c:v>
                </c:pt>
                <c:pt idx="491">
                  <c:v>2.4564539588156551</c:v>
                </c:pt>
                <c:pt idx="492">
                  <c:v>2.4740399595315088</c:v>
                </c:pt>
                <c:pt idx="493">
                  <c:v>2.4916259602473625</c:v>
                </c:pt>
                <c:pt idx="494">
                  <c:v>2.5056947608200457</c:v>
                </c:pt>
                <c:pt idx="495">
                  <c:v>2.5232807615358994</c:v>
                </c:pt>
                <c:pt idx="496">
                  <c:v>2.5408667622517527</c:v>
                </c:pt>
                <c:pt idx="497">
                  <c:v>2.5549355628244355</c:v>
                </c:pt>
                <c:pt idx="498">
                  <c:v>2.5725215635402896</c:v>
                </c:pt>
                <c:pt idx="499">
                  <c:v>2.5901075642561433</c:v>
                </c:pt>
                <c:pt idx="500">
                  <c:v>2.607693564971997</c:v>
                </c:pt>
                <c:pt idx="501">
                  <c:v>2.6217623655446798</c:v>
                </c:pt>
                <c:pt idx="502">
                  <c:v>2.639348366260533</c:v>
                </c:pt>
                <c:pt idx="503">
                  <c:v>2.6534171668332163</c:v>
                </c:pt>
                <c:pt idx="504">
                  <c:v>2.67100316754907</c:v>
                </c:pt>
                <c:pt idx="505">
                  <c:v>2.6887960623909928</c:v>
                </c:pt>
                <c:pt idx="506">
                  <c:v>2.7028648629636751</c:v>
                </c:pt>
                <c:pt idx="507">
                  <c:v>2.7274852639658707</c:v>
                </c:pt>
                <c:pt idx="508">
                  <c:v>2.7521056649680657</c:v>
                </c:pt>
                <c:pt idx="509">
                  <c:v>2.7732088658270899</c:v>
                </c:pt>
                <c:pt idx="510">
                  <c:v>2.7978292668292855</c:v>
                </c:pt>
                <c:pt idx="511">
                  <c:v>2.8189324676883101</c:v>
                </c:pt>
                <c:pt idx="512">
                  <c:v>2.8435528686905047</c:v>
                </c:pt>
                <c:pt idx="513">
                  <c:v>2.8681732696926998</c:v>
                </c:pt>
                <c:pt idx="514">
                  <c:v>2.8892764705517244</c:v>
                </c:pt>
                <c:pt idx="515">
                  <c:v>2.91389687155392</c:v>
                </c:pt>
                <c:pt idx="516">
                  <c:v>2.9350000724129446</c:v>
                </c:pt>
                <c:pt idx="517">
                  <c:v>2.9596204734151397</c:v>
                </c:pt>
                <c:pt idx="518">
                  <c:v>2.9807236742741634</c:v>
                </c:pt>
                <c:pt idx="519">
                  <c:v>3.0053440752763585</c:v>
                </c:pt>
                <c:pt idx="520">
                  <c:v>3.0301713704046231</c:v>
                </c:pt>
                <c:pt idx="521">
                  <c:v>3.0512745712636473</c:v>
                </c:pt>
                <c:pt idx="522">
                  <c:v>3.075894972265842</c:v>
                </c:pt>
                <c:pt idx="523">
                  <c:v>3.0969981731248666</c:v>
                </c:pt>
                <c:pt idx="524">
                  <c:v>3.1216185741270617</c:v>
                </c:pt>
                <c:pt idx="525">
                  <c:v>3.1427217749860863</c:v>
                </c:pt>
                <c:pt idx="526">
                  <c:v>3.1673421759882818</c:v>
                </c:pt>
                <c:pt idx="527">
                  <c:v>3.1884453768473064</c:v>
                </c:pt>
                <c:pt idx="528">
                  <c:v>3.2130657778495011</c:v>
                </c:pt>
                <c:pt idx="529">
                  <c:v>3.2341689787085253</c:v>
                </c:pt>
                <c:pt idx="530">
                  <c:v>3.2587893797107204</c:v>
                </c:pt>
                <c:pt idx="531">
                  <c:v>3.279892580569745</c:v>
                </c:pt>
                <c:pt idx="532">
                  <c:v>3.3009957814287696</c:v>
                </c:pt>
                <c:pt idx="533">
                  <c:v>3.3220989822877933</c:v>
                </c:pt>
                <c:pt idx="534">
                  <c:v>3.3467193832899884</c:v>
                </c:pt>
                <c:pt idx="535">
                  <c:v>3.3678225841490135</c:v>
                </c:pt>
                <c:pt idx="536">
                  <c:v>3.3891326791341068</c:v>
                </c:pt>
                <c:pt idx="537">
                  <c:v>3.4137530801363019</c:v>
                </c:pt>
                <c:pt idx="538">
                  <c:v>3.4348562809953265</c:v>
                </c:pt>
                <c:pt idx="539">
                  <c:v>3.4559594818543502</c:v>
                </c:pt>
                <c:pt idx="540">
                  <c:v>3.4770626827133748</c:v>
                </c:pt>
                <c:pt idx="541">
                  <c:v>3.5016830837155704</c:v>
                </c:pt>
                <c:pt idx="542">
                  <c:v>3.522786284574595</c:v>
                </c:pt>
                <c:pt idx="543">
                  <c:v>3.5438894854336191</c:v>
                </c:pt>
                <c:pt idx="544">
                  <c:v>3.5649926862926433</c:v>
                </c:pt>
                <c:pt idx="545">
                  <c:v>3.5860958871516679</c:v>
                </c:pt>
                <c:pt idx="546">
                  <c:v>3.6071990880106921</c:v>
                </c:pt>
                <c:pt idx="547">
                  <c:v>3.6353366891560581</c:v>
                </c:pt>
                <c:pt idx="548">
                  <c:v>3.6634742903014241</c:v>
                </c:pt>
                <c:pt idx="549">
                  <c:v>3.6916118914467897</c:v>
                </c:pt>
                <c:pt idx="550">
                  <c:v>3.7197494925921553</c:v>
                </c:pt>
                <c:pt idx="551">
                  <c:v>3.7516111880067613</c:v>
                </c:pt>
                <c:pt idx="552">
                  <c:v>3.7797487891521273</c:v>
                </c:pt>
                <c:pt idx="553">
                  <c:v>3.8114035904406633</c:v>
                </c:pt>
                <c:pt idx="554">
                  <c:v>3.8395411915860298</c:v>
                </c:pt>
                <c:pt idx="555">
                  <c:v>3.8711959928745663</c:v>
                </c:pt>
                <c:pt idx="556">
                  <c:v>3.8993335940199323</c:v>
                </c:pt>
                <c:pt idx="557">
                  <c:v>3.9274711951652983</c:v>
                </c:pt>
                <c:pt idx="558">
                  <c:v>3.9591259964538348</c:v>
                </c:pt>
                <c:pt idx="559">
                  <c:v>3.9872635975992003</c:v>
                </c:pt>
                <c:pt idx="560">
                  <c:v>4.0189183988877373</c:v>
                </c:pt>
                <c:pt idx="561">
                  <c:v>4.0505732001762738</c:v>
                </c:pt>
                <c:pt idx="562">
                  <c:v>4.0787108013216393</c:v>
                </c:pt>
                <c:pt idx="563">
                  <c:v>4.1105724967362454</c:v>
                </c:pt>
                <c:pt idx="564">
                  <c:v>4.1422272980247818</c:v>
                </c:pt>
                <c:pt idx="565">
                  <c:v>4.1738820993133183</c:v>
                </c:pt>
                <c:pt idx="566">
                  <c:v>4.2055369006018557</c:v>
                </c:pt>
                <c:pt idx="567">
                  <c:v>4.2371917018903913</c:v>
                </c:pt>
                <c:pt idx="568">
                  <c:v>4.2688465031789278</c:v>
                </c:pt>
                <c:pt idx="569">
                  <c:v>4.3005013044674651</c:v>
                </c:pt>
                <c:pt idx="570">
                  <c:v>4.3321561057560007</c:v>
                </c:pt>
                <c:pt idx="571">
                  <c:v>4.3638109070445372</c:v>
                </c:pt>
                <c:pt idx="572">
                  <c:v>4.3954657083330737</c:v>
                </c:pt>
                <c:pt idx="573">
                  <c:v>4.4271205096216111</c:v>
                </c:pt>
                <c:pt idx="574">
                  <c:v>4.4589822050362171</c:v>
                </c:pt>
                <c:pt idx="575">
                  <c:v>4.4906370063247536</c:v>
                </c:pt>
                <c:pt idx="576">
                  <c:v>4.5222918076132901</c:v>
                </c:pt>
                <c:pt idx="577">
                  <c:v>4.5609810091881675</c:v>
                </c:pt>
                <c:pt idx="578">
                  <c:v>4.6031874109062167</c:v>
                </c:pt>
                <c:pt idx="579">
                  <c:v>4.6453938126242651</c:v>
                </c:pt>
                <c:pt idx="580">
                  <c:v>4.6840830141991443</c:v>
                </c:pt>
                <c:pt idx="581">
                  <c:v>4.7192550156308508</c:v>
                </c:pt>
                <c:pt idx="582">
                  <c:v>4.7544270170625591</c:v>
                </c:pt>
                <c:pt idx="583">
                  <c:v>4.7966334187806074</c:v>
                </c:pt>
                <c:pt idx="584">
                  <c:v>4.8390467146247245</c:v>
                </c:pt>
                <c:pt idx="585">
                  <c:v>4.8742187160564328</c:v>
                </c:pt>
                <c:pt idx="586">
                  <c:v>4.9093907174881402</c:v>
                </c:pt>
                <c:pt idx="587">
                  <c:v>4.9445627189198476</c:v>
                </c:pt>
                <c:pt idx="588">
                  <c:v>4.9867691206378959</c:v>
                </c:pt>
                <c:pt idx="589">
                  <c:v>5.0219411220696024</c:v>
                </c:pt>
                <c:pt idx="590">
                  <c:v>5.0571131235013107</c:v>
                </c:pt>
                <c:pt idx="591">
                  <c:v>5.0922851249330172</c:v>
                </c:pt>
                <c:pt idx="592">
                  <c:v>5.1274571263647255</c:v>
                </c:pt>
                <c:pt idx="593">
                  <c:v>5.1626291277964329</c:v>
                </c:pt>
                <c:pt idx="594">
                  <c:v>5.198008023354209</c:v>
                </c:pt>
                <c:pt idx="595">
                  <c:v>5.2331800247859164</c:v>
                </c:pt>
                <c:pt idx="596">
                  <c:v>5.2718692263607938</c:v>
                </c:pt>
                <c:pt idx="597">
                  <c:v>5.3070412277925012</c:v>
                </c:pt>
                <c:pt idx="598">
                  <c:v>5.3422132292242086</c:v>
                </c:pt>
                <c:pt idx="599">
                  <c:v>5.3809024307990869</c:v>
                </c:pt>
                <c:pt idx="600">
                  <c:v>5.4160744322307934</c:v>
                </c:pt>
                <c:pt idx="601">
                  <c:v>5.4617980340920136</c:v>
                </c:pt>
                <c:pt idx="602">
                  <c:v>5.5075216359532337</c:v>
                </c:pt>
                <c:pt idx="603">
                  <c:v>5.5569693320836917</c:v>
                </c:pt>
                <c:pt idx="604">
                  <c:v>5.6026929339449127</c:v>
                </c:pt>
                <c:pt idx="605">
                  <c:v>5.6484165358061311</c:v>
                </c:pt>
                <c:pt idx="606">
                  <c:v>5.6941401376673522</c:v>
                </c:pt>
                <c:pt idx="607">
                  <c:v>5.7398637395285714</c:v>
                </c:pt>
                <c:pt idx="608">
                  <c:v>5.7891045415329616</c:v>
                </c:pt>
                <c:pt idx="609">
                  <c:v>5.8348281433941809</c:v>
                </c:pt>
                <c:pt idx="610">
                  <c:v>5.8772414392382988</c:v>
                </c:pt>
                <c:pt idx="611">
                  <c:v>5.922965041099518</c:v>
                </c:pt>
                <c:pt idx="612">
                  <c:v>5.9651714428175673</c:v>
                </c:pt>
                <c:pt idx="613">
                  <c:v>6.0108950446787857</c:v>
                </c:pt>
                <c:pt idx="614">
                  <c:v>6.0601358466831767</c:v>
                </c:pt>
                <c:pt idx="615">
                  <c:v>6.1093766486875678</c:v>
                </c:pt>
                <c:pt idx="616">
                  <c:v>6.158617450691958</c:v>
                </c:pt>
                <c:pt idx="617">
                  <c:v>6.2043410525531772</c:v>
                </c:pt>
                <c:pt idx="618">
                  <c:v>6.2537887486836352</c:v>
                </c:pt>
                <c:pt idx="619">
                  <c:v>6.3030295506880254</c:v>
                </c:pt>
                <c:pt idx="620">
                  <c:v>6.3487531525492464</c:v>
                </c:pt>
                <c:pt idx="621">
                  <c:v>6.3979939545536357</c:v>
                </c:pt>
                <c:pt idx="622">
                  <c:v>6.4507519567011977</c:v>
                </c:pt>
                <c:pt idx="623">
                  <c:v>6.4999927587055879</c:v>
                </c:pt>
                <c:pt idx="624">
                  <c:v>6.5492335607099772</c:v>
                </c:pt>
                <c:pt idx="625">
                  <c:v>6.5986812568404369</c:v>
                </c:pt>
                <c:pt idx="626">
                  <c:v>6.6479220588448271</c:v>
                </c:pt>
                <c:pt idx="627">
                  <c:v>6.7006800609923882</c:v>
                </c:pt>
                <c:pt idx="628">
                  <c:v>6.7499208629967784</c:v>
                </c:pt>
                <c:pt idx="629">
                  <c:v>6.8026788651443395</c:v>
                </c:pt>
                <c:pt idx="630">
                  <c:v>6.8519196671487297</c:v>
                </c:pt>
                <c:pt idx="631">
                  <c:v>6.9011604691531199</c:v>
                </c:pt>
                <c:pt idx="632">
                  <c:v>6.9541253654267496</c:v>
                </c:pt>
                <c:pt idx="633">
                  <c:v>7.0033661674311407</c:v>
                </c:pt>
                <c:pt idx="634">
                  <c:v>7.0526069694355309</c:v>
                </c:pt>
                <c:pt idx="635">
                  <c:v>7.105364971583092</c:v>
                </c:pt>
                <c:pt idx="636">
                  <c:v>7.1546057735874822</c:v>
                </c:pt>
                <c:pt idx="637">
                  <c:v>7.2073637757350433</c:v>
                </c:pt>
                <c:pt idx="638">
                  <c:v>7.2706733783121162</c:v>
                </c:pt>
                <c:pt idx="639">
                  <c:v>7.3341898750152588</c:v>
                </c:pt>
                <c:pt idx="640">
                  <c:v>7.3974994775923317</c:v>
                </c:pt>
                <c:pt idx="641">
                  <c:v>7.4608090801694047</c:v>
                </c:pt>
                <c:pt idx="642">
                  <c:v>7.5206014826033067</c:v>
                </c:pt>
                <c:pt idx="643">
                  <c:v>7.5839110851803806</c:v>
                </c:pt>
                <c:pt idx="644">
                  <c:v>7.6472206877574536</c:v>
                </c:pt>
                <c:pt idx="645">
                  <c:v>7.7107371844605952</c:v>
                </c:pt>
                <c:pt idx="646">
                  <c:v>7.774046787037669</c:v>
                </c:pt>
                <c:pt idx="647">
                  <c:v>7.8303219893284011</c:v>
                </c:pt>
                <c:pt idx="648">
                  <c:v>7.893631591905474</c:v>
                </c:pt>
                <c:pt idx="649">
                  <c:v>7.9569411944825461</c:v>
                </c:pt>
                <c:pt idx="650">
                  <c:v>8.0204576911856904</c:v>
                </c:pt>
                <c:pt idx="651">
                  <c:v>8.0767328934764215</c:v>
                </c:pt>
                <c:pt idx="652">
                  <c:v>8.1435596961966645</c:v>
                </c:pt>
                <c:pt idx="653">
                  <c:v>8.2103864989169075</c:v>
                </c:pt>
                <c:pt idx="654">
                  <c:v>8.2736961014939823</c:v>
                </c:pt>
                <c:pt idx="655">
                  <c:v>8.3405229042142253</c:v>
                </c:pt>
                <c:pt idx="656">
                  <c:v>8.4040394009173678</c:v>
                </c:pt>
                <c:pt idx="657">
                  <c:v>8.4708662036376126</c:v>
                </c:pt>
                <c:pt idx="658">
                  <c:v>8.5376930063578556</c:v>
                </c:pt>
                <c:pt idx="659">
                  <c:v>8.6045198090780985</c:v>
                </c:pt>
                <c:pt idx="660">
                  <c:v>8.6713466117983433</c:v>
                </c:pt>
                <c:pt idx="661">
                  <c:v>8.7383803086446576</c:v>
                </c:pt>
                <c:pt idx="662">
                  <c:v>8.8087243115080707</c:v>
                </c:pt>
                <c:pt idx="663">
                  <c:v>8.8755511142283154</c:v>
                </c:pt>
                <c:pt idx="664">
                  <c:v>8.9423779169485602</c:v>
                </c:pt>
                <c:pt idx="665">
                  <c:v>9.012721919811975</c:v>
                </c:pt>
                <c:pt idx="666">
                  <c:v>9.0938244172309712</c:v>
                </c:pt>
                <c:pt idx="667">
                  <c:v>9.1712028203807243</c:v>
                </c:pt>
                <c:pt idx="668">
                  <c:v>9.2415468232441409</c:v>
                </c:pt>
                <c:pt idx="669">
                  <c:v>9.3224424265370676</c:v>
                </c:pt>
                <c:pt idx="670">
                  <c:v>9.3927864294004824</c:v>
                </c:pt>
                <c:pt idx="671">
                  <c:v>9.4703717266763068</c:v>
                </c:pt>
                <c:pt idx="672">
                  <c:v>9.5407157295397216</c:v>
                </c:pt>
                <c:pt idx="673">
                  <c:v>9.6110597324031364</c:v>
                </c:pt>
                <c:pt idx="674">
                  <c:v>9.6814037352665512</c:v>
                </c:pt>
                <c:pt idx="675">
                  <c:v>9.751747738129966</c:v>
                </c:pt>
                <c:pt idx="676">
                  <c:v>9.8222986351194486</c:v>
                </c:pt>
                <c:pt idx="677">
                  <c:v>9.899677038269207</c:v>
                </c:pt>
                <c:pt idx="678">
                  <c:v>9.9700210411326218</c:v>
                </c:pt>
                <c:pt idx="679">
                  <c:v>10.050916644425548</c:v>
                </c:pt>
                <c:pt idx="680">
                  <c:v>10.131812247718473</c:v>
                </c:pt>
                <c:pt idx="681">
                  <c:v>10.21291474513747</c:v>
                </c:pt>
                <c:pt idx="682">
                  <c:v>10.297327548573568</c:v>
                </c:pt>
                <c:pt idx="683">
                  <c:v>10.381740352009666</c:v>
                </c:pt>
                <c:pt idx="684">
                  <c:v>10.462635955302593</c:v>
                </c:pt>
                <c:pt idx="685">
                  <c:v>10.547255652864759</c:v>
                </c:pt>
                <c:pt idx="686">
                  <c:v>10.628151256157686</c:v>
                </c:pt>
                <c:pt idx="687">
                  <c:v>10.712564059593785</c:v>
                </c:pt>
                <c:pt idx="688">
                  <c:v>10.793459662886713</c:v>
                </c:pt>
                <c:pt idx="689">
                  <c:v>10.878079360448876</c:v>
                </c:pt>
                <c:pt idx="690">
                  <c:v>10.962492163884974</c:v>
                </c:pt>
                <c:pt idx="691">
                  <c:v>11.046904967321074</c:v>
                </c:pt>
                <c:pt idx="692">
                  <c:v>11.131317770757171</c:v>
                </c:pt>
                <c:pt idx="693">
                  <c:v>11.21573057419327</c:v>
                </c:pt>
                <c:pt idx="694">
                  <c:v>11.300350271755434</c:v>
                </c:pt>
                <c:pt idx="695">
                  <c:v>11.384763075191531</c:v>
                </c:pt>
                <c:pt idx="696">
                  <c:v>11.469175878627629</c:v>
                </c:pt>
                <c:pt idx="697">
                  <c:v>11.553588682063726</c:v>
                </c:pt>
                <c:pt idx="698">
                  <c:v>11.638208379625894</c:v>
                </c:pt>
                <c:pt idx="699">
                  <c:v>11.726138383205162</c:v>
                </c:pt>
                <c:pt idx="700">
                  <c:v>11.824619987213941</c:v>
                </c:pt>
                <c:pt idx="701">
                  <c:v>11.923101591222721</c:v>
                </c:pt>
                <c:pt idx="702">
                  <c:v>12.025307289500743</c:v>
                </c:pt>
                <c:pt idx="703">
                  <c:v>12.127306093652694</c:v>
                </c:pt>
                <c:pt idx="704">
                  <c:v>12.229304897804646</c:v>
                </c:pt>
                <c:pt idx="705">
                  <c:v>12.331510596082666</c:v>
                </c:pt>
                <c:pt idx="706">
                  <c:v>12.43350940023462</c:v>
                </c:pt>
                <c:pt idx="707">
                  <c:v>12.535508204386568</c:v>
                </c:pt>
                <c:pt idx="708">
                  <c:v>12.626955408109007</c:v>
                </c:pt>
                <c:pt idx="709">
                  <c:v>12.729161106387028</c:v>
                </c:pt>
                <c:pt idx="710">
                  <c:v>12.834677110682151</c:v>
                </c:pt>
                <c:pt idx="711">
                  <c:v>12.940193114977275</c:v>
                </c:pt>
                <c:pt idx="712">
                  <c:v>13.045916013398463</c:v>
                </c:pt>
                <c:pt idx="713">
                  <c:v>13.151432017693585</c:v>
                </c:pt>
                <c:pt idx="714">
                  <c:v>13.256948021988707</c:v>
                </c:pt>
                <c:pt idx="715">
                  <c:v>13.362670920409899</c:v>
                </c:pt>
                <c:pt idx="716">
                  <c:v>13.468186924705021</c:v>
                </c:pt>
                <c:pt idx="717">
                  <c:v>13.573702929000143</c:v>
                </c:pt>
                <c:pt idx="718">
                  <c:v>13.679218933295264</c:v>
                </c:pt>
                <c:pt idx="719">
                  <c:v>13.788459031859627</c:v>
                </c:pt>
                <c:pt idx="720">
                  <c:v>13.893975036154748</c:v>
                </c:pt>
                <c:pt idx="721">
                  <c:v>13.999491040449868</c:v>
                </c:pt>
                <c:pt idx="722">
                  <c:v>14.108731139014232</c:v>
                </c:pt>
                <c:pt idx="723">
                  <c:v>14.214247143309352</c:v>
                </c:pt>
                <c:pt idx="724">
                  <c:v>14.319763147604476</c:v>
                </c:pt>
                <c:pt idx="725">
                  <c:v>14.429003246168836</c:v>
                </c:pt>
                <c:pt idx="726">
                  <c:v>14.548588051036642</c:v>
                </c:pt>
                <c:pt idx="727">
                  <c:v>14.671690056047618</c:v>
                </c:pt>
                <c:pt idx="728">
                  <c:v>14.791481755041492</c:v>
                </c:pt>
                <c:pt idx="729">
                  <c:v>14.914583760052469</c:v>
                </c:pt>
                <c:pt idx="730">
                  <c:v>15.034168564920273</c:v>
                </c:pt>
                <c:pt idx="731">
                  <c:v>15.153960263914147</c:v>
                </c:pt>
                <c:pt idx="732">
                  <c:v>15.273545068781951</c:v>
                </c:pt>
                <c:pt idx="733">
                  <c:v>15.396647073792927</c:v>
                </c:pt>
                <c:pt idx="734">
                  <c:v>15.519955972929971</c:v>
                </c:pt>
                <c:pt idx="735">
                  <c:v>15.643057977940948</c:v>
                </c:pt>
                <c:pt idx="736">
                  <c:v>15.766159982951923</c:v>
                </c:pt>
                <c:pt idx="737">
                  <c:v>15.892986082232138</c:v>
                </c:pt>
                <c:pt idx="738">
                  <c:v>16.016088087243116</c:v>
                </c:pt>
                <c:pt idx="739">
                  <c:v>16.13919009225409</c:v>
                </c:pt>
                <c:pt idx="740">
                  <c:v>16.266016191534305</c:v>
                </c:pt>
                <c:pt idx="741">
                  <c:v>16.392635396688455</c:v>
                </c:pt>
                <c:pt idx="742">
                  <c:v>16.519254601842601</c:v>
                </c:pt>
                <c:pt idx="743">
                  <c:v>16.656632301552328</c:v>
                </c:pt>
                <c:pt idx="744">
                  <c:v>16.783251506706474</c:v>
                </c:pt>
                <c:pt idx="745">
                  <c:v>16.920629206416201</c:v>
                </c:pt>
                <c:pt idx="746">
                  <c:v>17.047248411570347</c:v>
                </c:pt>
                <c:pt idx="747">
                  <c:v>17.173867616724493</c:v>
                </c:pt>
                <c:pt idx="748">
                  <c:v>17.318279716720561</c:v>
                </c:pt>
                <c:pt idx="749">
                  <c:v>17.462484922590562</c:v>
                </c:pt>
                <c:pt idx="750">
                  <c:v>17.606690128460563</c:v>
                </c:pt>
                <c:pt idx="751">
                  <c:v>17.751102228456631</c:v>
                </c:pt>
                <c:pt idx="752">
                  <c:v>17.88475583389712</c:v>
                </c:pt>
                <c:pt idx="753">
                  <c:v>18.018616333463676</c:v>
                </c:pt>
                <c:pt idx="754">
                  <c:v>18.166338739476846</c:v>
                </c:pt>
                <c:pt idx="755">
                  <c:v>18.317578345633191</c:v>
                </c:pt>
                <c:pt idx="756">
                  <c:v>18.465507645772426</c:v>
                </c:pt>
                <c:pt idx="757">
                  <c:v>18.616747251928771</c:v>
                </c:pt>
                <c:pt idx="758">
                  <c:v>18.768193752211179</c:v>
                </c:pt>
                <c:pt idx="759">
                  <c:v>18.912398958081184</c:v>
                </c:pt>
                <c:pt idx="760">
                  <c:v>19.063845458363588</c:v>
                </c:pt>
                <c:pt idx="761">
                  <c:v>19.215085064519933</c:v>
                </c:pt>
                <c:pt idx="762">
                  <c:v>19.366324670676271</c:v>
                </c:pt>
                <c:pt idx="763">
                  <c:v>19.514253970815513</c:v>
                </c:pt>
                <c:pt idx="764">
                  <c:v>19.665493576971855</c:v>
                </c:pt>
                <c:pt idx="765">
                  <c:v>19.813422877111098</c:v>
                </c:pt>
                <c:pt idx="766">
                  <c:v>19.961145283124264</c:v>
                </c:pt>
                <c:pt idx="767">
                  <c:v>20.123143383836187</c:v>
                </c:pt>
                <c:pt idx="768">
                  <c:v>20.284934590422047</c:v>
                </c:pt>
                <c:pt idx="769">
                  <c:v>20.446725797007897</c:v>
                </c:pt>
                <c:pt idx="770">
                  <c:v>20.60872389771982</c:v>
                </c:pt>
                <c:pt idx="771">
                  <c:v>20.770101316053537</c:v>
                </c:pt>
                <c:pt idx="772">
                  <c:v>20.931478734387252</c:v>
                </c:pt>
                <c:pt idx="773">
                  <c:v>21.096994035242346</c:v>
                </c:pt>
                <c:pt idx="774">
                  <c:v>21.260440394836746</c:v>
                </c:pt>
                <c:pt idx="775">
                  <c:v>21.425955695691844</c:v>
                </c:pt>
                <c:pt idx="776">
                  <c:v>21.591470996546935</c:v>
                </c:pt>
                <c:pt idx="777">
                  <c:v>21.75698629740203</c:v>
                </c:pt>
                <c:pt idx="778">
                  <c:v>21.934915245821255</c:v>
                </c:pt>
                <c:pt idx="779">
                  <c:v>22.114913135501173</c:v>
                </c:pt>
                <c:pt idx="780">
                  <c:v>22.284566318877637</c:v>
                </c:pt>
                <c:pt idx="781">
                  <c:v>22.45215056099342</c:v>
                </c:pt>
                <c:pt idx="782">
                  <c:v>22.621803744369895</c:v>
                </c:pt>
                <c:pt idx="783">
                  <c:v>22.803870575310494</c:v>
                </c:pt>
                <c:pt idx="784">
                  <c:v>22.992144230033162</c:v>
                </c:pt>
                <c:pt idx="785">
                  <c:v>23.178348943495145</c:v>
                </c:pt>
                <c:pt idx="786">
                  <c:v>23.364553656957124</c:v>
                </c:pt>
                <c:pt idx="787">
                  <c:v>23.554896252940484</c:v>
                </c:pt>
                <c:pt idx="788">
                  <c:v>23.741100966402463</c:v>
                </c:pt>
                <c:pt idx="789">
                  <c:v>23.931443562385819</c:v>
                </c:pt>
                <c:pt idx="790">
                  <c:v>24.121786158369179</c:v>
                </c:pt>
                <c:pt idx="791">
                  <c:v>24.307990871831159</c:v>
                </c:pt>
                <c:pt idx="792">
                  <c:v>24.498333467814511</c:v>
                </c:pt>
                <c:pt idx="793">
                  <c:v>24.686607122537186</c:v>
                </c:pt>
                <c:pt idx="794">
                  <c:v>24.876949718520542</c:v>
                </c:pt>
                <c:pt idx="795">
                  <c:v>25.077637020807341</c:v>
                </c:pt>
                <c:pt idx="796">
                  <c:v>25.278324323094139</c:v>
                </c:pt>
                <c:pt idx="797">
                  <c:v>25.479011625380945</c:v>
                </c:pt>
                <c:pt idx="798">
                  <c:v>25.683836810189124</c:v>
                </c:pt>
                <c:pt idx="799">
                  <c:v>25.884524112475919</c:v>
                </c:pt>
                <c:pt idx="800">
                  <c:v>26.087280356023413</c:v>
                </c:pt>
                <c:pt idx="801">
                  <c:v>26.287967658310208</c:v>
                </c:pt>
                <c:pt idx="802">
                  <c:v>26.503137549421833</c:v>
                </c:pt>
                <c:pt idx="803">
                  <c:v>26.707962734230012</c:v>
                </c:pt>
                <c:pt idx="804">
                  <c:v>26.910718977777503</c:v>
                </c:pt>
                <c:pt idx="805">
                  <c:v>27.130026751410501</c:v>
                </c:pt>
                <c:pt idx="806">
                  <c:v>27.347265583782811</c:v>
                </c:pt>
                <c:pt idx="807">
                  <c:v>27.566573357415809</c:v>
                </c:pt>
                <c:pt idx="808">
                  <c:v>27.783812189788122</c:v>
                </c:pt>
                <c:pt idx="809">
                  <c:v>27.998982080899737</c:v>
                </c:pt>
                <c:pt idx="810">
                  <c:v>28.228634560836184</c:v>
                </c:pt>
                <c:pt idx="811">
                  <c:v>28.445873393208494</c:v>
                </c:pt>
                <c:pt idx="812">
                  <c:v>28.667250108102177</c:v>
                </c:pt>
                <c:pt idx="813">
                  <c:v>28.888626822995867</c:v>
                </c:pt>
                <c:pt idx="814">
                  <c:v>29.128624009235754</c:v>
                </c:pt>
                <c:pt idx="815">
                  <c:v>29.368621195475637</c:v>
                </c:pt>
                <c:pt idx="816">
                  <c:v>29.594135792890704</c:v>
                </c:pt>
                <c:pt idx="817">
                  <c:v>29.821719331566456</c:v>
                </c:pt>
                <c:pt idx="818">
                  <c:v>30.061716517806342</c:v>
                </c:pt>
                <c:pt idx="819">
                  <c:v>30.301713704046229</c:v>
                </c:pt>
                <c:pt idx="820">
                  <c:v>30.539641949025423</c:v>
                </c:pt>
                <c:pt idx="821">
                  <c:v>30.775501252743933</c:v>
                </c:pt>
                <c:pt idx="822">
                  <c:v>31.029981027808635</c:v>
                </c:pt>
                <c:pt idx="823">
                  <c:v>31.27618503783059</c:v>
                </c:pt>
                <c:pt idx="824">
                  <c:v>31.522389047852538</c:v>
                </c:pt>
                <c:pt idx="825">
                  <c:v>31.772730940395871</c:v>
                </c:pt>
                <c:pt idx="826">
                  <c:v>32.018934950417822</c:v>
                </c:pt>
                <c:pt idx="827">
                  <c:v>32.265138960439771</c:v>
                </c:pt>
                <c:pt idx="828">
                  <c:v>32.511342970461726</c:v>
                </c:pt>
                <c:pt idx="829">
                  <c:v>32.772029569308494</c:v>
                </c:pt>
                <c:pt idx="830">
                  <c:v>33.034785109415957</c:v>
                </c:pt>
                <c:pt idx="831">
                  <c:v>33.295471708262731</c:v>
                </c:pt>
                <c:pt idx="832">
                  <c:v>33.560296189630883</c:v>
                </c:pt>
                <c:pt idx="833">
                  <c:v>33.823051729738339</c:v>
                </c:pt>
                <c:pt idx="834">
                  <c:v>34.08787621110649</c:v>
                </c:pt>
                <c:pt idx="835">
                  <c:v>34.350631751213953</c:v>
                </c:pt>
                <c:pt idx="836">
                  <c:v>34.62166305636417</c:v>
                </c:pt>
                <c:pt idx="837">
                  <c:v>34.89269436151438</c:v>
                </c:pt>
                <c:pt idx="838">
                  <c:v>35.16372566666459</c:v>
                </c:pt>
                <c:pt idx="839">
                  <c:v>35.445101678118256</c:v>
                </c:pt>
                <c:pt idx="840">
                  <c:v>35.726477689571908</c:v>
                </c:pt>
                <c:pt idx="841">
                  <c:v>36.005784759764879</c:v>
                </c:pt>
                <c:pt idx="842">
                  <c:v>36.283022888697168</c:v>
                </c:pt>
                <c:pt idx="843">
                  <c:v>36.568536782672204</c:v>
                </c:pt>
                <c:pt idx="844">
                  <c:v>36.85405067664724</c:v>
                </c:pt>
                <c:pt idx="845">
                  <c:v>37.139564570622269</c:v>
                </c:pt>
                <c:pt idx="846">
                  <c:v>37.433354229640067</c:v>
                </c:pt>
                <c:pt idx="847">
                  <c:v>37.72300600613648</c:v>
                </c:pt>
                <c:pt idx="848">
                  <c:v>38.010588841372204</c:v>
                </c:pt>
                <c:pt idx="849">
                  <c:v>38.316792147954132</c:v>
                </c:pt>
                <c:pt idx="850">
                  <c:v>38.616788630753987</c:v>
                </c:pt>
                <c:pt idx="851">
                  <c:v>38.912647231032459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13-4202-842D-7AEA35D67AD7}"/>
            </c:ext>
          </c:extLst>
        </c:ser>
        <c:ser>
          <c:idx val="1"/>
          <c:order val="3"/>
          <c:tx>
            <c:strRef>
              <c:f>{"A10-4"}</c:f>
              <c:strCache>
                <c:ptCount val="1"/>
                <c:pt idx="0">
                  <c:v>A10-4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'A10-4'!$C$2:$C$648</c:f>
              <c:numCache>
                <c:formatCode>0.00</c:formatCode>
                <c:ptCount val="647"/>
                <c:pt idx="0">
                  <c:v>0</c:v>
                </c:pt>
                <c:pt idx="1">
                  <c:v>1.3900999999999998E-2</c:v>
                </c:pt>
                <c:pt idx="2">
                  <c:v>1.40126E-2</c:v>
                </c:pt>
                <c:pt idx="3">
                  <c:v>1.41224E-2</c:v>
                </c:pt>
                <c:pt idx="4">
                  <c:v>1.4236E-2</c:v>
                </c:pt>
                <c:pt idx="5">
                  <c:v>1.43476E-2</c:v>
                </c:pt>
                <c:pt idx="6">
                  <c:v>1.4483600000000001E-2</c:v>
                </c:pt>
                <c:pt idx="7">
                  <c:v>1.4623200000000001E-2</c:v>
                </c:pt>
                <c:pt idx="8">
                  <c:v>1.47628E-2</c:v>
                </c:pt>
                <c:pt idx="9">
                  <c:v>1.4900400000000001E-2</c:v>
                </c:pt>
                <c:pt idx="10">
                  <c:v>1.504E-2</c:v>
                </c:pt>
                <c:pt idx="11">
                  <c:v>1.51796E-2</c:v>
                </c:pt>
                <c:pt idx="12">
                  <c:v>1.5317400000000002E-2</c:v>
                </c:pt>
                <c:pt idx="13">
                  <c:v>1.5457E-2</c:v>
                </c:pt>
                <c:pt idx="14">
                  <c:v>1.55966E-2</c:v>
                </c:pt>
                <c:pt idx="15">
                  <c:v>1.57342E-2</c:v>
                </c:pt>
                <c:pt idx="16">
                  <c:v>1.58738E-2</c:v>
                </c:pt>
                <c:pt idx="17">
                  <c:v>1.6011600000000001E-2</c:v>
                </c:pt>
                <c:pt idx="18">
                  <c:v>1.6149199999999999E-2</c:v>
                </c:pt>
                <c:pt idx="19">
                  <c:v>1.6290800000000001E-2</c:v>
                </c:pt>
                <c:pt idx="20">
                  <c:v>1.6428399999999999E-2</c:v>
                </c:pt>
                <c:pt idx="21">
                  <c:v>1.65662E-2</c:v>
                </c:pt>
                <c:pt idx="22">
                  <c:v>1.67076E-2</c:v>
                </c:pt>
                <c:pt idx="23">
                  <c:v>1.68454E-2</c:v>
                </c:pt>
                <c:pt idx="24">
                  <c:v>1.6982999999999998E-2</c:v>
                </c:pt>
                <c:pt idx="25">
                  <c:v>1.71246E-2</c:v>
                </c:pt>
                <c:pt idx="26">
                  <c:v>1.7262200000000002E-2</c:v>
                </c:pt>
                <c:pt idx="27">
                  <c:v>1.7399999999999999E-2</c:v>
                </c:pt>
                <c:pt idx="28">
                  <c:v>1.7539599999999999E-2</c:v>
                </c:pt>
                <c:pt idx="29">
                  <c:v>1.7677200000000001E-2</c:v>
                </c:pt>
                <c:pt idx="30">
                  <c:v>1.7816800000000001E-2</c:v>
                </c:pt>
                <c:pt idx="31">
                  <c:v>1.7956399999999997E-2</c:v>
                </c:pt>
                <c:pt idx="32">
                  <c:v>1.8096000000000001E-2</c:v>
                </c:pt>
                <c:pt idx="33">
                  <c:v>1.8235600000000001E-2</c:v>
                </c:pt>
                <c:pt idx="34">
                  <c:v>1.84012E-2</c:v>
                </c:pt>
                <c:pt idx="35">
                  <c:v>1.85688E-2</c:v>
                </c:pt>
                <c:pt idx="36">
                  <c:v>1.8734399999999998E-2</c:v>
                </c:pt>
                <c:pt idx="37">
                  <c:v>1.8902000000000002E-2</c:v>
                </c:pt>
                <c:pt idx="38">
                  <c:v>1.9067600000000001E-2</c:v>
                </c:pt>
                <c:pt idx="39">
                  <c:v>1.9233199999999999E-2</c:v>
                </c:pt>
                <c:pt idx="40">
                  <c:v>1.9400799999999999E-2</c:v>
                </c:pt>
                <c:pt idx="41">
                  <c:v>1.9566399999999998E-2</c:v>
                </c:pt>
                <c:pt idx="42">
                  <c:v>1.9733799999999999E-2</c:v>
                </c:pt>
                <c:pt idx="43">
                  <c:v>1.99014E-2</c:v>
                </c:pt>
                <c:pt idx="44">
                  <c:v>2.0068000000000003E-2</c:v>
                </c:pt>
                <c:pt idx="45">
                  <c:v>2.0234000000000002E-2</c:v>
                </c:pt>
                <c:pt idx="46">
                  <c:v>2.0400000000000001E-2</c:v>
                </c:pt>
                <c:pt idx="47">
                  <c:v>2.0567999999999999E-2</c:v>
                </c:pt>
                <c:pt idx="48">
                  <c:v>2.0735999999999997E-2</c:v>
                </c:pt>
                <c:pt idx="49">
                  <c:v>2.0899999999999998E-2</c:v>
                </c:pt>
                <c:pt idx="50">
                  <c:v>2.1067999999999996E-2</c:v>
                </c:pt>
                <c:pt idx="51">
                  <c:v>2.1234000000000003E-2</c:v>
                </c:pt>
                <c:pt idx="52">
                  <c:v>2.1400000000000002E-2</c:v>
                </c:pt>
                <c:pt idx="53">
                  <c:v>2.1568E-2</c:v>
                </c:pt>
                <c:pt idx="54">
                  <c:v>2.1762E-2</c:v>
                </c:pt>
                <c:pt idx="55">
                  <c:v>2.1956000000000003E-2</c:v>
                </c:pt>
                <c:pt idx="56">
                  <c:v>2.2151999999999998E-2</c:v>
                </c:pt>
                <c:pt idx="57">
                  <c:v>2.2343999999999999E-2</c:v>
                </c:pt>
                <c:pt idx="58">
                  <c:v>2.2537999999999999E-2</c:v>
                </c:pt>
                <c:pt idx="59">
                  <c:v>2.2735999999999999E-2</c:v>
                </c:pt>
                <c:pt idx="60">
                  <c:v>2.2930000000000002E-2</c:v>
                </c:pt>
                <c:pt idx="61">
                  <c:v>2.3123999999999999E-2</c:v>
                </c:pt>
                <c:pt idx="62">
                  <c:v>2.3317999999999998E-2</c:v>
                </c:pt>
                <c:pt idx="63">
                  <c:v>2.3511999999999998E-2</c:v>
                </c:pt>
                <c:pt idx="64">
                  <c:v>2.3706000000000001E-2</c:v>
                </c:pt>
                <c:pt idx="65">
                  <c:v>2.3900000000000001E-2</c:v>
                </c:pt>
                <c:pt idx="66">
                  <c:v>2.4094000000000001E-2</c:v>
                </c:pt>
                <c:pt idx="67">
                  <c:v>2.4289999999999999E-2</c:v>
                </c:pt>
                <c:pt idx="68">
                  <c:v>2.4485999999999997E-2</c:v>
                </c:pt>
                <c:pt idx="69">
                  <c:v>2.4677999999999999E-2</c:v>
                </c:pt>
                <c:pt idx="70">
                  <c:v>2.4872000000000002E-2</c:v>
                </c:pt>
                <c:pt idx="71">
                  <c:v>2.5068E-2</c:v>
                </c:pt>
                <c:pt idx="72">
                  <c:v>2.529E-2</c:v>
                </c:pt>
                <c:pt idx="73">
                  <c:v>2.5512E-2</c:v>
                </c:pt>
                <c:pt idx="74">
                  <c:v>2.5734E-2</c:v>
                </c:pt>
                <c:pt idx="75">
                  <c:v>2.5956E-2</c:v>
                </c:pt>
                <c:pt idx="76">
                  <c:v>2.6179999999999998E-2</c:v>
                </c:pt>
                <c:pt idx="77">
                  <c:v>2.64E-2</c:v>
                </c:pt>
                <c:pt idx="78">
                  <c:v>2.6623999999999998E-2</c:v>
                </c:pt>
                <c:pt idx="79">
                  <c:v>2.6846000000000002E-2</c:v>
                </c:pt>
                <c:pt idx="80">
                  <c:v>2.7067999999999998E-2</c:v>
                </c:pt>
                <c:pt idx="81">
                  <c:v>2.7290000000000002E-2</c:v>
                </c:pt>
                <c:pt idx="82">
                  <c:v>2.7511999999999998E-2</c:v>
                </c:pt>
                <c:pt idx="83">
                  <c:v>2.7734000000000002E-2</c:v>
                </c:pt>
                <c:pt idx="84">
                  <c:v>2.7955999999999998E-2</c:v>
                </c:pt>
                <c:pt idx="85">
                  <c:v>2.818E-2</c:v>
                </c:pt>
                <c:pt idx="86">
                  <c:v>2.8401999999999997E-2</c:v>
                </c:pt>
                <c:pt idx="87">
                  <c:v>2.8622000000000002E-2</c:v>
                </c:pt>
                <c:pt idx="88">
                  <c:v>2.8871999999999998E-2</c:v>
                </c:pt>
                <c:pt idx="89">
                  <c:v>2.9123999999999997E-2</c:v>
                </c:pt>
                <c:pt idx="90">
                  <c:v>2.9371999999999999E-2</c:v>
                </c:pt>
                <c:pt idx="91">
                  <c:v>2.9624000000000001E-2</c:v>
                </c:pt>
                <c:pt idx="92">
                  <c:v>2.9874000000000001E-2</c:v>
                </c:pt>
                <c:pt idx="93">
                  <c:v>3.0121999999999999E-2</c:v>
                </c:pt>
                <c:pt idx="94">
                  <c:v>3.0373999999999998E-2</c:v>
                </c:pt>
                <c:pt idx="95">
                  <c:v>3.0621999999999996E-2</c:v>
                </c:pt>
                <c:pt idx="96">
                  <c:v>3.0872E-2</c:v>
                </c:pt>
                <c:pt idx="97">
                  <c:v>3.1122E-2</c:v>
                </c:pt>
                <c:pt idx="98">
                  <c:v>3.1373999999999999E-2</c:v>
                </c:pt>
                <c:pt idx="99">
                  <c:v>3.1621999999999997E-2</c:v>
                </c:pt>
                <c:pt idx="100">
                  <c:v>3.1871999999999998E-2</c:v>
                </c:pt>
                <c:pt idx="101">
                  <c:v>3.2124E-2</c:v>
                </c:pt>
                <c:pt idx="102">
                  <c:v>3.2374E-2</c:v>
                </c:pt>
                <c:pt idx="103">
                  <c:v>3.2652E-2</c:v>
                </c:pt>
                <c:pt idx="104">
                  <c:v>3.2930000000000001E-2</c:v>
                </c:pt>
                <c:pt idx="105">
                  <c:v>3.3203999999999997E-2</c:v>
                </c:pt>
                <c:pt idx="106">
                  <c:v>3.3484E-2</c:v>
                </c:pt>
                <c:pt idx="107">
                  <c:v>3.3763999999999995E-2</c:v>
                </c:pt>
                <c:pt idx="108">
                  <c:v>3.4037999999999999E-2</c:v>
                </c:pt>
                <c:pt idx="109">
                  <c:v>3.4318000000000001E-2</c:v>
                </c:pt>
                <c:pt idx="110">
                  <c:v>3.4596000000000002E-2</c:v>
                </c:pt>
                <c:pt idx="111">
                  <c:v>3.4872E-2</c:v>
                </c:pt>
                <c:pt idx="112">
                  <c:v>3.5152000000000003E-2</c:v>
                </c:pt>
                <c:pt idx="113">
                  <c:v>3.5430000000000003E-2</c:v>
                </c:pt>
                <c:pt idx="114">
                  <c:v>3.5706000000000002E-2</c:v>
                </c:pt>
                <c:pt idx="115">
                  <c:v>3.5983999999999995E-2</c:v>
                </c:pt>
                <c:pt idx="116">
                  <c:v>3.6288000000000001E-2</c:v>
                </c:pt>
                <c:pt idx="117">
                  <c:v>3.6596000000000004E-2</c:v>
                </c:pt>
                <c:pt idx="118">
                  <c:v>3.6901999999999997E-2</c:v>
                </c:pt>
                <c:pt idx="119">
                  <c:v>3.7206000000000003E-2</c:v>
                </c:pt>
                <c:pt idx="120">
                  <c:v>3.7511999999999997E-2</c:v>
                </c:pt>
                <c:pt idx="121">
                  <c:v>3.7817999999999997E-2</c:v>
                </c:pt>
                <c:pt idx="122">
                  <c:v>3.8123999999999998E-2</c:v>
                </c:pt>
                <c:pt idx="123">
                  <c:v>3.8401999999999999E-2</c:v>
                </c:pt>
                <c:pt idx="124">
                  <c:v>3.8705999999999997E-2</c:v>
                </c:pt>
                <c:pt idx="125">
                  <c:v>3.9011999999999998E-2</c:v>
                </c:pt>
                <c:pt idx="126">
                  <c:v>3.9317999999999999E-2</c:v>
                </c:pt>
                <c:pt idx="127">
                  <c:v>3.9539999999999999E-2</c:v>
                </c:pt>
                <c:pt idx="128">
                  <c:v>3.9845999999999999E-2</c:v>
                </c:pt>
                <c:pt idx="129">
                  <c:v>4.0149999999999998E-2</c:v>
                </c:pt>
                <c:pt idx="130">
                  <c:v>4.0483999999999999E-2</c:v>
                </c:pt>
                <c:pt idx="131">
                  <c:v>4.0763999999999995E-2</c:v>
                </c:pt>
                <c:pt idx="132">
                  <c:v>4.1066000000000005E-2</c:v>
                </c:pt>
                <c:pt idx="133">
                  <c:v>4.1346000000000001E-2</c:v>
                </c:pt>
                <c:pt idx="134">
                  <c:v>4.1622000000000006E-2</c:v>
                </c:pt>
                <c:pt idx="135">
                  <c:v>4.1897999999999998E-2</c:v>
                </c:pt>
                <c:pt idx="136">
                  <c:v>4.2206E-2</c:v>
                </c:pt>
                <c:pt idx="137">
                  <c:v>4.2510000000000006E-2</c:v>
                </c:pt>
                <c:pt idx="138">
                  <c:v>4.2816E-2</c:v>
                </c:pt>
                <c:pt idx="139">
                  <c:v>4.3095999999999995E-2</c:v>
                </c:pt>
                <c:pt idx="140">
                  <c:v>4.3373999999999996E-2</c:v>
                </c:pt>
                <c:pt idx="141">
                  <c:v>4.3680000000000004E-2</c:v>
                </c:pt>
                <c:pt idx="142">
                  <c:v>4.3956000000000002E-2</c:v>
                </c:pt>
                <c:pt idx="143">
                  <c:v>4.4261999999999996E-2</c:v>
                </c:pt>
                <c:pt idx="144">
                  <c:v>4.4568000000000003E-2</c:v>
                </c:pt>
                <c:pt idx="145">
                  <c:v>4.4871999999999995E-2</c:v>
                </c:pt>
                <c:pt idx="146">
                  <c:v>4.5151999999999998E-2</c:v>
                </c:pt>
                <c:pt idx="147">
                  <c:v>4.5429999999999998E-2</c:v>
                </c:pt>
                <c:pt idx="148">
                  <c:v>4.5734000000000004E-2</c:v>
                </c:pt>
                <c:pt idx="149">
                  <c:v>4.6012000000000004E-2</c:v>
                </c:pt>
                <c:pt idx="150">
                  <c:v>4.6260000000000003E-2</c:v>
                </c:pt>
                <c:pt idx="151">
                  <c:v>4.6567999999999998E-2</c:v>
                </c:pt>
                <c:pt idx="152">
                  <c:v>4.6817999999999999E-2</c:v>
                </c:pt>
                <c:pt idx="153">
                  <c:v>4.7065999999999997E-2</c:v>
                </c:pt>
                <c:pt idx="154">
                  <c:v>4.7317999999999999E-2</c:v>
                </c:pt>
                <c:pt idx="155">
                  <c:v>4.7567999999999999E-2</c:v>
                </c:pt>
                <c:pt idx="156">
                  <c:v>4.7789999999999999E-2</c:v>
                </c:pt>
                <c:pt idx="157">
                  <c:v>4.8011999999999999E-2</c:v>
                </c:pt>
                <c:pt idx="158">
                  <c:v>4.8263999999999994E-2</c:v>
                </c:pt>
                <c:pt idx="159">
                  <c:v>4.8512000000000007E-2</c:v>
                </c:pt>
                <c:pt idx="160">
                  <c:v>4.8734E-2</c:v>
                </c:pt>
                <c:pt idx="161">
                  <c:v>4.8986000000000002E-2</c:v>
                </c:pt>
                <c:pt idx="162">
                  <c:v>4.9208000000000002E-2</c:v>
                </c:pt>
                <c:pt idx="163">
                  <c:v>4.9456E-2</c:v>
                </c:pt>
                <c:pt idx="164">
                  <c:v>4.9680000000000002E-2</c:v>
                </c:pt>
                <c:pt idx="165">
                  <c:v>4.9901999999999995E-2</c:v>
                </c:pt>
                <c:pt idx="166">
                  <c:v>5.0122E-2</c:v>
                </c:pt>
                <c:pt idx="167">
                  <c:v>5.0372E-2</c:v>
                </c:pt>
                <c:pt idx="168">
                  <c:v>5.0595999999999995E-2</c:v>
                </c:pt>
                <c:pt idx="169">
                  <c:v>5.0818000000000002E-2</c:v>
                </c:pt>
                <c:pt idx="170">
                  <c:v>5.1040000000000002E-2</c:v>
                </c:pt>
                <c:pt idx="171">
                  <c:v>5.1262000000000002E-2</c:v>
                </c:pt>
                <c:pt idx="172">
                  <c:v>5.1458000000000004E-2</c:v>
                </c:pt>
                <c:pt idx="173">
                  <c:v>5.1680000000000004E-2</c:v>
                </c:pt>
                <c:pt idx="174">
                  <c:v>5.1874000000000003E-2</c:v>
                </c:pt>
                <c:pt idx="175">
                  <c:v>5.2096000000000003E-2</c:v>
                </c:pt>
                <c:pt idx="176">
                  <c:v>5.2317999999999996E-2</c:v>
                </c:pt>
                <c:pt idx="177">
                  <c:v>5.2538000000000001E-2</c:v>
                </c:pt>
                <c:pt idx="178">
                  <c:v>5.2760000000000001E-2</c:v>
                </c:pt>
                <c:pt idx="179">
                  <c:v>5.2956000000000003E-2</c:v>
                </c:pt>
                <c:pt idx="180">
                  <c:v>5.3178000000000003E-2</c:v>
                </c:pt>
                <c:pt idx="181">
                  <c:v>5.3372000000000003E-2</c:v>
                </c:pt>
                <c:pt idx="182">
                  <c:v>5.3596000000000005E-2</c:v>
                </c:pt>
                <c:pt idx="183">
                  <c:v>5.3789999999999998E-2</c:v>
                </c:pt>
                <c:pt idx="184">
                  <c:v>5.4009999999999996E-2</c:v>
                </c:pt>
                <c:pt idx="185">
                  <c:v>5.4233999999999997E-2</c:v>
                </c:pt>
                <c:pt idx="186">
                  <c:v>5.4429999999999999E-2</c:v>
                </c:pt>
                <c:pt idx="187">
                  <c:v>5.4652000000000006E-2</c:v>
                </c:pt>
                <c:pt idx="188">
                  <c:v>5.4846000000000006E-2</c:v>
                </c:pt>
                <c:pt idx="189">
                  <c:v>5.5038000000000004E-2</c:v>
                </c:pt>
                <c:pt idx="190">
                  <c:v>5.5264000000000001E-2</c:v>
                </c:pt>
                <c:pt idx="191">
                  <c:v>5.5456000000000005E-2</c:v>
                </c:pt>
                <c:pt idx="192">
                  <c:v>5.5652E-2</c:v>
                </c:pt>
                <c:pt idx="193">
                  <c:v>5.5872000000000005E-2</c:v>
                </c:pt>
                <c:pt idx="194">
                  <c:v>5.6068E-2</c:v>
                </c:pt>
                <c:pt idx="195">
                  <c:v>5.6262E-2</c:v>
                </c:pt>
                <c:pt idx="196">
                  <c:v>5.6455999999999999E-2</c:v>
                </c:pt>
                <c:pt idx="197">
                  <c:v>5.6622000000000006E-2</c:v>
                </c:pt>
                <c:pt idx="198">
                  <c:v>5.6787999999999998E-2</c:v>
                </c:pt>
                <c:pt idx="199">
                  <c:v>5.6984000000000007E-2</c:v>
                </c:pt>
                <c:pt idx="200">
                  <c:v>5.7152000000000001E-2</c:v>
                </c:pt>
                <c:pt idx="201">
                  <c:v>5.7318000000000001E-2</c:v>
                </c:pt>
                <c:pt idx="202">
                  <c:v>5.7484E-2</c:v>
                </c:pt>
                <c:pt idx="203">
                  <c:v>5.7652000000000002E-2</c:v>
                </c:pt>
                <c:pt idx="204">
                  <c:v>5.7815999999999999E-2</c:v>
                </c:pt>
                <c:pt idx="205">
                  <c:v>5.7984000000000001E-2</c:v>
                </c:pt>
                <c:pt idx="206">
                  <c:v>5.8152000000000002E-2</c:v>
                </c:pt>
                <c:pt idx="207">
                  <c:v>5.8292000000000004E-2</c:v>
                </c:pt>
                <c:pt idx="208">
                  <c:v>5.8456000000000001E-2</c:v>
                </c:pt>
                <c:pt idx="209">
                  <c:v>5.8621999999999994E-2</c:v>
                </c:pt>
                <c:pt idx="210">
                  <c:v>5.8789999999999995E-2</c:v>
                </c:pt>
                <c:pt idx="211">
                  <c:v>5.8956000000000001E-2</c:v>
                </c:pt>
                <c:pt idx="212">
                  <c:v>5.9096000000000003E-2</c:v>
                </c:pt>
                <c:pt idx="213">
                  <c:v>5.9261999999999995E-2</c:v>
                </c:pt>
                <c:pt idx="214">
                  <c:v>5.9400000000000001E-2</c:v>
                </c:pt>
                <c:pt idx="215">
                  <c:v>5.9566000000000001E-2</c:v>
                </c:pt>
                <c:pt idx="216">
                  <c:v>5.9706000000000002E-2</c:v>
                </c:pt>
                <c:pt idx="217">
                  <c:v>5.9846000000000003E-2</c:v>
                </c:pt>
                <c:pt idx="218">
                  <c:v>6.0014000000000005E-2</c:v>
                </c:pt>
                <c:pt idx="219">
                  <c:v>6.0124000000000004E-2</c:v>
                </c:pt>
                <c:pt idx="220">
                  <c:v>6.0262000000000003E-2</c:v>
                </c:pt>
                <c:pt idx="221">
                  <c:v>6.0400000000000002E-2</c:v>
                </c:pt>
                <c:pt idx="222">
                  <c:v>6.0540000000000004E-2</c:v>
                </c:pt>
                <c:pt idx="223">
                  <c:v>6.0679999999999998E-2</c:v>
                </c:pt>
                <c:pt idx="224">
                  <c:v>6.0818000000000004E-2</c:v>
                </c:pt>
                <c:pt idx="225">
                  <c:v>6.0956000000000003E-2</c:v>
                </c:pt>
                <c:pt idx="226">
                  <c:v>6.1096000000000004E-2</c:v>
                </c:pt>
                <c:pt idx="227">
                  <c:v>6.1234000000000004E-2</c:v>
                </c:pt>
                <c:pt idx="228">
                  <c:v>6.1374000000000005E-2</c:v>
                </c:pt>
                <c:pt idx="229">
                  <c:v>6.1513999999999999E-2</c:v>
                </c:pt>
                <c:pt idx="230">
                  <c:v>6.1650000000000003E-2</c:v>
                </c:pt>
                <c:pt idx="231">
                  <c:v>6.1761999999999997E-2</c:v>
                </c:pt>
                <c:pt idx="232">
                  <c:v>6.1901999999999999E-2</c:v>
                </c:pt>
                <c:pt idx="233">
                  <c:v>6.2011999999999998E-2</c:v>
                </c:pt>
                <c:pt idx="234">
                  <c:v>6.2149999999999997E-2</c:v>
                </c:pt>
                <c:pt idx="235">
                  <c:v>6.2262000000000005E-2</c:v>
                </c:pt>
                <c:pt idx="236">
                  <c:v>6.2371999999999997E-2</c:v>
                </c:pt>
                <c:pt idx="237">
                  <c:v>6.2481999999999996E-2</c:v>
                </c:pt>
                <c:pt idx="238">
                  <c:v>6.2623999999999999E-2</c:v>
                </c:pt>
                <c:pt idx="239">
                  <c:v>6.2736E-2</c:v>
                </c:pt>
                <c:pt idx="240">
                  <c:v>6.2845999999999999E-2</c:v>
                </c:pt>
                <c:pt idx="241">
                  <c:v>6.2958E-2</c:v>
                </c:pt>
                <c:pt idx="242">
                  <c:v>6.3070000000000001E-2</c:v>
                </c:pt>
                <c:pt idx="243">
                  <c:v>6.3177999999999998E-2</c:v>
                </c:pt>
                <c:pt idx="244">
                  <c:v>6.3315999999999997E-2</c:v>
                </c:pt>
                <c:pt idx="245">
                  <c:v>6.3427999999999998E-2</c:v>
                </c:pt>
                <c:pt idx="246">
                  <c:v>6.3539999999999999E-2</c:v>
                </c:pt>
                <c:pt idx="247">
                  <c:v>6.3624E-2</c:v>
                </c:pt>
                <c:pt idx="248">
                  <c:v>6.3736000000000001E-2</c:v>
                </c:pt>
                <c:pt idx="249">
                  <c:v>6.3846E-2</c:v>
                </c:pt>
                <c:pt idx="250">
                  <c:v>6.3955999999999999E-2</c:v>
                </c:pt>
                <c:pt idx="251">
                  <c:v>6.4065999999999998E-2</c:v>
                </c:pt>
                <c:pt idx="252">
                  <c:v>6.4177999999999999E-2</c:v>
                </c:pt>
                <c:pt idx="253">
                  <c:v>6.429E-2</c:v>
                </c:pt>
                <c:pt idx="254">
                  <c:v>6.4402000000000001E-2</c:v>
                </c:pt>
                <c:pt idx="255">
                  <c:v>6.4512E-2</c:v>
                </c:pt>
                <c:pt idx="256">
                  <c:v>6.4624000000000001E-2</c:v>
                </c:pt>
                <c:pt idx="257">
                  <c:v>6.4706E-2</c:v>
                </c:pt>
                <c:pt idx="258">
                  <c:v>6.4818000000000001E-2</c:v>
                </c:pt>
                <c:pt idx="259">
                  <c:v>6.4899999999999999E-2</c:v>
                </c:pt>
                <c:pt idx="260">
                  <c:v>6.5012E-2</c:v>
                </c:pt>
                <c:pt idx="261">
                  <c:v>6.5096000000000001E-2</c:v>
                </c:pt>
                <c:pt idx="262">
                  <c:v>6.5208000000000002E-2</c:v>
                </c:pt>
                <c:pt idx="263">
                  <c:v>6.5318000000000001E-2</c:v>
                </c:pt>
                <c:pt idx="264">
                  <c:v>6.5402000000000002E-2</c:v>
                </c:pt>
                <c:pt idx="265">
                  <c:v>6.5512000000000001E-2</c:v>
                </c:pt>
                <c:pt idx="266">
                  <c:v>6.5594E-2</c:v>
                </c:pt>
                <c:pt idx="267">
                  <c:v>6.5706000000000001E-2</c:v>
                </c:pt>
                <c:pt idx="268">
                  <c:v>6.5787999999999999E-2</c:v>
                </c:pt>
                <c:pt idx="269">
                  <c:v>6.5872E-2</c:v>
                </c:pt>
                <c:pt idx="270">
                  <c:v>6.5984000000000001E-2</c:v>
                </c:pt>
                <c:pt idx="271">
                  <c:v>6.6094E-2</c:v>
                </c:pt>
                <c:pt idx="272">
                  <c:v>6.6178000000000001E-2</c:v>
                </c:pt>
                <c:pt idx="273">
                  <c:v>6.6262000000000001E-2</c:v>
                </c:pt>
                <c:pt idx="274">
                  <c:v>6.6346000000000002E-2</c:v>
                </c:pt>
                <c:pt idx="275">
                  <c:v>6.6458000000000003E-2</c:v>
                </c:pt>
                <c:pt idx="276">
                  <c:v>6.6568000000000002E-2</c:v>
                </c:pt>
                <c:pt idx="277">
                  <c:v>6.6651999999999989E-2</c:v>
                </c:pt>
                <c:pt idx="278">
                  <c:v>6.6734000000000002E-2</c:v>
                </c:pt>
                <c:pt idx="279">
                  <c:v>6.6874000000000003E-2</c:v>
                </c:pt>
                <c:pt idx="280">
                  <c:v>6.7012000000000002E-2</c:v>
                </c:pt>
                <c:pt idx="281">
                  <c:v>6.7150000000000001E-2</c:v>
                </c:pt>
                <c:pt idx="282">
                  <c:v>6.7290000000000003E-2</c:v>
                </c:pt>
                <c:pt idx="283">
                  <c:v>6.7402000000000004E-2</c:v>
                </c:pt>
                <c:pt idx="284">
                  <c:v>6.7539999999999989E-2</c:v>
                </c:pt>
                <c:pt idx="285">
                  <c:v>6.7680000000000004E-2</c:v>
                </c:pt>
                <c:pt idx="286">
                  <c:v>6.7816000000000001E-2</c:v>
                </c:pt>
                <c:pt idx="287">
                  <c:v>6.7928000000000002E-2</c:v>
                </c:pt>
                <c:pt idx="288">
                  <c:v>6.8066000000000002E-2</c:v>
                </c:pt>
                <c:pt idx="289">
                  <c:v>6.8208000000000005E-2</c:v>
                </c:pt>
                <c:pt idx="290">
                  <c:v>6.8319999999999992E-2</c:v>
                </c:pt>
                <c:pt idx="291">
                  <c:v>6.8430000000000005E-2</c:v>
                </c:pt>
                <c:pt idx="292">
                  <c:v>6.8566000000000002E-2</c:v>
                </c:pt>
                <c:pt idx="293">
                  <c:v>6.8678000000000003E-2</c:v>
                </c:pt>
                <c:pt idx="294">
                  <c:v>6.878999999999999E-2</c:v>
                </c:pt>
                <c:pt idx="295">
                  <c:v>6.8929999999999991E-2</c:v>
                </c:pt>
                <c:pt idx="296">
                  <c:v>6.9067999999999991E-2</c:v>
                </c:pt>
                <c:pt idx="297">
                  <c:v>6.9178000000000003E-2</c:v>
                </c:pt>
                <c:pt idx="298">
                  <c:v>6.9318000000000005E-2</c:v>
                </c:pt>
                <c:pt idx="299">
                  <c:v>6.9428000000000004E-2</c:v>
                </c:pt>
                <c:pt idx="300">
                  <c:v>6.9539999999999991E-2</c:v>
                </c:pt>
                <c:pt idx="301">
                  <c:v>6.9650000000000004E-2</c:v>
                </c:pt>
                <c:pt idx="302">
                  <c:v>6.9762000000000005E-2</c:v>
                </c:pt>
                <c:pt idx="303">
                  <c:v>6.9874000000000006E-2</c:v>
                </c:pt>
                <c:pt idx="304">
                  <c:v>6.9985999999999993E-2</c:v>
                </c:pt>
                <c:pt idx="305">
                  <c:v>7.0095999999999992E-2</c:v>
                </c:pt>
                <c:pt idx="306">
                  <c:v>7.0206000000000005E-2</c:v>
                </c:pt>
                <c:pt idx="307">
                  <c:v>7.0316000000000004E-2</c:v>
                </c:pt>
                <c:pt idx="308">
                  <c:v>7.0427999999999991E-2</c:v>
                </c:pt>
                <c:pt idx="309">
                  <c:v>7.0540000000000005E-2</c:v>
                </c:pt>
                <c:pt idx="310">
                  <c:v>7.0651999999999993E-2</c:v>
                </c:pt>
                <c:pt idx="311">
                  <c:v>7.0762000000000005E-2</c:v>
                </c:pt>
                <c:pt idx="312">
                  <c:v>7.0872000000000004E-2</c:v>
                </c:pt>
                <c:pt idx="313">
                  <c:v>7.0983999999999992E-2</c:v>
                </c:pt>
                <c:pt idx="314">
                  <c:v>7.1096000000000006E-2</c:v>
                </c:pt>
                <c:pt idx="315">
                  <c:v>7.1207999999999994E-2</c:v>
                </c:pt>
                <c:pt idx="316">
                  <c:v>7.1318000000000006E-2</c:v>
                </c:pt>
                <c:pt idx="317">
                  <c:v>7.1429999999999993E-2</c:v>
                </c:pt>
                <c:pt idx="318">
                  <c:v>7.1539999999999992E-2</c:v>
                </c:pt>
                <c:pt idx="319">
                  <c:v>7.1650000000000005E-2</c:v>
                </c:pt>
                <c:pt idx="320">
                  <c:v>7.1788000000000005E-2</c:v>
                </c:pt>
                <c:pt idx="321">
                  <c:v>7.1929999999999994E-2</c:v>
                </c:pt>
                <c:pt idx="322">
                  <c:v>7.2068000000000007E-2</c:v>
                </c:pt>
                <c:pt idx="323">
                  <c:v>7.2207999999999994E-2</c:v>
                </c:pt>
                <c:pt idx="324">
                  <c:v>7.2346000000000008E-2</c:v>
                </c:pt>
                <c:pt idx="325">
                  <c:v>7.2481999999999991E-2</c:v>
                </c:pt>
                <c:pt idx="326">
                  <c:v>7.2622000000000006E-2</c:v>
                </c:pt>
                <c:pt idx="327">
                  <c:v>7.2762000000000007E-2</c:v>
                </c:pt>
                <c:pt idx="328">
                  <c:v>7.2900000000000006E-2</c:v>
                </c:pt>
                <c:pt idx="329">
                  <c:v>7.3040000000000008E-2</c:v>
                </c:pt>
                <c:pt idx="330">
                  <c:v>7.3178000000000007E-2</c:v>
                </c:pt>
                <c:pt idx="331">
                  <c:v>7.3315999999999992E-2</c:v>
                </c:pt>
                <c:pt idx="332">
                  <c:v>7.3456000000000007E-2</c:v>
                </c:pt>
                <c:pt idx="333">
                  <c:v>7.3567999999999995E-2</c:v>
                </c:pt>
                <c:pt idx="334">
                  <c:v>7.3707999999999996E-2</c:v>
                </c:pt>
                <c:pt idx="335">
                  <c:v>7.3817999999999995E-2</c:v>
                </c:pt>
                <c:pt idx="336">
                  <c:v>7.3955999999999994E-2</c:v>
                </c:pt>
                <c:pt idx="337">
                  <c:v>7.4067999999999995E-2</c:v>
                </c:pt>
                <c:pt idx="338">
                  <c:v>7.4177999999999994E-2</c:v>
                </c:pt>
                <c:pt idx="339">
                  <c:v>7.4290000000000009E-2</c:v>
                </c:pt>
                <c:pt idx="340">
                  <c:v>7.4429999999999996E-2</c:v>
                </c:pt>
                <c:pt idx="341">
                  <c:v>7.4539999999999995E-2</c:v>
                </c:pt>
                <c:pt idx="342">
                  <c:v>7.4651999999999996E-2</c:v>
                </c:pt>
                <c:pt idx="343">
                  <c:v>7.4759999999999993E-2</c:v>
                </c:pt>
                <c:pt idx="344">
                  <c:v>7.4871999999999994E-2</c:v>
                </c:pt>
                <c:pt idx="345">
                  <c:v>7.5011999999999995E-2</c:v>
                </c:pt>
                <c:pt idx="346">
                  <c:v>7.512400000000001E-2</c:v>
                </c:pt>
                <c:pt idx="347">
                  <c:v>7.5233999999999995E-2</c:v>
                </c:pt>
                <c:pt idx="348">
                  <c:v>7.5345999999999996E-2</c:v>
                </c:pt>
                <c:pt idx="349">
                  <c:v>7.5457999999999997E-2</c:v>
                </c:pt>
                <c:pt idx="350">
                  <c:v>7.5593999999999995E-2</c:v>
                </c:pt>
                <c:pt idx="351">
                  <c:v>7.573400000000001E-2</c:v>
                </c:pt>
                <c:pt idx="352">
                  <c:v>7.5873999999999997E-2</c:v>
                </c:pt>
                <c:pt idx="353">
                  <c:v>7.6009999999999994E-2</c:v>
                </c:pt>
                <c:pt idx="354">
                  <c:v>7.6151999999999997E-2</c:v>
                </c:pt>
                <c:pt idx="355">
                  <c:v>7.6289999999999997E-2</c:v>
                </c:pt>
                <c:pt idx="356">
                  <c:v>7.6427999999999996E-2</c:v>
                </c:pt>
                <c:pt idx="357">
                  <c:v>7.6567999999999997E-2</c:v>
                </c:pt>
                <c:pt idx="358">
                  <c:v>7.6707999999999998E-2</c:v>
                </c:pt>
                <c:pt idx="359">
                  <c:v>7.6845999999999998E-2</c:v>
                </c:pt>
                <c:pt idx="360">
                  <c:v>7.6985999999999999E-2</c:v>
                </c:pt>
                <c:pt idx="361">
                  <c:v>7.7121999999999996E-2</c:v>
                </c:pt>
                <c:pt idx="362">
                  <c:v>7.7259999999999995E-2</c:v>
                </c:pt>
                <c:pt idx="363">
                  <c:v>7.7399999999999997E-2</c:v>
                </c:pt>
                <c:pt idx="364">
                  <c:v>7.7539999999999998E-2</c:v>
                </c:pt>
                <c:pt idx="365">
                  <c:v>7.7679999999999999E-2</c:v>
                </c:pt>
                <c:pt idx="366">
                  <c:v>7.7817999999999998E-2</c:v>
                </c:pt>
                <c:pt idx="367">
                  <c:v>7.7955999999999998E-2</c:v>
                </c:pt>
                <c:pt idx="368">
                  <c:v>7.8095999999999999E-2</c:v>
                </c:pt>
                <c:pt idx="369">
                  <c:v>7.8236E-2</c:v>
                </c:pt>
                <c:pt idx="370">
                  <c:v>7.8373999999999999E-2</c:v>
                </c:pt>
                <c:pt idx="371">
                  <c:v>7.8511999999999998E-2</c:v>
                </c:pt>
                <c:pt idx="372">
                  <c:v>7.8652E-2</c:v>
                </c:pt>
                <c:pt idx="373">
                  <c:v>7.8787999999999997E-2</c:v>
                </c:pt>
                <c:pt idx="374">
                  <c:v>7.8955999999999998E-2</c:v>
                </c:pt>
                <c:pt idx="375">
                  <c:v>7.9093999999999998E-2</c:v>
                </c:pt>
                <c:pt idx="376">
                  <c:v>7.9261999999999999E-2</c:v>
                </c:pt>
                <c:pt idx="377">
                  <c:v>7.9399999999999998E-2</c:v>
                </c:pt>
                <c:pt idx="378">
                  <c:v>7.954E-2</c:v>
                </c:pt>
                <c:pt idx="379">
                  <c:v>7.9705999999999999E-2</c:v>
                </c:pt>
                <c:pt idx="380">
                  <c:v>7.9874000000000001E-2</c:v>
                </c:pt>
                <c:pt idx="381">
                  <c:v>8.0012000000000014E-2</c:v>
                </c:pt>
                <c:pt idx="382">
                  <c:v>8.0149999999999999E-2</c:v>
                </c:pt>
                <c:pt idx="383">
                  <c:v>8.029E-2</c:v>
                </c:pt>
                <c:pt idx="384">
                  <c:v>8.0429999999999988E-2</c:v>
                </c:pt>
                <c:pt idx="385">
                  <c:v>8.0568000000000015E-2</c:v>
                </c:pt>
                <c:pt idx="386">
                  <c:v>8.0708000000000002E-2</c:v>
                </c:pt>
                <c:pt idx="387">
                  <c:v>8.0846000000000001E-2</c:v>
                </c:pt>
                <c:pt idx="388">
                  <c:v>8.0981999999999998E-2</c:v>
                </c:pt>
                <c:pt idx="389">
                  <c:v>8.1122E-2</c:v>
                </c:pt>
                <c:pt idx="390">
                  <c:v>8.1262000000000001E-2</c:v>
                </c:pt>
                <c:pt idx="391">
                  <c:v>8.1402000000000002E-2</c:v>
                </c:pt>
                <c:pt idx="392">
                  <c:v>8.1541999999999989E-2</c:v>
                </c:pt>
                <c:pt idx="393">
                  <c:v>8.1678000000000001E-2</c:v>
                </c:pt>
                <c:pt idx="394">
                  <c:v>8.1846000000000002E-2</c:v>
                </c:pt>
                <c:pt idx="395">
                  <c:v>8.2012000000000002E-2</c:v>
                </c:pt>
                <c:pt idx="396">
                  <c:v>8.2180000000000003E-2</c:v>
                </c:pt>
                <c:pt idx="397">
                  <c:v>8.2318000000000002E-2</c:v>
                </c:pt>
                <c:pt idx="398">
                  <c:v>8.2484000000000002E-2</c:v>
                </c:pt>
                <c:pt idx="399">
                  <c:v>8.2622000000000001E-2</c:v>
                </c:pt>
                <c:pt idx="400">
                  <c:v>8.2790000000000002E-2</c:v>
                </c:pt>
                <c:pt idx="401">
                  <c:v>8.2928000000000002E-2</c:v>
                </c:pt>
                <c:pt idx="402">
                  <c:v>8.3096000000000003E-2</c:v>
                </c:pt>
                <c:pt idx="403">
                  <c:v>8.3233999999999989E-2</c:v>
                </c:pt>
                <c:pt idx="404">
                  <c:v>8.3374000000000004E-2</c:v>
                </c:pt>
                <c:pt idx="405">
                  <c:v>8.3512000000000003E-2</c:v>
                </c:pt>
                <c:pt idx="406">
                  <c:v>8.3650000000000002E-2</c:v>
                </c:pt>
                <c:pt idx="407">
                  <c:v>8.3789999999999989E-2</c:v>
                </c:pt>
                <c:pt idx="408">
                  <c:v>8.3930000000000005E-2</c:v>
                </c:pt>
                <c:pt idx="409">
                  <c:v>8.4065999999999988E-2</c:v>
                </c:pt>
                <c:pt idx="410">
                  <c:v>8.4206000000000003E-2</c:v>
                </c:pt>
                <c:pt idx="411">
                  <c:v>8.434599999999999E-2</c:v>
                </c:pt>
                <c:pt idx="412">
                  <c:v>8.4512000000000004E-2</c:v>
                </c:pt>
                <c:pt idx="413">
                  <c:v>8.4680000000000005E-2</c:v>
                </c:pt>
                <c:pt idx="414">
                  <c:v>8.4844000000000003E-2</c:v>
                </c:pt>
                <c:pt idx="415">
                  <c:v>8.5009999999999988E-2</c:v>
                </c:pt>
                <c:pt idx="416">
                  <c:v>8.5180000000000006E-2</c:v>
                </c:pt>
                <c:pt idx="417">
                  <c:v>8.5345999999999991E-2</c:v>
                </c:pt>
                <c:pt idx="418">
                  <c:v>8.5511999999999991E-2</c:v>
                </c:pt>
                <c:pt idx="419">
                  <c:v>8.5679999999999992E-2</c:v>
                </c:pt>
                <c:pt idx="420">
                  <c:v>8.5844000000000004E-2</c:v>
                </c:pt>
                <c:pt idx="421">
                  <c:v>8.6013999999999993E-2</c:v>
                </c:pt>
                <c:pt idx="422">
                  <c:v>8.6180000000000007E-2</c:v>
                </c:pt>
                <c:pt idx="423">
                  <c:v>8.634399999999999E-2</c:v>
                </c:pt>
                <c:pt idx="424">
                  <c:v>8.6511999999999992E-2</c:v>
                </c:pt>
                <c:pt idx="425">
                  <c:v>8.6677999999999991E-2</c:v>
                </c:pt>
                <c:pt idx="426">
                  <c:v>8.6845999999999993E-2</c:v>
                </c:pt>
                <c:pt idx="427">
                  <c:v>8.7040000000000006E-2</c:v>
                </c:pt>
                <c:pt idx="428">
                  <c:v>8.7205999999999992E-2</c:v>
                </c:pt>
                <c:pt idx="429">
                  <c:v>8.7400000000000005E-2</c:v>
                </c:pt>
                <c:pt idx="430">
                  <c:v>8.7593999999999991E-2</c:v>
                </c:pt>
                <c:pt idx="431">
                  <c:v>8.7761999999999993E-2</c:v>
                </c:pt>
                <c:pt idx="432">
                  <c:v>8.7956000000000006E-2</c:v>
                </c:pt>
                <c:pt idx="433">
                  <c:v>8.8122000000000006E-2</c:v>
                </c:pt>
                <c:pt idx="434">
                  <c:v>8.8290000000000007E-2</c:v>
                </c:pt>
                <c:pt idx="435">
                  <c:v>8.8458000000000009E-2</c:v>
                </c:pt>
                <c:pt idx="436">
                  <c:v>8.8650000000000007E-2</c:v>
                </c:pt>
                <c:pt idx="437">
                  <c:v>8.8818000000000008E-2</c:v>
                </c:pt>
                <c:pt idx="438">
                  <c:v>8.8985999999999996E-2</c:v>
                </c:pt>
                <c:pt idx="439">
                  <c:v>8.9152000000000009E-2</c:v>
                </c:pt>
                <c:pt idx="440">
                  <c:v>8.9318000000000008E-2</c:v>
                </c:pt>
                <c:pt idx="441">
                  <c:v>8.9511999999999994E-2</c:v>
                </c:pt>
                <c:pt idx="442">
                  <c:v>8.970800000000001E-2</c:v>
                </c:pt>
                <c:pt idx="443">
                  <c:v>8.9901999999999996E-2</c:v>
                </c:pt>
                <c:pt idx="444">
                  <c:v>9.0096000000000009E-2</c:v>
                </c:pt>
                <c:pt idx="445">
                  <c:v>9.0288000000000007E-2</c:v>
                </c:pt>
                <c:pt idx="446">
                  <c:v>9.0456000000000009E-2</c:v>
                </c:pt>
                <c:pt idx="447">
                  <c:v>9.065200000000001E-2</c:v>
                </c:pt>
                <c:pt idx="448">
                  <c:v>9.0845999999999996E-2</c:v>
                </c:pt>
                <c:pt idx="449">
                  <c:v>9.1037999999999994E-2</c:v>
                </c:pt>
                <c:pt idx="450">
                  <c:v>9.1233999999999996E-2</c:v>
                </c:pt>
                <c:pt idx="451">
                  <c:v>9.1400000000000009E-2</c:v>
                </c:pt>
                <c:pt idx="452">
                  <c:v>9.1569999999999999E-2</c:v>
                </c:pt>
                <c:pt idx="453">
                  <c:v>9.1761999999999996E-2</c:v>
                </c:pt>
                <c:pt idx="454">
                  <c:v>9.195600000000001E-2</c:v>
                </c:pt>
                <c:pt idx="455">
                  <c:v>9.2149999999999996E-2</c:v>
                </c:pt>
                <c:pt idx="456">
                  <c:v>9.2345999999999998E-2</c:v>
                </c:pt>
                <c:pt idx="457">
                  <c:v>9.2539999999999997E-2</c:v>
                </c:pt>
                <c:pt idx="458">
                  <c:v>9.2734000000000011E-2</c:v>
                </c:pt>
                <c:pt idx="459">
                  <c:v>9.2929999999999999E-2</c:v>
                </c:pt>
                <c:pt idx="460">
                  <c:v>9.3123999999999998E-2</c:v>
                </c:pt>
                <c:pt idx="461">
                  <c:v>9.3317999999999998E-2</c:v>
                </c:pt>
                <c:pt idx="462">
                  <c:v>9.3511999999999998E-2</c:v>
                </c:pt>
                <c:pt idx="463">
                  <c:v>9.3705999999999998E-2</c:v>
                </c:pt>
                <c:pt idx="464">
                  <c:v>9.3930000000000013E-2</c:v>
                </c:pt>
                <c:pt idx="465">
                  <c:v>9.4149999999999998E-2</c:v>
                </c:pt>
                <c:pt idx="466">
                  <c:v>9.4374E-2</c:v>
                </c:pt>
                <c:pt idx="467">
                  <c:v>9.4570000000000001E-2</c:v>
                </c:pt>
                <c:pt idx="468">
                  <c:v>9.4787999999999997E-2</c:v>
                </c:pt>
                <c:pt idx="469">
                  <c:v>9.4983999999999999E-2</c:v>
                </c:pt>
                <c:pt idx="470">
                  <c:v>9.5208000000000001E-2</c:v>
                </c:pt>
                <c:pt idx="471">
                  <c:v>9.5402000000000001E-2</c:v>
                </c:pt>
                <c:pt idx="472">
                  <c:v>9.5624000000000001E-2</c:v>
                </c:pt>
                <c:pt idx="473">
                  <c:v>9.5818E-2</c:v>
                </c:pt>
                <c:pt idx="474">
                  <c:v>9.6039999999999986E-2</c:v>
                </c:pt>
                <c:pt idx="475">
                  <c:v>9.6262000000000014E-2</c:v>
                </c:pt>
                <c:pt idx="476">
                  <c:v>9.6481999999999998E-2</c:v>
                </c:pt>
                <c:pt idx="477">
                  <c:v>9.6708000000000002E-2</c:v>
                </c:pt>
                <c:pt idx="478">
                  <c:v>9.6930000000000002E-2</c:v>
                </c:pt>
                <c:pt idx="479">
                  <c:v>9.7151999999999988E-2</c:v>
                </c:pt>
                <c:pt idx="480">
                  <c:v>9.7373999999999988E-2</c:v>
                </c:pt>
                <c:pt idx="481">
                  <c:v>9.7596000000000002E-2</c:v>
                </c:pt>
                <c:pt idx="482">
                  <c:v>9.7815999999999986E-2</c:v>
                </c:pt>
                <c:pt idx="483">
                  <c:v>9.8038000000000014E-2</c:v>
                </c:pt>
                <c:pt idx="484">
                  <c:v>9.8262000000000002E-2</c:v>
                </c:pt>
                <c:pt idx="485">
                  <c:v>9.8484000000000002E-2</c:v>
                </c:pt>
                <c:pt idx="486">
                  <c:v>9.8706000000000002E-2</c:v>
                </c:pt>
                <c:pt idx="487">
                  <c:v>9.8930000000000004E-2</c:v>
                </c:pt>
                <c:pt idx="488">
                  <c:v>9.9152000000000004E-2</c:v>
                </c:pt>
                <c:pt idx="489">
                  <c:v>9.9372000000000002E-2</c:v>
                </c:pt>
                <c:pt idx="490">
                  <c:v>9.9594000000000002E-2</c:v>
                </c:pt>
                <c:pt idx="491">
                  <c:v>9.9818000000000004E-2</c:v>
                </c:pt>
                <c:pt idx="492">
                  <c:v>0.10004200000000001</c:v>
                </c:pt>
                <c:pt idx="493">
                  <c:v>0.10029</c:v>
                </c:pt>
                <c:pt idx="494">
                  <c:v>0.10054</c:v>
                </c:pt>
                <c:pt idx="495">
                  <c:v>0.10079200000000001</c:v>
                </c:pt>
                <c:pt idx="496">
                  <c:v>0.101012</c:v>
                </c:pt>
                <c:pt idx="497">
                  <c:v>0.101234</c:v>
                </c:pt>
                <c:pt idx="498">
                  <c:v>0.101456</c:v>
                </c:pt>
                <c:pt idx="499">
                  <c:v>0.10167799999999999</c:v>
                </c:pt>
                <c:pt idx="500">
                  <c:v>0.10192999999999999</c:v>
                </c:pt>
                <c:pt idx="501">
                  <c:v>0.102178</c:v>
                </c:pt>
                <c:pt idx="502">
                  <c:v>0.10242800000000001</c:v>
                </c:pt>
                <c:pt idx="503">
                  <c:v>0.10267799999999999</c:v>
                </c:pt>
                <c:pt idx="504">
                  <c:v>0.10292999999999999</c:v>
                </c:pt>
                <c:pt idx="505">
                  <c:v>0.10315200000000001</c:v>
                </c:pt>
                <c:pt idx="506">
                  <c:v>0.10339999999999999</c:v>
                </c:pt>
                <c:pt idx="507">
                  <c:v>0.10362199999999999</c:v>
                </c:pt>
                <c:pt idx="508">
                  <c:v>0.10387600000000001</c:v>
                </c:pt>
                <c:pt idx="509">
                  <c:v>0.10412200000000001</c:v>
                </c:pt>
                <c:pt idx="510">
                  <c:v>0.10437400000000001</c:v>
                </c:pt>
                <c:pt idx="511">
                  <c:v>0.10462400000000001</c:v>
                </c:pt>
                <c:pt idx="512">
                  <c:v>0.10487199999999999</c:v>
                </c:pt>
                <c:pt idx="513">
                  <c:v>0.105124</c:v>
                </c:pt>
                <c:pt idx="514">
                  <c:v>0.105374</c:v>
                </c:pt>
                <c:pt idx="515">
                  <c:v>0.10565200000000001</c:v>
                </c:pt>
                <c:pt idx="516">
                  <c:v>0.10592800000000001</c:v>
                </c:pt>
                <c:pt idx="517">
                  <c:v>0.10620599999999999</c:v>
                </c:pt>
                <c:pt idx="518">
                  <c:v>0.10648400000000001</c:v>
                </c:pt>
                <c:pt idx="519">
                  <c:v>0.106762</c:v>
                </c:pt>
                <c:pt idx="520">
                  <c:v>0.107012</c:v>
                </c:pt>
                <c:pt idx="521">
                  <c:v>0.10729</c:v>
                </c:pt>
                <c:pt idx="522">
                  <c:v>0.107568</c:v>
                </c:pt>
                <c:pt idx="523">
                  <c:v>0.107844</c:v>
                </c:pt>
                <c:pt idx="524">
                  <c:v>0.10812200000000001</c:v>
                </c:pt>
                <c:pt idx="525">
                  <c:v>0.108402</c:v>
                </c:pt>
                <c:pt idx="526">
                  <c:v>0.10867800000000001</c:v>
                </c:pt>
                <c:pt idx="527">
                  <c:v>0.108956</c:v>
                </c:pt>
                <c:pt idx="528">
                  <c:v>0.109236</c:v>
                </c:pt>
                <c:pt idx="529">
                  <c:v>0.10951000000000001</c:v>
                </c:pt>
                <c:pt idx="530">
                  <c:v>0.109816</c:v>
                </c:pt>
                <c:pt idx="531">
                  <c:v>0.11009600000000001</c:v>
                </c:pt>
                <c:pt idx="532">
                  <c:v>0.110374</c:v>
                </c:pt>
                <c:pt idx="533">
                  <c:v>0.11065</c:v>
                </c:pt>
                <c:pt idx="534">
                  <c:v>0.110928</c:v>
                </c:pt>
                <c:pt idx="535">
                  <c:v>0.111236</c:v>
                </c:pt>
                <c:pt idx="536">
                  <c:v>0.111514</c:v>
                </c:pt>
                <c:pt idx="537">
                  <c:v>0.11181800000000001</c:v>
                </c:pt>
                <c:pt idx="538">
                  <c:v>0.112096</c:v>
                </c:pt>
                <c:pt idx="539">
                  <c:v>0.11237399999999999</c:v>
                </c:pt>
                <c:pt idx="540">
                  <c:v>0.11265</c:v>
                </c:pt>
                <c:pt idx="541">
                  <c:v>0.112958</c:v>
                </c:pt>
                <c:pt idx="542">
                  <c:v>0.11326</c:v>
                </c:pt>
                <c:pt idx="543">
                  <c:v>0.113568</c:v>
                </c:pt>
                <c:pt idx="544">
                  <c:v>0.11387399999999999</c:v>
                </c:pt>
                <c:pt idx="545">
                  <c:v>0.114178</c:v>
                </c:pt>
                <c:pt idx="546">
                  <c:v>0.114482</c:v>
                </c:pt>
                <c:pt idx="547">
                  <c:v>0.114788</c:v>
                </c:pt>
                <c:pt idx="548">
                  <c:v>0.11509399999999999</c:v>
                </c:pt>
                <c:pt idx="549">
                  <c:v>0.11542999999999999</c:v>
                </c:pt>
                <c:pt idx="550">
                  <c:v>0.115762</c:v>
                </c:pt>
                <c:pt idx="551">
                  <c:v>0.116096</c:v>
                </c:pt>
                <c:pt idx="552">
                  <c:v>0.11642799999999999</c:v>
                </c:pt>
                <c:pt idx="553">
                  <c:v>0.11676199999999999</c:v>
                </c:pt>
                <c:pt idx="554">
                  <c:v>0.117094</c:v>
                </c:pt>
                <c:pt idx="555">
                  <c:v>0.117428</c:v>
                </c:pt>
                <c:pt idx="556">
                  <c:v>0.11776400000000001</c:v>
                </c:pt>
                <c:pt idx="557">
                  <c:v>0.118094</c:v>
                </c:pt>
                <c:pt idx="558">
                  <c:v>0.11842999999999999</c:v>
                </c:pt>
                <c:pt idx="559">
                  <c:v>0.11876200000000001</c:v>
                </c:pt>
                <c:pt idx="560">
                  <c:v>0.11909599999999999</c:v>
                </c:pt>
                <c:pt idx="561">
                  <c:v>0.119426</c:v>
                </c:pt>
                <c:pt idx="562">
                  <c:v>0.11978999999999999</c:v>
                </c:pt>
                <c:pt idx="563">
                  <c:v>0.12012200000000001</c:v>
                </c:pt>
                <c:pt idx="564">
                  <c:v>0.12048400000000001</c:v>
                </c:pt>
                <c:pt idx="565">
                  <c:v>0.120846</c:v>
                </c:pt>
                <c:pt idx="566">
                  <c:v>0.12117800000000001</c:v>
                </c:pt>
                <c:pt idx="567">
                  <c:v>0.121542</c:v>
                </c:pt>
                <c:pt idx="568">
                  <c:v>0.12189999999999999</c:v>
                </c:pt>
                <c:pt idx="569">
                  <c:v>0.122264</c:v>
                </c:pt>
                <c:pt idx="570">
                  <c:v>0.122624</c:v>
                </c:pt>
                <c:pt idx="571">
                  <c:v>0.12298400000000001</c:v>
                </c:pt>
                <c:pt idx="572">
                  <c:v>0.123346</c:v>
                </c:pt>
                <c:pt idx="573">
                  <c:v>0.12370799999999998</c:v>
                </c:pt>
                <c:pt idx="574">
                  <c:v>0.124066</c:v>
                </c:pt>
                <c:pt idx="575">
                  <c:v>0.124428</c:v>
                </c:pt>
                <c:pt idx="576">
                  <c:v>0.124816</c:v>
                </c:pt>
                <c:pt idx="577">
                  <c:v>0.12520799999999999</c:v>
                </c:pt>
                <c:pt idx="578">
                  <c:v>0.12559599999999999</c:v>
                </c:pt>
                <c:pt idx="579">
                  <c:v>0.12598599999999999</c:v>
                </c:pt>
                <c:pt idx="580">
                  <c:v>0.12637200000000001</c:v>
                </c:pt>
                <c:pt idx="581">
                  <c:v>0.12676199999999999</c:v>
                </c:pt>
                <c:pt idx="582">
                  <c:v>0.12715199999999999</c:v>
                </c:pt>
                <c:pt idx="583">
                  <c:v>0.12753999999999999</c:v>
                </c:pt>
                <c:pt idx="584">
                  <c:v>0.12795600000000001</c:v>
                </c:pt>
                <c:pt idx="585">
                  <c:v>0.12837400000000002</c:v>
                </c:pt>
                <c:pt idx="586">
                  <c:v>0.12878999999999999</c:v>
                </c:pt>
                <c:pt idx="587">
                  <c:v>0.12920799999999999</c:v>
                </c:pt>
                <c:pt idx="588">
                  <c:v>0.12962400000000002</c:v>
                </c:pt>
                <c:pt idx="589">
                  <c:v>0.13004200000000002</c:v>
                </c:pt>
                <c:pt idx="590">
                  <c:v>0.13045600000000002</c:v>
                </c:pt>
                <c:pt idx="591">
                  <c:v>0.13087400000000002</c:v>
                </c:pt>
                <c:pt idx="592">
                  <c:v>0.13128999999999999</c:v>
                </c:pt>
                <c:pt idx="593">
                  <c:v>0.13170599999999999</c:v>
                </c:pt>
                <c:pt idx="594">
                  <c:v>0.13212400000000002</c:v>
                </c:pt>
                <c:pt idx="595">
                  <c:v>0.13253999999999999</c:v>
                </c:pt>
                <c:pt idx="596">
                  <c:v>0.13295799999999999</c:v>
                </c:pt>
                <c:pt idx="597">
                  <c:v>0.13337199999999999</c:v>
                </c:pt>
                <c:pt idx="598">
                  <c:v>0.13379200000000002</c:v>
                </c:pt>
                <c:pt idx="599">
                  <c:v>0.13423400000000002</c:v>
                </c:pt>
                <c:pt idx="600">
                  <c:v>0.13467999999999999</c:v>
                </c:pt>
                <c:pt idx="601">
                  <c:v>0.13512399999999999</c:v>
                </c:pt>
                <c:pt idx="602">
                  <c:v>0.13556599999999999</c:v>
                </c:pt>
                <c:pt idx="603">
                  <c:v>0.13603999999999999</c:v>
                </c:pt>
                <c:pt idx="604">
                  <c:v>0.13650999999999999</c:v>
                </c:pt>
                <c:pt idx="605">
                  <c:v>0.136986</c:v>
                </c:pt>
                <c:pt idx="606">
                  <c:v>0.13745599999999999</c:v>
                </c:pt>
                <c:pt idx="607">
                  <c:v>0.137928</c:v>
                </c:pt>
                <c:pt idx="608">
                  <c:v>0.138402</c:v>
                </c:pt>
                <c:pt idx="609">
                  <c:v>0.138872</c:v>
                </c:pt>
                <c:pt idx="610">
                  <c:v>0.139372</c:v>
                </c:pt>
                <c:pt idx="611">
                  <c:v>0.139874</c:v>
                </c:pt>
                <c:pt idx="612">
                  <c:v>0.140344</c:v>
                </c:pt>
                <c:pt idx="613">
                  <c:v>0.140846</c:v>
                </c:pt>
                <c:pt idx="614">
                  <c:v>0.141346</c:v>
                </c:pt>
                <c:pt idx="615">
                  <c:v>0.141846</c:v>
                </c:pt>
                <c:pt idx="616">
                  <c:v>0.142346</c:v>
                </c:pt>
                <c:pt idx="617">
                  <c:v>0.142846</c:v>
                </c:pt>
                <c:pt idx="618">
                  <c:v>0.143344</c:v>
                </c:pt>
                <c:pt idx="619">
                  <c:v>0.143846</c:v>
                </c:pt>
                <c:pt idx="620">
                  <c:v>0.144372</c:v>
                </c:pt>
                <c:pt idx="621">
                  <c:v>0.1449</c:v>
                </c:pt>
                <c:pt idx="622">
                  <c:v>0.145458</c:v>
                </c:pt>
                <c:pt idx="623">
                  <c:v>0.146012</c:v>
                </c:pt>
                <c:pt idx="624">
                  <c:v>0.146568</c:v>
                </c:pt>
                <c:pt idx="625">
                  <c:v>0.147124</c:v>
                </c:pt>
                <c:pt idx="626">
                  <c:v>0.14770800000000001</c:v>
                </c:pt>
                <c:pt idx="627">
                  <c:v>0.14829000000000001</c:v>
                </c:pt>
                <c:pt idx="628">
                  <c:v>0.14887400000000001</c:v>
                </c:pt>
                <c:pt idx="629">
                  <c:v>0.14948400000000001</c:v>
                </c:pt>
                <c:pt idx="630">
                  <c:v>0.15009600000000001</c:v>
                </c:pt>
                <c:pt idx="631">
                  <c:v>0.15070800000000001</c:v>
                </c:pt>
                <c:pt idx="632">
                  <c:v>0.15131800000000001</c:v>
                </c:pt>
                <c:pt idx="633">
                  <c:v>0.15192800000000001</c:v>
                </c:pt>
                <c:pt idx="634">
                  <c:v>0.15256800000000001</c:v>
                </c:pt>
                <c:pt idx="635">
                  <c:v>0.15323399999999998</c:v>
                </c:pt>
                <c:pt idx="636">
                  <c:v>0.15390200000000001</c:v>
                </c:pt>
                <c:pt idx="637">
                  <c:v>0.15462400000000001</c:v>
                </c:pt>
                <c:pt idx="638">
                  <c:v>0.15537400000000001</c:v>
                </c:pt>
                <c:pt idx="639">
                  <c:v>0.15615199999999999</c:v>
                </c:pt>
                <c:pt idx="640">
                  <c:v>0.15698399999999998</c:v>
                </c:pt>
                <c:pt idx="641">
                  <c:v>0.15781800000000001</c:v>
                </c:pt>
                <c:pt idx="642">
                  <c:v>0.15865000000000001</c:v>
                </c:pt>
                <c:pt idx="643">
                  <c:v>0.15948399999999999</c:v>
                </c:pt>
                <c:pt idx="644">
                  <c:v>0.16031800000000002</c:v>
                </c:pt>
                <c:pt idx="645">
                  <c:v>0.16114999999999999</c:v>
                </c:pt>
                <c:pt idx="646">
                  <c:v>0.16198399999999999</c:v>
                </c:pt>
              </c:numCache>
            </c:numRef>
          </c:cat>
          <c:val>
            <c:numRef>
              <c:f>'A10-4'!$F$2:$F$648</c:f>
              <c:numCache>
                <c:formatCode>0.00</c:formatCode>
                <c:ptCount val="647"/>
                <c:pt idx="0">
                  <c:v>0</c:v>
                </c:pt>
                <c:pt idx="1">
                  <c:v>0.22608327241310558</c:v>
                </c:pt>
                <c:pt idx="2">
                  <c:v>0.22961387652023657</c:v>
                </c:pt>
                <c:pt idx="3">
                  <c:v>0.22961387652023657</c:v>
                </c:pt>
                <c:pt idx="4">
                  <c:v>0.2331652488868213</c:v>
                </c:pt>
                <c:pt idx="5">
                  <c:v>0.24022645710108328</c:v>
                </c:pt>
                <c:pt idx="6">
                  <c:v>0.24375706120821425</c:v>
                </c:pt>
                <c:pt idx="7">
                  <c:v>0.24375706120821425</c:v>
                </c:pt>
                <c:pt idx="8">
                  <c:v>0.24375706120821425</c:v>
                </c:pt>
                <c:pt idx="9">
                  <c:v>0.24728766531534524</c:v>
                </c:pt>
                <c:pt idx="10">
                  <c:v>0.24728766531534524</c:v>
                </c:pt>
                <c:pt idx="11">
                  <c:v>0.24728766531534524</c:v>
                </c:pt>
                <c:pt idx="12">
                  <c:v>0.24728766531534524</c:v>
                </c:pt>
                <c:pt idx="13">
                  <c:v>0.24375706120821425</c:v>
                </c:pt>
                <c:pt idx="14">
                  <c:v>0.24375706120821425</c:v>
                </c:pt>
                <c:pt idx="15">
                  <c:v>0.24728766531534524</c:v>
                </c:pt>
                <c:pt idx="16">
                  <c:v>0.24728766531534524</c:v>
                </c:pt>
                <c:pt idx="17">
                  <c:v>0.24728766531534524</c:v>
                </c:pt>
                <c:pt idx="18">
                  <c:v>0.24728766531534524</c:v>
                </c:pt>
                <c:pt idx="19">
                  <c:v>0.24728766531534524</c:v>
                </c:pt>
                <c:pt idx="20">
                  <c:v>0.24728766531534524</c:v>
                </c:pt>
                <c:pt idx="21">
                  <c:v>0.24728766531534524</c:v>
                </c:pt>
                <c:pt idx="22">
                  <c:v>0.25081826942247626</c:v>
                </c:pt>
                <c:pt idx="23">
                  <c:v>0.25081826942247626</c:v>
                </c:pt>
                <c:pt idx="24">
                  <c:v>0.25081826942247626</c:v>
                </c:pt>
                <c:pt idx="25">
                  <c:v>0.25434887352960722</c:v>
                </c:pt>
                <c:pt idx="26">
                  <c:v>0.25434887352960722</c:v>
                </c:pt>
                <c:pt idx="27">
                  <c:v>0.25787947763673824</c:v>
                </c:pt>
                <c:pt idx="28">
                  <c:v>0.26494068585100017</c:v>
                </c:pt>
                <c:pt idx="29">
                  <c:v>0.27202266232471595</c:v>
                </c:pt>
                <c:pt idx="30">
                  <c:v>0.27908387053897793</c:v>
                </c:pt>
                <c:pt idx="31">
                  <c:v>0.27908387053897793</c:v>
                </c:pt>
                <c:pt idx="32">
                  <c:v>0.28261447464610889</c:v>
                </c:pt>
                <c:pt idx="33">
                  <c:v>0.28261447464610889</c:v>
                </c:pt>
                <c:pt idx="34">
                  <c:v>0.28261447464610889</c:v>
                </c:pt>
                <c:pt idx="35">
                  <c:v>0.28614507875323986</c:v>
                </c:pt>
                <c:pt idx="36">
                  <c:v>0.28614507875323986</c:v>
                </c:pt>
                <c:pt idx="37">
                  <c:v>0.28967568286037082</c:v>
                </c:pt>
                <c:pt idx="38">
                  <c:v>0.28967568286037082</c:v>
                </c:pt>
                <c:pt idx="39">
                  <c:v>0.28967568286037082</c:v>
                </c:pt>
                <c:pt idx="40">
                  <c:v>0.28967568286037082</c:v>
                </c:pt>
                <c:pt idx="41">
                  <c:v>0.29320628696750184</c:v>
                </c:pt>
                <c:pt idx="42">
                  <c:v>0.29320628696750184</c:v>
                </c:pt>
                <c:pt idx="43">
                  <c:v>0.29320628696750184</c:v>
                </c:pt>
                <c:pt idx="44">
                  <c:v>0.29320628696750184</c:v>
                </c:pt>
                <c:pt idx="45">
                  <c:v>0.29320628696750184</c:v>
                </c:pt>
                <c:pt idx="46">
                  <c:v>0.29320628696750184</c:v>
                </c:pt>
                <c:pt idx="47">
                  <c:v>0.29320628696750184</c:v>
                </c:pt>
                <c:pt idx="48">
                  <c:v>0.28967568286037082</c:v>
                </c:pt>
                <c:pt idx="49">
                  <c:v>0.28967568286037082</c:v>
                </c:pt>
                <c:pt idx="50">
                  <c:v>0.29320628696750184</c:v>
                </c:pt>
                <c:pt idx="51">
                  <c:v>0.29320628696750184</c:v>
                </c:pt>
                <c:pt idx="52">
                  <c:v>0.29320628696750184</c:v>
                </c:pt>
                <c:pt idx="53">
                  <c:v>0.29320628696750184</c:v>
                </c:pt>
                <c:pt idx="54">
                  <c:v>0.29320628696750184</c:v>
                </c:pt>
                <c:pt idx="55">
                  <c:v>0.29320628696750184</c:v>
                </c:pt>
                <c:pt idx="56">
                  <c:v>0.29320628696750184</c:v>
                </c:pt>
                <c:pt idx="57">
                  <c:v>0.2967368910746328</c:v>
                </c:pt>
                <c:pt idx="58">
                  <c:v>0.2967368910746328</c:v>
                </c:pt>
                <c:pt idx="59">
                  <c:v>0.2967368910746328</c:v>
                </c:pt>
                <c:pt idx="60">
                  <c:v>0.2967368910746328</c:v>
                </c:pt>
                <c:pt idx="61">
                  <c:v>0.2967368910746328</c:v>
                </c:pt>
                <c:pt idx="62">
                  <c:v>0.2967368910746328</c:v>
                </c:pt>
                <c:pt idx="63">
                  <c:v>0.2967368910746328</c:v>
                </c:pt>
                <c:pt idx="64">
                  <c:v>0.2967368910746328</c:v>
                </c:pt>
                <c:pt idx="65">
                  <c:v>0.2967368910746328</c:v>
                </c:pt>
                <c:pt idx="66">
                  <c:v>0.2967368910746328</c:v>
                </c:pt>
                <c:pt idx="67">
                  <c:v>0.30026749518176382</c:v>
                </c:pt>
                <c:pt idx="68">
                  <c:v>0.30026749518176382</c:v>
                </c:pt>
                <c:pt idx="69">
                  <c:v>0.30026749518176382</c:v>
                </c:pt>
                <c:pt idx="70">
                  <c:v>0.30379809928889479</c:v>
                </c:pt>
                <c:pt idx="71">
                  <c:v>0.30379809928889479</c:v>
                </c:pt>
                <c:pt idx="72">
                  <c:v>0.30379809928889479</c:v>
                </c:pt>
                <c:pt idx="73">
                  <c:v>0.30379809928889479</c:v>
                </c:pt>
                <c:pt idx="74">
                  <c:v>0.30734947165547949</c:v>
                </c:pt>
                <c:pt idx="75">
                  <c:v>0.31088007576261045</c:v>
                </c:pt>
                <c:pt idx="76">
                  <c:v>0.31441067986974147</c:v>
                </c:pt>
                <c:pt idx="77">
                  <c:v>0.31794128397687244</c:v>
                </c:pt>
                <c:pt idx="78">
                  <c:v>0.32147188808400345</c:v>
                </c:pt>
                <c:pt idx="79">
                  <c:v>0.32500249219113442</c:v>
                </c:pt>
                <c:pt idx="80">
                  <c:v>0.33206370040539646</c:v>
                </c:pt>
                <c:pt idx="81">
                  <c:v>0.33912490861965844</c:v>
                </c:pt>
                <c:pt idx="82">
                  <c:v>0.34620688509337411</c:v>
                </c:pt>
                <c:pt idx="83">
                  <c:v>0.35326809330763609</c:v>
                </c:pt>
                <c:pt idx="84">
                  <c:v>0.36032930152189807</c:v>
                </c:pt>
                <c:pt idx="85">
                  <c:v>0.37092111384329102</c:v>
                </c:pt>
                <c:pt idx="86">
                  <c:v>0.37800309031700674</c:v>
                </c:pt>
                <c:pt idx="87">
                  <c:v>0.38506429853126872</c:v>
                </c:pt>
                <c:pt idx="88">
                  <c:v>0.38859490263839969</c:v>
                </c:pt>
                <c:pt idx="89">
                  <c:v>0.39212550674553071</c:v>
                </c:pt>
                <c:pt idx="90">
                  <c:v>0.39565611085266167</c:v>
                </c:pt>
                <c:pt idx="91">
                  <c:v>0.39918671495979269</c:v>
                </c:pt>
                <c:pt idx="92">
                  <c:v>0.40271731906692365</c:v>
                </c:pt>
                <c:pt idx="93">
                  <c:v>0.40271731906692365</c:v>
                </c:pt>
                <c:pt idx="94">
                  <c:v>0.40977852728118569</c:v>
                </c:pt>
                <c:pt idx="95">
                  <c:v>0.41332989964777034</c:v>
                </c:pt>
                <c:pt idx="96">
                  <c:v>0.42039110786203232</c:v>
                </c:pt>
                <c:pt idx="97">
                  <c:v>0.42039110786203232</c:v>
                </c:pt>
                <c:pt idx="98">
                  <c:v>0.42392171196916328</c:v>
                </c:pt>
                <c:pt idx="99">
                  <c:v>0.4274523160762943</c:v>
                </c:pt>
                <c:pt idx="100">
                  <c:v>0.4274523160762943</c:v>
                </c:pt>
                <c:pt idx="101">
                  <c:v>0.43098292018342527</c:v>
                </c:pt>
                <c:pt idx="102">
                  <c:v>0.43098292018342527</c:v>
                </c:pt>
                <c:pt idx="103">
                  <c:v>0.43098292018342527</c:v>
                </c:pt>
                <c:pt idx="104">
                  <c:v>0.43098292018342527</c:v>
                </c:pt>
                <c:pt idx="105">
                  <c:v>0.43098292018342527</c:v>
                </c:pt>
                <c:pt idx="106">
                  <c:v>0.43098292018342527</c:v>
                </c:pt>
                <c:pt idx="107">
                  <c:v>0.43098292018342527</c:v>
                </c:pt>
                <c:pt idx="108">
                  <c:v>0.43098292018342527</c:v>
                </c:pt>
                <c:pt idx="109">
                  <c:v>0.43098292018342527</c:v>
                </c:pt>
                <c:pt idx="110">
                  <c:v>0.43451352429055629</c:v>
                </c:pt>
                <c:pt idx="111">
                  <c:v>0.43804412839768725</c:v>
                </c:pt>
                <c:pt idx="112">
                  <c:v>0.44157473250481821</c:v>
                </c:pt>
                <c:pt idx="113">
                  <c:v>0.44157473250481821</c:v>
                </c:pt>
                <c:pt idx="114">
                  <c:v>0.44510533661194918</c:v>
                </c:pt>
                <c:pt idx="115">
                  <c:v>0.44865670897853399</c:v>
                </c:pt>
                <c:pt idx="116">
                  <c:v>0.45218731308566495</c:v>
                </c:pt>
                <c:pt idx="117">
                  <c:v>0.45924852129992694</c:v>
                </c:pt>
                <c:pt idx="118">
                  <c:v>0.46277912540705796</c:v>
                </c:pt>
                <c:pt idx="119">
                  <c:v>0.47337093772845085</c:v>
                </c:pt>
                <c:pt idx="120">
                  <c:v>0.48398351830929753</c:v>
                </c:pt>
                <c:pt idx="121">
                  <c:v>0.49457533063069048</c:v>
                </c:pt>
                <c:pt idx="122">
                  <c:v>0.50163653884495252</c:v>
                </c:pt>
                <c:pt idx="123">
                  <c:v>0.51575895527347648</c:v>
                </c:pt>
                <c:pt idx="124">
                  <c:v>0.52990213996145408</c:v>
                </c:pt>
                <c:pt idx="125">
                  <c:v>0.54402455638997804</c:v>
                </c:pt>
                <c:pt idx="126">
                  <c:v>0.55463713697082484</c:v>
                </c:pt>
                <c:pt idx="127">
                  <c:v>0.56875955339934869</c:v>
                </c:pt>
                <c:pt idx="128">
                  <c:v>0.58288196982787266</c:v>
                </c:pt>
                <c:pt idx="129">
                  <c:v>0.59702515451585036</c:v>
                </c:pt>
                <c:pt idx="130">
                  <c:v>0.60761696683724331</c:v>
                </c:pt>
                <c:pt idx="131">
                  <c:v>0.62173938326576728</c:v>
                </c:pt>
                <c:pt idx="132">
                  <c:v>0.63588256795374487</c:v>
                </c:pt>
                <c:pt idx="133">
                  <c:v>0.65000498438226884</c:v>
                </c:pt>
                <c:pt idx="134">
                  <c:v>0.66414816907024654</c:v>
                </c:pt>
                <c:pt idx="135">
                  <c:v>0.67827058549877051</c:v>
                </c:pt>
                <c:pt idx="136">
                  <c:v>0.69239300192729447</c:v>
                </c:pt>
                <c:pt idx="137">
                  <c:v>0.70653618661527218</c:v>
                </c:pt>
                <c:pt idx="138">
                  <c:v>0.72065860304379614</c:v>
                </c:pt>
                <c:pt idx="139">
                  <c:v>0.73480178773177385</c:v>
                </c:pt>
                <c:pt idx="140">
                  <c:v>0.7489242041602977</c:v>
                </c:pt>
                <c:pt idx="141">
                  <c:v>0.76304662058882167</c:v>
                </c:pt>
                <c:pt idx="142">
                  <c:v>0.77718980527679937</c:v>
                </c:pt>
                <c:pt idx="143">
                  <c:v>0.79131222170532334</c:v>
                </c:pt>
                <c:pt idx="144">
                  <c:v>0.80545540639330104</c:v>
                </c:pt>
                <c:pt idx="145">
                  <c:v>0.81957782282182501</c:v>
                </c:pt>
                <c:pt idx="146">
                  <c:v>0.83370023925034886</c:v>
                </c:pt>
                <c:pt idx="147">
                  <c:v>0.84784342393832657</c:v>
                </c:pt>
                <c:pt idx="148">
                  <c:v>0.86196584036685053</c:v>
                </c:pt>
                <c:pt idx="149">
                  <c:v>0.87610902505482824</c:v>
                </c:pt>
                <c:pt idx="150">
                  <c:v>0.8902314414833522</c:v>
                </c:pt>
                <c:pt idx="151">
                  <c:v>0.90435385791187617</c:v>
                </c:pt>
                <c:pt idx="152">
                  <c:v>0.91849704259985387</c:v>
                </c:pt>
                <c:pt idx="153">
                  <c:v>0.93261945902837773</c:v>
                </c:pt>
                <c:pt idx="154">
                  <c:v>0.94674187545690169</c:v>
                </c:pt>
                <c:pt idx="155">
                  <c:v>0.96088506014487951</c:v>
                </c:pt>
                <c:pt idx="156">
                  <c:v>0.97500747657340348</c:v>
                </c:pt>
                <c:pt idx="157">
                  <c:v>0.98915066126138096</c:v>
                </c:pt>
                <c:pt idx="158">
                  <c:v>1.003273077689905</c:v>
                </c:pt>
                <c:pt idx="159">
                  <c:v>1.0173954941184289</c:v>
                </c:pt>
                <c:pt idx="160">
                  <c:v>1.0315386788064065</c:v>
                </c:pt>
                <c:pt idx="161">
                  <c:v>1.0456610952349306</c:v>
                </c:pt>
                <c:pt idx="162">
                  <c:v>1.0598042799229082</c:v>
                </c:pt>
                <c:pt idx="163">
                  <c:v>1.0739266963514322</c:v>
                </c:pt>
                <c:pt idx="164">
                  <c:v>1.0880491127799561</c:v>
                </c:pt>
                <c:pt idx="165">
                  <c:v>1.1021922974679337</c:v>
                </c:pt>
                <c:pt idx="166">
                  <c:v>1.1163147138964578</c:v>
                </c:pt>
                <c:pt idx="167">
                  <c:v>1.1304578985844356</c:v>
                </c:pt>
                <c:pt idx="168">
                  <c:v>1.1445803150129594</c:v>
                </c:pt>
                <c:pt idx="169">
                  <c:v>1.1587027314414833</c:v>
                </c:pt>
                <c:pt idx="170">
                  <c:v>1.1728459161294611</c:v>
                </c:pt>
                <c:pt idx="171">
                  <c:v>1.1869683325579852</c:v>
                </c:pt>
                <c:pt idx="172">
                  <c:v>1.2011115172459628</c:v>
                </c:pt>
                <c:pt idx="173">
                  <c:v>1.2152339336744866</c:v>
                </c:pt>
                <c:pt idx="174">
                  <c:v>1.2293563501030107</c:v>
                </c:pt>
                <c:pt idx="175">
                  <c:v>1.2434995347909883</c:v>
                </c:pt>
                <c:pt idx="176">
                  <c:v>1.2576219512195121</c:v>
                </c:pt>
                <c:pt idx="177">
                  <c:v>1.2717651359074897</c:v>
                </c:pt>
                <c:pt idx="178">
                  <c:v>1.2858875523360138</c:v>
                </c:pt>
                <c:pt idx="179">
                  <c:v>1.3000099687645377</c:v>
                </c:pt>
                <c:pt idx="180">
                  <c:v>1.3141531534525157</c:v>
                </c:pt>
                <c:pt idx="181">
                  <c:v>1.3282755698810393</c:v>
                </c:pt>
                <c:pt idx="182">
                  <c:v>1.3424187545690174</c:v>
                </c:pt>
                <c:pt idx="183">
                  <c:v>1.356541170997541</c:v>
                </c:pt>
                <c:pt idx="184">
                  <c:v>1.3706635874260653</c:v>
                </c:pt>
                <c:pt idx="185">
                  <c:v>1.3848067721140427</c:v>
                </c:pt>
                <c:pt idx="186">
                  <c:v>1.3989291885425665</c:v>
                </c:pt>
                <c:pt idx="187">
                  <c:v>1.4130723732305444</c:v>
                </c:pt>
                <c:pt idx="188">
                  <c:v>1.4271947896590682</c:v>
                </c:pt>
                <c:pt idx="189">
                  <c:v>1.4413172060875923</c:v>
                </c:pt>
                <c:pt idx="190">
                  <c:v>1.4554603907755699</c:v>
                </c:pt>
                <c:pt idx="191">
                  <c:v>1.4695828072040937</c:v>
                </c:pt>
                <c:pt idx="192">
                  <c:v>1.4837052236326178</c:v>
                </c:pt>
                <c:pt idx="193">
                  <c:v>1.4978484083205954</c:v>
                </c:pt>
                <c:pt idx="194">
                  <c:v>1.5119708247491195</c:v>
                </c:pt>
                <c:pt idx="195">
                  <c:v>1.5261140094370973</c:v>
                </c:pt>
                <c:pt idx="196">
                  <c:v>1.5402364258656212</c:v>
                </c:pt>
                <c:pt idx="197">
                  <c:v>1.5543588422941452</c:v>
                </c:pt>
                <c:pt idx="198">
                  <c:v>1.5685020269821228</c:v>
                </c:pt>
                <c:pt idx="199">
                  <c:v>1.5826244434106467</c:v>
                </c:pt>
                <c:pt idx="200">
                  <c:v>1.5967676280986245</c:v>
                </c:pt>
                <c:pt idx="201">
                  <c:v>1.6108900445271483</c:v>
                </c:pt>
                <c:pt idx="202">
                  <c:v>1.6250124609556724</c:v>
                </c:pt>
                <c:pt idx="203">
                  <c:v>1.63915564564365</c:v>
                </c:pt>
                <c:pt idx="204">
                  <c:v>1.6532780620721736</c:v>
                </c:pt>
                <c:pt idx="205">
                  <c:v>1.6674212467601517</c:v>
                </c:pt>
                <c:pt idx="206">
                  <c:v>1.6815436631886753</c:v>
                </c:pt>
                <c:pt idx="207">
                  <c:v>1.6956660796171994</c:v>
                </c:pt>
                <c:pt idx="208">
                  <c:v>1.7098092643051772</c:v>
                </c:pt>
                <c:pt idx="209">
                  <c:v>1.7239316807337011</c:v>
                </c:pt>
                <c:pt idx="210">
                  <c:v>1.7380748654216787</c:v>
                </c:pt>
                <c:pt idx="211">
                  <c:v>1.7521972818502027</c:v>
                </c:pt>
                <c:pt idx="212">
                  <c:v>1.7663196982787268</c:v>
                </c:pt>
                <c:pt idx="213">
                  <c:v>1.7804628829667044</c:v>
                </c:pt>
                <c:pt idx="214">
                  <c:v>1.7945852993952283</c:v>
                </c:pt>
                <c:pt idx="215">
                  <c:v>1.8087284840832059</c:v>
                </c:pt>
                <c:pt idx="216">
                  <c:v>1.8228509005117299</c:v>
                </c:pt>
                <c:pt idx="217">
                  <c:v>1.8369733169402538</c:v>
                </c:pt>
                <c:pt idx="218">
                  <c:v>1.8511165016282318</c:v>
                </c:pt>
                <c:pt idx="219">
                  <c:v>1.8652389180567555</c:v>
                </c:pt>
                <c:pt idx="220">
                  <c:v>1.8793821027447333</c:v>
                </c:pt>
                <c:pt idx="221">
                  <c:v>1.8935045191732573</c:v>
                </c:pt>
                <c:pt idx="222">
                  <c:v>1.9076269356017812</c:v>
                </c:pt>
                <c:pt idx="223">
                  <c:v>1.921770120289759</c:v>
                </c:pt>
                <c:pt idx="224">
                  <c:v>1.9358925367182827</c:v>
                </c:pt>
                <c:pt idx="225">
                  <c:v>1.9500357214062602</c:v>
                </c:pt>
                <c:pt idx="226">
                  <c:v>1.9641581378347843</c:v>
                </c:pt>
                <c:pt idx="227">
                  <c:v>1.9782805542633082</c:v>
                </c:pt>
                <c:pt idx="228">
                  <c:v>1.992423738951286</c:v>
                </c:pt>
                <c:pt idx="229">
                  <c:v>2.0065461553798101</c:v>
                </c:pt>
                <c:pt idx="230">
                  <c:v>2.0206893400677877</c:v>
                </c:pt>
                <c:pt idx="231">
                  <c:v>2.0348117564963117</c:v>
                </c:pt>
                <c:pt idx="232">
                  <c:v>2.0489341729248354</c:v>
                </c:pt>
                <c:pt idx="233">
                  <c:v>2.063077357612813</c:v>
                </c:pt>
                <c:pt idx="234">
                  <c:v>2.0772413105602445</c:v>
                </c:pt>
                <c:pt idx="235">
                  <c:v>2.0913637269887686</c:v>
                </c:pt>
                <c:pt idx="236">
                  <c:v>2.1054861434172922</c:v>
                </c:pt>
                <c:pt idx="237">
                  <c:v>2.1196085598458163</c:v>
                </c:pt>
                <c:pt idx="238">
                  <c:v>2.1337309762743404</c:v>
                </c:pt>
                <c:pt idx="239">
                  <c:v>2.1478533927028645</c:v>
                </c:pt>
                <c:pt idx="240">
                  <c:v>2.1619758091313881</c:v>
                </c:pt>
                <c:pt idx="241">
                  <c:v>2.1760982255599122</c:v>
                </c:pt>
                <c:pt idx="242">
                  <c:v>2.1902206419884362</c:v>
                </c:pt>
                <c:pt idx="243">
                  <c:v>2.2043430584169603</c:v>
                </c:pt>
                <c:pt idx="244">
                  <c:v>2.218465474845484</c:v>
                </c:pt>
                <c:pt idx="245">
                  <c:v>2.232587891274008</c:v>
                </c:pt>
                <c:pt idx="246">
                  <c:v>2.2467103077025321</c:v>
                </c:pt>
                <c:pt idx="247">
                  <c:v>2.2608327241310562</c:v>
                </c:pt>
                <c:pt idx="248">
                  <c:v>2.2749551405595803</c:v>
                </c:pt>
                <c:pt idx="249">
                  <c:v>2.2890775569881039</c:v>
                </c:pt>
                <c:pt idx="250">
                  <c:v>2.303199973416628</c:v>
                </c:pt>
                <c:pt idx="251">
                  <c:v>2.317322389845152</c:v>
                </c:pt>
                <c:pt idx="252">
                  <c:v>2.3351830929753441</c:v>
                </c:pt>
                <c:pt idx="253">
                  <c:v>2.3493055094038682</c:v>
                </c:pt>
                <c:pt idx="254">
                  <c:v>2.3669585299395228</c:v>
                </c:pt>
                <c:pt idx="255">
                  <c:v>2.3810809463680469</c:v>
                </c:pt>
                <c:pt idx="256">
                  <c:v>2.3952033627965705</c:v>
                </c:pt>
                <c:pt idx="257">
                  <c:v>2.4093257792250946</c:v>
                </c:pt>
                <c:pt idx="258">
                  <c:v>2.4234481956536187</c:v>
                </c:pt>
                <c:pt idx="259">
                  <c:v>2.4375706120821428</c:v>
                </c:pt>
                <c:pt idx="260">
                  <c:v>2.4516930285106664</c:v>
                </c:pt>
                <c:pt idx="261">
                  <c:v>2.4658154449391905</c:v>
                </c:pt>
                <c:pt idx="262">
                  <c:v>2.4799378613677145</c:v>
                </c:pt>
                <c:pt idx="263">
                  <c:v>2.4940602777962386</c:v>
                </c:pt>
                <c:pt idx="264">
                  <c:v>2.5081826942247623</c:v>
                </c:pt>
                <c:pt idx="265">
                  <c:v>2.5223051106532863</c:v>
                </c:pt>
                <c:pt idx="266">
                  <c:v>2.5364275270818104</c:v>
                </c:pt>
                <c:pt idx="267">
                  <c:v>2.5505499435103345</c:v>
                </c:pt>
                <c:pt idx="268">
                  <c:v>2.5646723599388581</c:v>
                </c:pt>
                <c:pt idx="269">
                  <c:v>2.5787947763673822</c:v>
                </c:pt>
                <c:pt idx="270">
                  <c:v>2.5964477969030368</c:v>
                </c:pt>
                <c:pt idx="271">
                  <c:v>2.6105702133315609</c:v>
                </c:pt>
                <c:pt idx="272">
                  <c:v>2.624692629760085</c:v>
                </c:pt>
                <c:pt idx="273">
                  <c:v>2.6388150461886091</c:v>
                </c:pt>
                <c:pt idx="274">
                  <c:v>2.6529374626171327</c:v>
                </c:pt>
                <c:pt idx="275">
                  <c:v>2.6705904831527882</c:v>
                </c:pt>
                <c:pt idx="276">
                  <c:v>2.6849205821758488</c:v>
                </c:pt>
                <c:pt idx="277">
                  <c:v>2.6990429986043729</c:v>
                </c:pt>
                <c:pt idx="278">
                  <c:v>2.7131654150328965</c:v>
                </c:pt>
                <c:pt idx="279">
                  <c:v>2.7378796437828141</c:v>
                </c:pt>
                <c:pt idx="280">
                  <c:v>2.7590632684255998</c:v>
                </c:pt>
                <c:pt idx="281">
                  <c:v>2.7837774971755165</c:v>
                </c:pt>
                <c:pt idx="282">
                  <c:v>2.8049611218183026</c:v>
                </c:pt>
                <c:pt idx="283">
                  <c:v>2.8261447464610887</c:v>
                </c:pt>
                <c:pt idx="284">
                  <c:v>2.8508589752110058</c:v>
                </c:pt>
                <c:pt idx="285">
                  <c:v>2.8755732039609225</c:v>
                </c:pt>
                <c:pt idx="286">
                  <c:v>2.8967568286037082</c:v>
                </c:pt>
                <c:pt idx="287">
                  <c:v>2.9179404532464943</c:v>
                </c:pt>
                <c:pt idx="288">
                  <c:v>2.942654681996411</c:v>
                </c:pt>
                <c:pt idx="289">
                  <c:v>2.9638383066391971</c:v>
                </c:pt>
                <c:pt idx="290">
                  <c:v>2.9850219312819828</c:v>
                </c:pt>
                <c:pt idx="291">
                  <c:v>3.0062055559247689</c:v>
                </c:pt>
                <c:pt idx="292">
                  <c:v>3.027389180567555</c:v>
                </c:pt>
                <c:pt idx="293">
                  <c:v>3.0487804878048785</c:v>
                </c:pt>
                <c:pt idx="294">
                  <c:v>3.0699641124476642</c:v>
                </c:pt>
                <c:pt idx="295">
                  <c:v>3.0946783411975805</c:v>
                </c:pt>
                <c:pt idx="296">
                  <c:v>3.1193925699474976</c:v>
                </c:pt>
                <c:pt idx="297">
                  <c:v>3.1405761945902841</c:v>
                </c:pt>
                <c:pt idx="298">
                  <c:v>3.1652904233402008</c:v>
                </c:pt>
                <c:pt idx="299">
                  <c:v>3.1864740479829869</c:v>
                </c:pt>
                <c:pt idx="300">
                  <c:v>3.2076576726257722</c:v>
                </c:pt>
                <c:pt idx="301">
                  <c:v>3.2288412972685587</c:v>
                </c:pt>
                <c:pt idx="302">
                  <c:v>3.2500249219113448</c:v>
                </c:pt>
                <c:pt idx="303">
                  <c:v>3.2712085465541305</c:v>
                </c:pt>
                <c:pt idx="304">
                  <c:v>3.2923921711969166</c:v>
                </c:pt>
                <c:pt idx="305">
                  <c:v>3.3171063999468333</c:v>
                </c:pt>
                <c:pt idx="306">
                  <c:v>3.3382900245896194</c:v>
                </c:pt>
                <c:pt idx="307">
                  <c:v>3.3594736492324051</c:v>
                </c:pt>
                <c:pt idx="308">
                  <c:v>3.3806572738751912</c:v>
                </c:pt>
                <c:pt idx="309">
                  <c:v>3.4055791852196449</c:v>
                </c:pt>
                <c:pt idx="310">
                  <c:v>3.426762809862431</c:v>
                </c:pt>
                <c:pt idx="311">
                  <c:v>3.4479464345052171</c:v>
                </c:pt>
                <c:pt idx="312">
                  <c:v>3.4691300591480028</c:v>
                </c:pt>
                <c:pt idx="313">
                  <c:v>3.4938442878979199</c:v>
                </c:pt>
                <c:pt idx="314">
                  <c:v>3.515027912540706</c:v>
                </c:pt>
                <c:pt idx="315">
                  <c:v>3.5397421412906227</c:v>
                </c:pt>
                <c:pt idx="316">
                  <c:v>3.5644563700405398</c:v>
                </c:pt>
                <c:pt idx="317">
                  <c:v>3.5856399946833259</c:v>
                </c:pt>
                <c:pt idx="318">
                  <c:v>3.6103542234332426</c:v>
                </c:pt>
                <c:pt idx="319">
                  <c:v>3.6315378480760288</c:v>
                </c:pt>
                <c:pt idx="320">
                  <c:v>3.663313285040207</c:v>
                </c:pt>
                <c:pt idx="321">
                  <c:v>3.6915581178972552</c:v>
                </c:pt>
                <c:pt idx="322">
                  <c:v>3.7233335548614344</c:v>
                </c:pt>
                <c:pt idx="323">
                  <c:v>3.75531667442015</c:v>
                </c:pt>
                <c:pt idx="324">
                  <c:v>3.7835615072771982</c:v>
                </c:pt>
                <c:pt idx="325">
                  <c:v>3.8153369442413769</c:v>
                </c:pt>
                <c:pt idx="326">
                  <c:v>3.8471123812055561</c:v>
                </c:pt>
                <c:pt idx="327">
                  <c:v>3.8788878181697348</c:v>
                </c:pt>
                <c:pt idx="328">
                  <c:v>3.910663255133914</c:v>
                </c:pt>
                <c:pt idx="329">
                  <c:v>3.9424386920980932</c:v>
                </c:pt>
                <c:pt idx="330">
                  <c:v>3.9742141290622723</c:v>
                </c:pt>
                <c:pt idx="331">
                  <c:v>4.0059895660264502</c:v>
                </c:pt>
                <c:pt idx="332">
                  <c:v>4.0377650029906293</c:v>
                </c:pt>
                <c:pt idx="333">
                  <c:v>4.0660098358476775</c:v>
                </c:pt>
                <c:pt idx="334">
                  <c:v>4.0977852728118558</c:v>
                </c:pt>
                <c:pt idx="335">
                  <c:v>4.1262377882634418</c:v>
                </c:pt>
                <c:pt idx="336">
                  <c:v>4.1580132252276201</c:v>
                </c:pt>
                <c:pt idx="337">
                  <c:v>4.1862580580846682</c:v>
                </c:pt>
                <c:pt idx="338">
                  <c:v>4.2145028909417155</c:v>
                </c:pt>
                <c:pt idx="339">
                  <c:v>4.2427477237987636</c:v>
                </c:pt>
                <c:pt idx="340">
                  <c:v>4.2745231607629428</c:v>
                </c:pt>
                <c:pt idx="341">
                  <c:v>4.302767993619991</c:v>
                </c:pt>
                <c:pt idx="342">
                  <c:v>4.3310128264770391</c:v>
                </c:pt>
                <c:pt idx="343">
                  <c:v>4.3592576593340864</c:v>
                </c:pt>
                <c:pt idx="344">
                  <c:v>4.3875024921911336</c:v>
                </c:pt>
                <c:pt idx="345">
                  <c:v>4.4192779291553137</c:v>
                </c:pt>
                <c:pt idx="346">
                  <c:v>4.451053366119492</c:v>
                </c:pt>
                <c:pt idx="347">
                  <c:v>4.479505881571078</c:v>
                </c:pt>
                <c:pt idx="348">
                  <c:v>4.5077507144281261</c:v>
                </c:pt>
                <c:pt idx="349">
                  <c:v>4.5359955472851734</c:v>
                </c:pt>
                <c:pt idx="350">
                  <c:v>4.5748321924636137</c:v>
                </c:pt>
                <c:pt idx="351">
                  <c:v>4.6101382335349239</c:v>
                </c:pt>
                <c:pt idx="352">
                  <c:v>4.6454442746062341</c:v>
                </c:pt>
                <c:pt idx="353">
                  <c:v>4.6842809197846753</c:v>
                </c:pt>
                <c:pt idx="354">
                  <c:v>4.7195869608559855</c:v>
                </c:pt>
                <c:pt idx="355">
                  <c:v>4.7548930019272948</c:v>
                </c:pt>
                <c:pt idx="356">
                  <c:v>4.793729647105736</c:v>
                </c:pt>
                <c:pt idx="357">
                  <c:v>4.8292433707715823</c:v>
                </c:pt>
                <c:pt idx="358">
                  <c:v>4.8680800159500235</c:v>
                </c:pt>
                <c:pt idx="359">
                  <c:v>4.9069166611284638</c:v>
                </c:pt>
                <c:pt idx="360">
                  <c:v>4.942222702199774</c:v>
                </c:pt>
                <c:pt idx="361">
                  <c:v>4.9810593473782152</c:v>
                </c:pt>
                <c:pt idx="362">
                  <c:v>5.0198959925566555</c:v>
                </c:pt>
                <c:pt idx="363">
                  <c:v>5.0587326377350967</c:v>
                </c:pt>
                <c:pt idx="364">
                  <c:v>5.094038678806406</c:v>
                </c:pt>
                <c:pt idx="365">
                  <c:v>5.1328753239848472</c:v>
                </c:pt>
                <c:pt idx="366">
                  <c:v>5.1717119691632885</c:v>
                </c:pt>
                <c:pt idx="367">
                  <c:v>5.2107562969362666</c:v>
                </c:pt>
                <c:pt idx="368">
                  <c:v>5.2495929421147078</c:v>
                </c:pt>
                <c:pt idx="369">
                  <c:v>5.2848989831860171</c:v>
                </c:pt>
                <c:pt idx="370">
                  <c:v>5.3237356283644575</c:v>
                </c:pt>
                <c:pt idx="371">
                  <c:v>5.3625722735428987</c:v>
                </c:pt>
                <c:pt idx="372">
                  <c:v>5.4014089187213399</c:v>
                </c:pt>
                <c:pt idx="373">
                  <c:v>5.4437761680069121</c:v>
                </c:pt>
                <c:pt idx="374">
                  <c:v>5.4896740213996145</c:v>
                </c:pt>
                <c:pt idx="375">
                  <c:v>5.5320412706851867</c:v>
                </c:pt>
                <c:pt idx="376">
                  <c:v>5.578146806672426</c:v>
                </c:pt>
                <c:pt idx="377">
                  <c:v>5.6205140559579982</c:v>
                </c:pt>
                <c:pt idx="378">
                  <c:v>5.6628813052435705</c:v>
                </c:pt>
                <c:pt idx="379">
                  <c:v>5.7123097627434039</c:v>
                </c:pt>
                <c:pt idx="380">
                  <c:v>5.7617382202432381</c:v>
                </c:pt>
                <c:pt idx="381">
                  <c:v>5.8041054695288103</c:v>
                </c:pt>
                <c:pt idx="382">
                  <c:v>5.8464727188143817</c:v>
                </c:pt>
                <c:pt idx="383">
                  <c:v>5.8888399680999539</c:v>
                </c:pt>
                <c:pt idx="384">
                  <c:v>5.9314148999800622</c:v>
                </c:pt>
                <c:pt idx="385">
                  <c:v>5.9773127533727655</c:v>
                </c:pt>
                <c:pt idx="386">
                  <c:v>6.0196800026583377</c:v>
                </c:pt>
                <c:pt idx="387">
                  <c:v>6.0655778560510401</c:v>
                </c:pt>
                <c:pt idx="388">
                  <c:v>6.1079451053366123</c:v>
                </c:pt>
                <c:pt idx="389">
                  <c:v>6.1538429587293146</c:v>
                </c:pt>
                <c:pt idx="390">
                  <c:v>6.199740812122017</c:v>
                </c:pt>
                <c:pt idx="391">
                  <c:v>6.2456386655147202</c:v>
                </c:pt>
                <c:pt idx="392">
                  <c:v>6.2917442015019605</c:v>
                </c:pt>
                <c:pt idx="393">
                  <c:v>6.3376420548946646</c:v>
                </c:pt>
                <c:pt idx="394">
                  <c:v>6.3906011165016272</c:v>
                </c:pt>
                <c:pt idx="395">
                  <c:v>6.4470907822157244</c:v>
                </c:pt>
                <c:pt idx="396">
                  <c:v>6.5000498438226897</c:v>
                </c:pt>
                <c:pt idx="397">
                  <c:v>6.5494783013225231</c:v>
                </c:pt>
                <c:pt idx="398">
                  <c:v>6.6059679670366185</c:v>
                </c:pt>
                <c:pt idx="399">
                  <c:v>6.6556041071309906</c:v>
                </c:pt>
                <c:pt idx="400">
                  <c:v>6.712093772845086</c:v>
                </c:pt>
                <c:pt idx="401">
                  <c:v>6.7615222303449194</c:v>
                </c:pt>
                <c:pt idx="402">
                  <c:v>6.8180118960590157</c:v>
                </c:pt>
                <c:pt idx="403">
                  <c:v>6.86744035355885</c:v>
                </c:pt>
                <c:pt idx="404">
                  <c:v>6.9168688110586833</c:v>
                </c:pt>
                <c:pt idx="405">
                  <c:v>6.9662972685585167</c:v>
                </c:pt>
                <c:pt idx="406">
                  <c:v>7.0159334086528879</c:v>
                </c:pt>
                <c:pt idx="407">
                  <c:v>7.0653618661527213</c:v>
                </c:pt>
                <c:pt idx="408">
                  <c:v>7.1147903236525556</c:v>
                </c:pt>
                <c:pt idx="409">
                  <c:v>7.164218781152389</c:v>
                </c:pt>
                <c:pt idx="410">
                  <c:v>7.2136472386522223</c:v>
                </c:pt>
                <c:pt idx="411">
                  <c:v>7.2630756961520575</c:v>
                </c:pt>
                <c:pt idx="412">
                  <c:v>7.3230959659732839</c:v>
                </c:pt>
                <c:pt idx="413">
                  <c:v>7.3833239183890473</c:v>
                </c:pt>
                <c:pt idx="414">
                  <c:v>7.4398135841031436</c:v>
                </c:pt>
                <c:pt idx="415">
                  <c:v>7.4998338539243701</c:v>
                </c:pt>
                <c:pt idx="416">
                  <c:v>7.5598541237455974</c:v>
                </c:pt>
                <c:pt idx="417">
                  <c:v>7.6198743935668238</c:v>
                </c:pt>
                <c:pt idx="418">
                  <c:v>7.6763640592809201</c:v>
                </c:pt>
                <c:pt idx="419">
                  <c:v>7.7365920116966835</c:v>
                </c:pt>
                <c:pt idx="420">
                  <c:v>7.7930816774107798</c:v>
                </c:pt>
                <c:pt idx="421">
                  <c:v>7.8531019472320063</c:v>
                </c:pt>
                <c:pt idx="422">
                  <c:v>7.9131222170532327</c:v>
                </c:pt>
                <c:pt idx="423">
                  <c:v>7.9731424868744609</c:v>
                </c:pt>
                <c:pt idx="424">
                  <c:v>8.0331627566956865</c:v>
                </c:pt>
                <c:pt idx="425">
                  <c:v>8.0933907091114516</c:v>
                </c:pt>
                <c:pt idx="426">
                  <c:v>8.1534109789326763</c:v>
                </c:pt>
                <c:pt idx="427">
                  <c:v>8.2240230610752985</c:v>
                </c:pt>
                <c:pt idx="428">
                  <c:v>8.2875739350036568</c:v>
                </c:pt>
                <c:pt idx="429">
                  <c:v>8.3581860171462754</c:v>
                </c:pt>
                <c:pt idx="430">
                  <c:v>8.429005781883431</c:v>
                </c:pt>
                <c:pt idx="431">
                  <c:v>8.4925566558117911</c:v>
                </c:pt>
                <c:pt idx="432">
                  <c:v>8.5631687379544097</c:v>
                </c:pt>
                <c:pt idx="433">
                  <c:v>8.6267196118827663</c:v>
                </c:pt>
                <c:pt idx="434">
                  <c:v>8.6902704858111246</c:v>
                </c:pt>
                <c:pt idx="435">
                  <c:v>8.7538213597394829</c:v>
                </c:pt>
                <c:pt idx="436">
                  <c:v>8.8246411244766421</c:v>
                </c:pt>
                <c:pt idx="437">
                  <c:v>8.8881919984049986</c:v>
                </c:pt>
                <c:pt idx="438">
                  <c:v>8.9517428723333552</c:v>
                </c:pt>
                <c:pt idx="439">
                  <c:v>9.0152937462617118</c:v>
                </c:pt>
                <c:pt idx="440">
                  <c:v>9.0788446201900701</c:v>
                </c:pt>
                <c:pt idx="441">
                  <c:v>9.1531949890343611</c:v>
                </c:pt>
                <c:pt idx="442">
                  <c:v>9.2308682793912418</c:v>
                </c:pt>
                <c:pt idx="443">
                  <c:v>9.3085415697481224</c:v>
                </c:pt>
                <c:pt idx="444">
                  <c:v>9.3862148601050048</c:v>
                </c:pt>
                <c:pt idx="445">
                  <c:v>9.4638881504618855</c:v>
                </c:pt>
                <c:pt idx="446">
                  <c:v>9.5347079151990428</c:v>
                </c:pt>
                <c:pt idx="447">
                  <c:v>9.6123812055559252</c:v>
                </c:pt>
                <c:pt idx="448">
                  <c:v>9.6935851000199378</c:v>
                </c:pt>
                <c:pt idx="449">
                  <c:v>9.7712583903768184</c:v>
                </c:pt>
                <c:pt idx="450">
                  <c:v>9.8526699674353697</c:v>
                </c:pt>
                <c:pt idx="451">
                  <c:v>9.9232820495779883</c:v>
                </c:pt>
                <c:pt idx="452">
                  <c:v>9.9938941317206087</c:v>
                </c:pt>
                <c:pt idx="453">
                  <c:v>10.078628630291753</c:v>
                </c:pt>
                <c:pt idx="454">
                  <c:v>10.163363128862898</c:v>
                </c:pt>
                <c:pt idx="455">
                  <c:v>10.244774705921447</c:v>
                </c:pt>
                <c:pt idx="456">
                  <c:v>10.32950920449259</c:v>
                </c:pt>
                <c:pt idx="457">
                  <c:v>10.414243703063734</c:v>
                </c:pt>
                <c:pt idx="458">
                  <c:v>10.498978201634877</c:v>
                </c:pt>
                <c:pt idx="459">
                  <c:v>10.580389778693426</c:v>
                </c:pt>
                <c:pt idx="460">
                  <c:v>10.665124277264571</c:v>
                </c:pt>
                <c:pt idx="461">
                  <c:v>10.746328171728585</c:v>
                </c:pt>
                <c:pt idx="462">
                  <c:v>10.831062670299728</c:v>
                </c:pt>
                <c:pt idx="463">
                  <c:v>10.916004851465409</c:v>
                </c:pt>
                <c:pt idx="464">
                  <c:v>11.011331162357948</c:v>
                </c:pt>
                <c:pt idx="465">
                  <c:v>11.106657473250483</c:v>
                </c:pt>
                <c:pt idx="466">
                  <c:v>11.201983784143019</c:v>
                </c:pt>
                <c:pt idx="467">
                  <c:v>11.286925965308701</c:v>
                </c:pt>
                <c:pt idx="468">
                  <c:v>11.382252276201235</c:v>
                </c:pt>
                <c:pt idx="469">
                  <c:v>11.46698677477238</c:v>
                </c:pt>
                <c:pt idx="470">
                  <c:v>11.562313085664917</c:v>
                </c:pt>
                <c:pt idx="471">
                  <c:v>11.6472552668306</c:v>
                </c:pt>
                <c:pt idx="472">
                  <c:v>11.742581577723135</c:v>
                </c:pt>
                <c:pt idx="473">
                  <c:v>11.827316076294279</c:v>
                </c:pt>
                <c:pt idx="474">
                  <c:v>11.922642387186816</c:v>
                </c:pt>
                <c:pt idx="475">
                  <c:v>12.021706984781019</c:v>
                </c:pt>
                <c:pt idx="476">
                  <c:v>12.117033295673558</c:v>
                </c:pt>
                <c:pt idx="477">
                  <c:v>12.215890210673225</c:v>
                </c:pt>
                <c:pt idx="478">
                  <c:v>12.311216521565759</c:v>
                </c:pt>
                <c:pt idx="479">
                  <c:v>12.406750515052835</c:v>
                </c:pt>
                <c:pt idx="480">
                  <c:v>12.505607430052502</c:v>
                </c:pt>
                <c:pt idx="481">
                  <c:v>12.607994949159302</c:v>
                </c:pt>
                <c:pt idx="482">
                  <c:v>12.707059546753507</c:v>
                </c:pt>
                <c:pt idx="483">
                  <c:v>12.805916461753174</c:v>
                </c:pt>
                <c:pt idx="484">
                  <c:v>12.904773376752843</c:v>
                </c:pt>
                <c:pt idx="485">
                  <c:v>13.00363029175251</c:v>
                </c:pt>
                <c:pt idx="486">
                  <c:v>13.102694889346713</c:v>
                </c:pt>
                <c:pt idx="487">
                  <c:v>13.20155180434638</c:v>
                </c:pt>
                <c:pt idx="488">
                  <c:v>13.30393932345318</c:v>
                </c:pt>
                <c:pt idx="489">
                  <c:v>13.402796238452847</c:v>
                </c:pt>
                <c:pt idx="490">
                  <c:v>13.505391440154183</c:v>
                </c:pt>
                <c:pt idx="491">
                  <c:v>13.604248355153851</c:v>
                </c:pt>
                <c:pt idx="492">
                  <c:v>13.710166478367782</c:v>
                </c:pt>
                <c:pt idx="493">
                  <c:v>13.82335349239051</c:v>
                </c:pt>
                <c:pt idx="494">
                  <c:v>13.939863427925832</c:v>
                </c:pt>
                <c:pt idx="495">
                  <c:v>14.056373363461157</c:v>
                </c:pt>
                <c:pt idx="496">
                  <c:v>14.162499169269621</c:v>
                </c:pt>
                <c:pt idx="497">
                  <c:v>14.268417292483552</c:v>
                </c:pt>
                <c:pt idx="498">
                  <c:v>14.374335415697482</c:v>
                </c:pt>
                <c:pt idx="499">
                  <c:v>14.48399182561308</c:v>
                </c:pt>
                <c:pt idx="500">
                  <c:v>14.604032365255534</c:v>
                </c:pt>
                <c:pt idx="501">
                  <c:v>14.727603509005117</c:v>
                </c:pt>
                <c:pt idx="502">
                  <c:v>14.851382335349239</c:v>
                </c:pt>
                <c:pt idx="503">
                  <c:v>14.974953479098822</c:v>
                </c:pt>
                <c:pt idx="504">
                  <c:v>15.098524622848409</c:v>
                </c:pt>
                <c:pt idx="505">
                  <c:v>15.211711636871138</c:v>
                </c:pt>
                <c:pt idx="506">
                  <c:v>15.335282780620721</c:v>
                </c:pt>
                <c:pt idx="507">
                  <c:v>15.448262112048914</c:v>
                </c:pt>
                <c:pt idx="508">
                  <c:v>15.572040938393034</c:v>
                </c:pt>
                <c:pt idx="509">
                  <c:v>15.699142686249751</c:v>
                </c:pt>
                <c:pt idx="510">
                  <c:v>15.819183225892205</c:v>
                </c:pt>
                <c:pt idx="511">
                  <c:v>15.942962052236327</c:v>
                </c:pt>
                <c:pt idx="512">
                  <c:v>16.066533195985912</c:v>
                </c:pt>
                <c:pt idx="513">
                  <c:v>16.190104339735495</c:v>
                </c:pt>
                <c:pt idx="514">
                  <c:v>16.313883166079616</c:v>
                </c:pt>
                <c:pt idx="515">
                  <c:v>16.451576726257727</c:v>
                </c:pt>
                <c:pt idx="516">
                  <c:v>16.589270286435834</c:v>
                </c:pt>
                <c:pt idx="517">
                  <c:v>16.72717152920848</c:v>
                </c:pt>
                <c:pt idx="518">
                  <c:v>16.86133448527946</c:v>
                </c:pt>
                <c:pt idx="519">
                  <c:v>16.999235728052103</c:v>
                </c:pt>
                <c:pt idx="520">
                  <c:v>17.126337475908819</c:v>
                </c:pt>
                <c:pt idx="521">
                  <c:v>17.264031036086926</c:v>
                </c:pt>
                <c:pt idx="522">
                  <c:v>17.401932278859576</c:v>
                </c:pt>
                <c:pt idx="523">
                  <c:v>17.543156443144813</c:v>
                </c:pt>
                <c:pt idx="524">
                  <c:v>17.68085000332292</c:v>
                </c:pt>
                <c:pt idx="525">
                  <c:v>17.818751246095569</c:v>
                </c:pt>
                <c:pt idx="526">
                  <c:v>17.959975410380807</c:v>
                </c:pt>
                <c:pt idx="527">
                  <c:v>18.097876653153453</c:v>
                </c:pt>
                <c:pt idx="528">
                  <c:v>18.239100817438693</c:v>
                </c:pt>
                <c:pt idx="529">
                  <c:v>18.38032498172393</c:v>
                </c:pt>
                <c:pt idx="530">
                  <c:v>18.5323486409251</c:v>
                </c:pt>
                <c:pt idx="531">
                  <c:v>18.677103409317471</c:v>
                </c:pt>
                <c:pt idx="532">
                  <c:v>18.822065860304377</c:v>
                </c:pt>
                <c:pt idx="533">
                  <c:v>18.973881836911012</c:v>
                </c:pt>
                <c:pt idx="534">
                  <c:v>19.122167209410513</c:v>
                </c:pt>
                <c:pt idx="535">
                  <c:v>19.284782680933077</c:v>
                </c:pt>
                <c:pt idx="536">
                  <c:v>19.436598657539712</c:v>
                </c:pt>
                <c:pt idx="537">
                  <c:v>19.595683524955138</c:v>
                </c:pt>
                <c:pt idx="538">
                  <c:v>19.743968897454643</c:v>
                </c:pt>
                <c:pt idx="539">
                  <c:v>19.892461952548683</c:v>
                </c:pt>
                <c:pt idx="540">
                  <c:v>20.040747325048184</c:v>
                </c:pt>
                <c:pt idx="541">
                  <c:v>20.203362796570744</c:v>
                </c:pt>
                <c:pt idx="542">
                  <c:v>20.365770585498773</c:v>
                </c:pt>
                <c:pt idx="543">
                  <c:v>20.528178374426798</c:v>
                </c:pt>
                <c:pt idx="544">
                  <c:v>20.690793845949358</c:v>
                </c:pt>
                <c:pt idx="545">
                  <c:v>20.853409317471922</c:v>
                </c:pt>
                <c:pt idx="546">
                  <c:v>21.015401741210873</c:v>
                </c:pt>
                <c:pt idx="547">
                  <c:v>21.177394164949828</c:v>
                </c:pt>
                <c:pt idx="548">
                  <c:v>21.341463414634145</c:v>
                </c:pt>
                <c:pt idx="549">
                  <c:v>21.513839968099955</c:v>
                </c:pt>
                <c:pt idx="550">
                  <c:v>21.690370173456504</c:v>
                </c:pt>
                <c:pt idx="551">
                  <c:v>21.86274672692231</c:v>
                </c:pt>
                <c:pt idx="552">
                  <c:v>22.03927693227886</c:v>
                </c:pt>
                <c:pt idx="553">
                  <c:v>22.219960789526155</c:v>
                </c:pt>
                <c:pt idx="554">
                  <c:v>22.396490994882704</c:v>
                </c:pt>
                <c:pt idx="555">
                  <c:v>22.573021200239253</c:v>
                </c:pt>
                <c:pt idx="556">
                  <c:v>22.749551405595803</c:v>
                </c:pt>
                <c:pt idx="557">
                  <c:v>22.930235262843091</c:v>
                </c:pt>
                <c:pt idx="558">
                  <c:v>23.10676546819964</c:v>
                </c:pt>
                <c:pt idx="559">
                  <c:v>23.287449325446932</c:v>
                </c:pt>
                <c:pt idx="560">
                  <c:v>23.463979530803481</c:v>
                </c:pt>
                <c:pt idx="561">
                  <c:v>23.644663388050777</c:v>
                </c:pt>
                <c:pt idx="562">
                  <c:v>23.83573137502492</c:v>
                </c:pt>
                <c:pt idx="563">
                  <c:v>24.018492058217586</c:v>
                </c:pt>
                <c:pt idx="564">
                  <c:v>24.215790523027849</c:v>
                </c:pt>
                <c:pt idx="565">
                  <c:v>24.415165813783478</c:v>
                </c:pt>
                <c:pt idx="566">
                  <c:v>24.597926496976143</c:v>
                </c:pt>
                <c:pt idx="567">
                  <c:v>24.799378613677145</c:v>
                </c:pt>
                <c:pt idx="568">
                  <c:v>25.004984382268891</c:v>
                </c:pt>
                <c:pt idx="569">
                  <c:v>25.208513324915263</c:v>
                </c:pt>
                <c:pt idx="570">
                  <c:v>25.414119093507015</c:v>
                </c:pt>
                <c:pt idx="571">
                  <c:v>25.611417558317275</c:v>
                </c:pt>
                <c:pt idx="572">
                  <c:v>25.817023326909016</c:v>
                </c:pt>
                <c:pt idx="573">
                  <c:v>26.018475443610019</c:v>
                </c:pt>
                <c:pt idx="574">
                  <c:v>26.219927560311028</c:v>
                </c:pt>
                <c:pt idx="575">
                  <c:v>26.42137967701203</c:v>
                </c:pt>
                <c:pt idx="576">
                  <c:v>26.635292749385261</c:v>
                </c:pt>
                <c:pt idx="577">
                  <c:v>26.851282647703865</c:v>
                </c:pt>
                <c:pt idx="578">
                  <c:v>27.067272546022462</c:v>
                </c:pt>
                <c:pt idx="579">
                  <c:v>27.283262444341066</c:v>
                </c:pt>
                <c:pt idx="580">
                  <c:v>27.497175516714297</c:v>
                </c:pt>
                <c:pt idx="581">
                  <c:v>27.711088589087527</c:v>
                </c:pt>
                <c:pt idx="582">
                  <c:v>27.929155313351497</c:v>
                </c:pt>
                <c:pt idx="583">
                  <c:v>28.145145211670101</c:v>
                </c:pt>
                <c:pt idx="584">
                  <c:v>28.377749717551676</c:v>
                </c:pt>
                <c:pt idx="585">
                  <c:v>28.608277397487871</c:v>
                </c:pt>
                <c:pt idx="586">
                  <c:v>28.832574599587957</c:v>
                </c:pt>
                <c:pt idx="587">
                  <c:v>29.063102279524159</c:v>
                </c:pt>
                <c:pt idx="588">
                  <c:v>29.295706785405731</c:v>
                </c:pt>
                <c:pt idx="589">
                  <c:v>29.532464943178041</c:v>
                </c:pt>
                <c:pt idx="590">
                  <c:v>29.767146275004983</c:v>
                </c:pt>
                <c:pt idx="591">
                  <c:v>30.001827606831927</c:v>
                </c:pt>
                <c:pt idx="592">
                  <c:v>30.238585764604242</c:v>
                </c:pt>
                <c:pt idx="593">
                  <c:v>30.479497574267295</c:v>
                </c:pt>
                <c:pt idx="594">
                  <c:v>30.720409383930352</c:v>
                </c:pt>
                <c:pt idx="595">
                  <c:v>30.953013889811924</c:v>
                </c:pt>
                <c:pt idx="596">
                  <c:v>31.193925699474978</c:v>
                </c:pt>
                <c:pt idx="597">
                  <c:v>31.432760683192662</c:v>
                </c:pt>
                <c:pt idx="598">
                  <c:v>31.673672492855715</c:v>
                </c:pt>
                <c:pt idx="599">
                  <c:v>31.924968432245631</c:v>
                </c:pt>
                <c:pt idx="600">
                  <c:v>32.178341197580913</c:v>
                </c:pt>
                <c:pt idx="601">
                  <c:v>32.429637136970825</c:v>
                </c:pt>
                <c:pt idx="602">
                  <c:v>32.680933076360738</c:v>
                </c:pt>
                <c:pt idx="603">
                  <c:v>32.944689971422875</c:v>
                </c:pt>
                <c:pt idx="604">
                  <c:v>33.210523692430385</c:v>
                </c:pt>
                <c:pt idx="605">
                  <c:v>33.476357413437896</c:v>
                </c:pt>
                <c:pt idx="606">
                  <c:v>33.744267960390779</c:v>
                </c:pt>
                <c:pt idx="607">
                  <c:v>34.00594802950755</c:v>
                </c:pt>
                <c:pt idx="608">
                  <c:v>34.26970492456968</c:v>
                </c:pt>
                <c:pt idx="609">
                  <c:v>34.531384993686451</c:v>
                </c:pt>
                <c:pt idx="610">
                  <c:v>34.807602844420813</c:v>
                </c:pt>
                <c:pt idx="611">
                  <c:v>35.085897521100549</c:v>
                </c:pt>
                <c:pt idx="612">
                  <c:v>35.353808068053432</c:v>
                </c:pt>
                <c:pt idx="613">
                  <c:v>35.638333222569287</c:v>
                </c:pt>
                <c:pt idx="614">
                  <c:v>35.920781551139761</c:v>
                </c:pt>
                <c:pt idx="615">
                  <c:v>36.205306705655609</c:v>
                </c:pt>
                <c:pt idx="616">
                  <c:v>36.49190868611683</c:v>
                </c:pt>
                <c:pt idx="617">
                  <c:v>36.782664318468797</c:v>
                </c:pt>
                <c:pt idx="618">
                  <c:v>37.067189472984651</c:v>
                </c:pt>
                <c:pt idx="619">
                  <c:v>37.351714627500499</c:v>
                </c:pt>
                <c:pt idx="620">
                  <c:v>37.646623911743205</c:v>
                </c:pt>
                <c:pt idx="621">
                  <c:v>37.943610021931285</c:v>
                </c:pt>
                <c:pt idx="622">
                  <c:v>38.244749784010104</c:v>
                </c:pt>
                <c:pt idx="623">
                  <c:v>38.543812720143556</c:v>
                </c:pt>
                <c:pt idx="624">
                  <c:v>38.849106134113107</c:v>
                </c:pt>
                <c:pt idx="625">
                  <c:v>39.146092244301194</c:v>
                </c:pt>
                <c:pt idx="626">
                  <c:v>39.45969296205223</c:v>
                </c:pt>
                <c:pt idx="627">
                  <c:v>39.771216853857915</c:v>
                </c:pt>
                <c:pt idx="628">
                  <c:v>40.074433441882107</c:v>
                </c:pt>
                <c:pt idx="629">
                  <c:v>40.38803415963315</c:v>
                </c:pt>
                <c:pt idx="630">
                  <c:v>40.70578852927494</c:v>
                </c:pt>
                <c:pt idx="631">
                  <c:v>41.036003854588955</c:v>
                </c:pt>
                <c:pt idx="632">
                  <c:v>41.353758224230745</c:v>
                </c:pt>
                <c:pt idx="633">
                  <c:v>41.671512593872535</c:v>
                </c:pt>
                <c:pt idx="634">
                  <c:v>41.995497441350437</c:v>
                </c:pt>
                <c:pt idx="635">
                  <c:v>42.325712766664452</c:v>
                </c:pt>
                <c:pt idx="636">
                  <c:v>42.649697614142347</c:v>
                </c:pt>
                <c:pt idx="637">
                  <c:v>42.988220243237862</c:v>
                </c:pt>
                <c:pt idx="638">
                  <c:v>43.328819698278735</c:v>
                </c:pt>
                <c:pt idx="639">
                  <c:v>43.663188675483489</c:v>
                </c:pt>
                <c:pt idx="640">
                  <c:v>44.005864956469729</c:v>
                </c:pt>
                <c:pt idx="641">
                  <c:v>44.338157107729117</c:v>
                </c:pt>
                <c:pt idx="642">
                  <c:v>44.645527347644048</c:v>
                </c:pt>
                <c:pt idx="643">
                  <c:v>44.92797567621453</c:v>
                </c:pt>
                <c:pt idx="644">
                  <c:v>45.185502093440547</c:v>
                </c:pt>
                <c:pt idx="645">
                  <c:v>45.420183425267496</c:v>
                </c:pt>
                <c:pt idx="646">
                  <c:v>45.613328238187016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13-4202-842D-7AEA35D67AD7}"/>
            </c:ext>
          </c:extLst>
        </c:ser>
        <c:ser>
          <c:idx val="5"/>
          <c:order val="4"/>
          <c:tx>
            <c:strRef>
              <c:f>{"A10-5"}</c:f>
              <c:strCache>
                <c:ptCount val="1"/>
                <c:pt idx="0">
                  <c:v>A10-5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'A10-4'!$C$2:$C$648</c:f>
              <c:numCache>
                <c:formatCode>0.00</c:formatCode>
                <c:ptCount val="647"/>
                <c:pt idx="0">
                  <c:v>0</c:v>
                </c:pt>
                <c:pt idx="1">
                  <c:v>1.3900999999999998E-2</c:v>
                </c:pt>
                <c:pt idx="2">
                  <c:v>1.40126E-2</c:v>
                </c:pt>
                <c:pt idx="3">
                  <c:v>1.41224E-2</c:v>
                </c:pt>
                <c:pt idx="4">
                  <c:v>1.4236E-2</c:v>
                </c:pt>
                <c:pt idx="5">
                  <c:v>1.43476E-2</c:v>
                </c:pt>
                <c:pt idx="6">
                  <c:v>1.4483600000000001E-2</c:v>
                </c:pt>
                <c:pt idx="7">
                  <c:v>1.4623200000000001E-2</c:v>
                </c:pt>
                <c:pt idx="8">
                  <c:v>1.47628E-2</c:v>
                </c:pt>
                <c:pt idx="9">
                  <c:v>1.4900400000000001E-2</c:v>
                </c:pt>
                <c:pt idx="10">
                  <c:v>1.504E-2</c:v>
                </c:pt>
                <c:pt idx="11">
                  <c:v>1.51796E-2</c:v>
                </c:pt>
                <c:pt idx="12">
                  <c:v>1.5317400000000002E-2</c:v>
                </c:pt>
                <c:pt idx="13">
                  <c:v>1.5457E-2</c:v>
                </c:pt>
                <c:pt idx="14">
                  <c:v>1.55966E-2</c:v>
                </c:pt>
                <c:pt idx="15">
                  <c:v>1.57342E-2</c:v>
                </c:pt>
                <c:pt idx="16">
                  <c:v>1.58738E-2</c:v>
                </c:pt>
                <c:pt idx="17">
                  <c:v>1.6011600000000001E-2</c:v>
                </c:pt>
                <c:pt idx="18">
                  <c:v>1.6149199999999999E-2</c:v>
                </c:pt>
                <c:pt idx="19">
                  <c:v>1.6290800000000001E-2</c:v>
                </c:pt>
                <c:pt idx="20">
                  <c:v>1.6428399999999999E-2</c:v>
                </c:pt>
                <c:pt idx="21">
                  <c:v>1.65662E-2</c:v>
                </c:pt>
                <c:pt idx="22">
                  <c:v>1.67076E-2</c:v>
                </c:pt>
                <c:pt idx="23">
                  <c:v>1.68454E-2</c:v>
                </c:pt>
                <c:pt idx="24">
                  <c:v>1.6982999999999998E-2</c:v>
                </c:pt>
                <c:pt idx="25">
                  <c:v>1.71246E-2</c:v>
                </c:pt>
                <c:pt idx="26">
                  <c:v>1.7262200000000002E-2</c:v>
                </c:pt>
                <c:pt idx="27">
                  <c:v>1.7399999999999999E-2</c:v>
                </c:pt>
                <c:pt idx="28">
                  <c:v>1.7539599999999999E-2</c:v>
                </c:pt>
                <c:pt idx="29">
                  <c:v>1.7677200000000001E-2</c:v>
                </c:pt>
                <c:pt idx="30">
                  <c:v>1.7816800000000001E-2</c:v>
                </c:pt>
                <c:pt idx="31">
                  <c:v>1.7956399999999997E-2</c:v>
                </c:pt>
                <c:pt idx="32">
                  <c:v>1.8096000000000001E-2</c:v>
                </c:pt>
                <c:pt idx="33">
                  <c:v>1.8235600000000001E-2</c:v>
                </c:pt>
                <c:pt idx="34">
                  <c:v>1.84012E-2</c:v>
                </c:pt>
                <c:pt idx="35">
                  <c:v>1.85688E-2</c:v>
                </c:pt>
                <c:pt idx="36">
                  <c:v>1.8734399999999998E-2</c:v>
                </c:pt>
                <c:pt idx="37">
                  <c:v>1.8902000000000002E-2</c:v>
                </c:pt>
                <c:pt idx="38">
                  <c:v>1.9067600000000001E-2</c:v>
                </c:pt>
                <c:pt idx="39">
                  <c:v>1.9233199999999999E-2</c:v>
                </c:pt>
                <c:pt idx="40">
                  <c:v>1.9400799999999999E-2</c:v>
                </c:pt>
                <c:pt idx="41">
                  <c:v>1.9566399999999998E-2</c:v>
                </c:pt>
                <c:pt idx="42">
                  <c:v>1.9733799999999999E-2</c:v>
                </c:pt>
                <c:pt idx="43">
                  <c:v>1.99014E-2</c:v>
                </c:pt>
                <c:pt idx="44">
                  <c:v>2.0068000000000003E-2</c:v>
                </c:pt>
                <c:pt idx="45">
                  <c:v>2.0234000000000002E-2</c:v>
                </c:pt>
                <c:pt idx="46">
                  <c:v>2.0400000000000001E-2</c:v>
                </c:pt>
                <c:pt idx="47">
                  <c:v>2.0567999999999999E-2</c:v>
                </c:pt>
                <c:pt idx="48">
                  <c:v>2.0735999999999997E-2</c:v>
                </c:pt>
                <c:pt idx="49">
                  <c:v>2.0899999999999998E-2</c:v>
                </c:pt>
                <c:pt idx="50">
                  <c:v>2.1067999999999996E-2</c:v>
                </c:pt>
                <c:pt idx="51">
                  <c:v>2.1234000000000003E-2</c:v>
                </c:pt>
                <c:pt idx="52">
                  <c:v>2.1400000000000002E-2</c:v>
                </c:pt>
                <c:pt idx="53">
                  <c:v>2.1568E-2</c:v>
                </c:pt>
                <c:pt idx="54">
                  <c:v>2.1762E-2</c:v>
                </c:pt>
                <c:pt idx="55">
                  <c:v>2.1956000000000003E-2</c:v>
                </c:pt>
                <c:pt idx="56">
                  <c:v>2.2151999999999998E-2</c:v>
                </c:pt>
                <c:pt idx="57">
                  <c:v>2.2343999999999999E-2</c:v>
                </c:pt>
                <c:pt idx="58">
                  <c:v>2.2537999999999999E-2</c:v>
                </c:pt>
                <c:pt idx="59">
                  <c:v>2.2735999999999999E-2</c:v>
                </c:pt>
                <c:pt idx="60">
                  <c:v>2.2930000000000002E-2</c:v>
                </c:pt>
                <c:pt idx="61">
                  <c:v>2.3123999999999999E-2</c:v>
                </c:pt>
                <c:pt idx="62">
                  <c:v>2.3317999999999998E-2</c:v>
                </c:pt>
                <c:pt idx="63">
                  <c:v>2.3511999999999998E-2</c:v>
                </c:pt>
                <c:pt idx="64">
                  <c:v>2.3706000000000001E-2</c:v>
                </c:pt>
                <c:pt idx="65">
                  <c:v>2.3900000000000001E-2</c:v>
                </c:pt>
                <c:pt idx="66">
                  <c:v>2.4094000000000001E-2</c:v>
                </c:pt>
                <c:pt idx="67">
                  <c:v>2.4289999999999999E-2</c:v>
                </c:pt>
                <c:pt idx="68">
                  <c:v>2.4485999999999997E-2</c:v>
                </c:pt>
                <c:pt idx="69">
                  <c:v>2.4677999999999999E-2</c:v>
                </c:pt>
                <c:pt idx="70">
                  <c:v>2.4872000000000002E-2</c:v>
                </c:pt>
                <c:pt idx="71">
                  <c:v>2.5068E-2</c:v>
                </c:pt>
                <c:pt idx="72">
                  <c:v>2.529E-2</c:v>
                </c:pt>
                <c:pt idx="73">
                  <c:v>2.5512E-2</c:v>
                </c:pt>
                <c:pt idx="74">
                  <c:v>2.5734E-2</c:v>
                </c:pt>
                <c:pt idx="75">
                  <c:v>2.5956E-2</c:v>
                </c:pt>
                <c:pt idx="76">
                  <c:v>2.6179999999999998E-2</c:v>
                </c:pt>
                <c:pt idx="77">
                  <c:v>2.64E-2</c:v>
                </c:pt>
                <c:pt idx="78">
                  <c:v>2.6623999999999998E-2</c:v>
                </c:pt>
                <c:pt idx="79">
                  <c:v>2.6846000000000002E-2</c:v>
                </c:pt>
                <c:pt idx="80">
                  <c:v>2.7067999999999998E-2</c:v>
                </c:pt>
                <c:pt idx="81">
                  <c:v>2.7290000000000002E-2</c:v>
                </c:pt>
                <c:pt idx="82">
                  <c:v>2.7511999999999998E-2</c:v>
                </c:pt>
                <c:pt idx="83">
                  <c:v>2.7734000000000002E-2</c:v>
                </c:pt>
                <c:pt idx="84">
                  <c:v>2.7955999999999998E-2</c:v>
                </c:pt>
                <c:pt idx="85">
                  <c:v>2.818E-2</c:v>
                </c:pt>
                <c:pt idx="86">
                  <c:v>2.8401999999999997E-2</c:v>
                </c:pt>
                <c:pt idx="87">
                  <c:v>2.8622000000000002E-2</c:v>
                </c:pt>
                <c:pt idx="88">
                  <c:v>2.8871999999999998E-2</c:v>
                </c:pt>
                <c:pt idx="89">
                  <c:v>2.9123999999999997E-2</c:v>
                </c:pt>
                <c:pt idx="90">
                  <c:v>2.9371999999999999E-2</c:v>
                </c:pt>
                <c:pt idx="91">
                  <c:v>2.9624000000000001E-2</c:v>
                </c:pt>
                <c:pt idx="92">
                  <c:v>2.9874000000000001E-2</c:v>
                </c:pt>
                <c:pt idx="93">
                  <c:v>3.0121999999999999E-2</c:v>
                </c:pt>
                <c:pt idx="94">
                  <c:v>3.0373999999999998E-2</c:v>
                </c:pt>
                <c:pt idx="95">
                  <c:v>3.0621999999999996E-2</c:v>
                </c:pt>
                <c:pt idx="96">
                  <c:v>3.0872E-2</c:v>
                </c:pt>
                <c:pt idx="97">
                  <c:v>3.1122E-2</c:v>
                </c:pt>
                <c:pt idx="98">
                  <c:v>3.1373999999999999E-2</c:v>
                </c:pt>
                <c:pt idx="99">
                  <c:v>3.1621999999999997E-2</c:v>
                </c:pt>
                <c:pt idx="100">
                  <c:v>3.1871999999999998E-2</c:v>
                </c:pt>
                <c:pt idx="101">
                  <c:v>3.2124E-2</c:v>
                </c:pt>
                <c:pt idx="102">
                  <c:v>3.2374E-2</c:v>
                </c:pt>
                <c:pt idx="103">
                  <c:v>3.2652E-2</c:v>
                </c:pt>
                <c:pt idx="104">
                  <c:v>3.2930000000000001E-2</c:v>
                </c:pt>
                <c:pt idx="105">
                  <c:v>3.3203999999999997E-2</c:v>
                </c:pt>
                <c:pt idx="106">
                  <c:v>3.3484E-2</c:v>
                </c:pt>
                <c:pt idx="107">
                  <c:v>3.3763999999999995E-2</c:v>
                </c:pt>
                <c:pt idx="108">
                  <c:v>3.4037999999999999E-2</c:v>
                </c:pt>
                <c:pt idx="109">
                  <c:v>3.4318000000000001E-2</c:v>
                </c:pt>
                <c:pt idx="110">
                  <c:v>3.4596000000000002E-2</c:v>
                </c:pt>
                <c:pt idx="111">
                  <c:v>3.4872E-2</c:v>
                </c:pt>
                <c:pt idx="112">
                  <c:v>3.5152000000000003E-2</c:v>
                </c:pt>
                <c:pt idx="113">
                  <c:v>3.5430000000000003E-2</c:v>
                </c:pt>
                <c:pt idx="114">
                  <c:v>3.5706000000000002E-2</c:v>
                </c:pt>
                <c:pt idx="115">
                  <c:v>3.5983999999999995E-2</c:v>
                </c:pt>
                <c:pt idx="116">
                  <c:v>3.6288000000000001E-2</c:v>
                </c:pt>
                <c:pt idx="117">
                  <c:v>3.6596000000000004E-2</c:v>
                </c:pt>
                <c:pt idx="118">
                  <c:v>3.6901999999999997E-2</c:v>
                </c:pt>
                <c:pt idx="119">
                  <c:v>3.7206000000000003E-2</c:v>
                </c:pt>
                <c:pt idx="120">
                  <c:v>3.7511999999999997E-2</c:v>
                </c:pt>
                <c:pt idx="121">
                  <c:v>3.7817999999999997E-2</c:v>
                </c:pt>
                <c:pt idx="122">
                  <c:v>3.8123999999999998E-2</c:v>
                </c:pt>
                <c:pt idx="123">
                  <c:v>3.8401999999999999E-2</c:v>
                </c:pt>
                <c:pt idx="124">
                  <c:v>3.8705999999999997E-2</c:v>
                </c:pt>
                <c:pt idx="125">
                  <c:v>3.9011999999999998E-2</c:v>
                </c:pt>
                <c:pt idx="126">
                  <c:v>3.9317999999999999E-2</c:v>
                </c:pt>
                <c:pt idx="127">
                  <c:v>3.9539999999999999E-2</c:v>
                </c:pt>
                <c:pt idx="128">
                  <c:v>3.9845999999999999E-2</c:v>
                </c:pt>
                <c:pt idx="129">
                  <c:v>4.0149999999999998E-2</c:v>
                </c:pt>
                <c:pt idx="130">
                  <c:v>4.0483999999999999E-2</c:v>
                </c:pt>
                <c:pt idx="131">
                  <c:v>4.0763999999999995E-2</c:v>
                </c:pt>
                <c:pt idx="132">
                  <c:v>4.1066000000000005E-2</c:v>
                </c:pt>
                <c:pt idx="133">
                  <c:v>4.1346000000000001E-2</c:v>
                </c:pt>
                <c:pt idx="134">
                  <c:v>4.1622000000000006E-2</c:v>
                </c:pt>
                <c:pt idx="135">
                  <c:v>4.1897999999999998E-2</c:v>
                </c:pt>
                <c:pt idx="136">
                  <c:v>4.2206E-2</c:v>
                </c:pt>
                <c:pt idx="137">
                  <c:v>4.2510000000000006E-2</c:v>
                </c:pt>
                <c:pt idx="138">
                  <c:v>4.2816E-2</c:v>
                </c:pt>
                <c:pt idx="139">
                  <c:v>4.3095999999999995E-2</c:v>
                </c:pt>
                <c:pt idx="140">
                  <c:v>4.3373999999999996E-2</c:v>
                </c:pt>
                <c:pt idx="141">
                  <c:v>4.3680000000000004E-2</c:v>
                </c:pt>
                <c:pt idx="142">
                  <c:v>4.3956000000000002E-2</c:v>
                </c:pt>
                <c:pt idx="143">
                  <c:v>4.4261999999999996E-2</c:v>
                </c:pt>
                <c:pt idx="144">
                  <c:v>4.4568000000000003E-2</c:v>
                </c:pt>
                <c:pt idx="145">
                  <c:v>4.4871999999999995E-2</c:v>
                </c:pt>
                <c:pt idx="146">
                  <c:v>4.5151999999999998E-2</c:v>
                </c:pt>
                <c:pt idx="147">
                  <c:v>4.5429999999999998E-2</c:v>
                </c:pt>
                <c:pt idx="148">
                  <c:v>4.5734000000000004E-2</c:v>
                </c:pt>
                <c:pt idx="149">
                  <c:v>4.6012000000000004E-2</c:v>
                </c:pt>
                <c:pt idx="150">
                  <c:v>4.6260000000000003E-2</c:v>
                </c:pt>
                <c:pt idx="151">
                  <c:v>4.6567999999999998E-2</c:v>
                </c:pt>
                <c:pt idx="152">
                  <c:v>4.6817999999999999E-2</c:v>
                </c:pt>
                <c:pt idx="153">
                  <c:v>4.7065999999999997E-2</c:v>
                </c:pt>
                <c:pt idx="154">
                  <c:v>4.7317999999999999E-2</c:v>
                </c:pt>
                <c:pt idx="155">
                  <c:v>4.7567999999999999E-2</c:v>
                </c:pt>
                <c:pt idx="156">
                  <c:v>4.7789999999999999E-2</c:v>
                </c:pt>
                <c:pt idx="157">
                  <c:v>4.8011999999999999E-2</c:v>
                </c:pt>
                <c:pt idx="158">
                  <c:v>4.8263999999999994E-2</c:v>
                </c:pt>
                <c:pt idx="159">
                  <c:v>4.8512000000000007E-2</c:v>
                </c:pt>
                <c:pt idx="160">
                  <c:v>4.8734E-2</c:v>
                </c:pt>
                <c:pt idx="161">
                  <c:v>4.8986000000000002E-2</c:v>
                </c:pt>
                <c:pt idx="162">
                  <c:v>4.9208000000000002E-2</c:v>
                </c:pt>
                <c:pt idx="163">
                  <c:v>4.9456E-2</c:v>
                </c:pt>
                <c:pt idx="164">
                  <c:v>4.9680000000000002E-2</c:v>
                </c:pt>
                <c:pt idx="165">
                  <c:v>4.9901999999999995E-2</c:v>
                </c:pt>
                <c:pt idx="166">
                  <c:v>5.0122E-2</c:v>
                </c:pt>
                <c:pt idx="167">
                  <c:v>5.0372E-2</c:v>
                </c:pt>
                <c:pt idx="168">
                  <c:v>5.0595999999999995E-2</c:v>
                </c:pt>
                <c:pt idx="169">
                  <c:v>5.0818000000000002E-2</c:v>
                </c:pt>
                <c:pt idx="170">
                  <c:v>5.1040000000000002E-2</c:v>
                </c:pt>
                <c:pt idx="171">
                  <c:v>5.1262000000000002E-2</c:v>
                </c:pt>
                <c:pt idx="172">
                  <c:v>5.1458000000000004E-2</c:v>
                </c:pt>
                <c:pt idx="173">
                  <c:v>5.1680000000000004E-2</c:v>
                </c:pt>
                <c:pt idx="174">
                  <c:v>5.1874000000000003E-2</c:v>
                </c:pt>
                <c:pt idx="175">
                  <c:v>5.2096000000000003E-2</c:v>
                </c:pt>
                <c:pt idx="176">
                  <c:v>5.2317999999999996E-2</c:v>
                </c:pt>
                <c:pt idx="177">
                  <c:v>5.2538000000000001E-2</c:v>
                </c:pt>
                <c:pt idx="178">
                  <c:v>5.2760000000000001E-2</c:v>
                </c:pt>
                <c:pt idx="179">
                  <c:v>5.2956000000000003E-2</c:v>
                </c:pt>
                <c:pt idx="180">
                  <c:v>5.3178000000000003E-2</c:v>
                </c:pt>
                <c:pt idx="181">
                  <c:v>5.3372000000000003E-2</c:v>
                </c:pt>
                <c:pt idx="182">
                  <c:v>5.3596000000000005E-2</c:v>
                </c:pt>
                <c:pt idx="183">
                  <c:v>5.3789999999999998E-2</c:v>
                </c:pt>
                <c:pt idx="184">
                  <c:v>5.4009999999999996E-2</c:v>
                </c:pt>
                <c:pt idx="185">
                  <c:v>5.4233999999999997E-2</c:v>
                </c:pt>
                <c:pt idx="186">
                  <c:v>5.4429999999999999E-2</c:v>
                </c:pt>
                <c:pt idx="187">
                  <c:v>5.4652000000000006E-2</c:v>
                </c:pt>
                <c:pt idx="188">
                  <c:v>5.4846000000000006E-2</c:v>
                </c:pt>
                <c:pt idx="189">
                  <c:v>5.5038000000000004E-2</c:v>
                </c:pt>
                <c:pt idx="190">
                  <c:v>5.5264000000000001E-2</c:v>
                </c:pt>
                <c:pt idx="191">
                  <c:v>5.5456000000000005E-2</c:v>
                </c:pt>
                <c:pt idx="192">
                  <c:v>5.5652E-2</c:v>
                </c:pt>
                <c:pt idx="193">
                  <c:v>5.5872000000000005E-2</c:v>
                </c:pt>
                <c:pt idx="194">
                  <c:v>5.6068E-2</c:v>
                </c:pt>
                <c:pt idx="195">
                  <c:v>5.6262E-2</c:v>
                </c:pt>
                <c:pt idx="196">
                  <c:v>5.6455999999999999E-2</c:v>
                </c:pt>
                <c:pt idx="197">
                  <c:v>5.6622000000000006E-2</c:v>
                </c:pt>
                <c:pt idx="198">
                  <c:v>5.6787999999999998E-2</c:v>
                </c:pt>
                <c:pt idx="199">
                  <c:v>5.6984000000000007E-2</c:v>
                </c:pt>
                <c:pt idx="200">
                  <c:v>5.7152000000000001E-2</c:v>
                </c:pt>
                <c:pt idx="201">
                  <c:v>5.7318000000000001E-2</c:v>
                </c:pt>
                <c:pt idx="202">
                  <c:v>5.7484E-2</c:v>
                </c:pt>
                <c:pt idx="203">
                  <c:v>5.7652000000000002E-2</c:v>
                </c:pt>
                <c:pt idx="204">
                  <c:v>5.7815999999999999E-2</c:v>
                </c:pt>
                <c:pt idx="205">
                  <c:v>5.7984000000000001E-2</c:v>
                </c:pt>
                <c:pt idx="206">
                  <c:v>5.8152000000000002E-2</c:v>
                </c:pt>
                <c:pt idx="207">
                  <c:v>5.8292000000000004E-2</c:v>
                </c:pt>
                <c:pt idx="208">
                  <c:v>5.8456000000000001E-2</c:v>
                </c:pt>
                <c:pt idx="209">
                  <c:v>5.8621999999999994E-2</c:v>
                </c:pt>
                <c:pt idx="210">
                  <c:v>5.8789999999999995E-2</c:v>
                </c:pt>
                <c:pt idx="211">
                  <c:v>5.8956000000000001E-2</c:v>
                </c:pt>
                <c:pt idx="212">
                  <c:v>5.9096000000000003E-2</c:v>
                </c:pt>
                <c:pt idx="213">
                  <c:v>5.9261999999999995E-2</c:v>
                </c:pt>
                <c:pt idx="214">
                  <c:v>5.9400000000000001E-2</c:v>
                </c:pt>
                <c:pt idx="215">
                  <c:v>5.9566000000000001E-2</c:v>
                </c:pt>
                <c:pt idx="216">
                  <c:v>5.9706000000000002E-2</c:v>
                </c:pt>
                <c:pt idx="217">
                  <c:v>5.9846000000000003E-2</c:v>
                </c:pt>
                <c:pt idx="218">
                  <c:v>6.0014000000000005E-2</c:v>
                </c:pt>
                <c:pt idx="219">
                  <c:v>6.0124000000000004E-2</c:v>
                </c:pt>
                <c:pt idx="220">
                  <c:v>6.0262000000000003E-2</c:v>
                </c:pt>
                <c:pt idx="221">
                  <c:v>6.0400000000000002E-2</c:v>
                </c:pt>
                <c:pt idx="222">
                  <c:v>6.0540000000000004E-2</c:v>
                </c:pt>
                <c:pt idx="223">
                  <c:v>6.0679999999999998E-2</c:v>
                </c:pt>
                <c:pt idx="224">
                  <c:v>6.0818000000000004E-2</c:v>
                </c:pt>
                <c:pt idx="225">
                  <c:v>6.0956000000000003E-2</c:v>
                </c:pt>
                <c:pt idx="226">
                  <c:v>6.1096000000000004E-2</c:v>
                </c:pt>
                <c:pt idx="227">
                  <c:v>6.1234000000000004E-2</c:v>
                </c:pt>
                <c:pt idx="228">
                  <c:v>6.1374000000000005E-2</c:v>
                </c:pt>
                <c:pt idx="229">
                  <c:v>6.1513999999999999E-2</c:v>
                </c:pt>
                <c:pt idx="230">
                  <c:v>6.1650000000000003E-2</c:v>
                </c:pt>
                <c:pt idx="231">
                  <c:v>6.1761999999999997E-2</c:v>
                </c:pt>
                <c:pt idx="232">
                  <c:v>6.1901999999999999E-2</c:v>
                </c:pt>
                <c:pt idx="233">
                  <c:v>6.2011999999999998E-2</c:v>
                </c:pt>
                <c:pt idx="234">
                  <c:v>6.2149999999999997E-2</c:v>
                </c:pt>
                <c:pt idx="235">
                  <c:v>6.2262000000000005E-2</c:v>
                </c:pt>
                <c:pt idx="236">
                  <c:v>6.2371999999999997E-2</c:v>
                </c:pt>
                <c:pt idx="237">
                  <c:v>6.2481999999999996E-2</c:v>
                </c:pt>
                <c:pt idx="238">
                  <c:v>6.2623999999999999E-2</c:v>
                </c:pt>
                <c:pt idx="239">
                  <c:v>6.2736E-2</c:v>
                </c:pt>
                <c:pt idx="240">
                  <c:v>6.2845999999999999E-2</c:v>
                </c:pt>
                <c:pt idx="241">
                  <c:v>6.2958E-2</c:v>
                </c:pt>
                <c:pt idx="242">
                  <c:v>6.3070000000000001E-2</c:v>
                </c:pt>
                <c:pt idx="243">
                  <c:v>6.3177999999999998E-2</c:v>
                </c:pt>
                <c:pt idx="244">
                  <c:v>6.3315999999999997E-2</c:v>
                </c:pt>
                <c:pt idx="245">
                  <c:v>6.3427999999999998E-2</c:v>
                </c:pt>
                <c:pt idx="246">
                  <c:v>6.3539999999999999E-2</c:v>
                </c:pt>
                <c:pt idx="247">
                  <c:v>6.3624E-2</c:v>
                </c:pt>
                <c:pt idx="248">
                  <c:v>6.3736000000000001E-2</c:v>
                </c:pt>
                <c:pt idx="249">
                  <c:v>6.3846E-2</c:v>
                </c:pt>
                <c:pt idx="250">
                  <c:v>6.3955999999999999E-2</c:v>
                </c:pt>
                <c:pt idx="251">
                  <c:v>6.4065999999999998E-2</c:v>
                </c:pt>
                <c:pt idx="252">
                  <c:v>6.4177999999999999E-2</c:v>
                </c:pt>
                <c:pt idx="253">
                  <c:v>6.429E-2</c:v>
                </c:pt>
                <c:pt idx="254">
                  <c:v>6.4402000000000001E-2</c:v>
                </c:pt>
                <c:pt idx="255">
                  <c:v>6.4512E-2</c:v>
                </c:pt>
                <c:pt idx="256">
                  <c:v>6.4624000000000001E-2</c:v>
                </c:pt>
                <c:pt idx="257">
                  <c:v>6.4706E-2</c:v>
                </c:pt>
                <c:pt idx="258">
                  <c:v>6.4818000000000001E-2</c:v>
                </c:pt>
                <c:pt idx="259">
                  <c:v>6.4899999999999999E-2</c:v>
                </c:pt>
                <c:pt idx="260">
                  <c:v>6.5012E-2</c:v>
                </c:pt>
                <c:pt idx="261">
                  <c:v>6.5096000000000001E-2</c:v>
                </c:pt>
                <c:pt idx="262">
                  <c:v>6.5208000000000002E-2</c:v>
                </c:pt>
                <c:pt idx="263">
                  <c:v>6.5318000000000001E-2</c:v>
                </c:pt>
                <c:pt idx="264">
                  <c:v>6.5402000000000002E-2</c:v>
                </c:pt>
                <c:pt idx="265">
                  <c:v>6.5512000000000001E-2</c:v>
                </c:pt>
                <c:pt idx="266">
                  <c:v>6.5594E-2</c:v>
                </c:pt>
                <c:pt idx="267">
                  <c:v>6.5706000000000001E-2</c:v>
                </c:pt>
                <c:pt idx="268">
                  <c:v>6.5787999999999999E-2</c:v>
                </c:pt>
                <c:pt idx="269">
                  <c:v>6.5872E-2</c:v>
                </c:pt>
                <c:pt idx="270">
                  <c:v>6.5984000000000001E-2</c:v>
                </c:pt>
                <c:pt idx="271">
                  <c:v>6.6094E-2</c:v>
                </c:pt>
                <c:pt idx="272">
                  <c:v>6.6178000000000001E-2</c:v>
                </c:pt>
                <c:pt idx="273">
                  <c:v>6.6262000000000001E-2</c:v>
                </c:pt>
                <c:pt idx="274">
                  <c:v>6.6346000000000002E-2</c:v>
                </c:pt>
                <c:pt idx="275">
                  <c:v>6.6458000000000003E-2</c:v>
                </c:pt>
                <c:pt idx="276">
                  <c:v>6.6568000000000002E-2</c:v>
                </c:pt>
                <c:pt idx="277">
                  <c:v>6.6651999999999989E-2</c:v>
                </c:pt>
                <c:pt idx="278">
                  <c:v>6.6734000000000002E-2</c:v>
                </c:pt>
                <c:pt idx="279">
                  <c:v>6.6874000000000003E-2</c:v>
                </c:pt>
                <c:pt idx="280">
                  <c:v>6.7012000000000002E-2</c:v>
                </c:pt>
                <c:pt idx="281">
                  <c:v>6.7150000000000001E-2</c:v>
                </c:pt>
                <c:pt idx="282">
                  <c:v>6.7290000000000003E-2</c:v>
                </c:pt>
                <c:pt idx="283">
                  <c:v>6.7402000000000004E-2</c:v>
                </c:pt>
                <c:pt idx="284">
                  <c:v>6.7539999999999989E-2</c:v>
                </c:pt>
                <c:pt idx="285">
                  <c:v>6.7680000000000004E-2</c:v>
                </c:pt>
                <c:pt idx="286">
                  <c:v>6.7816000000000001E-2</c:v>
                </c:pt>
                <c:pt idx="287">
                  <c:v>6.7928000000000002E-2</c:v>
                </c:pt>
                <c:pt idx="288">
                  <c:v>6.8066000000000002E-2</c:v>
                </c:pt>
                <c:pt idx="289">
                  <c:v>6.8208000000000005E-2</c:v>
                </c:pt>
                <c:pt idx="290">
                  <c:v>6.8319999999999992E-2</c:v>
                </c:pt>
                <c:pt idx="291">
                  <c:v>6.8430000000000005E-2</c:v>
                </c:pt>
                <c:pt idx="292">
                  <c:v>6.8566000000000002E-2</c:v>
                </c:pt>
                <c:pt idx="293">
                  <c:v>6.8678000000000003E-2</c:v>
                </c:pt>
                <c:pt idx="294">
                  <c:v>6.878999999999999E-2</c:v>
                </c:pt>
                <c:pt idx="295">
                  <c:v>6.8929999999999991E-2</c:v>
                </c:pt>
                <c:pt idx="296">
                  <c:v>6.9067999999999991E-2</c:v>
                </c:pt>
                <c:pt idx="297">
                  <c:v>6.9178000000000003E-2</c:v>
                </c:pt>
                <c:pt idx="298">
                  <c:v>6.9318000000000005E-2</c:v>
                </c:pt>
                <c:pt idx="299">
                  <c:v>6.9428000000000004E-2</c:v>
                </c:pt>
                <c:pt idx="300">
                  <c:v>6.9539999999999991E-2</c:v>
                </c:pt>
                <c:pt idx="301">
                  <c:v>6.9650000000000004E-2</c:v>
                </c:pt>
                <c:pt idx="302">
                  <c:v>6.9762000000000005E-2</c:v>
                </c:pt>
                <c:pt idx="303">
                  <c:v>6.9874000000000006E-2</c:v>
                </c:pt>
                <c:pt idx="304">
                  <c:v>6.9985999999999993E-2</c:v>
                </c:pt>
                <c:pt idx="305">
                  <c:v>7.0095999999999992E-2</c:v>
                </c:pt>
                <c:pt idx="306">
                  <c:v>7.0206000000000005E-2</c:v>
                </c:pt>
                <c:pt idx="307">
                  <c:v>7.0316000000000004E-2</c:v>
                </c:pt>
                <c:pt idx="308">
                  <c:v>7.0427999999999991E-2</c:v>
                </c:pt>
                <c:pt idx="309">
                  <c:v>7.0540000000000005E-2</c:v>
                </c:pt>
                <c:pt idx="310">
                  <c:v>7.0651999999999993E-2</c:v>
                </c:pt>
                <c:pt idx="311">
                  <c:v>7.0762000000000005E-2</c:v>
                </c:pt>
                <c:pt idx="312">
                  <c:v>7.0872000000000004E-2</c:v>
                </c:pt>
                <c:pt idx="313">
                  <c:v>7.0983999999999992E-2</c:v>
                </c:pt>
                <c:pt idx="314">
                  <c:v>7.1096000000000006E-2</c:v>
                </c:pt>
                <c:pt idx="315">
                  <c:v>7.1207999999999994E-2</c:v>
                </c:pt>
                <c:pt idx="316">
                  <c:v>7.1318000000000006E-2</c:v>
                </c:pt>
                <c:pt idx="317">
                  <c:v>7.1429999999999993E-2</c:v>
                </c:pt>
                <c:pt idx="318">
                  <c:v>7.1539999999999992E-2</c:v>
                </c:pt>
                <c:pt idx="319">
                  <c:v>7.1650000000000005E-2</c:v>
                </c:pt>
                <c:pt idx="320">
                  <c:v>7.1788000000000005E-2</c:v>
                </c:pt>
                <c:pt idx="321">
                  <c:v>7.1929999999999994E-2</c:v>
                </c:pt>
                <c:pt idx="322">
                  <c:v>7.2068000000000007E-2</c:v>
                </c:pt>
                <c:pt idx="323">
                  <c:v>7.2207999999999994E-2</c:v>
                </c:pt>
                <c:pt idx="324">
                  <c:v>7.2346000000000008E-2</c:v>
                </c:pt>
                <c:pt idx="325">
                  <c:v>7.2481999999999991E-2</c:v>
                </c:pt>
                <c:pt idx="326">
                  <c:v>7.2622000000000006E-2</c:v>
                </c:pt>
                <c:pt idx="327">
                  <c:v>7.2762000000000007E-2</c:v>
                </c:pt>
                <c:pt idx="328">
                  <c:v>7.2900000000000006E-2</c:v>
                </c:pt>
                <c:pt idx="329">
                  <c:v>7.3040000000000008E-2</c:v>
                </c:pt>
                <c:pt idx="330">
                  <c:v>7.3178000000000007E-2</c:v>
                </c:pt>
                <c:pt idx="331">
                  <c:v>7.3315999999999992E-2</c:v>
                </c:pt>
                <c:pt idx="332">
                  <c:v>7.3456000000000007E-2</c:v>
                </c:pt>
                <c:pt idx="333">
                  <c:v>7.3567999999999995E-2</c:v>
                </c:pt>
                <c:pt idx="334">
                  <c:v>7.3707999999999996E-2</c:v>
                </c:pt>
                <c:pt idx="335">
                  <c:v>7.3817999999999995E-2</c:v>
                </c:pt>
                <c:pt idx="336">
                  <c:v>7.3955999999999994E-2</c:v>
                </c:pt>
                <c:pt idx="337">
                  <c:v>7.4067999999999995E-2</c:v>
                </c:pt>
                <c:pt idx="338">
                  <c:v>7.4177999999999994E-2</c:v>
                </c:pt>
                <c:pt idx="339">
                  <c:v>7.4290000000000009E-2</c:v>
                </c:pt>
                <c:pt idx="340">
                  <c:v>7.4429999999999996E-2</c:v>
                </c:pt>
                <c:pt idx="341">
                  <c:v>7.4539999999999995E-2</c:v>
                </c:pt>
                <c:pt idx="342">
                  <c:v>7.4651999999999996E-2</c:v>
                </c:pt>
                <c:pt idx="343">
                  <c:v>7.4759999999999993E-2</c:v>
                </c:pt>
                <c:pt idx="344">
                  <c:v>7.4871999999999994E-2</c:v>
                </c:pt>
                <c:pt idx="345">
                  <c:v>7.5011999999999995E-2</c:v>
                </c:pt>
                <c:pt idx="346">
                  <c:v>7.512400000000001E-2</c:v>
                </c:pt>
                <c:pt idx="347">
                  <c:v>7.5233999999999995E-2</c:v>
                </c:pt>
                <c:pt idx="348">
                  <c:v>7.5345999999999996E-2</c:v>
                </c:pt>
                <c:pt idx="349">
                  <c:v>7.5457999999999997E-2</c:v>
                </c:pt>
                <c:pt idx="350">
                  <c:v>7.5593999999999995E-2</c:v>
                </c:pt>
                <c:pt idx="351">
                  <c:v>7.573400000000001E-2</c:v>
                </c:pt>
                <c:pt idx="352">
                  <c:v>7.5873999999999997E-2</c:v>
                </c:pt>
                <c:pt idx="353">
                  <c:v>7.6009999999999994E-2</c:v>
                </c:pt>
                <c:pt idx="354">
                  <c:v>7.6151999999999997E-2</c:v>
                </c:pt>
                <c:pt idx="355">
                  <c:v>7.6289999999999997E-2</c:v>
                </c:pt>
                <c:pt idx="356">
                  <c:v>7.6427999999999996E-2</c:v>
                </c:pt>
                <c:pt idx="357">
                  <c:v>7.6567999999999997E-2</c:v>
                </c:pt>
                <c:pt idx="358">
                  <c:v>7.6707999999999998E-2</c:v>
                </c:pt>
                <c:pt idx="359">
                  <c:v>7.6845999999999998E-2</c:v>
                </c:pt>
                <c:pt idx="360">
                  <c:v>7.6985999999999999E-2</c:v>
                </c:pt>
                <c:pt idx="361">
                  <c:v>7.7121999999999996E-2</c:v>
                </c:pt>
                <c:pt idx="362">
                  <c:v>7.7259999999999995E-2</c:v>
                </c:pt>
                <c:pt idx="363">
                  <c:v>7.7399999999999997E-2</c:v>
                </c:pt>
                <c:pt idx="364">
                  <c:v>7.7539999999999998E-2</c:v>
                </c:pt>
                <c:pt idx="365">
                  <c:v>7.7679999999999999E-2</c:v>
                </c:pt>
                <c:pt idx="366">
                  <c:v>7.7817999999999998E-2</c:v>
                </c:pt>
                <c:pt idx="367">
                  <c:v>7.7955999999999998E-2</c:v>
                </c:pt>
                <c:pt idx="368">
                  <c:v>7.8095999999999999E-2</c:v>
                </c:pt>
                <c:pt idx="369">
                  <c:v>7.8236E-2</c:v>
                </c:pt>
                <c:pt idx="370">
                  <c:v>7.8373999999999999E-2</c:v>
                </c:pt>
                <c:pt idx="371">
                  <c:v>7.8511999999999998E-2</c:v>
                </c:pt>
                <c:pt idx="372">
                  <c:v>7.8652E-2</c:v>
                </c:pt>
                <c:pt idx="373">
                  <c:v>7.8787999999999997E-2</c:v>
                </c:pt>
                <c:pt idx="374">
                  <c:v>7.8955999999999998E-2</c:v>
                </c:pt>
                <c:pt idx="375">
                  <c:v>7.9093999999999998E-2</c:v>
                </c:pt>
                <c:pt idx="376">
                  <c:v>7.9261999999999999E-2</c:v>
                </c:pt>
                <c:pt idx="377">
                  <c:v>7.9399999999999998E-2</c:v>
                </c:pt>
                <c:pt idx="378">
                  <c:v>7.954E-2</c:v>
                </c:pt>
                <c:pt idx="379">
                  <c:v>7.9705999999999999E-2</c:v>
                </c:pt>
                <c:pt idx="380">
                  <c:v>7.9874000000000001E-2</c:v>
                </c:pt>
                <c:pt idx="381">
                  <c:v>8.0012000000000014E-2</c:v>
                </c:pt>
                <c:pt idx="382">
                  <c:v>8.0149999999999999E-2</c:v>
                </c:pt>
                <c:pt idx="383">
                  <c:v>8.029E-2</c:v>
                </c:pt>
                <c:pt idx="384">
                  <c:v>8.0429999999999988E-2</c:v>
                </c:pt>
                <c:pt idx="385">
                  <c:v>8.0568000000000015E-2</c:v>
                </c:pt>
                <c:pt idx="386">
                  <c:v>8.0708000000000002E-2</c:v>
                </c:pt>
                <c:pt idx="387">
                  <c:v>8.0846000000000001E-2</c:v>
                </c:pt>
                <c:pt idx="388">
                  <c:v>8.0981999999999998E-2</c:v>
                </c:pt>
                <c:pt idx="389">
                  <c:v>8.1122E-2</c:v>
                </c:pt>
                <c:pt idx="390">
                  <c:v>8.1262000000000001E-2</c:v>
                </c:pt>
                <c:pt idx="391">
                  <c:v>8.1402000000000002E-2</c:v>
                </c:pt>
                <c:pt idx="392">
                  <c:v>8.1541999999999989E-2</c:v>
                </c:pt>
                <c:pt idx="393">
                  <c:v>8.1678000000000001E-2</c:v>
                </c:pt>
                <c:pt idx="394">
                  <c:v>8.1846000000000002E-2</c:v>
                </c:pt>
                <c:pt idx="395">
                  <c:v>8.2012000000000002E-2</c:v>
                </c:pt>
                <c:pt idx="396">
                  <c:v>8.2180000000000003E-2</c:v>
                </c:pt>
                <c:pt idx="397">
                  <c:v>8.2318000000000002E-2</c:v>
                </c:pt>
                <c:pt idx="398">
                  <c:v>8.2484000000000002E-2</c:v>
                </c:pt>
                <c:pt idx="399">
                  <c:v>8.2622000000000001E-2</c:v>
                </c:pt>
                <c:pt idx="400">
                  <c:v>8.2790000000000002E-2</c:v>
                </c:pt>
                <c:pt idx="401">
                  <c:v>8.2928000000000002E-2</c:v>
                </c:pt>
                <c:pt idx="402">
                  <c:v>8.3096000000000003E-2</c:v>
                </c:pt>
                <c:pt idx="403">
                  <c:v>8.3233999999999989E-2</c:v>
                </c:pt>
                <c:pt idx="404">
                  <c:v>8.3374000000000004E-2</c:v>
                </c:pt>
                <c:pt idx="405">
                  <c:v>8.3512000000000003E-2</c:v>
                </c:pt>
                <c:pt idx="406">
                  <c:v>8.3650000000000002E-2</c:v>
                </c:pt>
                <c:pt idx="407">
                  <c:v>8.3789999999999989E-2</c:v>
                </c:pt>
                <c:pt idx="408">
                  <c:v>8.3930000000000005E-2</c:v>
                </c:pt>
                <c:pt idx="409">
                  <c:v>8.4065999999999988E-2</c:v>
                </c:pt>
                <c:pt idx="410">
                  <c:v>8.4206000000000003E-2</c:v>
                </c:pt>
                <c:pt idx="411">
                  <c:v>8.434599999999999E-2</c:v>
                </c:pt>
                <c:pt idx="412">
                  <c:v>8.4512000000000004E-2</c:v>
                </c:pt>
                <c:pt idx="413">
                  <c:v>8.4680000000000005E-2</c:v>
                </c:pt>
                <c:pt idx="414">
                  <c:v>8.4844000000000003E-2</c:v>
                </c:pt>
                <c:pt idx="415">
                  <c:v>8.5009999999999988E-2</c:v>
                </c:pt>
                <c:pt idx="416">
                  <c:v>8.5180000000000006E-2</c:v>
                </c:pt>
                <c:pt idx="417">
                  <c:v>8.5345999999999991E-2</c:v>
                </c:pt>
                <c:pt idx="418">
                  <c:v>8.5511999999999991E-2</c:v>
                </c:pt>
                <c:pt idx="419">
                  <c:v>8.5679999999999992E-2</c:v>
                </c:pt>
                <c:pt idx="420">
                  <c:v>8.5844000000000004E-2</c:v>
                </c:pt>
                <c:pt idx="421">
                  <c:v>8.6013999999999993E-2</c:v>
                </c:pt>
                <c:pt idx="422">
                  <c:v>8.6180000000000007E-2</c:v>
                </c:pt>
                <c:pt idx="423">
                  <c:v>8.634399999999999E-2</c:v>
                </c:pt>
                <c:pt idx="424">
                  <c:v>8.6511999999999992E-2</c:v>
                </c:pt>
                <c:pt idx="425">
                  <c:v>8.6677999999999991E-2</c:v>
                </c:pt>
                <c:pt idx="426">
                  <c:v>8.6845999999999993E-2</c:v>
                </c:pt>
                <c:pt idx="427">
                  <c:v>8.7040000000000006E-2</c:v>
                </c:pt>
                <c:pt idx="428">
                  <c:v>8.7205999999999992E-2</c:v>
                </c:pt>
                <c:pt idx="429">
                  <c:v>8.7400000000000005E-2</c:v>
                </c:pt>
                <c:pt idx="430">
                  <c:v>8.7593999999999991E-2</c:v>
                </c:pt>
                <c:pt idx="431">
                  <c:v>8.7761999999999993E-2</c:v>
                </c:pt>
                <c:pt idx="432">
                  <c:v>8.7956000000000006E-2</c:v>
                </c:pt>
                <c:pt idx="433">
                  <c:v>8.8122000000000006E-2</c:v>
                </c:pt>
                <c:pt idx="434">
                  <c:v>8.8290000000000007E-2</c:v>
                </c:pt>
                <c:pt idx="435">
                  <c:v>8.8458000000000009E-2</c:v>
                </c:pt>
                <c:pt idx="436">
                  <c:v>8.8650000000000007E-2</c:v>
                </c:pt>
                <c:pt idx="437">
                  <c:v>8.8818000000000008E-2</c:v>
                </c:pt>
                <c:pt idx="438">
                  <c:v>8.8985999999999996E-2</c:v>
                </c:pt>
                <c:pt idx="439">
                  <c:v>8.9152000000000009E-2</c:v>
                </c:pt>
                <c:pt idx="440">
                  <c:v>8.9318000000000008E-2</c:v>
                </c:pt>
                <c:pt idx="441">
                  <c:v>8.9511999999999994E-2</c:v>
                </c:pt>
                <c:pt idx="442">
                  <c:v>8.970800000000001E-2</c:v>
                </c:pt>
                <c:pt idx="443">
                  <c:v>8.9901999999999996E-2</c:v>
                </c:pt>
                <c:pt idx="444">
                  <c:v>9.0096000000000009E-2</c:v>
                </c:pt>
                <c:pt idx="445">
                  <c:v>9.0288000000000007E-2</c:v>
                </c:pt>
                <c:pt idx="446">
                  <c:v>9.0456000000000009E-2</c:v>
                </c:pt>
                <c:pt idx="447">
                  <c:v>9.065200000000001E-2</c:v>
                </c:pt>
                <c:pt idx="448">
                  <c:v>9.0845999999999996E-2</c:v>
                </c:pt>
                <c:pt idx="449">
                  <c:v>9.1037999999999994E-2</c:v>
                </c:pt>
                <c:pt idx="450">
                  <c:v>9.1233999999999996E-2</c:v>
                </c:pt>
                <c:pt idx="451">
                  <c:v>9.1400000000000009E-2</c:v>
                </c:pt>
                <c:pt idx="452">
                  <c:v>9.1569999999999999E-2</c:v>
                </c:pt>
                <c:pt idx="453">
                  <c:v>9.1761999999999996E-2</c:v>
                </c:pt>
                <c:pt idx="454">
                  <c:v>9.195600000000001E-2</c:v>
                </c:pt>
                <c:pt idx="455">
                  <c:v>9.2149999999999996E-2</c:v>
                </c:pt>
                <c:pt idx="456">
                  <c:v>9.2345999999999998E-2</c:v>
                </c:pt>
                <c:pt idx="457">
                  <c:v>9.2539999999999997E-2</c:v>
                </c:pt>
                <c:pt idx="458">
                  <c:v>9.2734000000000011E-2</c:v>
                </c:pt>
                <c:pt idx="459">
                  <c:v>9.2929999999999999E-2</c:v>
                </c:pt>
                <c:pt idx="460">
                  <c:v>9.3123999999999998E-2</c:v>
                </c:pt>
                <c:pt idx="461">
                  <c:v>9.3317999999999998E-2</c:v>
                </c:pt>
                <c:pt idx="462">
                  <c:v>9.3511999999999998E-2</c:v>
                </c:pt>
                <c:pt idx="463">
                  <c:v>9.3705999999999998E-2</c:v>
                </c:pt>
                <c:pt idx="464">
                  <c:v>9.3930000000000013E-2</c:v>
                </c:pt>
                <c:pt idx="465">
                  <c:v>9.4149999999999998E-2</c:v>
                </c:pt>
                <c:pt idx="466">
                  <c:v>9.4374E-2</c:v>
                </c:pt>
                <c:pt idx="467">
                  <c:v>9.4570000000000001E-2</c:v>
                </c:pt>
                <c:pt idx="468">
                  <c:v>9.4787999999999997E-2</c:v>
                </c:pt>
                <c:pt idx="469">
                  <c:v>9.4983999999999999E-2</c:v>
                </c:pt>
                <c:pt idx="470">
                  <c:v>9.5208000000000001E-2</c:v>
                </c:pt>
                <c:pt idx="471">
                  <c:v>9.5402000000000001E-2</c:v>
                </c:pt>
                <c:pt idx="472">
                  <c:v>9.5624000000000001E-2</c:v>
                </c:pt>
                <c:pt idx="473">
                  <c:v>9.5818E-2</c:v>
                </c:pt>
                <c:pt idx="474">
                  <c:v>9.6039999999999986E-2</c:v>
                </c:pt>
                <c:pt idx="475">
                  <c:v>9.6262000000000014E-2</c:v>
                </c:pt>
                <c:pt idx="476">
                  <c:v>9.6481999999999998E-2</c:v>
                </c:pt>
                <c:pt idx="477">
                  <c:v>9.6708000000000002E-2</c:v>
                </c:pt>
                <c:pt idx="478">
                  <c:v>9.6930000000000002E-2</c:v>
                </c:pt>
                <c:pt idx="479">
                  <c:v>9.7151999999999988E-2</c:v>
                </c:pt>
                <c:pt idx="480">
                  <c:v>9.7373999999999988E-2</c:v>
                </c:pt>
                <c:pt idx="481">
                  <c:v>9.7596000000000002E-2</c:v>
                </c:pt>
                <c:pt idx="482">
                  <c:v>9.7815999999999986E-2</c:v>
                </c:pt>
                <c:pt idx="483">
                  <c:v>9.8038000000000014E-2</c:v>
                </c:pt>
                <c:pt idx="484">
                  <c:v>9.8262000000000002E-2</c:v>
                </c:pt>
                <c:pt idx="485">
                  <c:v>9.8484000000000002E-2</c:v>
                </c:pt>
                <c:pt idx="486">
                  <c:v>9.8706000000000002E-2</c:v>
                </c:pt>
                <c:pt idx="487">
                  <c:v>9.8930000000000004E-2</c:v>
                </c:pt>
                <c:pt idx="488">
                  <c:v>9.9152000000000004E-2</c:v>
                </c:pt>
                <c:pt idx="489">
                  <c:v>9.9372000000000002E-2</c:v>
                </c:pt>
                <c:pt idx="490">
                  <c:v>9.9594000000000002E-2</c:v>
                </c:pt>
                <c:pt idx="491">
                  <c:v>9.9818000000000004E-2</c:v>
                </c:pt>
                <c:pt idx="492">
                  <c:v>0.10004200000000001</c:v>
                </c:pt>
                <c:pt idx="493">
                  <c:v>0.10029</c:v>
                </c:pt>
                <c:pt idx="494">
                  <c:v>0.10054</c:v>
                </c:pt>
                <c:pt idx="495">
                  <c:v>0.10079200000000001</c:v>
                </c:pt>
                <c:pt idx="496">
                  <c:v>0.101012</c:v>
                </c:pt>
                <c:pt idx="497">
                  <c:v>0.101234</c:v>
                </c:pt>
                <c:pt idx="498">
                  <c:v>0.101456</c:v>
                </c:pt>
                <c:pt idx="499">
                  <c:v>0.10167799999999999</c:v>
                </c:pt>
                <c:pt idx="500">
                  <c:v>0.10192999999999999</c:v>
                </c:pt>
                <c:pt idx="501">
                  <c:v>0.102178</c:v>
                </c:pt>
                <c:pt idx="502">
                  <c:v>0.10242800000000001</c:v>
                </c:pt>
                <c:pt idx="503">
                  <c:v>0.10267799999999999</c:v>
                </c:pt>
                <c:pt idx="504">
                  <c:v>0.10292999999999999</c:v>
                </c:pt>
                <c:pt idx="505">
                  <c:v>0.10315200000000001</c:v>
                </c:pt>
                <c:pt idx="506">
                  <c:v>0.10339999999999999</c:v>
                </c:pt>
                <c:pt idx="507">
                  <c:v>0.10362199999999999</c:v>
                </c:pt>
                <c:pt idx="508">
                  <c:v>0.10387600000000001</c:v>
                </c:pt>
                <c:pt idx="509">
                  <c:v>0.10412200000000001</c:v>
                </c:pt>
                <c:pt idx="510">
                  <c:v>0.10437400000000001</c:v>
                </c:pt>
                <c:pt idx="511">
                  <c:v>0.10462400000000001</c:v>
                </c:pt>
                <c:pt idx="512">
                  <c:v>0.10487199999999999</c:v>
                </c:pt>
                <c:pt idx="513">
                  <c:v>0.105124</c:v>
                </c:pt>
                <c:pt idx="514">
                  <c:v>0.105374</c:v>
                </c:pt>
                <c:pt idx="515">
                  <c:v>0.10565200000000001</c:v>
                </c:pt>
                <c:pt idx="516">
                  <c:v>0.10592800000000001</c:v>
                </c:pt>
                <c:pt idx="517">
                  <c:v>0.10620599999999999</c:v>
                </c:pt>
                <c:pt idx="518">
                  <c:v>0.10648400000000001</c:v>
                </c:pt>
                <c:pt idx="519">
                  <c:v>0.106762</c:v>
                </c:pt>
                <c:pt idx="520">
                  <c:v>0.107012</c:v>
                </c:pt>
                <c:pt idx="521">
                  <c:v>0.10729</c:v>
                </c:pt>
                <c:pt idx="522">
                  <c:v>0.107568</c:v>
                </c:pt>
                <c:pt idx="523">
                  <c:v>0.107844</c:v>
                </c:pt>
                <c:pt idx="524">
                  <c:v>0.10812200000000001</c:v>
                </c:pt>
                <c:pt idx="525">
                  <c:v>0.108402</c:v>
                </c:pt>
                <c:pt idx="526">
                  <c:v>0.10867800000000001</c:v>
                </c:pt>
                <c:pt idx="527">
                  <c:v>0.108956</c:v>
                </c:pt>
                <c:pt idx="528">
                  <c:v>0.109236</c:v>
                </c:pt>
                <c:pt idx="529">
                  <c:v>0.10951000000000001</c:v>
                </c:pt>
                <c:pt idx="530">
                  <c:v>0.109816</c:v>
                </c:pt>
                <c:pt idx="531">
                  <c:v>0.11009600000000001</c:v>
                </c:pt>
                <c:pt idx="532">
                  <c:v>0.110374</c:v>
                </c:pt>
                <c:pt idx="533">
                  <c:v>0.11065</c:v>
                </c:pt>
                <c:pt idx="534">
                  <c:v>0.110928</c:v>
                </c:pt>
                <c:pt idx="535">
                  <c:v>0.111236</c:v>
                </c:pt>
                <c:pt idx="536">
                  <c:v>0.111514</c:v>
                </c:pt>
                <c:pt idx="537">
                  <c:v>0.11181800000000001</c:v>
                </c:pt>
                <c:pt idx="538">
                  <c:v>0.112096</c:v>
                </c:pt>
                <c:pt idx="539">
                  <c:v>0.11237399999999999</c:v>
                </c:pt>
                <c:pt idx="540">
                  <c:v>0.11265</c:v>
                </c:pt>
                <c:pt idx="541">
                  <c:v>0.112958</c:v>
                </c:pt>
                <c:pt idx="542">
                  <c:v>0.11326</c:v>
                </c:pt>
                <c:pt idx="543">
                  <c:v>0.113568</c:v>
                </c:pt>
                <c:pt idx="544">
                  <c:v>0.11387399999999999</c:v>
                </c:pt>
                <c:pt idx="545">
                  <c:v>0.114178</c:v>
                </c:pt>
                <c:pt idx="546">
                  <c:v>0.114482</c:v>
                </c:pt>
                <c:pt idx="547">
                  <c:v>0.114788</c:v>
                </c:pt>
                <c:pt idx="548">
                  <c:v>0.11509399999999999</c:v>
                </c:pt>
                <c:pt idx="549">
                  <c:v>0.11542999999999999</c:v>
                </c:pt>
                <c:pt idx="550">
                  <c:v>0.115762</c:v>
                </c:pt>
                <c:pt idx="551">
                  <c:v>0.116096</c:v>
                </c:pt>
                <c:pt idx="552">
                  <c:v>0.11642799999999999</c:v>
                </c:pt>
                <c:pt idx="553">
                  <c:v>0.11676199999999999</c:v>
                </c:pt>
                <c:pt idx="554">
                  <c:v>0.117094</c:v>
                </c:pt>
                <c:pt idx="555">
                  <c:v>0.117428</c:v>
                </c:pt>
                <c:pt idx="556">
                  <c:v>0.11776400000000001</c:v>
                </c:pt>
                <c:pt idx="557">
                  <c:v>0.118094</c:v>
                </c:pt>
                <c:pt idx="558">
                  <c:v>0.11842999999999999</c:v>
                </c:pt>
                <c:pt idx="559">
                  <c:v>0.11876200000000001</c:v>
                </c:pt>
                <c:pt idx="560">
                  <c:v>0.11909599999999999</c:v>
                </c:pt>
                <c:pt idx="561">
                  <c:v>0.119426</c:v>
                </c:pt>
                <c:pt idx="562">
                  <c:v>0.11978999999999999</c:v>
                </c:pt>
                <c:pt idx="563">
                  <c:v>0.12012200000000001</c:v>
                </c:pt>
                <c:pt idx="564">
                  <c:v>0.12048400000000001</c:v>
                </c:pt>
                <c:pt idx="565">
                  <c:v>0.120846</c:v>
                </c:pt>
                <c:pt idx="566">
                  <c:v>0.12117800000000001</c:v>
                </c:pt>
                <c:pt idx="567">
                  <c:v>0.121542</c:v>
                </c:pt>
                <c:pt idx="568">
                  <c:v>0.12189999999999999</c:v>
                </c:pt>
                <c:pt idx="569">
                  <c:v>0.122264</c:v>
                </c:pt>
                <c:pt idx="570">
                  <c:v>0.122624</c:v>
                </c:pt>
                <c:pt idx="571">
                  <c:v>0.12298400000000001</c:v>
                </c:pt>
                <c:pt idx="572">
                  <c:v>0.123346</c:v>
                </c:pt>
                <c:pt idx="573">
                  <c:v>0.12370799999999998</c:v>
                </c:pt>
                <c:pt idx="574">
                  <c:v>0.124066</c:v>
                </c:pt>
                <c:pt idx="575">
                  <c:v>0.124428</c:v>
                </c:pt>
                <c:pt idx="576">
                  <c:v>0.124816</c:v>
                </c:pt>
                <c:pt idx="577">
                  <c:v>0.12520799999999999</c:v>
                </c:pt>
                <c:pt idx="578">
                  <c:v>0.12559599999999999</c:v>
                </c:pt>
                <c:pt idx="579">
                  <c:v>0.12598599999999999</c:v>
                </c:pt>
                <c:pt idx="580">
                  <c:v>0.12637200000000001</c:v>
                </c:pt>
                <c:pt idx="581">
                  <c:v>0.12676199999999999</c:v>
                </c:pt>
                <c:pt idx="582">
                  <c:v>0.12715199999999999</c:v>
                </c:pt>
                <c:pt idx="583">
                  <c:v>0.12753999999999999</c:v>
                </c:pt>
                <c:pt idx="584">
                  <c:v>0.12795600000000001</c:v>
                </c:pt>
                <c:pt idx="585">
                  <c:v>0.12837400000000002</c:v>
                </c:pt>
                <c:pt idx="586">
                  <c:v>0.12878999999999999</c:v>
                </c:pt>
                <c:pt idx="587">
                  <c:v>0.12920799999999999</c:v>
                </c:pt>
                <c:pt idx="588">
                  <c:v>0.12962400000000002</c:v>
                </c:pt>
                <c:pt idx="589">
                  <c:v>0.13004200000000002</c:v>
                </c:pt>
                <c:pt idx="590">
                  <c:v>0.13045600000000002</c:v>
                </c:pt>
                <c:pt idx="591">
                  <c:v>0.13087400000000002</c:v>
                </c:pt>
                <c:pt idx="592">
                  <c:v>0.13128999999999999</c:v>
                </c:pt>
                <c:pt idx="593">
                  <c:v>0.13170599999999999</c:v>
                </c:pt>
                <c:pt idx="594">
                  <c:v>0.13212400000000002</c:v>
                </c:pt>
                <c:pt idx="595">
                  <c:v>0.13253999999999999</c:v>
                </c:pt>
                <c:pt idx="596">
                  <c:v>0.13295799999999999</c:v>
                </c:pt>
                <c:pt idx="597">
                  <c:v>0.13337199999999999</c:v>
                </c:pt>
                <c:pt idx="598">
                  <c:v>0.13379200000000002</c:v>
                </c:pt>
                <c:pt idx="599">
                  <c:v>0.13423400000000002</c:v>
                </c:pt>
                <c:pt idx="600">
                  <c:v>0.13467999999999999</c:v>
                </c:pt>
                <c:pt idx="601">
                  <c:v>0.13512399999999999</c:v>
                </c:pt>
                <c:pt idx="602">
                  <c:v>0.13556599999999999</c:v>
                </c:pt>
                <c:pt idx="603">
                  <c:v>0.13603999999999999</c:v>
                </c:pt>
                <c:pt idx="604">
                  <c:v>0.13650999999999999</c:v>
                </c:pt>
                <c:pt idx="605">
                  <c:v>0.136986</c:v>
                </c:pt>
                <c:pt idx="606">
                  <c:v>0.13745599999999999</c:v>
                </c:pt>
                <c:pt idx="607">
                  <c:v>0.137928</c:v>
                </c:pt>
                <c:pt idx="608">
                  <c:v>0.138402</c:v>
                </c:pt>
                <c:pt idx="609">
                  <c:v>0.138872</c:v>
                </c:pt>
                <c:pt idx="610">
                  <c:v>0.139372</c:v>
                </c:pt>
                <c:pt idx="611">
                  <c:v>0.139874</c:v>
                </c:pt>
                <c:pt idx="612">
                  <c:v>0.140344</c:v>
                </c:pt>
                <c:pt idx="613">
                  <c:v>0.140846</c:v>
                </c:pt>
                <c:pt idx="614">
                  <c:v>0.141346</c:v>
                </c:pt>
                <c:pt idx="615">
                  <c:v>0.141846</c:v>
                </c:pt>
                <c:pt idx="616">
                  <c:v>0.142346</c:v>
                </c:pt>
                <c:pt idx="617">
                  <c:v>0.142846</c:v>
                </c:pt>
                <c:pt idx="618">
                  <c:v>0.143344</c:v>
                </c:pt>
                <c:pt idx="619">
                  <c:v>0.143846</c:v>
                </c:pt>
                <c:pt idx="620">
                  <c:v>0.144372</c:v>
                </c:pt>
                <c:pt idx="621">
                  <c:v>0.1449</c:v>
                </c:pt>
                <c:pt idx="622">
                  <c:v>0.145458</c:v>
                </c:pt>
                <c:pt idx="623">
                  <c:v>0.146012</c:v>
                </c:pt>
                <c:pt idx="624">
                  <c:v>0.146568</c:v>
                </c:pt>
                <c:pt idx="625">
                  <c:v>0.147124</c:v>
                </c:pt>
                <c:pt idx="626">
                  <c:v>0.14770800000000001</c:v>
                </c:pt>
                <c:pt idx="627">
                  <c:v>0.14829000000000001</c:v>
                </c:pt>
                <c:pt idx="628">
                  <c:v>0.14887400000000001</c:v>
                </c:pt>
                <c:pt idx="629">
                  <c:v>0.14948400000000001</c:v>
                </c:pt>
                <c:pt idx="630">
                  <c:v>0.15009600000000001</c:v>
                </c:pt>
                <c:pt idx="631">
                  <c:v>0.15070800000000001</c:v>
                </c:pt>
                <c:pt idx="632">
                  <c:v>0.15131800000000001</c:v>
                </c:pt>
                <c:pt idx="633">
                  <c:v>0.15192800000000001</c:v>
                </c:pt>
                <c:pt idx="634">
                  <c:v>0.15256800000000001</c:v>
                </c:pt>
                <c:pt idx="635">
                  <c:v>0.15323399999999998</c:v>
                </c:pt>
                <c:pt idx="636">
                  <c:v>0.15390200000000001</c:v>
                </c:pt>
                <c:pt idx="637">
                  <c:v>0.15462400000000001</c:v>
                </c:pt>
                <c:pt idx="638">
                  <c:v>0.15537400000000001</c:v>
                </c:pt>
                <c:pt idx="639">
                  <c:v>0.15615199999999999</c:v>
                </c:pt>
                <c:pt idx="640">
                  <c:v>0.15698399999999998</c:v>
                </c:pt>
                <c:pt idx="641">
                  <c:v>0.15781800000000001</c:v>
                </c:pt>
                <c:pt idx="642">
                  <c:v>0.15865000000000001</c:v>
                </c:pt>
                <c:pt idx="643">
                  <c:v>0.15948399999999999</c:v>
                </c:pt>
                <c:pt idx="644">
                  <c:v>0.16031800000000002</c:v>
                </c:pt>
                <c:pt idx="645">
                  <c:v>0.16114999999999999</c:v>
                </c:pt>
                <c:pt idx="646">
                  <c:v>0.16198399999999999</c:v>
                </c:pt>
              </c:numCache>
            </c:numRef>
          </c:cat>
          <c:val>
            <c:numRef>
              <c:f>'A10-5'!$F$2:$F$595</c:f>
              <c:numCache>
                <c:formatCode>0.00</c:formatCode>
                <c:ptCount val="594"/>
                <c:pt idx="0">
                  <c:v>0</c:v>
                </c:pt>
                <c:pt idx="1">
                  <c:v>0.28636334349675874</c:v>
                </c:pt>
                <c:pt idx="2">
                  <c:v>0.28989664066575632</c:v>
                </c:pt>
                <c:pt idx="3">
                  <c:v>0.29342993783475396</c:v>
                </c:pt>
                <c:pt idx="4">
                  <c:v>0.29342993783475396</c:v>
                </c:pt>
                <c:pt idx="5">
                  <c:v>0.29342993783475396</c:v>
                </c:pt>
                <c:pt idx="6">
                  <c:v>0.29696323500375155</c:v>
                </c:pt>
                <c:pt idx="7">
                  <c:v>0.30049653217274913</c:v>
                </c:pt>
                <c:pt idx="8">
                  <c:v>0.30402982934174677</c:v>
                </c:pt>
                <c:pt idx="9">
                  <c:v>0.30758391061173845</c:v>
                </c:pt>
                <c:pt idx="10">
                  <c:v>0.31111720778073604</c:v>
                </c:pt>
                <c:pt idx="11">
                  <c:v>0.31465050494973362</c:v>
                </c:pt>
                <c:pt idx="12">
                  <c:v>0.31465050494973362</c:v>
                </c:pt>
                <c:pt idx="13">
                  <c:v>0.31818380211873126</c:v>
                </c:pt>
                <c:pt idx="14">
                  <c:v>0.31818380211873126</c:v>
                </c:pt>
                <c:pt idx="15">
                  <c:v>0.31818380211873126</c:v>
                </c:pt>
                <c:pt idx="16">
                  <c:v>0.31818380211873126</c:v>
                </c:pt>
                <c:pt idx="17">
                  <c:v>0.31818380211873126</c:v>
                </c:pt>
                <c:pt idx="18">
                  <c:v>0.31818380211873126</c:v>
                </c:pt>
                <c:pt idx="19">
                  <c:v>0.31818380211873126</c:v>
                </c:pt>
                <c:pt idx="20">
                  <c:v>0.31818380211873126</c:v>
                </c:pt>
                <c:pt idx="21">
                  <c:v>0.31818380211873126</c:v>
                </c:pt>
                <c:pt idx="22">
                  <c:v>0.31818380211873126</c:v>
                </c:pt>
                <c:pt idx="23">
                  <c:v>0.31818380211873126</c:v>
                </c:pt>
                <c:pt idx="24">
                  <c:v>0.31818380211873126</c:v>
                </c:pt>
                <c:pt idx="25">
                  <c:v>0.32171709928772885</c:v>
                </c:pt>
                <c:pt idx="26">
                  <c:v>0.31818380211873126</c:v>
                </c:pt>
                <c:pt idx="27">
                  <c:v>0.32171709928772885</c:v>
                </c:pt>
                <c:pt idx="28">
                  <c:v>0.32171709928772885</c:v>
                </c:pt>
                <c:pt idx="29">
                  <c:v>0.32171709928772885</c:v>
                </c:pt>
                <c:pt idx="30">
                  <c:v>0.32171709928772885</c:v>
                </c:pt>
                <c:pt idx="31">
                  <c:v>0.32171709928772885</c:v>
                </c:pt>
                <c:pt idx="32">
                  <c:v>0.32171709928772885</c:v>
                </c:pt>
                <c:pt idx="33">
                  <c:v>0.32171709928772885</c:v>
                </c:pt>
                <c:pt idx="34">
                  <c:v>0.32171709928772885</c:v>
                </c:pt>
                <c:pt idx="35">
                  <c:v>0.32171709928772885</c:v>
                </c:pt>
                <c:pt idx="36">
                  <c:v>0.32171709928772885</c:v>
                </c:pt>
                <c:pt idx="37">
                  <c:v>0.32171709928772885</c:v>
                </c:pt>
                <c:pt idx="38">
                  <c:v>0.32171709928772885</c:v>
                </c:pt>
                <c:pt idx="39">
                  <c:v>0.32171709928772885</c:v>
                </c:pt>
                <c:pt idx="40">
                  <c:v>0.32525039645672643</c:v>
                </c:pt>
                <c:pt idx="41">
                  <c:v>0.32525039645672643</c:v>
                </c:pt>
                <c:pt idx="42">
                  <c:v>0.32878369362572407</c:v>
                </c:pt>
                <c:pt idx="43">
                  <c:v>0.32878369362572407</c:v>
                </c:pt>
                <c:pt idx="44">
                  <c:v>0.33231699079472171</c:v>
                </c:pt>
                <c:pt idx="45">
                  <c:v>0.33585028796371924</c:v>
                </c:pt>
                <c:pt idx="46">
                  <c:v>0.33938358513271688</c:v>
                </c:pt>
                <c:pt idx="47">
                  <c:v>0.34293766640270856</c:v>
                </c:pt>
                <c:pt idx="48">
                  <c:v>0.3464709635717062</c:v>
                </c:pt>
                <c:pt idx="49">
                  <c:v>0.35000426074070379</c:v>
                </c:pt>
                <c:pt idx="50">
                  <c:v>0.36060415224769665</c:v>
                </c:pt>
                <c:pt idx="51">
                  <c:v>0.36767074658569182</c:v>
                </c:pt>
                <c:pt idx="52">
                  <c:v>0.37473734092368705</c:v>
                </c:pt>
                <c:pt idx="53">
                  <c:v>0.38535801653167395</c:v>
                </c:pt>
                <c:pt idx="54">
                  <c:v>0.39595790803866671</c:v>
                </c:pt>
                <c:pt idx="55">
                  <c:v>0.40655779954565957</c:v>
                </c:pt>
                <c:pt idx="56">
                  <c:v>0.41717847515364642</c:v>
                </c:pt>
                <c:pt idx="57">
                  <c:v>0.42777836666063929</c:v>
                </c:pt>
                <c:pt idx="58">
                  <c:v>0.43837825816763204</c:v>
                </c:pt>
                <c:pt idx="59">
                  <c:v>0.44544485250562726</c:v>
                </c:pt>
                <c:pt idx="60">
                  <c:v>0.45606552811361423</c:v>
                </c:pt>
                <c:pt idx="61">
                  <c:v>0.46666541962060698</c:v>
                </c:pt>
                <c:pt idx="62">
                  <c:v>0.47726531112759984</c:v>
                </c:pt>
                <c:pt idx="63">
                  <c:v>0.48435268956658911</c:v>
                </c:pt>
                <c:pt idx="64">
                  <c:v>0.49848587824257956</c:v>
                </c:pt>
                <c:pt idx="65">
                  <c:v>0.50555247258057479</c:v>
                </c:pt>
                <c:pt idx="66">
                  <c:v>0.51970644535755928</c:v>
                </c:pt>
                <c:pt idx="67">
                  <c:v>0.52677303969555445</c:v>
                </c:pt>
                <c:pt idx="68">
                  <c:v>0.54090622837154489</c:v>
                </c:pt>
                <c:pt idx="69">
                  <c:v>0.5515061198785377</c:v>
                </c:pt>
                <c:pt idx="70">
                  <c:v>0.56566009265552231</c:v>
                </c:pt>
                <c:pt idx="71">
                  <c:v>0.57979328133151264</c:v>
                </c:pt>
                <c:pt idx="72">
                  <c:v>0.59394725410849714</c:v>
                </c:pt>
                <c:pt idx="73">
                  <c:v>0.60808044278448758</c:v>
                </c:pt>
                <c:pt idx="74">
                  <c:v>0.62221363146047803</c:v>
                </c:pt>
                <c:pt idx="75">
                  <c:v>0.63636760423746253</c:v>
                </c:pt>
                <c:pt idx="76">
                  <c:v>0.65050079291345286</c:v>
                </c:pt>
                <c:pt idx="77">
                  <c:v>0.66465476569043735</c:v>
                </c:pt>
                <c:pt idx="78">
                  <c:v>0.6787879543664278</c:v>
                </c:pt>
                <c:pt idx="79">
                  <c:v>0.69292114304241825</c:v>
                </c:pt>
                <c:pt idx="80">
                  <c:v>0.70707511581940286</c:v>
                </c:pt>
                <c:pt idx="81">
                  <c:v>0.7212083044953933</c:v>
                </c:pt>
                <c:pt idx="82">
                  <c:v>0.7353622772723778</c:v>
                </c:pt>
                <c:pt idx="83">
                  <c:v>0.74949546594836824</c:v>
                </c:pt>
                <c:pt idx="84">
                  <c:v>0.76362865462435847</c:v>
                </c:pt>
                <c:pt idx="85">
                  <c:v>0.77778262740134296</c:v>
                </c:pt>
                <c:pt idx="86">
                  <c:v>0.79191581607733341</c:v>
                </c:pt>
                <c:pt idx="87">
                  <c:v>0.80606978885431801</c:v>
                </c:pt>
                <c:pt idx="88">
                  <c:v>0.82020297753030846</c:v>
                </c:pt>
                <c:pt idx="89">
                  <c:v>0.83433616620629891</c:v>
                </c:pt>
                <c:pt idx="90">
                  <c:v>0.84849013898328329</c:v>
                </c:pt>
                <c:pt idx="91">
                  <c:v>0.86262332765927374</c:v>
                </c:pt>
                <c:pt idx="92">
                  <c:v>0.87677730043625834</c:v>
                </c:pt>
                <c:pt idx="93">
                  <c:v>0.89091048911224879</c:v>
                </c:pt>
                <c:pt idx="94">
                  <c:v>0.90504367778823924</c:v>
                </c:pt>
                <c:pt idx="95">
                  <c:v>0.91919765056522362</c:v>
                </c:pt>
                <c:pt idx="96">
                  <c:v>0.93333083924121396</c:v>
                </c:pt>
                <c:pt idx="97">
                  <c:v>0.94746402791720441</c:v>
                </c:pt>
                <c:pt idx="98">
                  <c:v>0.96161800069418901</c:v>
                </c:pt>
                <c:pt idx="99">
                  <c:v>0.97575118937017946</c:v>
                </c:pt>
                <c:pt idx="100">
                  <c:v>0.98990516214716384</c:v>
                </c:pt>
                <c:pt idx="101">
                  <c:v>1.0040383508231543</c:v>
                </c:pt>
                <c:pt idx="102">
                  <c:v>1.0181715394991449</c:v>
                </c:pt>
                <c:pt idx="103">
                  <c:v>1.0323255122761292</c:v>
                </c:pt>
                <c:pt idx="104">
                  <c:v>1.0464587009521196</c:v>
                </c:pt>
                <c:pt idx="105">
                  <c:v>1.0606126737291042</c:v>
                </c:pt>
                <c:pt idx="106">
                  <c:v>1.0747458624050945</c:v>
                </c:pt>
                <c:pt idx="107">
                  <c:v>1.0888790510810851</c:v>
                </c:pt>
                <c:pt idx="108">
                  <c:v>1.1030330238580695</c:v>
                </c:pt>
                <c:pt idx="109">
                  <c:v>1.11716621253406</c:v>
                </c:pt>
                <c:pt idx="110">
                  <c:v>1.1313201853110446</c:v>
                </c:pt>
                <c:pt idx="111">
                  <c:v>1.145453373987035</c:v>
                </c:pt>
                <c:pt idx="112">
                  <c:v>1.1595865626630253</c:v>
                </c:pt>
                <c:pt idx="113">
                  <c:v>1.1737405354400099</c:v>
                </c:pt>
                <c:pt idx="114">
                  <c:v>1.187873724116</c:v>
                </c:pt>
                <c:pt idx="115">
                  <c:v>1.2020276968929848</c:v>
                </c:pt>
                <c:pt idx="116">
                  <c:v>1.2161608855689752</c:v>
                </c:pt>
                <c:pt idx="117">
                  <c:v>1.2302940742449655</c:v>
                </c:pt>
                <c:pt idx="118">
                  <c:v>1.2444480470219501</c:v>
                </c:pt>
                <c:pt idx="119">
                  <c:v>1.2585812356979404</c:v>
                </c:pt>
                <c:pt idx="120">
                  <c:v>1.2727352084749251</c:v>
                </c:pt>
                <c:pt idx="121">
                  <c:v>1.2868683971509154</c:v>
                </c:pt>
                <c:pt idx="122">
                  <c:v>1.3010015858269057</c:v>
                </c:pt>
                <c:pt idx="123">
                  <c:v>1.3151555586038906</c:v>
                </c:pt>
                <c:pt idx="124">
                  <c:v>1.3292887472798809</c:v>
                </c:pt>
                <c:pt idx="125">
                  <c:v>1.3434427200568653</c:v>
                </c:pt>
                <c:pt idx="126">
                  <c:v>1.3575759087328556</c:v>
                </c:pt>
                <c:pt idx="127">
                  <c:v>1.3717090974088462</c:v>
                </c:pt>
                <c:pt idx="128">
                  <c:v>1.3858630701858305</c:v>
                </c:pt>
                <c:pt idx="129">
                  <c:v>1.3999962588618209</c:v>
                </c:pt>
                <c:pt idx="130">
                  <c:v>1.4141502316388057</c:v>
                </c:pt>
                <c:pt idx="131">
                  <c:v>1.428283420314796</c:v>
                </c:pt>
                <c:pt idx="132">
                  <c:v>1.4424166089907866</c:v>
                </c:pt>
                <c:pt idx="133">
                  <c:v>1.456570581767771</c:v>
                </c:pt>
                <c:pt idx="134">
                  <c:v>1.4707037704437613</c:v>
                </c:pt>
                <c:pt idx="135">
                  <c:v>1.4848369591197519</c:v>
                </c:pt>
                <c:pt idx="136">
                  <c:v>1.4989909318967365</c:v>
                </c:pt>
                <c:pt idx="137">
                  <c:v>1.513124120572727</c:v>
                </c:pt>
                <c:pt idx="138">
                  <c:v>1.5272780933497112</c:v>
                </c:pt>
                <c:pt idx="139">
                  <c:v>1.5414112820257015</c:v>
                </c:pt>
                <c:pt idx="140">
                  <c:v>1.5555444707016921</c:v>
                </c:pt>
                <c:pt idx="141">
                  <c:v>1.5696984434786765</c:v>
                </c:pt>
                <c:pt idx="142">
                  <c:v>1.5838316321546668</c:v>
                </c:pt>
                <c:pt idx="143">
                  <c:v>1.5979856049316516</c:v>
                </c:pt>
                <c:pt idx="144">
                  <c:v>1.612118793607642</c:v>
                </c:pt>
                <c:pt idx="145">
                  <c:v>1.6262519822836325</c:v>
                </c:pt>
                <c:pt idx="146">
                  <c:v>1.6404059550606169</c:v>
                </c:pt>
                <c:pt idx="147">
                  <c:v>1.6545391437366073</c:v>
                </c:pt>
                <c:pt idx="148">
                  <c:v>1.6686931165135919</c:v>
                </c:pt>
                <c:pt idx="149">
                  <c:v>1.682826305189582</c:v>
                </c:pt>
                <c:pt idx="150">
                  <c:v>1.6969594938655725</c:v>
                </c:pt>
                <c:pt idx="151">
                  <c:v>1.7111134666425571</c:v>
                </c:pt>
                <c:pt idx="152">
                  <c:v>1.7252466553185475</c:v>
                </c:pt>
                <c:pt idx="153">
                  <c:v>1.7394006280955319</c:v>
                </c:pt>
                <c:pt idx="154">
                  <c:v>1.7535338167715224</c:v>
                </c:pt>
                <c:pt idx="155">
                  <c:v>1.767667005447513</c:v>
                </c:pt>
                <c:pt idx="156">
                  <c:v>1.785354275393495</c:v>
                </c:pt>
                <c:pt idx="157">
                  <c:v>1.7994874640694853</c:v>
                </c:pt>
                <c:pt idx="158">
                  <c:v>1.8136414368464697</c:v>
                </c:pt>
                <c:pt idx="159">
                  <c:v>1.8277746255224603</c:v>
                </c:pt>
                <c:pt idx="160">
                  <c:v>1.8454618954684425</c:v>
                </c:pt>
                <c:pt idx="161">
                  <c:v>1.8595950841444329</c:v>
                </c:pt>
                <c:pt idx="162">
                  <c:v>1.8737282728204234</c:v>
                </c:pt>
                <c:pt idx="163">
                  <c:v>1.8914155427664054</c:v>
                </c:pt>
                <c:pt idx="164">
                  <c:v>1.905548731442396</c:v>
                </c:pt>
                <c:pt idx="165">
                  <c:v>1.9197027042193804</c:v>
                </c:pt>
                <c:pt idx="166">
                  <c:v>1.9373691900643684</c:v>
                </c:pt>
                <c:pt idx="167">
                  <c:v>1.951523162841353</c:v>
                </c:pt>
                <c:pt idx="168">
                  <c:v>1.9656563515173435</c:v>
                </c:pt>
                <c:pt idx="169">
                  <c:v>1.9797895401933334</c:v>
                </c:pt>
                <c:pt idx="170">
                  <c:v>1.9939435129703182</c:v>
                </c:pt>
                <c:pt idx="171">
                  <c:v>2.0080767016463086</c:v>
                </c:pt>
                <c:pt idx="172">
                  <c:v>2.0222306744232932</c:v>
                </c:pt>
                <c:pt idx="173">
                  <c:v>2.0398971602682812</c:v>
                </c:pt>
                <c:pt idx="174">
                  <c:v>2.0540303489442713</c:v>
                </c:pt>
                <c:pt idx="175">
                  <c:v>2.0681843217212559</c:v>
                </c:pt>
                <c:pt idx="176">
                  <c:v>2.0823590785992345</c:v>
                </c:pt>
                <c:pt idx="177">
                  <c:v>2.0964922672752251</c:v>
                </c:pt>
                <c:pt idx="178">
                  <c:v>2.1106254559512156</c:v>
                </c:pt>
                <c:pt idx="179">
                  <c:v>2.1282919417962036</c:v>
                </c:pt>
                <c:pt idx="180">
                  <c:v>2.1424251304721937</c:v>
                </c:pt>
                <c:pt idx="181">
                  <c:v>2.1600916163171822</c:v>
                </c:pt>
                <c:pt idx="182">
                  <c:v>2.1777581021621701</c:v>
                </c:pt>
                <c:pt idx="183">
                  <c:v>2.1918912908381607</c:v>
                </c:pt>
                <c:pt idx="184">
                  <c:v>2.2095577766831487</c:v>
                </c:pt>
                <c:pt idx="185">
                  <c:v>2.2236909653591388</c:v>
                </c:pt>
                <c:pt idx="186">
                  <c:v>2.2378241540351289</c:v>
                </c:pt>
                <c:pt idx="187">
                  <c:v>2.2519573427111195</c:v>
                </c:pt>
                <c:pt idx="188">
                  <c:v>2.26609053138711</c:v>
                </c:pt>
                <c:pt idx="189">
                  <c:v>2.2802237200631006</c:v>
                </c:pt>
                <c:pt idx="190">
                  <c:v>2.2943569087390907</c:v>
                </c:pt>
                <c:pt idx="191">
                  <c:v>2.3084900974150813</c:v>
                </c:pt>
                <c:pt idx="192">
                  <c:v>2.3226232860910714</c:v>
                </c:pt>
                <c:pt idx="193">
                  <c:v>2.3369643157770033</c:v>
                </c:pt>
                <c:pt idx="194">
                  <c:v>2.3510975044529938</c:v>
                </c:pt>
                <c:pt idx="195">
                  <c:v>2.3652306931289839</c:v>
                </c:pt>
                <c:pt idx="196">
                  <c:v>2.3793638818049749</c:v>
                </c:pt>
                <c:pt idx="197">
                  <c:v>2.3970303676499625</c:v>
                </c:pt>
                <c:pt idx="198">
                  <c:v>2.411163556325953</c:v>
                </c:pt>
                <c:pt idx="199">
                  <c:v>2.4252967450019431</c:v>
                </c:pt>
                <c:pt idx="200">
                  <c:v>2.4394299336779337</c:v>
                </c:pt>
                <c:pt idx="201">
                  <c:v>2.4535631223539238</c:v>
                </c:pt>
                <c:pt idx="202">
                  <c:v>2.4712296081989122</c:v>
                </c:pt>
                <c:pt idx="203">
                  <c:v>2.4853627968749028</c:v>
                </c:pt>
                <c:pt idx="204">
                  <c:v>2.4994959855508929</c:v>
                </c:pt>
                <c:pt idx="205">
                  <c:v>2.5171624713958809</c:v>
                </c:pt>
                <c:pt idx="206">
                  <c:v>2.5312956600718719</c:v>
                </c:pt>
                <c:pt idx="207">
                  <c:v>2.545428848747862</c:v>
                </c:pt>
                <c:pt idx="208">
                  <c:v>2.5595620374238526</c:v>
                </c:pt>
                <c:pt idx="209">
                  <c:v>2.5772285232688401</c:v>
                </c:pt>
                <c:pt idx="210">
                  <c:v>2.5913617119448307</c:v>
                </c:pt>
                <c:pt idx="211">
                  <c:v>2.6090281977898186</c:v>
                </c:pt>
                <c:pt idx="212">
                  <c:v>2.6231613864658088</c:v>
                </c:pt>
                <c:pt idx="213">
                  <c:v>2.6372945751417998</c:v>
                </c:pt>
                <c:pt idx="214">
                  <c:v>2.6549610609867877</c:v>
                </c:pt>
                <c:pt idx="215">
                  <c:v>2.6690942496627779</c:v>
                </c:pt>
                <c:pt idx="216">
                  <c:v>2.6869685765177072</c:v>
                </c:pt>
                <c:pt idx="217">
                  <c:v>2.7011017651936977</c:v>
                </c:pt>
                <c:pt idx="218">
                  <c:v>2.7187682510386852</c:v>
                </c:pt>
                <c:pt idx="219">
                  <c:v>2.7399680340526715</c:v>
                </c:pt>
                <c:pt idx="220">
                  <c:v>2.7611678170666565</c:v>
                </c:pt>
                <c:pt idx="221">
                  <c:v>2.7823676000806423</c:v>
                </c:pt>
                <c:pt idx="222">
                  <c:v>2.8071006802636256</c:v>
                </c:pt>
                <c:pt idx="223">
                  <c:v>2.8283004632776114</c:v>
                </c:pt>
                <c:pt idx="224">
                  <c:v>2.8495002462915964</c:v>
                </c:pt>
                <c:pt idx="225">
                  <c:v>2.8742333264745801</c:v>
                </c:pt>
                <c:pt idx="226">
                  <c:v>2.8954331094885655</c:v>
                </c:pt>
                <c:pt idx="227">
                  <c:v>2.9166328925025513</c:v>
                </c:pt>
                <c:pt idx="228">
                  <c:v>2.9378326755165367</c:v>
                </c:pt>
                <c:pt idx="229">
                  <c:v>2.96256575569952</c:v>
                </c:pt>
                <c:pt idx="230">
                  <c:v>2.9837655387135058</c:v>
                </c:pt>
                <c:pt idx="231">
                  <c:v>3.0084986188964891</c:v>
                </c:pt>
                <c:pt idx="232">
                  <c:v>3.0296984019104749</c:v>
                </c:pt>
                <c:pt idx="233">
                  <c:v>3.0511060259344016</c:v>
                </c:pt>
                <c:pt idx="234">
                  <c:v>3.0758391061173844</c:v>
                </c:pt>
                <c:pt idx="235">
                  <c:v>3.0970388891313698</c:v>
                </c:pt>
                <c:pt idx="236">
                  <c:v>3.1182386721453557</c:v>
                </c:pt>
                <c:pt idx="237">
                  <c:v>3.1394384551593415</c:v>
                </c:pt>
                <c:pt idx="238">
                  <c:v>3.1641715353423243</c:v>
                </c:pt>
                <c:pt idx="239">
                  <c:v>3.188904615525308</c:v>
                </c:pt>
                <c:pt idx="240">
                  <c:v>3.210104398539293</c:v>
                </c:pt>
                <c:pt idx="241">
                  <c:v>3.2348374787222762</c:v>
                </c:pt>
                <c:pt idx="242">
                  <c:v>3.2595705589052604</c:v>
                </c:pt>
                <c:pt idx="243">
                  <c:v>3.2843036390882432</c:v>
                </c:pt>
                <c:pt idx="244">
                  <c:v>3.3090367192712264</c:v>
                </c:pt>
                <c:pt idx="245">
                  <c:v>3.3302365022852118</c:v>
                </c:pt>
                <c:pt idx="246">
                  <c:v>3.3549695824681951</c:v>
                </c:pt>
                <c:pt idx="247">
                  <c:v>3.3797026626511784</c:v>
                </c:pt>
                <c:pt idx="248">
                  <c:v>3.4046435838441025</c:v>
                </c:pt>
                <c:pt idx="249">
                  <c:v>3.4293766640270862</c:v>
                </c:pt>
                <c:pt idx="250">
                  <c:v>3.4505764470410716</c:v>
                </c:pt>
                <c:pt idx="251">
                  <c:v>3.4753095272240548</c:v>
                </c:pt>
                <c:pt idx="252">
                  <c:v>3.5000426074070381</c:v>
                </c:pt>
                <c:pt idx="253">
                  <c:v>3.521242390421023</c:v>
                </c:pt>
                <c:pt idx="254">
                  <c:v>3.5459754706040072</c:v>
                </c:pt>
                <c:pt idx="255">
                  <c:v>3.5671752536179921</c:v>
                </c:pt>
                <c:pt idx="256">
                  <c:v>3.5919083338009758</c:v>
                </c:pt>
                <c:pt idx="257">
                  <c:v>3.6131081168149612</c:v>
                </c:pt>
                <c:pt idx="258">
                  <c:v>3.6378411969979441</c:v>
                </c:pt>
                <c:pt idx="259">
                  <c:v>3.6661075743499247</c:v>
                </c:pt>
                <c:pt idx="260">
                  <c:v>3.6979072488709037</c:v>
                </c:pt>
                <c:pt idx="261">
                  <c:v>3.7261736262228848</c:v>
                </c:pt>
                <c:pt idx="262">
                  <c:v>3.7544400035748651</c:v>
                </c:pt>
                <c:pt idx="263">
                  <c:v>3.7864475191057849</c:v>
                </c:pt>
                <c:pt idx="264">
                  <c:v>3.8147138964577656</c:v>
                </c:pt>
                <c:pt idx="265">
                  <c:v>3.8429802738097467</c:v>
                </c:pt>
                <c:pt idx="266">
                  <c:v>3.8712466511617269</c:v>
                </c:pt>
                <c:pt idx="267">
                  <c:v>3.9030463256827059</c:v>
                </c:pt>
                <c:pt idx="268">
                  <c:v>3.9313127030346871</c:v>
                </c:pt>
                <c:pt idx="269">
                  <c:v>3.9595790803866668</c:v>
                </c:pt>
                <c:pt idx="270">
                  <c:v>3.987845457738648</c:v>
                </c:pt>
                <c:pt idx="271">
                  <c:v>4.0161118350906291</c:v>
                </c:pt>
                <c:pt idx="272">
                  <c:v>4.0443782124426102</c:v>
                </c:pt>
                <c:pt idx="273">
                  <c:v>4.0726445897945904</c:v>
                </c:pt>
                <c:pt idx="274">
                  <c:v>4.1044442643155685</c:v>
                </c:pt>
                <c:pt idx="275">
                  <c:v>4.132918482677491</c:v>
                </c:pt>
                <c:pt idx="276">
                  <c:v>4.1611848600294721</c:v>
                </c:pt>
                <c:pt idx="277">
                  <c:v>4.1929845345504502</c:v>
                </c:pt>
                <c:pt idx="278">
                  <c:v>4.2212509119024313</c:v>
                </c:pt>
                <c:pt idx="279">
                  <c:v>4.2530505864234094</c:v>
                </c:pt>
                <c:pt idx="280">
                  <c:v>4.2813169637753905</c:v>
                </c:pt>
                <c:pt idx="281">
                  <c:v>4.3131166382963695</c:v>
                </c:pt>
                <c:pt idx="282">
                  <c:v>4.3413830156483488</c:v>
                </c:pt>
                <c:pt idx="283">
                  <c:v>4.3731826901693278</c:v>
                </c:pt>
                <c:pt idx="284">
                  <c:v>4.4014490675213098</c:v>
                </c:pt>
                <c:pt idx="285">
                  <c:v>4.433248742042287</c:v>
                </c:pt>
                <c:pt idx="286">
                  <c:v>4.465048416563266</c:v>
                </c:pt>
                <c:pt idx="287">
                  <c:v>4.4970559320941854</c:v>
                </c:pt>
                <c:pt idx="288">
                  <c:v>4.5288556066151635</c:v>
                </c:pt>
                <c:pt idx="289">
                  <c:v>4.5712551726431352</c:v>
                </c:pt>
                <c:pt idx="290">
                  <c:v>4.6101214415021081</c:v>
                </c:pt>
                <c:pt idx="291">
                  <c:v>4.6489877103610819</c:v>
                </c:pt>
                <c:pt idx="292">
                  <c:v>4.6878539792200558</c:v>
                </c:pt>
                <c:pt idx="293">
                  <c:v>4.7231869509100317</c:v>
                </c:pt>
                <c:pt idx="294">
                  <c:v>4.7620532197690055</c:v>
                </c:pt>
                <c:pt idx="295">
                  <c:v>4.8044527857969763</c:v>
                </c:pt>
                <c:pt idx="296">
                  <c:v>4.8435268956658915</c:v>
                </c:pt>
                <c:pt idx="297">
                  <c:v>4.8788598673558674</c:v>
                </c:pt>
                <c:pt idx="298">
                  <c:v>4.9177261362148412</c:v>
                </c:pt>
                <c:pt idx="299">
                  <c:v>4.9530591079048172</c:v>
                </c:pt>
                <c:pt idx="300">
                  <c:v>4.995458673932788</c:v>
                </c:pt>
                <c:pt idx="301">
                  <c:v>5.0343249427917618</c:v>
                </c:pt>
                <c:pt idx="302">
                  <c:v>5.0696579144817377</c:v>
                </c:pt>
                <c:pt idx="303">
                  <c:v>5.1120574805097094</c:v>
                </c:pt>
                <c:pt idx="304">
                  <c:v>5.1544570465376802</c:v>
                </c:pt>
                <c:pt idx="305">
                  <c:v>5.1970644535755932</c:v>
                </c:pt>
                <c:pt idx="306">
                  <c:v>5.2323974252655692</c:v>
                </c:pt>
                <c:pt idx="307">
                  <c:v>5.27479699129354</c:v>
                </c:pt>
                <c:pt idx="308">
                  <c:v>5.3171965573215116</c:v>
                </c:pt>
                <c:pt idx="309">
                  <c:v>5.3560628261804855</c:v>
                </c:pt>
                <c:pt idx="310">
                  <c:v>5.3913957978704605</c:v>
                </c:pt>
                <c:pt idx="311">
                  <c:v>5.4267287695604374</c:v>
                </c:pt>
                <c:pt idx="312">
                  <c:v>5.4691283355884073</c:v>
                </c:pt>
                <c:pt idx="313">
                  <c:v>5.5115279016163798</c:v>
                </c:pt>
                <c:pt idx="314">
                  <c:v>5.5576686058232889</c:v>
                </c:pt>
                <c:pt idx="315">
                  <c:v>5.6000681718512606</c:v>
                </c:pt>
                <c:pt idx="316">
                  <c:v>5.6424677378792323</c:v>
                </c:pt>
                <c:pt idx="317">
                  <c:v>5.6884006010762009</c:v>
                </c:pt>
                <c:pt idx="318">
                  <c:v>5.7343334642731687</c:v>
                </c:pt>
                <c:pt idx="319">
                  <c:v>5.7767330303011404</c:v>
                </c:pt>
                <c:pt idx="320">
                  <c:v>5.8226658934981099</c:v>
                </c:pt>
                <c:pt idx="321">
                  <c:v>5.8650654595260807</c:v>
                </c:pt>
                <c:pt idx="322">
                  <c:v>5.9112061637329916</c:v>
                </c:pt>
                <c:pt idx="323">
                  <c:v>5.9571390269299593</c:v>
                </c:pt>
                <c:pt idx="324">
                  <c:v>5.9995385929579319</c:v>
                </c:pt>
                <c:pt idx="325">
                  <c:v>6.0454714561548997</c:v>
                </c:pt>
                <c:pt idx="326">
                  <c:v>6.0914043193518683</c:v>
                </c:pt>
                <c:pt idx="327">
                  <c:v>6.1373371825488379</c:v>
                </c:pt>
                <c:pt idx="328">
                  <c:v>6.1832700457458065</c:v>
                </c:pt>
                <c:pt idx="329">
                  <c:v>6.2292029089427752</c:v>
                </c:pt>
                <c:pt idx="330">
                  <c:v>6.278876910318683</c:v>
                </c:pt>
                <c:pt idx="331">
                  <c:v>6.3283430706846486</c:v>
                </c:pt>
                <c:pt idx="332">
                  <c:v>6.3742759338816182</c:v>
                </c:pt>
                <c:pt idx="333">
                  <c:v>6.4237420942475838</c:v>
                </c:pt>
                <c:pt idx="334">
                  <c:v>6.480274848951546</c:v>
                </c:pt>
                <c:pt idx="335">
                  <c:v>6.5368076036555074</c:v>
                </c:pt>
                <c:pt idx="336">
                  <c:v>6.5862737640214739</c:v>
                </c:pt>
                <c:pt idx="337">
                  <c:v>6.6430143597353775</c:v>
                </c:pt>
                <c:pt idx="338">
                  <c:v>6.6924805201013431</c:v>
                </c:pt>
                <c:pt idx="339">
                  <c:v>6.7419466804673096</c:v>
                </c:pt>
                <c:pt idx="340">
                  <c:v>6.7914128408332752</c:v>
                </c:pt>
                <c:pt idx="341">
                  <c:v>6.8408790011992426</c:v>
                </c:pt>
                <c:pt idx="342">
                  <c:v>6.8903451615652092</c:v>
                </c:pt>
                <c:pt idx="343">
                  <c:v>6.9398113219311748</c:v>
                </c:pt>
                <c:pt idx="344">
                  <c:v>6.9930186204760805</c:v>
                </c:pt>
                <c:pt idx="345">
                  <c:v>7.0424847808420461</c:v>
                </c:pt>
                <c:pt idx="346">
                  <c:v>7.0919509412080144</c:v>
                </c:pt>
                <c:pt idx="347">
                  <c:v>7.1449503987429779</c:v>
                </c:pt>
                <c:pt idx="348">
                  <c:v>7.1944165591089435</c:v>
                </c:pt>
                <c:pt idx="349">
                  <c:v>7.2474160166439079</c:v>
                </c:pt>
                <c:pt idx="350">
                  <c:v>7.3074820685168671</c:v>
                </c:pt>
                <c:pt idx="351">
                  <c:v>7.3712892585687655</c:v>
                </c:pt>
                <c:pt idx="352">
                  <c:v>7.4348886076107226</c:v>
                </c:pt>
                <c:pt idx="353">
                  <c:v>7.4984879566526788</c:v>
                </c:pt>
                <c:pt idx="354">
                  <c:v>7.5585540085256389</c:v>
                </c:pt>
                <c:pt idx="355">
                  <c:v>7.622153357567595</c:v>
                </c:pt>
                <c:pt idx="356">
                  <c:v>7.685752706609553</c:v>
                </c:pt>
                <c:pt idx="357">
                  <c:v>7.7495598966614505</c:v>
                </c:pt>
                <c:pt idx="358">
                  <c:v>7.8060926513654119</c:v>
                </c:pt>
                <c:pt idx="359">
                  <c:v>7.8732252975763659</c:v>
                </c:pt>
                <c:pt idx="360">
                  <c:v>7.936824646618323</c:v>
                </c:pt>
                <c:pt idx="361">
                  <c:v>8.0004239956602792</c:v>
                </c:pt>
                <c:pt idx="362">
                  <c:v>8.0571645913741836</c:v>
                </c:pt>
                <c:pt idx="363">
                  <c:v>8.1207639404161398</c:v>
                </c:pt>
                <c:pt idx="364">
                  <c:v>8.1772966951201003</c:v>
                </c:pt>
                <c:pt idx="365">
                  <c:v>8.2408960441620582</c:v>
                </c:pt>
                <c:pt idx="366">
                  <c:v>8.3080286903730123</c:v>
                </c:pt>
                <c:pt idx="367">
                  <c:v>8.3751613365839663</c:v>
                </c:pt>
                <c:pt idx="368">
                  <c:v>8.4425018238048626</c:v>
                </c:pt>
                <c:pt idx="369">
                  <c:v>8.5096344700158166</c:v>
                </c:pt>
                <c:pt idx="370">
                  <c:v>8.5767671162267725</c:v>
                </c:pt>
                <c:pt idx="371">
                  <c:v>8.6438997624377247</c:v>
                </c:pt>
                <c:pt idx="372">
                  <c:v>8.7110324086486806</c:v>
                </c:pt>
                <c:pt idx="373">
                  <c:v>8.778372895869575</c:v>
                </c:pt>
                <c:pt idx="374">
                  <c:v>8.8455055420805291</c:v>
                </c:pt>
                <c:pt idx="375">
                  <c:v>8.9126381882914849</c:v>
                </c:pt>
                <c:pt idx="376">
                  <c:v>8.9797708345024407</c:v>
                </c:pt>
                <c:pt idx="377">
                  <c:v>9.0504367778823909</c:v>
                </c:pt>
                <c:pt idx="378">
                  <c:v>9.1283771566102789</c:v>
                </c:pt>
                <c:pt idx="379">
                  <c:v>9.1990430999902326</c:v>
                </c:pt>
                <c:pt idx="380">
                  <c:v>9.2697090433701828</c:v>
                </c:pt>
                <c:pt idx="381">
                  <c:v>9.3403749867501347</c:v>
                </c:pt>
                <c:pt idx="382">
                  <c:v>9.4181075244680823</c:v>
                </c:pt>
                <c:pt idx="383">
                  <c:v>9.4889813088579764</c:v>
                </c:pt>
                <c:pt idx="384">
                  <c:v>9.5702471437449219</c:v>
                </c:pt>
                <c:pt idx="385">
                  <c:v>9.6479796814628678</c:v>
                </c:pt>
                <c:pt idx="386">
                  <c:v>9.7186456248428215</c:v>
                </c:pt>
                <c:pt idx="387">
                  <c:v>9.7893115682227716</c:v>
                </c:pt>
                <c:pt idx="388">
                  <c:v>9.8601853526126675</c:v>
                </c:pt>
                <c:pt idx="389">
                  <c:v>9.9308512959926176</c:v>
                </c:pt>
                <c:pt idx="390">
                  <c:v>10.00151723937257</c:v>
                </c:pt>
                <c:pt idx="391">
                  <c:v>10.086316371428513</c:v>
                </c:pt>
                <c:pt idx="392">
                  <c:v>10.171115503484454</c:v>
                </c:pt>
                <c:pt idx="393">
                  <c:v>10.256122476550336</c:v>
                </c:pt>
                <c:pt idx="394">
                  <c:v>10.337388311437282</c:v>
                </c:pt>
                <c:pt idx="395">
                  <c:v>10.422187443493225</c:v>
                </c:pt>
                <c:pt idx="396">
                  <c:v>10.506986575549167</c:v>
                </c:pt>
                <c:pt idx="397">
                  <c:v>10.591993548615051</c:v>
                </c:pt>
                <c:pt idx="398">
                  <c:v>10.676792680670996</c:v>
                </c:pt>
                <c:pt idx="399">
                  <c:v>10.761591812726936</c:v>
                </c:pt>
                <c:pt idx="400">
                  <c:v>10.846390944782879</c:v>
                </c:pt>
                <c:pt idx="401">
                  <c:v>10.934931215017761</c:v>
                </c:pt>
                <c:pt idx="402">
                  <c:v>11.019730347073704</c:v>
                </c:pt>
                <c:pt idx="403">
                  <c:v>11.108062776298643</c:v>
                </c:pt>
                <c:pt idx="404">
                  <c:v>11.192861908354583</c:v>
                </c:pt>
                <c:pt idx="405">
                  <c:v>11.281402178589465</c:v>
                </c:pt>
                <c:pt idx="406">
                  <c:v>11.369734607814404</c:v>
                </c:pt>
                <c:pt idx="407">
                  <c:v>11.458067037039346</c:v>
                </c:pt>
                <c:pt idx="408">
                  <c:v>11.546399466264285</c:v>
                </c:pt>
                <c:pt idx="409">
                  <c:v>11.638473033668166</c:v>
                </c:pt>
                <c:pt idx="410">
                  <c:v>11.726805462893106</c:v>
                </c:pt>
                <c:pt idx="411">
                  <c:v>11.818671189287043</c:v>
                </c:pt>
                <c:pt idx="412">
                  <c:v>11.91053691568098</c:v>
                </c:pt>
                <c:pt idx="413">
                  <c:v>12.00261048308486</c:v>
                </c:pt>
                <c:pt idx="414">
                  <c:v>12.098009506647795</c:v>
                </c:pt>
                <c:pt idx="415">
                  <c:v>12.189875233041732</c:v>
                </c:pt>
                <c:pt idx="416">
                  <c:v>12.285274256604668</c:v>
                </c:pt>
                <c:pt idx="417">
                  <c:v>12.377347824008547</c:v>
                </c:pt>
                <c:pt idx="418">
                  <c:v>12.472746847571482</c:v>
                </c:pt>
                <c:pt idx="419">
                  <c:v>12.568145871134417</c:v>
                </c:pt>
                <c:pt idx="420">
                  <c:v>12.663544894697351</c:v>
                </c:pt>
                <c:pt idx="421">
                  <c:v>12.759151759270228</c:v>
                </c:pt>
                <c:pt idx="422">
                  <c:v>12.868683971509153</c:v>
                </c:pt>
                <c:pt idx="423">
                  <c:v>12.974682886579082</c:v>
                </c:pt>
                <c:pt idx="424">
                  <c:v>13.084422939827949</c:v>
                </c:pt>
                <c:pt idx="425">
                  <c:v>13.193955152066874</c:v>
                </c:pt>
                <c:pt idx="426">
                  <c:v>13.303487364305802</c:v>
                </c:pt>
                <c:pt idx="427">
                  <c:v>13.402419685037733</c:v>
                </c:pt>
                <c:pt idx="428">
                  <c:v>13.5121597382866</c:v>
                </c:pt>
                <c:pt idx="429">
                  <c:v>13.621691950525525</c:v>
                </c:pt>
                <c:pt idx="430">
                  <c:v>13.73122416276445</c:v>
                </c:pt>
                <c:pt idx="431">
                  <c:v>13.840964216013321</c:v>
                </c:pt>
                <c:pt idx="432">
                  <c:v>13.946963131083246</c:v>
                </c:pt>
                <c:pt idx="433">
                  <c:v>14.056495343322171</c:v>
                </c:pt>
                <c:pt idx="434">
                  <c:v>14.166235396571039</c:v>
                </c:pt>
                <c:pt idx="435">
                  <c:v>14.275767608809964</c:v>
                </c:pt>
                <c:pt idx="436">
                  <c:v>14.385299821048891</c:v>
                </c:pt>
                <c:pt idx="437">
                  <c:v>14.495039874297756</c:v>
                </c:pt>
                <c:pt idx="438">
                  <c:v>14.608105383705681</c:v>
                </c:pt>
                <c:pt idx="439">
                  <c:v>14.731770784620597</c:v>
                </c:pt>
                <c:pt idx="440">
                  <c:v>14.855644026545454</c:v>
                </c:pt>
                <c:pt idx="441">
                  <c:v>14.97930942746037</c:v>
                </c:pt>
                <c:pt idx="442">
                  <c:v>15.092374936868293</c:v>
                </c:pt>
                <c:pt idx="443">
                  <c:v>15.205440446276217</c:v>
                </c:pt>
                <c:pt idx="444">
                  <c:v>15.31871379669408</c:v>
                </c:pt>
                <c:pt idx="445">
                  <c:v>15.435312603271003</c:v>
                </c:pt>
                <c:pt idx="446">
                  <c:v>15.558978004185919</c:v>
                </c:pt>
                <c:pt idx="447">
                  <c:v>15.686384543279773</c:v>
                </c:pt>
                <c:pt idx="448">
                  <c:v>15.813583241363688</c:v>
                </c:pt>
                <c:pt idx="449">
                  <c:v>15.944523077626538</c:v>
                </c:pt>
                <c:pt idx="450">
                  <c:v>16.075255072879454</c:v>
                </c:pt>
                <c:pt idx="451">
                  <c:v>16.205987068132362</c:v>
                </c:pt>
                <c:pt idx="452">
                  <c:v>16.326327012888221</c:v>
                </c:pt>
                <c:pt idx="453">
                  <c:v>16.457059008141133</c:v>
                </c:pt>
                <c:pt idx="454">
                  <c:v>16.591324300563041</c:v>
                </c:pt>
                <c:pt idx="455">
                  <c:v>16.722264136825896</c:v>
                </c:pt>
                <c:pt idx="456">
                  <c:v>16.8600627264168</c:v>
                </c:pt>
                <c:pt idx="457">
                  <c:v>16.994328018838708</c:v>
                </c:pt>
                <c:pt idx="458">
                  <c:v>17.128801152270558</c:v>
                </c:pt>
                <c:pt idx="459">
                  <c:v>17.266599741861466</c:v>
                </c:pt>
                <c:pt idx="460">
                  <c:v>17.404606172462316</c:v>
                </c:pt>
                <c:pt idx="461">
                  <c:v>17.542404762053216</c:v>
                </c:pt>
                <c:pt idx="462">
                  <c:v>17.680203351644124</c:v>
                </c:pt>
                <c:pt idx="463">
                  <c:v>17.818209782244974</c:v>
                </c:pt>
                <c:pt idx="464">
                  <c:v>17.956008371835878</c:v>
                </c:pt>
                <c:pt idx="465">
                  <c:v>18.094014802436728</c:v>
                </c:pt>
                <c:pt idx="466">
                  <c:v>18.235346689196632</c:v>
                </c:pt>
                <c:pt idx="467">
                  <c:v>18.387278467463528</c:v>
                </c:pt>
                <c:pt idx="468">
                  <c:v>18.528818195233374</c:v>
                </c:pt>
                <c:pt idx="469">
                  <c:v>18.680749973500269</c:v>
                </c:pt>
                <c:pt idx="470">
                  <c:v>18.832889592777111</c:v>
                </c:pt>
                <c:pt idx="471">
                  <c:v>18.984821371044006</c:v>
                </c:pt>
                <c:pt idx="472">
                  <c:v>19.140286446479902</c:v>
                </c:pt>
                <c:pt idx="473">
                  <c:v>19.292426065756739</c:v>
                </c:pt>
                <c:pt idx="474">
                  <c:v>19.447891141192635</c:v>
                </c:pt>
                <c:pt idx="475">
                  <c:v>19.600030760469469</c:v>
                </c:pt>
                <c:pt idx="476">
                  <c:v>19.755495835905364</c:v>
                </c:pt>
                <c:pt idx="477">
                  <c:v>19.911168752351202</c:v>
                </c:pt>
                <c:pt idx="478">
                  <c:v>20.066633827787097</c:v>
                </c:pt>
                <c:pt idx="479">
                  <c:v>20.222306744232935</c:v>
                </c:pt>
                <c:pt idx="480">
                  <c:v>20.377771819668826</c:v>
                </c:pt>
                <c:pt idx="481">
                  <c:v>20.536770192273718</c:v>
                </c:pt>
                <c:pt idx="482">
                  <c:v>20.692443108719555</c:v>
                </c:pt>
                <c:pt idx="483">
                  <c:v>20.863080577881142</c:v>
                </c:pt>
                <c:pt idx="484">
                  <c:v>21.031431795933379</c:v>
                </c:pt>
                <c:pt idx="485">
                  <c:v>21.20601824428385</c:v>
                </c:pt>
                <c:pt idx="486">
                  <c:v>21.37852628253491</c:v>
                </c:pt>
                <c:pt idx="487">
                  <c:v>21.551034320785973</c:v>
                </c:pt>
                <c:pt idx="488">
                  <c:v>21.725620769136441</c:v>
                </c:pt>
                <c:pt idx="489">
                  <c:v>21.898128807387497</c:v>
                </c:pt>
                <c:pt idx="490">
                  <c:v>22.07063684563856</c:v>
                </c:pt>
                <c:pt idx="491">
                  <c:v>22.245223293989028</c:v>
                </c:pt>
                <c:pt idx="492">
                  <c:v>22.42188815243891</c:v>
                </c:pt>
                <c:pt idx="493">
                  <c:v>22.598553010888789</c:v>
                </c:pt>
                <c:pt idx="494">
                  <c:v>22.777296279438083</c:v>
                </c:pt>
                <c:pt idx="495">
                  <c:v>22.956039547987373</c:v>
                </c:pt>
                <c:pt idx="496">
                  <c:v>23.13478281653666</c:v>
                </c:pt>
                <c:pt idx="497">
                  <c:v>23.315604495185362</c:v>
                </c:pt>
                <c:pt idx="498">
                  <c:v>23.498504583933471</c:v>
                </c:pt>
                <c:pt idx="499">
                  <c:v>23.679326262582176</c:v>
                </c:pt>
                <c:pt idx="500">
                  <c:v>23.87469681192675</c:v>
                </c:pt>
                <c:pt idx="501">
                  <c:v>24.072145771370735</c:v>
                </c:pt>
                <c:pt idx="502">
                  <c:v>24.267516320715306</c:v>
                </c:pt>
                <c:pt idx="503">
                  <c:v>24.460808459960472</c:v>
                </c:pt>
                <c:pt idx="504">
                  <c:v>24.652022189106219</c:v>
                </c:pt>
                <c:pt idx="505">
                  <c:v>24.847392738450797</c:v>
                </c:pt>
                <c:pt idx="506">
                  <c:v>25.036528057497137</c:v>
                </c:pt>
                <c:pt idx="507">
                  <c:v>25.227741786642891</c:v>
                </c:pt>
                <c:pt idx="508">
                  <c:v>25.418955515788642</c:v>
                </c:pt>
                <c:pt idx="509">
                  <c:v>25.626796525729677</c:v>
                </c:pt>
                <c:pt idx="510">
                  <c:v>25.836715945770123</c:v>
                </c:pt>
                <c:pt idx="511">
                  <c:v>26.044556955711155</c:v>
                </c:pt>
                <c:pt idx="512">
                  <c:v>26.250319555552785</c:v>
                </c:pt>
                <c:pt idx="513">
                  <c:v>26.45816056549382</c:v>
                </c:pt>
                <c:pt idx="514">
                  <c:v>26.663923165335447</c:v>
                </c:pt>
                <c:pt idx="515">
                  <c:v>26.875920995475301</c:v>
                </c:pt>
                <c:pt idx="516">
                  <c:v>27.083762005416332</c:v>
                </c:pt>
                <c:pt idx="517">
                  <c:v>27.293681425456786</c:v>
                </c:pt>
                <c:pt idx="518">
                  <c:v>27.516071306093693</c:v>
                </c:pt>
                <c:pt idx="519">
                  <c:v>27.732225956432366</c:v>
                </c:pt>
                <c:pt idx="520">
                  <c:v>27.946302196671631</c:v>
                </c:pt>
                <c:pt idx="521">
                  <c:v>28.158300026811489</c:v>
                </c:pt>
                <c:pt idx="522">
                  <c:v>28.384846727647219</c:v>
                </c:pt>
                <c:pt idx="523">
                  <c:v>28.607236608284129</c:v>
                </c:pt>
                <c:pt idx="524">
                  <c:v>28.827548078821625</c:v>
                </c:pt>
                <c:pt idx="525">
                  <c:v>29.045781139259709</c:v>
                </c:pt>
                <c:pt idx="526">
                  <c:v>29.282719890592492</c:v>
                </c:pt>
                <c:pt idx="527">
                  <c:v>29.513423411627041</c:v>
                </c:pt>
                <c:pt idx="528">
                  <c:v>29.746205342761002</c:v>
                </c:pt>
                <c:pt idx="529">
                  <c:v>29.978987273894962</c:v>
                </c:pt>
                <c:pt idx="530">
                  <c:v>30.21384761512833</c:v>
                </c:pt>
                <c:pt idx="531">
                  <c:v>30.461178416958159</c:v>
                </c:pt>
                <c:pt idx="532">
                  <c:v>30.708509218787995</c:v>
                </c:pt>
                <c:pt idx="533">
                  <c:v>30.951683200419009</c:v>
                </c:pt>
                <c:pt idx="534">
                  <c:v>31.199014002248838</c:v>
                </c:pt>
                <c:pt idx="535">
                  <c:v>31.444266393979262</c:v>
                </c:pt>
                <c:pt idx="536">
                  <c:v>31.687440375610269</c:v>
                </c:pt>
                <c:pt idx="537">
                  <c:v>31.949320048135977</c:v>
                </c:pt>
                <c:pt idx="538">
                  <c:v>32.207042900462859</c:v>
                </c:pt>
                <c:pt idx="539">
                  <c:v>32.468922572988568</c:v>
                </c:pt>
                <c:pt idx="540">
                  <c:v>32.722488605116631</c:v>
                </c:pt>
                <c:pt idx="541">
                  <c:v>32.982289867542924</c:v>
                </c:pt>
                <c:pt idx="542">
                  <c:v>33.24001271986981</c:v>
                </c:pt>
                <c:pt idx="543">
                  <c:v>33.493578751997873</c:v>
                </c:pt>
                <c:pt idx="544">
                  <c:v>33.765850475020628</c:v>
                </c:pt>
                <c:pt idx="545">
                  <c:v>34.042279018242212</c:v>
                </c:pt>
                <c:pt idx="546">
                  <c:v>34.316629151364374</c:v>
                </c:pt>
                <c:pt idx="547">
                  <c:v>34.578508823890076</c:v>
                </c:pt>
                <c:pt idx="548">
                  <c:v>34.861172597409883</c:v>
                </c:pt>
                <c:pt idx="549">
                  <c:v>35.141757960830283</c:v>
                </c:pt>
                <c:pt idx="550">
                  <c:v>35.420264914151275</c:v>
                </c:pt>
                <c:pt idx="551">
                  <c:v>35.702928687671083</c:v>
                </c:pt>
                <c:pt idx="552">
                  <c:v>35.97935723089266</c:v>
                </c:pt>
                <c:pt idx="553">
                  <c:v>36.266177824611283</c:v>
                </c:pt>
                <c:pt idx="554">
                  <c:v>36.552998418329913</c:v>
                </c:pt>
                <c:pt idx="555">
                  <c:v>36.835662191849721</c:v>
                </c:pt>
                <c:pt idx="556">
                  <c:v>37.120404375468937</c:v>
                </c:pt>
                <c:pt idx="557">
                  <c:v>37.41761701968462</c:v>
                </c:pt>
                <c:pt idx="558">
                  <c:v>37.714829663900304</c:v>
                </c:pt>
                <c:pt idx="559">
                  <c:v>38.016199128314803</c:v>
                </c:pt>
                <c:pt idx="560">
                  <c:v>38.319647002828717</c:v>
                </c:pt>
                <c:pt idx="561">
                  <c:v>38.627251697541446</c:v>
                </c:pt>
                <c:pt idx="562">
                  <c:v>38.93069957205536</c:v>
                </c:pt>
                <c:pt idx="563">
                  <c:v>39.236225856668682</c:v>
                </c:pt>
                <c:pt idx="564">
                  <c:v>39.550065781679642</c:v>
                </c:pt>
                <c:pt idx="565">
                  <c:v>39.857670476392379</c:v>
                </c:pt>
                <c:pt idx="566">
                  <c:v>40.169431991303938</c:v>
                </c:pt>
                <c:pt idx="567">
                  <c:v>40.479115096116075</c:v>
                </c:pt>
                <c:pt idx="568">
                  <c:v>40.79503343122645</c:v>
                </c:pt>
                <c:pt idx="569">
                  <c:v>41.073540384547435</c:v>
                </c:pt>
                <c:pt idx="570">
                  <c:v>40.50821283750782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E13-4202-842D-7AEA35D6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329800"/>
        <c:axId val="2055335944"/>
      </c:lineChart>
      <c:catAx>
        <c:axId val="2055329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Deformação (mm/mm)</a:t>
                </a:r>
              </a:p>
            </c:rich>
          </c:tx>
          <c:layout>
            <c:manualLayout>
              <c:xMode val="edge"/>
              <c:yMode val="edge"/>
              <c:x val="0.43420657929592066"/>
              <c:y val="0.91123423359718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335944"/>
        <c:crosses val="autoZero"/>
        <c:auto val="1"/>
        <c:lblAlgn val="ctr"/>
        <c:lblOffset val="50"/>
        <c:tickLblSkip val="50"/>
        <c:noMultiLvlLbl val="0"/>
      </c:catAx>
      <c:valAx>
        <c:axId val="205533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Tensão (Mpa)</a:t>
                </a:r>
              </a:p>
            </c:rich>
          </c:tx>
          <c:layout>
            <c:manualLayout>
              <c:xMode val="edge"/>
              <c:yMode val="edge"/>
              <c:x val="5.0404779639459531E-2"/>
              <c:y val="0.34108394929239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32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22412</xdr:colOff>
      <xdr:row>6</xdr:row>
      <xdr:rowOff>8966</xdr:rowOff>
    </xdr:from>
    <xdr:to>
      <xdr:col>11</xdr:col>
      <xdr:colOff>345142</xdr:colOff>
      <xdr:row>21</xdr:row>
      <xdr:rowOff>62754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2F0E3F-557B-B328-A2A2-7780387D6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14287</xdr:rowOff>
    </xdr:from>
    <xdr:to>
      <xdr:col>13</xdr:col>
      <xdr:colOff>381000</xdr:colOff>
      <xdr:row>20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FE59CB-FE7B-CCB2-2A38-51DF282ED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14287</xdr:rowOff>
    </xdr:from>
    <xdr:to>
      <xdr:col>12</xdr:col>
      <xdr:colOff>133350</xdr:colOff>
      <xdr:row>20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14744E-57F3-791F-36B1-C564EE2A2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133350</xdr:colOff>
      <xdr:row>20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7BEA95-069E-4A28-A651-1A56A9FC2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133350</xdr:colOff>
      <xdr:row>20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7DC877-A0FA-4636-BF5D-F12F29941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146684</xdr:colOff>
      <xdr:row>1</xdr:row>
      <xdr:rowOff>74294</xdr:rowOff>
    </xdr:from>
    <xdr:to>
      <xdr:col>18</xdr:col>
      <xdr:colOff>107234</xdr:colOff>
      <xdr:row>21</xdr:row>
      <xdr:rowOff>22859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7AD6B9C1-5EFF-0C85-1A99-9D1C679E0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7C609C-D79F-4C10-AA6C-F93A3C97A119}" name="Tabela1" displayName="Tabela1" ref="A1:F593" totalsRowShown="0" headerRowDxfId="70" dataDxfId="69">
  <autoFilter ref="A1:F593" xr:uid="{9C7C609C-D79F-4C10-AA6C-F93A3C97A119}"/>
  <tableColumns count="6">
    <tableColumn id="1" xr3:uid="{2C970BA5-9EC6-42CA-8F84-67AE5F467ED2}" name="Tempo (s)" dataDxfId="68"/>
    <tableColumn id="2" xr3:uid="{FA4AAFDD-502F-4FCB-933C-F0EEFE38080E}" name="Alongamento (mm/mm)" dataDxfId="67"/>
    <tableColumn id="7" xr3:uid="{86A6CC50-ED4E-9A47-A5D4-A97CD41AFC75}" name="Deformação(mm/mm)" dataDxfId="66">
      <calculatedColumnFormula>Tabela1[[#This Row],[Alongamento (mm/mm)]]/$I$2</calculatedColumnFormula>
    </tableColumn>
    <tableColumn id="3" xr3:uid="{5CB90963-2499-4A55-8854-8CEDFED30A30}" name="Força (N)" dataDxfId="65"/>
    <tableColumn id="4" xr3:uid="{5A8990A0-A3AC-4A73-B794-02B44FACE80F}" name="Tensão (Pa)" dataDxfId="64">
      <calculatedColumnFormula>Tabela1[[#This Row],[Força (N)]]/$I$5</calculatedColumnFormula>
    </tableColumn>
    <tableColumn id="6" xr3:uid="{99EDFD6E-C777-4170-AA0A-113944DD8F58}" name="Tensão (MPa)" dataDxfId="63">
      <calculatedColumnFormula>Tabela1[[#This Row],[Tensão (Pa)]]/1000000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6A8D6F-962C-42C4-93B7-2CEB0D2E6E78}" name="Tabela24" displayName="Tabela24" ref="H1:K3" totalsRowShown="0" headerRowDxfId="62" dataDxfId="61">
  <autoFilter ref="H1:K3" xr:uid="{5B6A8D6F-962C-42C4-93B7-2CEB0D2E6E78}"/>
  <tableColumns count="4">
    <tableColumn id="1" xr3:uid="{50FB6C0E-FF3A-409B-925D-5EC392AD93EE}" name="Unidade" dataDxfId="60"/>
    <tableColumn id="2" xr3:uid="{38C2B46B-527A-46C6-BCB3-6386F8D492DE}" name="Comprimento" dataDxfId="59">
      <calculatedColumnFormula>I1/100</calculatedColumnFormula>
    </tableColumn>
    <tableColumn id="3" xr3:uid="{DC4DA515-AB08-4604-BEF5-459106073B2F}" name="Largura" dataDxfId="58">
      <calculatedColumnFormula>J1/100</calculatedColumnFormula>
    </tableColumn>
    <tableColumn id="4" xr3:uid="{D5C91A43-E8CE-4F42-961D-778E438EA7CC}" name="Espessura" dataDxfId="57">
      <calculatedColumnFormula>K1/100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505049-8DB0-4F5C-A31F-43F9729E9019}" name="Tabela13" displayName="Tabela13" ref="A1:F625" totalsRowShown="0" headerRowDxfId="56" dataDxfId="55">
  <autoFilter ref="A1:F625" xr:uid="{70505049-8DB0-4F5C-A31F-43F9729E9019}"/>
  <tableColumns count="6">
    <tableColumn id="1" xr3:uid="{B0F5B30C-B202-44B8-A735-1E622003E888}" name="Tempo (s)" dataDxfId="54"/>
    <tableColumn id="2" xr3:uid="{717F7798-3E18-4DFC-8A7A-34BD66AC4BE4}" name="Alongamento (mm/mm)" dataDxfId="53"/>
    <tableColumn id="6" xr3:uid="{A7B3F850-2C93-4F59-AF73-1DCD6C8571F7}" name="Deformação(mm/mm)" dataDxfId="52">
      <calculatedColumnFormula>Tabela13[[#This Row],[Alongamento (mm/mm)]]/$I$2</calculatedColumnFormula>
    </tableColumn>
    <tableColumn id="3" xr3:uid="{B6F0ABC6-A280-4D05-AEC1-24E752A17873}" name="Força (N)" dataDxfId="51"/>
    <tableColumn id="4" xr3:uid="{80040826-D344-4E79-B1F0-011E72A146A7}" name="Tensão (Pa)" dataDxfId="50">
      <calculatedColumnFormula>Tabela13[[#This Row],[Força (N)]]/$I$5</calculatedColumnFormula>
    </tableColumn>
    <tableColumn id="5" xr3:uid="{F5DC9BAD-D45F-406F-9FC0-AD31197D3CE3}" name="Tensão (MPa)" dataDxfId="49">
      <calculatedColumnFormula>Tabela13[[#This Row],[Tensão (Pa)]]/1000000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2F754D-F34E-4FA4-85A5-1832B128A5F3}" name="Tabela2" displayName="Tabela2" ref="H1:K3" totalsRowShown="0" headerRowDxfId="48" dataDxfId="47">
  <autoFilter ref="H1:K3" xr:uid="{E22F754D-F34E-4FA4-85A5-1832B128A5F3}"/>
  <tableColumns count="4">
    <tableColumn id="1" xr3:uid="{E4D1C480-5C75-4DBE-A169-64451439B951}" name="Unidade" dataDxfId="46"/>
    <tableColumn id="2" xr3:uid="{E92BB1CF-A93A-4AAC-ADB0-4F499994951E}" name="Comprimento" dataDxfId="45">
      <calculatedColumnFormula>I1/100</calculatedColumnFormula>
    </tableColumn>
    <tableColumn id="3" xr3:uid="{0503F7D9-0A2B-46AB-B222-4F04DC20C679}" name="Largura" dataDxfId="44">
      <calculatedColumnFormula>J1/100</calculatedColumnFormula>
    </tableColumn>
    <tableColumn id="4" xr3:uid="{65530ADD-22D8-4129-8C3F-12AB88859035}" name="Espessura" dataDxfId="43">
      <calculatedColumnFormula>K1/100</calculatedColumnFormula>
    </tableColumn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30FB82-41E2-4D8C-8FA6-21C492D3E106}" name="Tabela15" displayName="Tabela15" ref="A1:F853" totalsRowShown="0" headerRowDxfId="42" dataDxfId="41">
  <autoFilter ref="A1:F853" xr:uid="{0D30FB82-41E2-4D8C-8FA6-21C492D3E106}"/>
  <tableColumns count="6">
    <tableColumn id="1" xr3:uid="{77446ADE-C41C-4DAA-A84A-2BD7EB325780}" name="Tempo(s)" dataDxfId="40"/>
    <tableColumn id="2" xr3:uid="{9DAF5627-AE71-4A34-8BC1-7A584CA670E7}" name="Alongamento (mm/mm)" dataDxfId="39"/>
    <tableColumn id="6" xr3:uid="{395B6396-490E-4A08-AB47-C2DDD0DC8178}" name="Deformação(mm/mm)2" dataDxfId="38">
      <calculatedColumnFormula>Tabela15[[#This Row],[Alongamento (mm/mm)]]/$I$2</calculatedColumnFormula>
    </tableColumn>
    <tableColumn id="3" xr3:uid="{26FD9B9D-392E-466B-8F63-31126C74F642}" name="Força (N)" dataDxfId="37"/>
    <tableColumn id="4" xr3:uid="{7498BD18-9194-4C59-92A6-1684AF93574A}" name="Tensão (Pa)" dataDxfId="36">
      <calculatedColumnFormula>Tabela15[[#This Row],[Força (N)]]/$I$5</calculatedColumnFormula>
    </tableColumn>
    <tableColumn id="5" xr3:uid="{94B4CE6A-B988-482D-BA71-BF06C2AFB770}" name="Tensão (MPa)" dataDxfId="35">
      <calculatedColumnFormula>Tabela15[[#This Row],[Tensão (Pa)]]/1000000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C86005-BAE5-4D6D-AEF3-38AEA96FCB87}" name="Tabela27" displayName="Tabela27" ref="H1:K3" totalsRowShown="0" headerRowDxfId="34" dataDxfId="33">
  <autoFilter ref="H1:K3" xr:uid="{06C86005-BAE5-4D6D-AEF3-38AEA96FCB87}"/>
  <tableColumns count="4">
    <tableColumn id="1" xr3:uid="{69F06AAF-218F-434D-9819-5942E4D766A2}" name="Unidade" dataDxfId="32"/>
    <tableColumn id="2" xr3:uid="{8BD5B240-44DC-4829-BE00-588412570FEE}" name="Comprimento" dataDxfId="31">
      <calculatedColumnFormula>I1/100</calculatedColumnFormula>
    </tableColumn>
    <tableColumn id="3" xr3:uid="{AD2BB2BE-FED1-43A5-9229-19487868AA7B}" name="Largura" dataDxfId="30">
      <calculatedColumnFormula>J1/100</calculatedColumnFormula>
    </tableColumn>
    <tableColumn id="4" xr3:uid="{9E65C82A-E8EF-46DE-A123-2F1C219DEE37}" name="Espessura" dataDxfId="29">
      <calculatedColumnFormula>K1/100</calculatedColumnFormula>
    </tableColumn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37907F-DDD3-47DC-9D5A-CDFDCF880CD8}" name="Tabela18" displayName="Tabela18" ref="A1:F648" totalsRowShown="0" headerRowDxfId="28" dataDxfId="27">
  <autoFilter ref="A1:F648" xr:uid="{2E37907F-DDD3-47DC-9D5A-CDFDCF880CD8}"/>
  <tableColumns count="6">
    <tableColumn id="1" xr3:uid="{E3AF9B9F-0E1B-4FAD-8FB7-69F6B98804B7}" name="Tempo (s)" dataDxfId="26"/>
    <tableColumn id="2" xr3:uid="{85F95A9D-1AD3-47E5-A4C6-515983705CA4}" name="Alongamento (mm/mm)" dataDxfId="25"/>
    <tableColumn id="6" xr3:uid="{9045470B-7DE6-4847-A073-9A0240091A7D}" name="Deformação(mm/mm)" dataDxfId="24">
      <calculatedColumnFormula>Tabela18[[#This Row],[Alongamento (mm/mm)]]/$I$2</calculatedColumnFormula>
    </tableColumn>
    <tableColumn id="3" xr3:uid="{24A54255-50DB-415B-A512-07D82F2D1A93}" name="Força (N)" dataDxfId="23"/>
    <tableColumn id="4" xr3:uid="{CDCF8EFF-C5A1-4318-A1EB-573CBDAAA6B3}" name="Tensão (Pa)" dataDxfId="22">
      <calculatedColumnFormula>Tabela18[[#This Row],[Força (N)]]/$I$5</calculatedColumnFormula>
    </tableColumn>
    <tableColumn id="5" xr3:uid="{9A9E92E3-D087-484A-A98C-600C13B84C2A}" name="Tensão (MPa)" dataDxfId="21">
      <calculatedColumnFormula>Tabela18[[#This Row],[Tensão (Pa)]]/1000000</calculatedColumnFormula>
    </tableColumn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B070BE-CDB7-4900-8C53-30941FC6C24F}" name="Tabela279" displayName="Tabela279" ref="H1:K3" totalsRowShown="0" headerRowDxfId="20" dataDxfId="19">
  <autoFilter ref="H1:K3" xr:uid="{AAB070BE-CDB7-4900-8C53-30941FC6C24F}"/>
  <tableColumns count="4">
    <tableColumn id="1" xr3:uid="{F67DB235-8ECB-4412-8CD9-284EEE05EB02}" name="Unidade" dataDxfId="18"/>
    <tableColumn id="2" xr3:uid="{4FB27478-06BF-42DC-9A19-45950CD8C740}" name="Comprimento" dataDxfId="17">
      <calculatedColumnFormula>I1/100</calculatedColumnFormula>
    </tableColumn>
    <tableColumn id="3" xr3:uid="{D966C274-1D3D-441D-A309-E56D38286621}" name="Largura" dataDxfId="16">
      <calculatedColumnFormula>J1/100</calculatedColumnFormula>
    </tableColumn>
    <tableColumn id="4" xr3:uid="{BEAD99E6-5500-4BB6-A000-F9A9D0BC479D}" name="Espessura" dataDxfId="15">
      <calculatedColumnFormula>K1/100</calculatedColumnFormula>
    </tableColumn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48CD0F-12C2-4B97-8EBD-22B3DA4DAEC5}" name="Tabela110" displayName="Tabela110" ref="A1:F572" totalsRowShown="0" headerRowDxfId="14" dataDxfId="13">
  <autoFilter ref="A1:F572" xr:uid="{8348CD0F-12C2-4B97-8EBD-22B3DA4DAEC5}"/>
  <tableColumns count="6">
    <tableColumn id="1" xr3:uid="{D2F8F74E-61D6-45CA-8C79-8958433FDDDC}" name="Tempo (s)" dataDxfId="12"/>
    <tableColumn id="2" xr3:uid="{80B78F16-02D6-4B68-81E3-D952AE7A1802}" name="Alongamento (mm/mm)" dataDxfId="11"/>
    <tableColumn id="6" xr3:uid="{E04B04E1-9971-4565-9DB5-A92D36D8E856}" name="Deformação(mm/mm)" dataDxfId="10">
      <calculatedColumnFormula>Tabela110[[#This Row],[Alongamento (mm/mm)]]/$I$2</calculatedColumnFormula>
    </tableColumn>
    <tableColumn id="3" xr3:uid="{881ED4ED-7EF1-424A-8E94-8F12169043A3}" name="Força (N)" dataDxfId="9"/>
    <tableColumn id="4" xr3:uid="{13454229-BAE7-4162-A4E9-BE44B32F485B}" name="Tensão (Pa)" dataDxfId="8">
      <calculatedColumnFormula>Tabela110[[#This Row],[Força (N)]]/$I$5</calculatedColumnFormula>
    </tableColumn>
    <tableColumn id="5" xr3:uid="{24D3BBD1-55E6-4E54-A023-DDBD53B126F5}" name="Tensão (MPa)" dataDxfId="7">
      <calculatedColumnFormula>Tabela110[[#This Row],[Tensão (Pa)]]/1000000</calculatedColumnFormula>
    </tableColumn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0BBE80-15B2-4A74-B231-37B44E897346}" name="Tabela27911" displayName="Tabela27911" ref="H1:K3" totalsRowShown="0" headerRowDxfId="6" dataDxfId="5">
  <autoFilter ref="H1:K3" xr:uid="{DF0BBE80-15B2-4A74-B231-37B44E897346}"/>
  <tableColumns count="4">
    <tableColumn id="1" xr3:uid="{0DEC88E3-BB91-4659-A3DC-0DFE3FF866CF}" name="Unidade" dataDxfId="4"/>
    <tableColumn id="2" xr3:uid="{5F043D56-AC49-42CA-BEBB-6B09B2E952DC}" name="Comprimento" dataDxfId="3">
      <calculatedColumnFormula>I1/100</calculatedColumnFormula>
    </tableColumn>
    <tableColumn id="3" xr3:uid="{0CF8638D-11A1-4495-B0AF-59D23ABFD790}" name="Largura" dataDxfId="2">
      <calculatedColumnFormula>J1/100</calculatedColumnFormula>
    </tableColumn>
    <tableColumn id="4" xr3:uid="{AAC14A2B-D664-4AEC-8A6F-04ABA43A7812}" name="Espessura" dataDxfId="1">
      <calculatedColumnFormula>K1/100</calculatedColumnFormula>
    </tableColumn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2759D9-9A7C-4B7F-AA12-305222FFE696}" name="Tabela11" displayName="Tabela11" ref="F24:H25" totalsRowShown="0">
  <autoFilter ref="F24:H25" xr:uid="{222759D9-9A7C-4B7F-AA12-305222FFE696}"/>
  <tableColumns count="3">
    <tableColumn id="1" xr3:uid="{C3DF69E4-D136-49E8-8634-0D5EC0E43E07}" name="Desvio Padrão">
      <calculatedColumnFormula>STDEV('A10-1'!F593,'A10-2'!F625,'A10-3'!F513,'A10-4'!F648,'A10-5'!F572)</calculatedColumnFormula>
    </tableColumn>
    <tableColumn id="2" xr3:uid="{06723D33-39E2-4DCF-844C-ECF0BBF0F0EE}" name="Média" dataDxfId="0">
      <calculatedColumnFormula>AVERAGE('A10-1'!F593,'A10-2'!F625,'A10-3'!F513,'A10-4'!F648,'A10-5'!F572)</calculatedColumnFormula>
    </tableColumn>
    <tableColumn id="3" xr3:uid="{9A979BD7-B5F9-4315-816A-4D347A35FBBF}" name="media força maxima">
      <calculatedColumnFormula>AVERAGE('A10-1'!D593,'A10-2'!D625,'A10-3'!D513,'A10-4'!D648,'A10-5'!D572)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FD6A-E575-4EA3-B6A8-1BD2444AB672}">
  <dimension ref="A1:K593"/>
  <sheetViews>
    <sheetView zoomScale="85" zoomScaleNormal="85" workbookViewId="0">
      <selection activeCell="G598" sqref="G598"/>
    </sheetView>
  </sheetViews>
  <sheetFormatPr defaultRowHeight="14.4" x14ac:dyDescent="0.3"/>
  <cols>
    <col min="1" max="1" width="21.88671875" style="1" customWidth="1"/>
    <col min="2" max="3" width="26.33203125" style="1" customWidth="1"/>
    <col min="4" max="5" width="20" style="1" customWidth="1"/>
    <col min="6" max="6" width="17.6640625" style="13" customWidth="1"/>
    <col min="7" max="7" width="13" bestFit="1" customWidth="1"/>
    <col min="8" max="8" width="17.33203125" customWidth="1"/>
    <col min="9" max="9" width="18" bestFit="1" customWidth="1"/>
    <col min="10" max="10" width="12" bestFit="1" customWidth="1"/>
    <col min="11" max="11" width="14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>
        <v>0.78332999999999997</v>
      </c>
      <c r="B2" s="1">
        <v>5.8254E-2</v>
      </c>
      <c r="C2" s="1">
        <f>Tabela1[[#This Row],[Alongamento (mm/mm)]]/$I$2</f>
        <v>1.16508E-3</v>
      </c>
      <c r="D2" s="1">
        <v>0.3402</v>
      </c>
      <c r="E2" s="1">
        <f>Tabela1[[#This Row],[Força (N)]]/$I$5</f>
        <v>7046.1625132555673</v>
      </c>
      <c r="F2" s="1">
        <f>Tabela1[[#This Row],[Tensão (Pa)]]/1000000</f>
        <v>7.0461625132555673E-3</v>
      </c>
      <c r="H2" s="2" t="s">
        <v>10</v>
      </c>
      <c r="I2" s="1">
        <v>50</v>
      </c>
      <c r="J2" s="1">
        <v>13.12</v>
      </c>
      <c r="K2" s="1">
        <v>3.68</v>
      </c>
    </row>
    <row r="3" spans="1:11" x14ac:dyDescent="0.3">
      <c r="A3" s="1">
        <v>0.8</v>
      </c>
      <c r="B3" s="1">
        <v>5.9650000000000002E-2</v>
      </c>
      <c r="C3" s="1">
        <f>Tabela1[[#This Row],[Alongamento (mm/mm)]]/$I$2</f>
        <v>1.193E-3</v>
      </c>
      <c r="D3" s="1">
        <v>0.3402</v>
      </c>
      <c r="E3" s="1">
        <f>Tabela1[[#This Row],[Força (N)]]/$I$5</f>
        <v>7046.1625132555673</v>
      </c>
      <c r="F3" s="1">
        <f>Tabela1[[#This Row],[Tensão (Pa)]]/1000000</f>
        <v>7.0461625132555673E-3</v>
      </c>
      <c r="H3" s="2" t="s">
        <v>11</v>
      </c>
      <c r="I3" s="1">
        <f>I2/1000</f>
        <v>0.05</v>
      </c>
      <c r="J3" s="1">
        <f>J2/1000</f>
        <v>1.312E-2</v>
      </c>
      <c r="K3" s="1">
        <f>K2/1000</f>
        <v>3.6800000000000001E-3</v>
      </c>
    </row>
    <row r="4" spans="1:11" x14ac:dyDescent="0.3">
      <c r="A4" s="1">
        <v>13.683</v>
      </c>
      <c r="B4" s="1">
        <v>1.1332</v>
      </c>
      <c r="C4" s="1">
        <f>Tabela1[[#This Row],[Alongamento (mm/mm)]]/$I$2</f>
        <v>2.2664E-2</v>
      </c>
      <c r="D4" s="1">
        <v>11.737</v>
      </c>
      <c r="E4" s="1">
        <f>Tabela1[[#This Row],[Força (N)]]/$I$5</f>
        <v>243094.67788971367</v>
      </c>
      <c r="F4" s="1">
        <f>Tabela1[[#This Row],[Tensão (Pa)]]/1000000</f>
        <v>0.24309467788971367</v>
      </c>
    </row>
    <row r="5" spans="1:11" ht="15" thickBot="1" x14ac:dyDescent="0.35">
      <c r="A5" s="1">
        <v>13.8</v>
      </c>
      <c r="B5" s="1">
        <v>1.143</v>
      </c>
      <c r="C5" s="1">
        <f>Tabela1[[#This Row],[Alongamento (mm/mm)]]/$I$2</f>
        <v>2.2860000000000002E-2</v>
      </c>
      <c r="D5" s="1">
        <v>12.077</v>
      </c>
      <c r="E5" s="1">
        <f>Tabela1[[#This Row],[Força (N)]]/$I$5</f>
        <v>250136.69803817602</v>
      </c>
      <c r="F5" s="1">
        <f>Tabela1[[#This Row],[Tensão (Pa)]]/1000000</f>
        <v>0.25013669803817601</v>
      </c>
      <c r="H5" s="5" t="s">
        <v>12</v>
      </c>
      <c r="I5" s="6">
        <f>J3*K3</f>
        <v>4.8281600000000002E-5</v>
      </c>
    </row>
    <row r="6" spans="1:11" ht="15" thickTop="1" x14ac:dyDescent="0.3">
      <c r="A6" s="1">
        <v>13.917</v>
      </c>
      <c r="B6" s="1">
        <v>1.1527000000000001</v>
      </c>
      <c r="C6" s="1">
        <f>Tabela1[[#This Row],[Alongamento (mm/mm)]]/$I$2</f>
        <v>2.3054000000000002E-2</v>
      </c>
      <c r="D6" s="1">
        <v>12.587</v>
      </c>
      <c r="E6" s="1">
        <f>Tabela1[[#This Row],[Força (N)]]/$I$5</f>
        <v>260699.72826086954</v>
      </c>
      <c r="F6" s="1">
        <f>Tabela1[[#This Row],[Tensão (Pa)]]/1000000</f>
        <v>0.26069972826086951</v>
      </c>
    </row>
    <row r="7" spans="1:11" x14ac:dyDescent="0.3">
      <c r="A7" s="1">
        <v>14.032999999999999</v>
      </c>
      <c r="B7" s="1">
        <v>1.1624000000000001</v>
      </c>
      <c r="C7" s="1">
        <f>Tabela1[[#This Row],[Alongamento (mm/mm)]]/$I$2</f>
        <v>2.3248000000000001E-2</v>
      </c>
      <c r="D7" s="1">
        <v>12.587</v>
      </c>
      <c r="E7" s="1">
        <f>Tabela1[[#This Row],[Força (N)]]/$I$5</f>
        <v>260699.72826086954</v>
      </c>
      <c r="F7" s="1">
        <f>Tabela1[[#This Row],[Tensão (Pa)]]/1000000</f>
        <v>0.26069972826086951</v>
      </c>
    </row>
    <row r="8" spans="1:11" x14ac:dyDescent="0.3">
      <c r="A8" s="1">
        <v>14.15</v>
      </c>
      <c r="B8" s="1">
        <v>1.1721999999999999</v>
      </c>
      <c r="C8" s="1">
        <f>Tabela1[[#This Row],[Alongamento (mm/mm)]]/$I$2</f>
        <v>2.3444E-2</v>
      </c>
      <c r="D8" s="1">
        <v>12.587</v>
      </c>
      <c r="E8" s="1">
        <f>Tabela1[[#This Row],[Força (N)]]/$I$5</f>
        <v>260699.72826086954</v>
      </c>
      <c r="F8" s="1">
        <f>Tabela1[[#This Row],[Tensão (Pa)]]/1000000</f>
        <v>0.26069972826086951</v>
      </c>
    </row>
    <row r="9" spans="1:11" x14ac:dyDescent="0.3">
      <c r="A9" s="1">
        <v>14.266999999999999</v>
      </c>
      <c r="B9" s="1">
        <v>1.1818</v>
      </c>
      <c r="C9" s="1">
        <f>Tabela1[[#This Row],[Alongamento (mm/mm)]]/$I$2</f>
        <v>2.3636000000000001E-2</v>
      </c>
      <c r="D9" s="1">
        <v>12.757</v>
      </c>
      <c r="E9" s="1">
        <f>Tabela1[[#This Row],[Força (N)]]/$I$5</f>
        <v>264220.7383351007</v>
      </c>
      <c r="F9" s="1">
        <f>Tabela1[[#This Row],[Tensão (Pa)]]/1000000</f>
        <v>0.26422073833510068</v>
      </c>
    </row>
    <row r="10" spans="1:11" x14ac:dyDescent="0.3">
      <c r="A10" s="1">
        <v>14.382999999999999</v>
      </c>
      <c r="B10" s="1">
        <v>1.1915</v>
      </c>
      <c r="C10" s="1">
        <f>Tabela1[[#This Row],[Alongamento (mm/mm)]]/$I$2</f>
        <v>2.383E-2</v>
      </c>
      <c r="D10" s="1">
        <v>12.928000000000001</v>
      </c>
      <c r="E10" s="1">
        <f>Tabela1[[#This Row],[Força (N)]]/$I$5</f>
        <v>267762.46023329801</v>
      </c>
      <c r="F10" s="1">
        <f>Tabela1[[#This Row],[Tensão (Pa)]]/1000000</f>
        <v>0.26776246023329803</v>
      </c>
    </row>
    <row r="11" spans="1:11" x14ac:dyDescent="0.3">
      <c r="A11" s="1">
        <v>14.5</v>
      </c>
      <c r="B11" s="1">
        <v>1.2012</v>
      </c>
      <c r="C11" s="1">
        <f>Tabela1[[#This Row],[Alongamento (mm/mm)]]/$I$2</f>
        <v>2.4024E-2</v>
      </c>
      <c r="D11" s="1">
        <v>13.438000000000001</v>
      </c>
      <c r="E11" s="1">
        <f>Tabela1[[#This Row],[Força (N)]]/$I$5</f>
        <v>278325.49045599153</v>
      </c>
      <c r="F11" s="1">
        <f>Tabela1[[#This Row],[Tensão (Pa)]]/1000000</f>
        <v>0.27832549045599153</v>
      </c>
    </row>
    <row r="12" spans="1:11" x14ac:dyDescent="0.3">
      <c r="A12" s="1">
        <v>14.617000000000001</v>
      </c>
      <c r="B12" s="1">
        <v>1.2110000000000001</v>
      </c>
      <c r="C12" s="1">
        <f>Tabela1[[#This Row],[Alongamento (mm/mm)]]/$I$2</f>
        <v>2.4220000000000002E-2</v>
      </c>
      <c r="D12" s="1">
        <v>13.608000000000001</v>
      </c>
      <c r="E12" s="1">
        <f>Tabela1[[#This Row],[Força (N)]]/$I$5</f>
        <v>281846.50053022272</v>
      </c>
      <c r="F12" s="1">
        <f>Tabela1[[#This Row],[Tensão (Pa)]]/1000000</f>
        <v>0.2818465005302227</v>
      </c>
    </row>
    <row r="13" spans="1:11" x14ac:dyDescent="0.3">
      <c r="A13" s="1">
        <v>14.733000000000001</v>
      </c>
      <c r="B13" s="1">
        <v>1.2206999999999999</v>
      </c>
      <c r="C13" s="1">
        <f>Tabela1[[#This Row],[Alongamento (mm/mm)]]/$I$2</f>
        <v>2.4413999999999998E-2</v>
      </c>
      <c r="D13" s="1">
        <v>13.608000000000001</v>
      </c>
      <c r="E13" s="1">
        <f>Tabela1[[#This Row],[Força (N)]]/$I$5</f>
        <v>281846.50053022272</v>
      </c>
      <c r="F13" s="1">
        <f>Tabela1[[#This Row],[Tensão (Pa)]]/1000000</f>
        <v>0.2818465005302227</v>
      </c>
    </row>
    <row r="14" spans="1:11" x14ac:dyDescent="0.3">
      <c r="A14" s="1">
        <v>14.85</v>
      </c>
      <c r="B14" s="1">
        <v>1.2304999999999999</v>
      </c>
      <c r="C14" s="1">
        <f>Tabela1[[#This Row],[Alongamento (mm/mm)]]/$I$2</f>
        <v>2.461E-2</v>
      </c>
      <c r="D14" s="1">
        <v>13.778</v>
      </c>
      <c r="E14" s="1">
        <f>Tabela1[[#This Row],[Força (N)]]/$I$5</f>
        <v>285367.51060445386</v>
      </c>
      <c r="F14" s="1">
        <f>Tabela1[[#This Row],[Tensão (Pa)]]/1000000</f>
        <v>0.28536751060445387</v>
      </c>
    </row>
    <row r="15" spans="1:11" x14ac:dyDescent="0.3">
      <c r="A15" s="1">
        <v>14.967000000000001</v>
      </c>
      <c r="B15" s="1">
        <v>1.2402</v>
      </c>
      <c r="C15" s="1">
        <f>Tabela1[[#This Row],[Alongamento (mm/mm)]]/$I$2</f>
        <v>2.4804E-2</v>
      </c>
      <c r="D15" s="1">
        <v>13.948</v>
      </c>
      <c r="E15" s="1">
        <f>Tabela1[[#This Row],[Força (N)]]/$I$5</f>
        <v>288888.52067868505</v>
      </c>
      <c r="F15" s="1">
        <f>Tabela1[[#This Row],[Tensão (Pa)]]/1000000</f>
        <v>0.28888852067868503</v>
      </c>
    </row>
    <row r="16" spans="1:11" x14ac:dyDescent="0.3">
      <c r="A16" s="1">
        <v>15.083</v>
      </c>
      <c r="B16" s="1">
        <v>1.2499</v>
      </c>
      <c r="C16" s="1">
        <f>Tabela1[[#This Row],[Alongamento (mm/mm)]]/$I$2</f>
        <v>2.4997999999999999E-2</v>
      </c>
      <c r="D16" s="1">
        <v>14.118</v>
      </c>
      <c r="E16" s="1">
        <f>Tabela1[[#This Row],[Força (N)]]/$I$5</f>
        <v>292409.53075291624</v>
      </c>
      <c r="F16" s="1">
        <f>Tabela1[[#This Row],[Tensão (Pa)]]/1000000</f>
        <v>0.29240953075291626</v>
      </c>
    </row>
    <row r="17" spans="1:6" x14ac:dyDescent="0.3">
      <c r="A17" s="1">
        <v>15.2</v>
      </c>
      <c r="B17" s="1">
        <v>1.2596000000000001</v>
      </c>
      <c r="C17" s="1">
        <f>Tabela1[[#This Row],[Alongamento (mm/mm)]]/$I$2</f>
        <v>2.5192000000000003E-2</v>
      </c>
      <c r="D17" s="1">
        <v>14.288</v>
      </c>
      <c r="E17" s="1">
        <f>Tabela1[[#This Row],[Força (N)]]/$I$5</f>
        <v>295930.54082714737</v>
      </c>
      <c r="F17" s="1">
        <f>Tabela1[[#This Row],[Tensão (Pa)]]/1000000</f>
        <v>0.29593054082714737</v>
      </c>
    </row>
    <row r="18" spans="1:6" x14ac:dyDescent="0.3">
      <c r="A18" s="1">
        <v>15.317</v>
      </c>
      <c r="B18" s="1">
        <v>1.2694000000000001</v>
      </c>
      <c r="C18" s="1">
        <f>Tabela1[[#This Row],[Alongamento (mm/mm)]]/$I$2</f>
        <v>2.5388000000000001E-2</v>
      </c>
      <c r="D18" s="1">
        <v>14.458</v>
      </c>
      <c r="E18" s="1">
        <f>Tabela1[[#This Row],[Força (N)]]/$I$5</f>
        <v>299451.55090137856</v>
      </c>
      <c r="F18" s="1">
        <f>Tabela1[[#This Row],[Tensão (Pa)]]/1000000</f>
        <v>0.29945155090137854</v>
      </c>
    </row>
    <row r="19" spans="1:6" x14ac:dyDescent="0.3">
      <c r="A19" s="1">
        <v>15.45</v>
      </c>
      <c r="B19" s="1">
        <v>1.2805</v>
      </c>
      <c r="C19" s="1">
        <f>Tabela1[[#This Row],[Alongamento (mm/mm)]]/$I$2</f>
        <v>2.5610000000000001E-2</v>
      </c>
      <c r="D19" s="1">
        <v>14.798999999999999</v>
      </c>
      <c r="E19" s="1">
        <f>Tabela1[[#This Row],[Força (N)]]/$I$5</f>
        <v>306514.28287380695</v>
      </c>
      <c r="F19" s="1">
        <f>Tabela1[[#This Row],[Tensão (Pa)]]/1000000</f>
        <v>0.30651428287380694</v>
      </c>
    </row>
    <row r="20" spans="1:6" x14ac:dyDescent="0.3">
      <c r="A20" s="1">
        <v>15.583</v>
      </c>
      <c r="B20" s="1">
        <v>1.2916000000000001</v>
      </c>
      <c r="C20" s="1">
        <f>Tabela1[[#This Row],[Alongamento (mm/mm)]]/$I$2</f>
        <v>2.5832000000000001E-2</v>
      </c>
      <c r="D20" s="1">
        <v>14.628</v>
      </c>
      <c r="E20" s="1">
        <f>Tabela1[[#This Row],[Força (N)]]/$I$5</f>
        <v>302972.56097560975</v>
      </c>
      <c r="F20" s="1">
        <f>Tabela1[[#This Row],[Tensão (Pa)]]/1000000</f>
        <v>0.30297256097560976</v>
      </c>
    </row>
    <row r="21" spans="1:6" x14ac:dyDescent="0.3">
      <c r="A21" s="1">
        <v>15.717000000000001</v>
      </c>
      <c r="B21" s="1">
        <v>1.3027</v>
      </c>
      <c r="C21" s="1">
        <f>Tabela1[[#This Row],[Alongamento (mm/mm)]]/$I$2</f>
        <v>2.6054000000000001E-2</v>
      </c>
      <c r="D21" s="1">
        <v>14.798999999999999</v>
      </c>
      <c r="E21" s="1">
        <f>Tabela1[[#This Row],[Força (N)]]/$I$5</f>
        <v>306514.28287380695</v>
      </c>
      <c r="F21" s="1">
        <f>Tabela1[[#This Row],[Tensão (Pa)]]/1000000</f>
        <v>0.30651428287380694</v>
      </c>
    </row>
    <row r="22" spans="1:6" x14ac:dyDescent="0.3">
      <c r="A22" s="1">
        <v>15.85</v>
      </c>
      <c r="B22" s="1">
        <v>1.3138000000000001</v>
      </c>
      <c r="C22" s="1">
        <f>Tabela1[[#This Row],[Alongamento (mm/mm)]]/$I$2</f>
        <v>2.6276000000000001E-2</v>
      </c>
      <c r="D22" s="1">
        <v>14.628</v>
      </c>
      <c r="E22" s="1">
        <f>Tabela1[[#This Row],[Força (N)]]/$I$5</f>
        <v>302972.56097560975</v>
      </c>
      <c r="F22" s="1">
        <f>Tabela1[[#This Row],[Tensão (Pa)]]/1000000</f>
        <v>0.30297256097560976</v>
      </c>
    </row>
    <row r="23" spans="1:6" x14ac:dyDescent="0.3">
      <c r="A23" s="1">
        <v>15.983000000000001</v>
      </c>
      <c r="B23" s="1">
        <v>1.3249</v>
      </c>
      <c r="C23" s="1">
        <f>Tabela1[[#This Row],[Alongamento (mm/mm)]]/$I$2</f>
        <v>2.6498000000000001E-2</v>
      </c>
      <c r="D23" s="1">
        <v>14.798999999999999</v>
      </c>
      <c r="E23" s="1">
        <f>Tabela1[[#This Row],[Força (N)]]/$I$5</f>
        <v>306514.28287380695</v>
      </c>
      <c r="F23" s="1">
        <f>Tabela1[[#This Row],[Tensão (Pa)]]/1000000</f>
        <v>0.30651428287380694</v>
      </c>
    </row>
    <row r="24" spans="1:6" x14ac:dyDescent="0.3">
      <c r="A24" s="1">
        <v>16.117000000000001</v>
      </c>
      <c r="B24" s="1">
        <v>1.3359000000000001</v>
      </c>
      <c r="C24" s="1">
        <f>Tabela1[[#This Row],[Alongamento (mm/mm)]]/$I$2</f>
        <v>2.6718000000000002E-2</v>
      </c>
      <c r="D24" s="1">
        <v>15.138999999999999</v>
      </c>
      <c r="E24" s="1">
        <f>Tabela1[[#This Row],[Força (N)]]/$I$5</f>
        <v>313556.30302226933</v>
      </c>
      <c r="F24" s="1">
        <f>Tabela1[[#This Row],[Tensão (Pa)]]/1000000</f>
        <v>0.31355630302226933</v>
      </c>
    </row>
    <row r="25" spans="1:6" x14ac:dyDescent="0.3">
      <c r="A25" s="1">
        <v>16.25</v>
      </c>
      <c r="B25" s="1">
        <v>1.3471</v>
      </c>
      <c r="C25" s="1">
        <f>Tabela1[[#This Row],[Alongamento (mm/mm)]]/$I$2</f>
        <v>2.6942000000000001E-2</v>
      </c>
      <c r="D25" s="1">
        <v>15.648999999999999</v>
      </c>
      <c r="E25" s="1">
        <f>Tabela1[[#This Row],[Força (N)]]/$I$5</f>
        <v>324119.33324496285</v>
      </c>
      <c r="F25" s="1">
        <f>Tabela1[[#This Row],[Tensão (Pa)]]/1000000</f>
        <v>0.32411933324496284</v>
      </c>
    </row>
    <row r="26" spans="1:6" x14ac:dyDescent="0.3">
      <c r="A26" s="1">
        <v>16.382999999999999</v>
      </c>
      <c r="B26" s="1">
        <v>1.3583000000000001</v>
      </c>
      <c r="C26" s="1">
        <f>Tabela1[[#This Row],[Alongamento (mm/mm)]]/$I$2</f>
        <v>2.7166000000000003E-2</v>
      </c>
      <c r="D26" s="1">
        <v>15.819000000000001</v>
      </c>
      <c r="E26" s="1">
        <f>Tabela1[[#This Row],[Força (N)]]/$I$5</f>
        <v>327640.34331919404</v>
      </c>
      <c r="F26" s="1">
        <f>Tabela1[[#This Row],[Tensão (Pa)]]/1000000</f>
        <v>0.32764034331919406</v>
      </c>
    </row>
    <row r="27" spans="1:6" x14ac:dyDescent="0.3">
      <c r="A27" s="1">
        <v>16.516999999999999</v>
      </c>
      <c r="B27" s="1">
        <v>1.3693</v>
      </c>
      <c r="C27" s="1">
        <f>Tabela1[[#This Row],[Alongamento (mm/mm)]]/$I$2</f>
        <v>2.7386000000000001E-2</v>
      </c>
      <c r="D27" s="1">
        <v>16.158999999999999</v>
      </c>
      <c r="E27" s="1">
        <f>Tabela1[[#This Row],[Força (N)]]/$I$5</f>
        <v>334682.36346765637</v>
      </c>
      <c r="F27" s="1">
        <f>Tabela1[[#This Row],[Tensão (Pa)]]/1000000</f>
        <v>0.33468236346765634</v>
      </c>
    </row>
    <row r="28" spans="1:6" x14ac:dyDescent="0.3">
      <c r="A28" s="1">
        <v>16.649999999999999</v>
      </c>
      <c r="B28" s="1">
        <v>1.3804000000000001</v>
      </c>
      <c r="C28" s="1">
        <f>Tabela1[[#This Row],[Alongamento (mm/mm)]]/$I$2</f>
        <v>2.7608000000000001E-2</v>
      </c>
      <c r="D28" s="1">
        <v>16.158999999999999</v>
      </c>
      <c r="E28" s="1">
        <f>Tabela1[[#This Row],[Força (N)]]/$I$5</f>
        <v>334682.36346765637</v>
      </c>
      <c r="F28" s="1">
        <f>Tabela1[[#This Row],[Tensão (Pa)]]/1000000</f>
        <v>0.33468236346765634</v>
      </c>
    </row>
    <row r="29" spans="1:6" x14ac:dyDescent="0.3">
      <c r="A29" s="1">
        <v>16.783000000000001</v>
      </c>
      <c r="B29" s="1">
        <v>1.3915999999999999</v>
      </c>
      <c r="C29" s="1">
        <f>Tabela1[[#This Row],[Alongamento (mm/mm)]]/$I$2</f>
        <v>2.7831999999999999E-2</v>
      </c>
      <c r="D29" s="1">
        <v>16.158999999999999</v>
      </c>
      <c r="E29" s="1">
        <f>Tabela1[[#This Row],[Força (N)]]/$I$5</f>
        <v>334682.36346765637</v>
      </c>
      <c r="F29" s="1">
        <f>Tabela1[[#This Row],[Tensão (Pa)]]/1000000</f>
        <v>0.33468236346765634</v>
      </c>
    </row>
    <row r="30" spans="1:6" x14ac:dyDescent="0.3">
      <c r="A30" s="1">
        <v>16.917000000000002</v>
      </c>
      <c r="B30" s="1">
        <v>1.4027000000000001</v>
      </c>
      <c r="C30" s="1">
        <f>Tabela1[[#This Row],[Alongamento (mm/mm)]]/$I$2</f>
        <v>2.8054000000000003E-2</v>
      </c>
      <c r="D30" s="1">
        <v>16.329000000000001</v>
      </c>
      <c r="E30" s="1">
        <f>Tabela1[[#This Row],[Força (N)]]/$I$5</f>
        <v>338203.37354188762</v>
      </c>
      <c r="F30" s="1">
        <f>Tabela1[[#This Row],[Tensão (Pa)]]/1000000</f>
        <v>0.33820337354188762</v>
      </c>
    </row>
    <row r="31" spans="1:6" x14ac:dyDescent="0.3">
      <c r="A31" s="1">
        <v>17.05</v>
      </c>
      <c r="B31" s="1">
        <v>1.4137</v>
      </c>
      <c r="C31" s="1">
        <f>Tabela1[[#This Row],[Alongamento (mm/mm)]]/$I$2</f>
        <v>2.8274000000000001E-2</v>
      </c>
      <c r="D31" s="1">
        <v>16.158999999999999</v>
      </c>
      <c r="E31" s="1">
        <f>Tabela1[[#This Row],[Força (N)]]/$I$5</f>
        <v>334682.36346765637</v>
      </c>
      <c r="F31" s="1">
        <f>Tabela1[[#This Row],[Tensão (Pa)]]/1000000</f>
        <v>0.33468236346765634</v>
      </c>
    </row>
    <row r="32" spans="1:6" x14ac:dyDescent="0.3">
      <c r="A32" s="1">
        <v>17.183</v>
      </c>
      <c r="B32" s="1">
        <v>1.4249000000000001</v>
      </c>
      <c r="C32" s="1">
        <f>Tabela1[[#This Row],[Alongamento (mm/mm)]]/$I$2</f>
        <v>2.8498000000000002E-2</v>
      </c>
      <c r="D32" s="1">
        <v>16.158999999999999</v>
      </c>
      <c r="E32" s="1">
        <f>Tabela1[[#This Row],[Força (N)]]/$I$5</f>
        <v>334682.36346765637</v>
      </c>
      <c r="F32" s="1">
        <f>Tabela1[[#This Row],[Tensão (Pa)]]/1000000</f>
        <v>0.33468236346765634</v>
      </c>
    </row>
    <row r="33" spans="1:6" x14ac:dyDescent="0.3">
      <c r="A33" s="1">
        <v>17.317</v>
      </c>
      <c r="B33" s="1">
        <v>1.4359999999999999</v>
      </c>
      <c r="C33" s="1">
        <f>Tabela1[[#This Row],[Alongamento (mm/mm)]]/$I$2</f>
        <v>2.8719999999999999E-2</v>
      </c>
      <c r="D33" s="1">
        <v>16.158999999999999</v>
      </c>
      <c r="E33" s="1">
        <f>Tabela1[[#This Row],[Força (N)]]/$I$5</f>
        <v>334682.36346765637</v>
      </c>
      <c r="F33" s="1">
        <f>Tabela1[[#This Row],[Tensão (Pa)]]/1000000</f>
        <v>0.33468236346765634</v>
      </c>
    </row>
    <row r="34" spans="1:6" x14ac:dyDescent="0.3">
      <c r="A34" s="1">
        <v>17.45</v>
      </c>
      <c r="B34" s="1">
        <v>1.4472</v>
      </c>
      <c r="C34" s="1">
        <f>Tabela1[[#This Row],[Alongamento (mm/mm)]]/$I$2</f>
        <v>2.8944000000000001E-2</v>
      </c>
      <c r="D34" s="1">
        <v>16.158999999999999</v>
      </c>
      <c r="E34" s="1">
        <f>Tabela1[[#This Row],[Força (N)]]/$I$5</f>
        <v>334682.36346765637</v>
      </c>
      <c r="F34" s="1">
        <f>Tabela1[[#This Row],[Tensão (Pa)]]/1000000</f>
        <v>0.33468236346765634</v>
      </c>
    </row>
    <row r="35" spans="1:6" x14ac:dyDescent="0.3">
      <c r="A35" s="1">
        <v>17.600000000000001</v>
      </c>
      <c r="B35" s="1">
        <v>1.4595</v>
      </c>
      <c r="C35" s="1">
        <f>Tabela1[[#This Row],[Alongamento (mm/mm)]]/$I$2</f>
        <v>2.9190000000000001E-2</v>
      </c>
      <c r="D35" s="1">
        <v>16.329000000000001</v>
      </c>
      <c r="E35" s="1">
        <f>Tabela1[[#This Row],[Força (N)]]/$I$5</f>
        <v>338203.37354188762</v>
      </c>
      <c r="F35" s="1">
        <f>Tabela1[[#This Row],[Tensão (Pa)]]/1000000</f>
        <v>0.33820337354188762</v>
      </c>
    </row>
    <row r="36" spans="1:6" x14ac:dyDescent="0.3">
      <c r="A36" s="1">
        <v>17.75</v>
      </c>
      <c r="B36" s="1">
        <v>1.4722</v>
      </c>
      <c r="C36" s="1">
        <f>Tabela1[[#This Row],[Alongamento (mm/mm)]]/$I$2</f>
        <v>2.9443999999999998E-2</v>
      </c>
      <c r="D36" s="1">
        <v>16.329000000000001</v>
      </c>
      <c r="E36" s="1">
        <f>Tabela1[[#This Row],[Força (N)]]/$I$5</f>
        <v>338203.37354188762</v>
      </c>
      <c r="F36" s="1">
        <f>Tabela1[[#This Row],[Tensão (Pa)]]/1000000</f>
        <v>0.33820337354188762</v>
      </c>
    </row>
    <row r="37" spans="1:6" x14ac:dyDescent="0.3">
      <c r="A37" s="1">
        <v>17.899999999999999</v>
      </c>
      <c r="B37" s="1">
        <v>1.4845999999999999</v>
      </c>
      <c r="C37" s="1">
        <f>Tabela1[[#This Row],[Alongamento (mm/mm)]]/$I$2</f>
        <v>2.9692E-2</v>
      </c>
      <c r="D37" s="1">
        <v>16.329000000000001</v>
      </c>
      <c r="E37" s="1">
        <f>Tabela1[[#This Row],[Força (N)]]/$I$5</f>
        <v>338203.37354188762</v>
      </c>
      <c r="F37" s="1">
        <f>Tabela1[[#This Row],[Tensão (Pa)]]/1000000</f>
        <v>0.33820337354188762</v>
      </c>
    </row>
    <row r="38" spans="1:6" x14ac:dyDescent="0.3">
      <c r="A38" s="1">
        <v>18.05</v>
      </c>
      <c r="B38" s="1">
        <v>1.4971000000000001</v>
      </c>
      <c r="C38" s="1">
        <f>Tabela1[[#This Row],[Alongamento (mm/mm)]]/$I$2</f>
        <v>2.9942000000000003E-2</v>
      </c>
      <c r="D38" s="1">
        <v>16.329000000000001</v>
      </c>
      <c r="E38" s="1">
        <f>Tabela1[[#This Row],[Força (N)]]/$I$5</f>
        <v>338203.37354188762</v>
      </c>
      <c r="F38" s="1">
        <f>Tabela1[[#This Row],[Tensão (Pa)]]/1000000</f>
        <v>0.33820337354188762</v>
      </c>
    </row>
    <row r="39" spans="1:6" x14ac:dyDescent="0.3">
      <c r="A39" s="1">
        <v>18.2</v>
      </c>
      <c r="B39" s="1">
        <v>1.5097</v>
      </c>
      <c r="C39" s="1">
        <f>Tabela1[[#This Row],[Alongamento (mm/mm)]]/$I$2</f>
        <v>3.0194000000000002E-2</v>
      </c>
      <c r="D39" s="1">
        <v>16.329000000000001</v>
      </c>
      <c r="E39" s="1">
        <f>Tabela1[[#This Row],[Força (N)]]/$I$5</f>
        <v>338203.37354188762</v>
      </c>
      <c r="F39" s="1">
        <f>Tabela1[[#This Row],[Tensão (Pa)]]/1000000</f>
        <v>0.33820337354188762</v>
      </c>
    </row>
    <row r="40" spans="1:6" x14ac:dyDescent="0.3">
      <c r="A40" s="1">
        <v>18.350000000000001</v>
      </c>
      <c r="B40" s="1">
        <v>1.5221</v>
      </c>
      <c r="C40" s="1">
        <f>Tabela1[[#This Row],[Alongamento (mm/mm)]]/$I$2</f>
        <v>3.0442E-2</v>
      </c>
      <c r="D40" s="1">
        <v>16.329000000000001</v>
      </c>
      <c r="E40" s="1">
        <f>Tabela1[[#This Row],[Força (N)]]/$I$5</f>
        <v>338203.37354188762</v>
      </c>
      <c r="F40" s="1">
        <f>Tabela1[[#This Row],[Tensão (Pa)]]/1000000</f>
        <v>0.33820337354188762</v>
      </c>
    </row>
    <row r="41" spans="1:6" x14ac:dyDescent="0.3">
      <c r="A41" s="1">
        <v>18.5</v>
      </c>
      <c r="B41" s="1">
        <v>1.5346</v>
      </c>
      <c r="C41" s="1">
        <f>Tabela1[[#This Row],[Alongamento (mm/mm)]]/$I$2</f>
        <v>3.0692000000000001E-2</v>
      </c>
      <c r="D41" s="1">
        <v>16.5</v>
      </c>
      <c r="E41" s="1">
        <f>Tabela1[[#This Row],[Força (N)]]/$I$5</f>
        <v>341745.09544008481</v>
      </c>
      <c r="F41" s="1">
        <f>Tabela1[[#This Row],[Tensão (Pa)]]/1000000</f>
        <v>0.3417450954400848</v>
      </c>
    </row>
    <row r="42" spans="1:6" x14ac:dyDescent="0.3">
      <c r="A42" s="1">
        <v>18.649999999999999</v>
      </c>
      <c r="B42" s="1">
        <v>1.5470999999999999</v>
      </c>
      <c r="C42" s="1">
        <f>Tabela1[[#This Row],[Alongamento (mm/mm)]]/$I$2</f>
        <v>3.0941999999999997E-2</v>
      </c>
      <c r="D42" s="1">
        <v>16.5</v>
      </c>
      <c r="E42" s="1">
        <f>Tabela1[[#This Row],[Força (N)]]/$I$5</f>
        <v>341745.09544008481</v>
      </c>
      <c r="F42" s="1">
        <f>Tabela1[[#This Row],[Tensão (Pa)]]/1000000</f>
        <v>0.3417450954400848</v>
      </c>
    </row>
    <row r="43" spans="1:6" x14ac:dyDescent="0.3">
      <c r="A43" s="1">
        <v>18.8</v>
      </c>
      <c r="B43" s="1">
        <v>1.5596000000000001</v>
      </c>
      <c r="C43" s="1">
        <f>Tabela1[[#This Row],[Alongamento (mm/mm)]]/$I$2</f>
        <v>3.1192000000000001E-2</v>
      </c>
      <c r="D43" s="1">
        <v>16.670000000000002</v>
      </c>
      <c r="E43" s="1">
        <f>Tabela1[[#This Row],[Força (N)]]/$I$5</f>
        <v>345266.105514316</v>
      </c>
      <c r="F43" s="1">
        <f>Tabela1[[#This Row],[Tensão (Pa)]]/1000000</f>
        <v>0.34526610551431602</v>
      </c>
    </row>
    <row r="44" spans="1:6" x14ac:dyDescent="0.3">
      <c r="A44" s="1">
        <v>18.95</v>
      </c>
      <c r="B44" s="1">
        <v>1.5721000000000001</v>
      </c>
      <c r="C44" s="1">
        <f>Tabela1[[#This Row],[Alongamento (mm/mm)]]/$I$2</f>
        <v>3.1441999999999998E-2</v>
      </c>
      <c r="D44" s="1">
        <v>16.84</v>
      </c>
      <c r="E44" s="1">
        <f>Tabela1[[#This Row],[Força (N)]]/$I$5</f>
        <v>348787.1155885472</v>
      </c>
      <c r="F44" s="1">
        <f>Tabela1[[#This Row],[Tensão (Pa)]]/1000000</f>
        <v>0.34878711558854719</v>
      </c>
    </row>
    <row r="45" spans="1:6" x14ac:dyDescent="0.3">
      <c r="A45" s="1">
        <v>19.100000000000001</v>
      </c>
      <c r="B45" s="1">
        <v>1.5846</v>
      </c>
      <c r="C45" s="1">
        <f>Tabela1[[#This Row],[Alongamento (mm/mm)]]/$I$2</f>
        <v>3.1691999999999998E-2</v>
      </c>
      <c r="D45" s="1">
        <v>17.010000000000002</v>
      </c>
      <c r="E45" s="1">
        <f>Tabela1[[#This Row],[Força (N)]]/$I$5</f>
        <v>352308.12566277839</v>
      </c>
      <c r="F45" s="1">
        <f>Tabela1[[#This Row],[Tensão (Pa)]]/1000000</f>
        <v>0.35230812566277842</v>
      </c>
    </row>
    <row r="46" spans="1:6" x14ac:dyDescent="0.3">
      <c r="A46" s="1">
        <v>19.25</v>
      </c>
      <c r="B46" s="1">
        <v>1.5972</v>
      </c>
      <c r="C46" s="1">
        <f>Tabela1[[#This Row],[Alongamento (mm/mm)]]/$I$2</f>
        <v>3.1944E-2</v>
      </c>
      <c r="D46" s="1">
        <v>17.18</v>
      </c>
      <c r="E46" s="1">
        <f>Tabela1[[#This Row],[Força (N)]]/$I$5</f>
        <v>355829.13573700952</v>
      </c>
      <c r="F46" s="1">
        <f>Tabela1[[#This Row],[Tensão (Pa)]]/1000000</f>
        <v>0.35582913573700953</v>
      </c>
    </row>
    <row r="47" spans="1:6" x14ac:dyDescent="0.3">
      <c r="A47" s="1">
        <v>19.399999999999999</v>
      </c>
      <c r="B47" s="1">
        <v>1.6095999999999999</v>
      </c>
      <c r="C47" s="1">
        <f>Tabela1[[#This Row],[Alongamento (mm/mm)]]/$I$2</f>
        <v>3.2191999999999998E-2</v>
      </c>
      <c r="D47" s="1">
        <v>17.350000000000001</v>
      </c>
      <c r="E47" s="1">
        <f>Tabela1[[#This Row],[Força (N)]]/$I$5</f>
        <v>359350.14581124071</v>
      </c>
      <c r="F47" s="1">
        <f>Tabela1[[#This Row],[Tensão (Pa)]]/1000000</f>
        <v>0.3593501458112407</v>
      </c>
    </row>
    <row r="48" spans="1:6" x14ac:dyDescent="0.3">
      <c r="A48" s="1">
        <v>19.567</v>
      </c>
      <c r="B48" s="1">
        <v>1.6234999999999999</v>
      </c>
      <c r="C48" s="1">
        <f>Tabela1[[#This Row],[Alongamento (mm/mm)]]/$I$2</f>
        <v>3.2469999999999999E-2</v>
      </c>
      <c r="D48" s="1">
        <v>17.690000000000001</v>
      </c>
      <c r="E48" s="1">
        <f>Tabela1[[#This Row],[Força (N)]]/$I$5</f>
        <v>366392.1659597031</v>
      </c>
      <c r="F48" s="1">
        <f>Tabela1[[#This Row],[Tensão (Pa)]]/1000000</f>
        <v>0.36639216595970309</v>
      </c>
    </row>
    <row r="49" spans="1:6" x14ac:dyDescent="0.3">
      <c r="A49" s="1">
        <v>19.733000000000001</v>
      </c>
      <c r="B49" s="1">
        <v>1.6374</v>
      </c>
      <c r="C49" s="1">
        <f>Tabela1[[#This Row],[Alongamento (mm/mm)]]/$I$2</f>
        <v>3.2747999999999999E-2</v>
      </c>
      <c r="D49" s="1">
        <v>17.86</v>
      </c>
      <c r="E49" s="1">
        <f>Tabela1[[#This Row],[Força (N)]]/$I$5</f>
        <v>369913.17603393423</v>
      </c>
      <c r="F49" s="1">
        <f>Tabela1[[#This Row],[Tensão (Pa)]]/1000000</f>
        <v>0.36991317603393425</v>
      </c>
    </row>
    <row r="50" spans="1:6" x14ac:dyDescent="0.3">
      <c r="A50" s="1">
        <v>19.899999999999999</v>
      </c>
      <c r="B50" s="1">
        <v>1.6512</v>
      </c>
      <c r="C50" s="1">
        <f>Tabela1[[#This Row],[Alongamento (mm/mm)]]/$I$2</f>
        <v>3.3023999999999998E-2</v>
      </c>
      <c r="D50" s="1">
        <v>17.86</v>
      </c>
      <c r="E50" s="1">
        <f>Tabela1[[#This Row],[Força (N)]]/$I$5</f>
        <v>369913.17603393423</v>
      </c>
      <c r="F50" s="1">
        <f>Tabela1[[#This Row],[Tensão (Pa)]]/1000000</f>
        <v>0.36991317603393425</v>
      </c>
    </row>
    <row r="51" spans="1:6" x14ac:dyDescent="0.3">
      <c r="A51" s="1">
        <v>20.067</v>
      </c>
      <c r="B51" s="1">
        <v>1.6652</v>
      </c>
      <c r="C51" s="1">
        <f>Tabela1[[#This Row],[Alongamento (mm/mm)]]/$I$2</f>
        <v>3.3304E-2</v>
      </c>
      <c r="D51" s="1">
        <v>18.03</v>
      </c>
      <c r="E51" s="1">
        <f>Tabela1[[#This Row],[Força (N)]]/$I$5</f>
        <v>373434.18610816542</v>
      </c>
      <c r="F51" s="1">
        <f>Tabela1[[#This Row],[Tensão (Pa)]]/1000000</f>
        <v>0.37343418610816542</v>
      </c>
    </row>
    <row r="52" spans="1:6" x14ac:dyDescent="0.3">
      <c r="A52" s="1">
        <v>20.233000000000001</v>
      </c>
      <c r="B52" s="1">
        <v>1.6791</v>
      </c>
      <c r="C52" s="1">
        <f>Tabela1[[#This Row],[Alongamento (mm/mm)]]/$I$2</f>
        <v>3.3582000000000001E-2</v>
      </c>
      <c r="D52" s="1">
        <v>18.03</v>
      </c>
      <c r="E52" s="1">
        <f>Tabela1[[#This Row],[Força (N)]]/$I$5</f>
        <v>373434.18610816542</v>
      </c>
      <c r="F52" s="1">
        <f>Tabela1[[#This Row],[Tensão (Pa)]]/1000000</f>
        <v>0.37343418610816542</v>
      </c>
    </row>
    <row r="53" spans="1:6" x14ac:dyDescent="0.3">
      <c r="A53" s="1">
        <v>20.399999999999999</v>
      </c>
      <c r="B53" s="1">
        <v>1.6929000000000001</v>
      </c>
      <c r="C53" s="1">
        <f>Tabela1[[#This Row],[Alongamento (mm/mm)]]/$I$2</f>
        <v>3.3857999999999999E-2</v>
      </c>
      <c r="D53" s="1">
        <v>18.03</v>
      </c>
      <c r="E53" s="1">
        <f>Tabela1[[#This Row],[Força (N)]]/$I$5</f>
        <v>373434.18610816542</v>
      </c>
      <c r="F53" s="1">
        <f>Tabela1[[#This Row],[Tensão (Pa)]]/1000000</f>
        <v>0.37343418610816542</v>
      </c>
    </row>
    <row r="54" spans="1:6" x14ac:dyDescent="0.3">
      <c r="A54" s="1">
        <v>20.567</v>
      </c>
      <c r="B54" s="1">
        <v>1.7068000000000001</v>
      </c>
      <c r="C54" s="1">
        <f>Tabela1[[#This Row],[Alongamento (mm/mm)]]/$I$2</f>
        <v>3.4136E-2</v>
      </c>
      <c r="D54" s="1">
        <v>18.201000000000001</v>
      </c>
      <c r="E54" s="1">
        <f>Tabela1[[#This Row],[Força (N)]]/$I$5</f>
        <v>376975.90800636268</v>
      </c>
      <c r="F54" s="1">
        <f>Tabela1[[#This Row],[Tensão (Pa)]]/1000000</f>
        <v>0.37697590800636266</v>
      </c>
    </row>
    <row r="55" spans="1:6" x14ac:dyDescent="0.3">
      <c r="A55" s="1">
        <v>20.733000000000001</v>
      </c>
      <c r="B55" s="1">
        <v>1.7206999999999999</v>
      </c>
      <c r="C55" s="1">
        <f>Tabela1[[#This Row],[Alongamento (mm/mm)]]/$I$2</f>
        <v>3.4414E-2</v>
      </c>
      <c r="D55" s="1">
        <v>18.201000000000001</v>
      </c>
      <c r="E55" s="1">
        <f>Tabela1[[#This Row],[Força (N)]]/$I$5</f>
        <v>376975.90800636268</v>
      </c>
      <c r="F55" s="1">
        <f>Tabela1[[#This Row],[Tensão (Pa)]]/1000000</f>
        <v>0.37697590800636266</v>
      </c>
    </row>
    <row r="56" spans="1:6" x14ac:dyDescent="0.3">
      <c r="A56" s="1">
        <v>20.9</v>
      </c>
      <c r="B56" s="1">
        <v>1.7346999999999999</v>
      </c>
      <c r="C56" s="1">
        <f>Tabela1[[#This Row],[Alongamento (mm/mm)]]/$I$2</f>
        <v>3.4693999999999996E-2</v>
      </c>
      <c r="D56" s="1">
        <v>18.201000000000001</v>
      </c>
      <c r="E56" s="1">
        <f>Tabela1[[#This Row],[Força (N)]]/$I$5</f>
        <v>376975.90800636268</v>
      </c>
      <c r="F56" s="1">
        <f>Tabela1[[#This Row],[Tensão (Pa)]]/1000000</f>
        <v>0.37697590800636266</v>
      </c>
    </row>
    <row r="57" spans="1:6" x14ac:dyDescent="0.3">
      <c r="A57" s="1">
        <v>21.067</v>
      </c>
      <c r="B57" s="1">
        <v>1.7484999999999999</v>
      </c>
      <c r="C57" s="1">
        <f>Tabela1[[#This Row],[Alongamento (mm/mm)]]/$I$2</f>
        <v>3.4970000000000001E-2</v>
      </c>
      <c r="D57" s="1">
        <v>18.201000000000001</v>
      </c>
      <c r="E57" s="1">
        <f>Tabela1[[#This Row],[Força (N)]]/$I$5</f>
        <v>376975.90800636268</v>
      </c>
      <c r="F57" s="1">
        <f>Tabela1[[#This Row],[Tensão (Pa)]]/1000000</f>
        <v>0.37697590800636266</v>
      </c>
    </row>
    <row r="58" spans="1:6" x14ac:dyDescent="0.3">
      <c r="A58" s="1">
        <v>21.233000000000001</v>
      </c>
      <c r="B58" s="1">
        <v>1.7624</v>
      </c>
      <c r="C58" s="1">
        <f>Tabela1[[#This Row],[Alongamento (mm/mm)]]/$I$2</f>
        <v>3.5248000000000002E-2</v>
      </c>
      <c r="D58" s="1">
        <v>18.201000000000001</v>
      </c>
      <c r="E58" s="1">
        <f>Tabela1[[#This Row],[Força (N)]]/$I$5</f>
        <v>376975.90800636268</v>
      </c>
      <c r="F58" s="1">
        <f>Tabela1[[#This Row],[Tensão (Pa)]]/1000000</f>
        <v>0.37697590800636266</v>
      </c>
    </row>
    <row r="59" spans="1:6" x14ac:dyDescent="0.3">
      <c r="A59" s="1">
        <v>21.4</v>
      </c>
      <c r="B59" s="1">
        <v>1.7763</v>
      </c>
      <c r="C59" s="1">
        <f>Tabela1[[#This Row],[Alongamento (mm/mm)]]/$I$2</f>
        <v>3.5526000000000002E-2</v>
      </c>
      <c r="D59" s="1">
        <v>18.201000000000001</v>
      </c>
      <c r="E59" s="1">
        <f>Tabela1[[#This Row],[Força (N)]]/$I$5</f>
        <v>376975.90800636268</v>
      </c>
      <c r="F59" s="1">
        <f>Tabela1[[#This Row],[Tensão (Pa)]]/1000000</f>
        <v>0.37697590800636266</v>
      </c>
    </row>
    <row r="60" spans="1:6" x14ac:dyDescent="0.3">
      <c r="A60" s="1">
        <v>21.567</v>
      </c>
      <c r="B60" s="1">
        <v>1.7902</v>
      </c>
      <c r="C60" s="1">
        <f>Tabela1[[#This Row],[Alongamento (mm/mm)]]/$I$2</f>
        <v>3.5804000000000002E-2</v>
      </c>
      <c r="D60" s="1">
        <v>18.201000000000001</v>
      </c>
      <c r="E60" s="1">
        <f>Tabela1[[#This Row],[Força (N)]]/$I$5</f>
        <v>376975.90800636268</v>
      </c>
      <c r="F60" s="1">
        <f>Tabela1[[#This Row],[Tensão (Pa)]]/1000000</f>
        <v>0.37697590800636266</v>
      </c>
    </row>
    <row r="61" spans="1:6" x14ac:dyDescent="0.3">
      <c r="A61" s="1">
        <v>21.733000000000001</v>
      </c>
      <c r="B61" s="1">
        <v>1.8041</v>
      </c>
      <c r="C61" s="1">
        <f>Tabela1[[#This Row],[Alongamento (mm/mm)]]/$I$2</f>
        <v>3.6082000000000003E-2</v>
      </c>
      <c r="D61" s="1">
        <v>18.201000000000001</v>
      </c>
      <c r="E61" s="1">
        <f>Tabela1[[#This Row],[Força (N)]]/$I$5</f>
        <v>376975.90800636268</v>
      </c>
      <c r="F61" s="1">
        <f>Tabela1[[#This Row],[Tensão (Pa)]]/1000000</f>
        <v>0.37697590800636266</v>
      </c>
    </row>
    <row r="62" spans="1:6" x14ac:dyDescent="0.3">
      <c r="A62" s="1">
        <v>21.917000000000002</v>
      </c>
      <c r="B62" s="1">
        <v>1.8193999999999999</v>
      </c>
      <c r="C62" s="1">
        <f>Tabela1[[#This Row],[Alongamento (mm/mm)]]/$I$2</f>
        <v>3.6387999999999997E-2</v>
      </c>
      <c r="D62" s="1">
        <v>18.201000000000001</v>
      </c>
      <c r="E62" s="1">
        <f>Tabela1[[#This Row],[Força (N)]]/$I$5</f>
        <v>376975.90800636268</v>
      </c>
      <c r="F62" s="1">
        <f>Tabela1[[#This Row],[Tensão (Pa)]]/1000000</f>
        <v>0.37697590800636266</v>
      </c>
    </row>
    <row r="63" spans="1:6" x14ac:dyDescent="0.3">
      <c r="A63" s="1">
        <v>22.1</v>
      </c>
      <c r="B63" s="1">
        <v>1.8346</v>
      </c>
      <c r="C63" s="1">
        <f>Tabela1[[#This Row],[Alongamento (mm/mm)]]/$I$2</f>
        <v>3.6692000000000002E-2</v>
      </c>
      <c r="D63" s="1">
        <v>18.370999999999999</v>
      </c>
      <c r="E63" s="1">
        <f>Tabela1[[#This Row],[Força (N)]]/$I$5</f>
        <v>380496.91808059381</v>
      </c>
      <c r="F63" s="1">
        <f>Tabela1[[#This Row],[Tensão (Pa)]]/1000000</f>
        <v>0.38049691808059383</v>
      </c>
    </row>
    <row r="64" spans="1:6" x14ac:dyDescent="0.3">
      <c r="A64" s="1">
        <v>22.283000000000001</v>
      </c>
      <c r="B64" s="1">
        <v>1.8499000000000001</v>
      </c>
      <c r="C64" s="1">
        <f>Tabela1[[#This Row],[Alongamento (mm/mm)]]/$I$2</f>
        <v>3.6998000000000003E-2</v>
      </c>
      <c r="D64" s="1">
        <v>18.370999999999999</v>
      </c>
      <c r="E64" s="1">
        <f>Tabela1[[#This Row],[Força (N)]]/$I$5</f>
        <v>380496.91808059381</v>
      </c>
      <c r="F64" s="1">
        <f>Tabela1[[#This Row],[Tensão (Pa)]]/1000000</f>
        <v>0.38049691808059383</v>
      </c>
    </row>
    <row r="65" spans="1:6" x14ac:dyDescent="0.3">
      <c r="A65" s="1">
        <v>22.466999999999999</v>
      </c>
      <c r="B65" s="1">
        <v>1.8653</v>
      </c>
      <c r="C65" s="1">
        <f>Tabela1[[#This Row],[Alongamento (mm/mm)]]/$I$2</f>
        <v>3.7305999999999999E-2</v>
      </c>
      <c r="D65" s="1">
        <v>18.370999999999999</v>
      </c>
      <c r="E65" s="1">
        <f>Tabela1[[#This Row],[Força (N)]]/$I$5</f>
        <v>380496.91808059381</v>
      </c>
      <c r="F65" s="1">
        <f>Tabela1[[#This Row],[Tensão (Pa)]]/1000000</f>
        <v>0.38049691808059383</v>
      </c>
    </row>
    <row r="66" spans="1:6" x14ac:dyDescent="0.3">
      <c r="A66" s="1">
        <v>22.65</v>
      </c>
      <c r="B66" s="1">
        <v>1.8804000000000001</v>
      </c>
      <c r="C66" s="1">
        <f>Tabela1[[#This Row],[Alongamento (mm/mm)]]/$I$2</f>
        <v>3.7608000000000003E-2</v>
      </c>
      <c r="D66" s="1">
        <v>18.370999999999999</v>
      </c>
      <c r="E66" s="1">
        <f>Tabela1[[#This Row],[Força (N)]]/$I$5</f>
        <v>380496.91808059381</v>
      </c>
      <c r="F66" s="1">
        <f>Tabela1[[#This Row],[Tensão (Pa)]]/1000000</f>
        <v>0.38049691808059383</v>
      </c>
    </row>
    <row r="67" spans="1:6" x14ac:dyDescent="0.3">
      <c r="A67" s="1">
        <v>22.832999999999998</v>
      </c>
      <c r="B67" s="1">
        <v>1.8957999999999999</v>
      </c>
      <c r="C67" s="1">
        <f>Tabela1[[#This Row],[Alongamento (mm/mm)]]/$I$2</f>
        <v>3.7915999999999998E-2</v>
      </c>
      <c r="D67" s="1">
        <v>18.370999999999999</v>
      </c>
      <c r="E67" s="1">
        <f>Tabela1[[#This Row],[Força (N)]]/$I$5</f>
        <v>380496.91808059381</v>
      </c>
      <c r="F67" s="1">
        <f>Tabela1[[#This Row],[Tensão (Pa)]]/1000000</f>
        <v>0.38049691808059383</v>
      </c>
    </row>
    <row r="68" spans="1:6" x14ac:dyDescent="0.3">
      <c r="A68" s="1">
        <v>23.016999999999999</v>
      </c>
      <c r="B68" s="1">
        <v>1.911</v>
      </c>
      <c r="C68" s="1">
        <f>Tabela1[[#This Row],[Alongamento (mm/mm)]]/$I$2</f>
        <v>3.8220000000000004E-2</v>
      </c>
      <c r="D68" s="1">
        <v>18.370999999999999</v>
      </c>
      <c r="E68" s="1">
        <f>Tabela1[[#This Row],[Força (N)]]/$I$5</f>
        <v>380496.91808059381</v>
      </c>
      <c r="F68" s="1">
        <f>Tabela1[[#This Row],[Tensão (Pa)]]/1000000</f>
        <v>0.38049691808059383</v>
      </c>
    </row>
    <row r="69" spans="1:6" x14ac:dyDescent="0.3">
      <c r="A69" s="1">
        <v>23.2</v>
      </c>
      <c r="B69" s="1">
        <v>1.9262999999999999</v>
      </c>
      <c r="C69" s="1">
        <f>Tabela1[[#This Row],[Alongamento (mm/mm)]]/$I$2</f>
        <v>3.8525999999999998E-2</v>
      </c>
      <c r="D69" s="1">
        <v>18.541</v>
      </c>
      <c r="E69" s="1">
        <f>Tabela1[[#This Row],[Força (N)]]/$I$5</f>
        <v>384017.928154825</v>
      </c>
      <c r="F69" s="1">
        <f>Tabela1[[#This Row],[Tensão (Pa)]]/1000000</f>
        <v>0.38401792815482499</v>
      </c>
    </row>
    <row r="70" spans="1:6" x14ac:dyDescent="0.3">
      <c r="A70" s="1">
        <v>23.382999999999999</v>
      </c>
      <c r="B70" s="1">
        <v>1.9416</v>
      </c>
      <c r="C70" s="1">
        <f>Tabela1[[#This Row],[Alongamento (mm/mm)]]/$I$2</f>
        <v>3.8831999999999998E-2</v>
      </c>
      <c r="D70" s="1">
        <v>18.541</v>
      </c>
      <c r="E70" s="1">
        <f>Tabela1[[#This Row],[Força (N)]]/$I$5</f>
        <v>384017.928154825</v>
      </c>
      <c r="F70" s="1">
        <f>Tabela1[[#This Row],[Tensão (Pa)]]/1000000</f>
        <v>0.38401792815482499</v>
      </c>
    </row>
    <row r="71" spans="1:6" x14ac:dyDescent="0.3">
      <c r="A71" s="1">
        <v>23.567</v>
      </c>
      <c r="B71" s="1">
        <v>1.9568000000000001</v>
      </c>
      <c r="C71" s="1">
        <f>Tabela1[[#This Row],[Alongamento (mm/mm)]]/$I$2</f>
        <v>3.9136000000000004E-2</v>
      </c>
      <c r="D71" s="1">
        <v>18.541</v>
      </c>
      <c r="E71" s="1">
        <f>Tabela1[[#This Row],[Força (N)]]/$I$5</f>
        <v>384017.928154825</v>
      </c>
      <c r="F71" s="1">
        <f>Tabela1[[#This Row],[Tensão (Pa)]]/1000000</f>
        <v>0.38401792815482499</v>
      </c>
    </row>
    <row r="72" spans="1:6" x14ac:dyDescent="0.3">
      <c r="A72" s="1">
        <v>23.75</v>
      </c>
      <c r="B72" s="1">
        <v>1.9721</v>
      </c>
      <c r="C72" s="1">
        <f>Tabela1[[#This Row],[Alongamento (mm/mm)]]/$I$2</f>
        <v>3.9441999999999998E-2</v>
      </c>
      <c r="D72" s="1">
        <v>18.541</v>
      </c>
      <c r="E72" s="1">
        <f>Tabela1[[#This Row],[Força (N)]]/$I$5</f>
        <v>384017.928154825</v>
      </c>
      <c r="F72" s="1">
        <f>Tabela1[[#This Row],[Tensão (Pa)]]/1000000</f>
        <v>0.38401792815482499</v>
      </c>
    </row>
    <row r="73" spans="1:6" x14ac:dyDescent="0.3">
      <c r="A73" s="1">
        <v>23.95</v>
      </c>
      <c r="B73" s="1">
        <v>1.9887999999999999</v>
      </c>
      <c r="C73" s="1">
        <f>Tabela1[[#This Row],[Alongamento (mm/mm)]]/$I$2</f>
        <v>3.9775999999999999E-2</v>
      </c>
      <c r="D73" s="1">
        <v>18.881</v>
      </c>
      <c r="E73" s="1">
        <f>Tabela1[[#This Row],[Força (N)]]/$I$5</f>
        <v>391059.94830328738</v>
      </c>
      <c r="F73" s="1">
        <f>Tabela1[[#This Row],[Tensão (Pa)]]/1000000</f>
        <v>0.39105994830328739</v>
      </c>
    </row>
    <row r="74" spans="1:6" x14ac:dyDescent="0.3">
      <c r="A74" s="1">
        <v>24.15</v>
      </c>
      <c r="B74" s="1">
        <v>2.0055000000000001</v>
      </c>
      <c r="C74" s="1">
        <f>Tabela1[[#This Row],[Alongamento (mm/mm)]]/$I$2</f>
        <v>4.011E-2</v>
      </c>
      <c r="D74" s="1">
        <v>19.050999999999998</v>
      </c>
      <c r="E74" s="1">
        <f>Tabela1[[#This Row],[Força (N)]]/$I$5</f>
        <v>394580.95837751852</v>
      </c>
      <c r="F74" s="1">
        <f>Tabela1[[#This Row],[Tensão (Pa)]]/1000000</f>
        <v>0.3945809583775185</v>
      </c>
    </row>
    <row r="75" spans="1:6" x14ac:dyDescent="0.3">
      <c r="A75" s="1">
        <v>24.35</v>
      </c>
      <c r="B75" s="1">
        <v>2.0222000000000002</v>
      </c>
      <c r="C75" s="1">
        <f>Tabela1[[#This Row],[Alongamento (mm/mm)]]/$I$2</f>
        <v>4.0444000000000008E-2</v>
      </c>
      <c r="D75" s="1">
        <v>19.390999999999998</v>
      </c>
      <c r="E75" s="1">
        <f>Tabela1[[#This Row],[Força (N)]]/$I$5</f>
        <v>401622.97852598084</v>
      </c>
      <c r="F75" s="1">
        <f>Tabela1[[#This Row],[Tensão (Pa)]]/1000000</f>
        <v>0.40162297852598083</v>
      </c>
    </row>
    <row r="76" spans="1:6" x14ac:dyDescent="0.3">
      <c r="A76" s="1">
        <v>24.55</v>
      </c>
      <c r="B76" s="1">
        <v>2.0387</v>
      </c>
      <c r="C76" s="1">
        <f>Tabela1[[#This Row],[Alongamento (mm/mm)]]/$I$2</f>
        <v>4.0773999999999998E-2</v>
      </c>
      <c r="D76" s="1">
        <v>20.071999999999999</v>
      </c>
      <c r="E76" s="1">
        <f>Tabela1[[#This Row],[Força (N)]]/$I$5</f>
        <v>415727.73064687167</v>
      </c>
      <c r="F76" s="1">
        <f>Tabela1[[#This Row],[Tensão (Pa)]]/1000000</f>
        <v>0.41572773064687168</v>
      </c>
    </row>
    <row r="77" spans="1:6" x14ac:dyDescent="0.3">
      <c r="A77" s="1">
        <v>24.75</v>
      </c>
      <c r="B77" s="1">
        <v>2.0554999999999999</v>
      </c>
      <c r="C77" s="1">
        <f>Tabela1[[#This Row],[Alongamento (mm/mm)]]/$I$2</f>
        <v>4.1110000000000001E-2</v>
      </c>
      <c r="D77" s="1">
        <v>20.582000000000001</v>
      </c>
      <c r="E77" s="1">
        <f>Tabela1[[#This Row],[Força (N)]]/$I$5</f>
        <v>426290.76086956519</v>
      </c>
      <c r="F77" s="1">
        <f>Tabela1[[#This Row],[Tensão (Pa)]]/1000000</f>
        <v>0.42629076086956519</v>
      </c>
    </row>
    <row r="78" spans="1:6" x14ac:dyDescent="0.3">
      <c r="A78" s="1">
        <v>24.933</v>
      </c>
      <c r="B78" s="1">
        <v>2.0707</v>
      </c>
      <c r="C78" s="1">
        <f>Tabela1[[#This Row],[Alongamento (mm/mm)]]/$I$2</f>
        <v>4.1413999999999999E-2</v>
      </c>
      <c r="D78" s="1">
        <v>21.262</v>
      </c>
      <c r="E78" s="1">
        <f>Tabela1[[#This Row],[Força (N)]]/$I$5</f>
        <v>440374.80116648989</v>
      </c>
      <c r="F78" s="1">
        <f>Tabela1[[#This Row],[Tensão (Pa)]]/1000000</f>
        <v>0.44037480116648992</v>
      </c>
    </row>
    <row r="79" spans="1:6" x14ac:dyDescent="0.3">
      <c r="A79" s="1">
        <v>25.132999999999999</v>
      </c>
      <c r="B79" s="1">
        <v>2.0874000000000001</v>
      </c>
      <c r="C79" s="1">
        <f>Tabela1[[#This Row],[Alongamento (mm/mm)]]/$I$2</f>
        <v>4.1748E-2</v>
      </c>
      <c r="D79" s="1">
        <v>21.773</v>
      </c>
      <c r="E79" s="1">
        <f>Tabela1[[#This Row],[Força (N)]]/$I$5</f>
        <v>450958.54321314947</v>
      </c>
      <c r="F79" s="1">
        <f>Tabela1[[#This Row],[Tensão (Pa)]]/1000000</f>
        <v>0.45095854321314949</v>
      </c>
    </row>
    <row r="80" spans="1:6" x14ac:dyDescent="0.3">
      <c r="A80" s="1">
        <v>25.332999999999998</v>
      </c>
      <c r="B80" s="1">
        <v>2.1040999999999999</v>
      </c>
      <c r="C80" s="1">
        <f>Tabela1[[#This Row],[Alongamento (mm/mm)]]/$I$2</f>
        <v>4.2081999999999994E-2</v>
      </c>
      <c r="D80" s="1">
        <v>22.283000000000001</v>
      </c>
      <c r="E80" s="1">
        <f>Tabela1[[#This Row],[Força (N)]]/$I$5</f>
        <v>461521.57343584305</v>
      </c>
      <c r="F80" s="1">
        <f>Tabela1[[#This Row],[Tensão (Pa)]]/1000000</f>
        <v>0.46152157343584305</v>
      </c>
    </row>
    <row r="81" spans="1:6" x14ac:dyDescent="0.3">
      <c r="A81" s="1">
        <v>25.5</v>
      </c>
      <c r="B81" s="1">
        <v>2.1179000000000001</v>
      </c>
      <c r="C81" s="1">
        <f>Tabela1[[#This Row],[Alongamento (mm/mm)]]/$I$2</f>
        <v>4.2358E-2</v>
      </c>
      <c r="D81" s="1">
        <v>22.963000000000001</v>
      </c>
      <c r="E81" s="1">
        <f>Tabela1[[#This Row],[Força (N)]]/$I$5</f>
        <v>475605.61373276776</v>
      </c>
      <c r="F81" s="1">
        <f>Tabela1[[#This Row],[Tensão (Pa)]]/1000000</f>
        <v>0.47560561373276777</v>
      </c>
    </row>
    <row r="82" spans="1:6" x14ac:dyDescent="0.3">
      <c r="A82" s="1">
        <v>25.7</v>
      </c>
      <c r="B82" s="1">
        <v>2.1347</v>
      </c>
      <c r="C82" s="1">
        <f>Tabela1[[#This Row],[Alongamento (mm/mm)]]/$I$2</f>
        <v>4.2694000000000003E-2</v>
      </c>
      <c r="D82" s="1">
        <v>23.474</v>
      </c>
      <c r="E82" s="1">
        <f>Tabela1[[#This Row],[Força (N)]]/$I$5</f>
        <v>486189.35577942734</v>
      </c>
      <c r="F82" s="1">
        <f>Tabela1[[#This Row],[Tensão (Pa)]]/1000000</f>
        <v>0.48618935577942735</v>
      </c>
    </row>
    <row r="83" spans="1:6" x14ac:dyDescent="0.3">
      <c r="A83" s="1">
        <v>25.9</v>
      </c>
      <c r="B83" s="1">
        <v>2.1513</v>
      </c>
      <c r="C83" s="1">
        <f>Tabela1[[#This Row],[Alongamento (mm/mm)]]/$I$2</f>
        <v>4.3026000000000002E-2</v>
      </c>
      <c r="D83" s="1">
        <v>23.984000000000002</v>
      </c>
      <c r="E83" s="1">
        <f>Tabela1[[#This Row],[Força (N)]]/$I$5</f>
        <v>496752.38600212091</v>
      </c>
      <c r="F83" s="1">
        <f>Tabela1[[#This Row],[Tensão (Pa)]]/1000000</f>
        <v>0.4967523860021209</v>
      </c>
    </row>
    <row r="84" spans="1:6" x14ac:dyDescent="0.3">
      <c r="A84" s="1">
        <v>26.1</v>
      </c>
      <c r="B84" s="1">
        <v>2.1678999999999999</v>
      </c>
      <c r="C84" s="1">
        <f>Tabela1[[#This Row],[Alongamento (mm/mm)]]/$I$2</f>
        <v>4.3358000000000001E-2</v>
      </c>
      <c r="D84" s="1">
        <v>24.664000000000001</v>
      </c>
      <c r="E84" s="1">
        <f>Tabela1[[#This Row],[Força (N)]]/$I$5</f>
        <v>510836.42629904562</v>
      </c>
      <c r="F84" s="1">
        <f>Tabela1[[#This Row],[Tensão (Pa)]]/1000000</f>
        <v>0.51083642629904558</v>
      </c>
    </row>
    <row r="85" spans="1:6" x14ac:dyDescent="0.3">
      <c r="A85" s="1">
        <v>26.317</v>
      </c>
      <c r="B85" s="1">
        <v>2.1859999999999999</v>
      </c>
      <c r="C85" s="1">
        <f>Tabela1[[#This Row],[Alongamento (mm/mm)]]/$I$2</f>
        <v>4.3720000000000002E-2</v>
      </c>
      <c r="D85" s="1">
        <v>25.175000000000001</v>
      </c>
      <c r="E85" s="1">
        <f>Tabela1[[#This Row],[Força (N)]]/$I$5</f>
        <v>521420.1683457052</v>
      </c>
      <c r="F85" s="1">
        <f>Tabela1[[#This Row],[Tensão (Pa)]]/1000000</f>
        <v>0.52142016834570515</v>
      </c>
    </row>
    <row r="86" spans="1:6" x14ac:dyDescent="0.3">
      <c r="A86" s="1">
        <v>26.516999999999999</v>
      </c>
      <c r="B86" s="1">
        <v>2.2027000000000001</v>
      </c>
      <c r="C86" s="1">
        <f>Tabela1[[#This Row],[Alongamento (mm/mm)]]/$I$2</f>
        <v>4.4054000000000003E-2</v>
      </c>
      <c r="D86" s="1">
        <v>25.855</v>
      </c>
      <c r="E86" s="1">
        <f>Tabela1[[#This Row],[Força (N)]]/$I$5</f>
        <v>535504.20864262991</v>
      </c>
      <c r="F86" s="1">
        <f>Tabela1[[#This Row],[Tensão (Pa)]]/1000000</f>
        <v>0.53550420864262993</v>
      </c>
    </row>
    <row r="87" spans="1:6" x14ac:dyDescent="0.3">
      <c r="A87" s="1">
        <v>26.733000000000001</v>
      </c>
      <c r="B87" s="1">
        <v>2.2206999999999999</v>
      </c>
      <c r="C87" s="1">
        <f>Tabela1[[#This Row],[Alongamento (mm/mm)]]/$I$2</f>
        <v>4.4413999999999995E-2</v>
      </c>
      <c r="D87" s="1">
        <v>26.195</v>
      </c>
      <c r="E87" s="1">
        <f>Tabela1[[#This Row],[Força (N)]]/$I$5</f>
        <v>542546.22879109229</v>
      </c>
      <c r="F87" s="1">
        <f>Tabela1[[#This Row],[Tensão (Pa)]]/1000000</f>
        <v>0.54254622879109227</v>
      </c>
    </row>
    <row r="88" spans="1:6" x14ac:dyDescent="0.3">
      <c r="A88" s="1">
        <v>26.9</v>
      </c>
      <c r="B88" s="1">
        <v>2.2345999999999999</v>
      </c>
      <c r="C88" s="1">
        <f>Tabela1[[#This Row],[Alongamento (mm/mm)]]/$I$2</f>
        <v>4.4691999999999996E-2</v>
      </c>
      <c r="D88" s="1">
        <v>26.876000000000001</v>
      </c>
      <c r="E88" s="1">
        <f>Tabela1[[#This Row],[Força (N)]]/$I$5</f>
        <v>556650.98091198306</v>
      </c>
      <c r="F88" s="1">
        <f>Tabela1[[#This Row],[Tensão (Pa)]]/1000000</f>
        <v>0.55665098091198306</v>
      </c>
    </row>
    <row r="89" spans="1:6" x14ac:dyDescent="0.3">
      <c r="A89" s="1">
        <v>27.05</v>
      </c>
      <c r="B89" s="1">
        <v>2.2471999999999999</v>
      </c>
      <c r="C89" s="1">
        <f>Tabela1[[#This Row],[Alongamento (mm/mm)]]/$I$2</f>
        <v>4.4943999999999998E-2</v>
      </c>
      <c r="D89" s="1">
        <v>27.556000000000001</v>
      </c>
      <c r="E89" s="1">
        <f>Tabela1[[#This Row],[Força (N)]]/$I$5</f>
        <v>570735.02120890771</v>
      </c>
      <c r="F89" s="1">
        <f>Tabela1[[#This Row],[Tensão (Pa)]]/1000000</f>
        <v>0.57073502120890773</v>
      </c>
    </row>
    <row r="90" spans="1:6" x14ac:dyDescent="0.3">
      <c r="A90" s="1">
        <v>27.25</v>
      </c>
      <c r="B90" s="1">
        <v>2.2637999999999998</v>
      </c>
      <c r="C90" s="1">
        <f>Tabela1[[#This Row],[Alongamento (mm/mm)]]/$I$2</f>
        <v>4.5275999999999997E-2</v>
      </c>
      <c r="D90" s="1">
        <v>28.236000000000001</v>
      </c>
      <c r="E90" s="1">
        <f>Tabela1[[#This Row],[Força (N)]]/$I$5</f>
        <v>584819.06150583248</v>
      </c>
      <c r="F90" s="1">
        <f>Tabela1[[#This Row],[Tensão (Pa)]]/1000000</f>
        <v>0.58481906150583252</v>
      </c>
    </row>
    <row r="91" spans="1:6" x14ac:dyDescent="0.3">
      <c r="A91" s="1">
        <v>27.45</v>
      </c>
      <c r="B91" s="1">
        <v>2.2805</v>
      </c>
      <c r="C91" s="1">
        <f>Tabela1[[#This Row],[Alongamento (mm/mm)]]/$I$2</f>
        <v>4.5609999999999998E-2</v>
      </c>
      <c r="D91" s="1">
        <v>28.917000000000002</v>
      </c>
      <c r="E91" s="1">
        <f>Tabela1[[#This Row],[Força (N)]]/$I$5</f>
        <v>598923.81362672325</v>
      </c>
      <c r="F91" s="1">
        <f>Tabela1[[#This Row],[Tensão (Pa)]]/1000000</f>
        <v>0.5989238136267232</v>
      </c>
    </row>
    <row r="92" spans="1:6" x14ac:dyDescent="0.3">
      <c r="A92" s="1">
        <v>27.632999999999999</v>
      </c>
      <c r="B92" s="1">
        <v>2.2957000000000001</v>
      </c>
      <c r="C92" s="1">
        <f>Tabela1[[#This Row],[Alongamento (mm/mm)]]/$I$2</f>
        <v>4.5914000000000003E-2</v>
      </c>
      <c r="D92" s="1">
        <v>29.597000000000001</v>
      </c>
      <c r="E92" s="1">
        <f>Tabela1[[#This Row],[Força (N)]]/$I$5</f>
        <v>613007.8539236479</v>
      </c>
      <c r="F92" s="1">
        <f>Tabela1[[#This Row],[Tensão (Pa)]]/1000000</f>
        <v>0.61300785392364787</v>
      </c>
    </row>
    <row r="93" spans="1:6" x14ac:dyDescent="0.3">
      <c r="A93" s="1">
        <v>27.766999999999999</v>
      </c>
      <c r="B93" s="1">
        <v>2.3068</v>
      </c>
      <c r="C93" s="1">
        <f>Tabela1[[#This Row],[Alongamento (mm/mm)]]/$I$2</f>
        <v>4.6135999999999996E-2</v>
      </c>
      <c r="D93" s="1">
        <v>30.277999999999999</v>
      </c>
      <c r="E93" s="1">
        <f>Tabela1[[#This Row],[Força (N)]]/$I$5</f>
        <v>627112.60604453867</v>
      </c>
      <c r="F93" s="1">
        <f>Tabela1[[#This Row],[Tensão (Pa)]]/1000000</f>
        <v>0.62711260604453867</v>
      </c>
    </row>
    <row r="94" spans="1:6" x14ac:dyDescent="0.3">
      <c r="A94" s="1">
        <v>27.95</v>
      </c>
      <c r="B94" s="1">
        <v>2.3220999999999998</v>
      </c>
      <c r="C94" s="1">
        <f>Tabela1[[#This Row],[Alongamento (mm/mm)]]/$I$2</f>
        <v>4.6441999999999997E-2</v>
      </c>
      <c r="D94" s="1">
        <v>30.957999999999998</v>
      </c>
      <c r="E94" s="1">
        <f>Tabela1[[#This Row],[Força (N)]]/$I$5</f>
        <v>641196.64634146332</v>
      </c>
      <c r="F94" s="1">
        <f>Tabela1[[#This Row],[Tensão (Pa)]]/1000000</f>
        <v>0.64119664634146334</v>
      </c>
    </row>
    <row r="95" spans="1:6" x14ac:dyDescent="0.3">
      <c r="A95" s="1">
        <v>28.132999999999999</v>
      </c>
      <c r="B95" s="1">
        <v>2.3374000000000001</v>
      </c>
      <c r="C95" s="1">
        <f>Tabela1[[#This Row],[Alongamento (mm/mm)]]/$I$2</f>
        <v>4.6748000000000005E-2</v>
      </c>
      <c r="D95" s="1">
        <v>31.638000000000002</v>
      </c>
      <c r="E95" s="1">
        <f>Tabela1[[#This Row],[Força (N)]]/$I$5</f>
        <v>655280.68663838808</v>
      </c>
      <c r="F95" s="1">
        <f>Tabela1[[#This Row],[Tensão (Pa)]]/1000000</f>
        <v>0.65528068663838812</v>
      </c>
    </row>
    <row r="96" spans="1:6" x14ac:dyDescent="0.3">
      <c r="A96" s="1">
        <v>28.35</v>
      </c>
      <c r="B96" s="1">
        <v>2.3555000000000001</v>
      </c>
      <c r="C96" s="1">
        <f>Tabela1[[#This Row],[Alongamento (mm/mm)]]/$I$2</f>
        <v>4.7110000000000006E-2</v>
      </c>
      <c r="D96" s="1">
        <v>32.319000000000003</v>
      </c>
      <c r="E96" s="1">
        <f>Tabela1[[#This Row],[Força (N)]]/$I$5</f>
        <v>669385.43875927897</v>
      </c>
      <c r="F96" s="1">
        <f>Tabela1[[#This Row],[Tensão (Pa)]]/1000000</f>
        <v>0.66938543875927892</v>
      </c>
    </row>
    <row r="97" spans="1:6" x14ac:dyDescent="0.3">
      <c r="A97" s="1">
        <v>28.533000000000001</v>
      </c>
      <c r="B97" s="1">
        <v>2.3706999999999998</v>
      </c>
      <c r="C97" s="1">
        <f>Tabela1[[#This Row],[Alongamento (mm/mm)]]/$I$2</f>
        <v>4.7413999999999998E-2</v>
      </c>
      <c r="D97" s="1">
        <v>32.999000000000002</v>
      </c>
      <c r="E97" s="1">
        <f>Tabela1[[#This Row],[Força (N)]]/$I$5</f>
        <v>683469.47905620362</v>
      </c>
      <c r="F97" s="1">
        <f>Tabela1[[#This Row],[Tensão (Pa)]]/1000000</f>
        <v>0.68346947905620359</v>
      </c>
    </row>
    <row r="98" spans="1:6" x14ac:dyDescent="0.3">
      <c r="A98" s="1">
        <v>28.683</v>
      </c>
      <c r="B98" s="1">
        <v>2.3833000000000002</v>
      </c>
      <c r="C98" s="1">
        <f>Tabela1[[#This Row],[Alongamento (mm/mm)]]/$I$2</f>
        <v>4.7666000000000007E-2</v>
      </c>
      <c r="D98" s="1">
        <v>33.68</v>
      </c>
      <c r="E98" s="1">
        <f>Tabela1[[#This Row],[Força (N)]]/$I$5</f>
        <v>697574.23117709439</v>
      </c>
      <c r="F98" s="1">
        <f>Tabela1[[#This Row],[Tensão (Pa)]]/1000000</f>
        <v>0.69757423117709438</v>
      </c>
    </row>
    <row r="99" spans="1:6" x14ac:dyDescent="0.3">
      <c r="A99" s="1">
        <v>28.832999999999998</v>
      </c>
      <c r="B99" s="1">
        <v>2.3957000000000002</v>
      </c>
      <c r="C99" s="1">
        <f>Tabela1[[#This Row],[Alongamento (mm/mm)]]/$I$2</f>
        <v>4.7914000000000005E-2</v>
      </c>
      <c r="D99" s="1">
        <v>34.36</v>
      </c>
      <c r="E99" s="1">
        <f>Tabela1[[#This Row],[Força (N)]]/$I$5</f>
        <v>711658.27147401904</v>
      </c>
      <c r="F99" s="1">
        <f>Tabela1[[#This Row],[Tensão (Pa)]]/1000000</f>
        <v>0.71165827147401906</v>
      </c>
    </row>
    <row r="100" spans="1:6" x14ac:dyDescent="0.3">
      <c r="A100" s="1">
        <v>28.966999999999999</v>
      </c>
      <c r="B100" s="1">
        <v>2.4068999999999998</v>
      </c>
      <c r="C100" s="1">
        <f>Tabela1[[#This Row],[Alongamento (mm/mm)]]/$I$2</f>
        <v>4.8137999999999993E-2</v>
      </c>
      <c r="D100" s="1">
        <v>35.04</v>
      </c>
      <c r="E100" s="1">
        <f>Tabela1[[#This Row],[Força (N)]]/$I$5</f>
        <v>725742.31177094369</v>
      </c>
      <c r="F100" s="1">
        <f>Tabela1[[#This Row],[Tensão (Pa)]]/1000000</f>
        <v>0.72574231177094373</v>
      </c>
    </row>
    <row r="101" spans="1:6" x14ac:dyDescent="0.3">
      <c r="A101" s="1">
        <v>29.1</v>
      </c>
      <c r="B101" s="1">
        <v>2.4180000000000001</v>
      </c>
      <c r="C101" s="1">
        <f>Tabela1[[#This Row],[Alongamento (mm/mm)]]/$I$2</f>
        <v>4.836E-2</v>
      </c>
      <c r="D101" s="1">
        <v>35.720999999999997</v>
      </c>
      <c r="E101" s="1">
        <f>Tabela1[[#This Row],[Força (N)]]/$I$5</f>
        <v>739847.06389183446</v>
      </c>
      <c r="F101" s="1">
        <f>Tabela1[[#This Row],[Tensão (Pa)]]/1000000</f>
        <v>0.73984706389183441</v>
      </c>
    </row>
    <row r="102" spans="1:6" x14ac:dyDescent="0.3">
      <c r="A102" s="1">
        <v>29.233000000000001</v>
      </c>
      <c r="B102" s="1">
        <v>2.4291</v>
      </c>
      <c r="C102" s="1">
        <f>Tabela1[[#This Row],[Alongamento (mm/mm)]]/$I$2</f>
        <v>4.8582E-2</v>
      </c>
      <c r="D102" s="1">
        <v>36.401000000000003</v>
      </c>
      <c r="E102" s="1">
        <f>Tabela1[[#This Row],[Força (N)]]/$I$5</f>
        <v>753931.10418875935</v>
      </c>
      <c r="F102" s="1">
        <f>Tabela1[[#This Row],[Tensão (Pa)]]/1000000</f>
        <v>0.7539311041887593</v>
      </c>
    </row>
    <row r="103" spans="1:6" x14ac:dyDescent="0.3">
      <c r="A103" s="1">
        <v>29.367000000000001</v>
      </c>
      <c r="B103" s="1">
        <v>2.4403000000000001</v>
      </c>
      <c r="C103" s="1">
        <f>Tabela1[[#This Row],[Alongamento (mm/mm)]]/$I$2</f>
        <v>4.8806000000000002E-2</v>
      </c>
      <c r="D103" s="1">
        <v>37.082000000000001</v>
      </c>
      <c r="E103" s="1">
        <f>Tabela1[[#This Row],[Força (N)]]/$I$5</f>
        <v>768035.85630965</v>
      </c>
      <c r="F103" s="1">
        <f>Tabela1[[#This Row],[Tensão (Pa)]]/1000000</f>
        <v>0.76803585630964999</v>
      </c>
    </row>
    <row r="104" spans="1:6" x14ac:dyDescent="0.3">
      <c r="A104" s="1">
        <v>29.516999999999999</v>
      </c>
      <c r="B104" s="1">
        <v>2.4525999999999999</v>
      </c>
      <c r="C104" s="1">
        <f>Tabela1[[#This Row],[Alongamento (mm/mm)]]/$I$2</f>
        <v>4.9051999999999998E-2</v>
      </c>
      <c r="D104" s="1">
        <v>37.762</v>
      </c>
      <c r="E104" s="1">
        <f>Tabela1[[#This Row],[Força (N)]]/$I$5</f>
        <v>782119.89660657477</v>
      </c>
      <c r="F104" s="1">
        <f>Tabela1[[#This Row],[Tensão (Pa)]]/1000000</f>
        <v>0.78211989660657477</v>
      </c>
    </row>
    <row r="105" spans="1:6" x14ac:dyDescent="0.3">
      <c r="A105" s="1">
        <v>29.632999999999999</v>
      </c>
      <c r="B105" s="1">
        <v>2.4624000000000001</v>
      </c>
      <c r="C105" s="1">
        <f>Tabela1[[#This Row],[Alongamento (mm/mm)]]/$I$2</f>
        <v>4.9248E-2</v>
      </c>
      <c r="D105" s="1">
        <v>38.442</v>
      </c>
      <c r="E105" s="1">
        <f>Tabela1[[#This Row],[Força (N)]]/$I$5</f>
        <v>796203.93690349942</v>
      </c>
      <c r="F105" s="1">
        <f>Tabela1[[#This Row],[Tensão (Pa)]]/1000000</f>
        <v>0.79620393690349944</v>
      </c>
    </row>
    <row r="106" spans="1:6" x14ac:dyDescent="0.3">
      <c r="A106" s="1">
        <v>29.766999999999999</v>
      </c>
      <c r="B106" s="1">
        <v>2.4735</v>
      </c>
      <c r="C106" s="1">
        <f>Tabela1[[#This Row],[Alongamento (mm/mm)]]/$I$2</f>
        <v>4.947E-2</v>
      </c>
      <c r="D106" s="1">
        <v>39.122999999999998</v>
      </c>
      <c r="E106" s="1">
        <f>Tabela1[[#This Row],[Força (N)]]/$I$5</f>
        <v>810308.68902439019</v>
      </c>
      <c r="F106" s="1">
        <f>Tabela1[[#This Row],[Tensão (Pa)]]/1000000</f>
        <v>0.81030868902439024</v>
      </c>
    </row>
    <row r="107" spans="1:6" x14ac:dyDescent="0.3">
      <c r="A107" s="1">
        <v>29.9</v>
      </c>
      <c r="B107" s="1">
        <v>2.4845999999999999</v>
      </c>
      <c r="C107" s="1">
        <f>Tabela1[[#This Row],[Alongamento (mm/mm)]]/$I$2</f>
        <v>4.9692E-2</v>
      </c>
      <c r="D107" s="1">
        <v>39.802999999999997</v>
      </c>
      <c r="E107" s="1">
        <f>Tabela1[[#This Row],[Força (N)]]/$I$5</f>
        <v>824392.72932131484</v>
      </c>
      <c r="F107" s="1">
        <f>Tabela1[[#This Row],[Tensão (Pa)]]/1000000</f>
        <v>0.8243927293213148</v>
      </c>
    </row>
    <row r="108" spans="1:6" x14ac:dyDescent="0.3">
      <c r="A108" s="1">
        <v>30.016999999999999</v>
      </c>
      <c r="B108" s="1">
        <v>2.4943</v>
      </c>
      <c r="C108" s="1">
        <f>Tabela1[[#This Row],[Alongamento (mm/mm)]]/$I$2</f>
        <v>4.9886E-2</v>
      </c>
      <c r="D108" s="1">
        <v>40.484000000000002</v>
      </c>
      <c r="E108" s="1">
        <f>Tabela1[[#This Row],[Força (N)]]/$I$5</f>
        <v>838497.48144220572</v>
      </c>
      <c r="F108" s="1">
        <f>Tabela1[[#This Row],[Tensão (Pa)]]/1000000</f>
        <v>0.83849748144220571</v>
      </c>
    </row>
    <row r="109" spans="1:6" x14ac:dyDescent="0.3">
      <c r="A109" s="1">
        <v>30.132999999999999</v>
      </c>
      <c r="B109" s="1">
        <v>2.504</v>
      </c>
      <c r="C109" s="1">
        <f>Tabela1[[#This Row],[Alongamento (mm/mm)]]/$I$2</f>
        <v>5.008E-2</v>
      </c>
      <c r="D109" s="1">
        <v>41.164000000000001</v>
      </c>
      <c r="E109" s="1">
        <f>Tabela1[[#This Row],[Força (N)]]/$I$5</f>
        <v>852581.52173913037</v>
      </c>
      <c r="F109" s="1">
        <f>Tabela1[[#This Row],[Tensão (Pa)]]/1000000</f>
        <v>0.85258152173913038</v>
      </c>
    </row>
    <row r="110" spans="1:6" x14ac:dyDescent="0.3">
      <c r="A110" s="1">
        <v>30.25</v>
      </c>
      <c r="B110" s="1">
        <v>2.5137</v>
      </c>
      <c r="C110" s="1">
        <f>Tabela1[[#This Row],[Alongamento (mm/mm)]]/$I$2</f>
        <v>5.0273999999999999E-2</v>
      </c>
      <c r="D110" s="1">
        <v>41.844000000000001</v>
      </c>
      <c r="E110" s="1">
        <f>Tabela1[[#This Row],[Força (N)]]/$I$5</f>
        <v>866665.56203605514</v>
      </c>
      <c r="F110" s="1">
        <f>Tabela1[[#This Row],[Tensão (Pa)]]/1000000</f>
        <v>0.86666556203605516</v>
      </c>
    </row>
    <row r="111" spans="1:6" x14ac:dyDescent="0.3">
      <c r="A111" s="1">
        <v>30.367000000000001</v>
      </c>
      <c r="B111" s="1">
        <v>2.5234999999999999</v>
      </c>
      <c r="C111" s="1">
        <f>Tabela1[[#This Row],[Alongamento (mm/mm)]]/$I$2</f>
        <v>5.0469999999999994E-2</v>
      </c>
      <c r="D111" s="1">
        <v>42.524999999999999</v>
      </c>
      <c r="E111" s="1">
        <f>Tabela1[[#This Row],[Força (N)]]/$I$5</f>
        <v>880770.31415694579</v>
      </c>
      <c r="F111" s="1">
        <f>Tabela1[[#This Row],[Tensão (Pa)]]/1000000</f>
        <v>0.88077031415694584</v>
      </c>
    </row>
    <row r="112" spans="1:6" x14ac:dyDescent="0.3">
      <c r="A112" s="1">
        <v>30.483000000000001</v>
      </c>
      <c r="B112" s="1">
        <v>2.5331999999999999</v>
      </c>
      <c r="C112" s="1">
        <f>Tabela1[[#This Row],[Alongamento (mm/mm)]]/$I$2</f>
        <v>5.0664000000000001E-2</v>
      </c>
      <c r="D112" s="1">
        <v>43.204999999999998</v>
      </c>
      <c r="E112" s="1">
        <f>Tabela1[[#This Row],[Força (N)]]/$I$5</f>
        <v>894854.35445387056</v>
      </c>
      <c r="F112" s="1">
        <f>Tabela1[[#This Row],[Tensão (Pa)]]/1000000</f>
        <v>0.89485435445387052</v>
      </c>
    </row>
    <row r="113" spans="1:6" x14ac:dyDescent="0.3">
      <c r="A113" s="1">
        <v>30.582999999999998</v>
      </c>
      <c r="B113" s="1">
        <v>2.5415999999999999</v>
      </c>
      <c r="C113" s="1">
        <f>Tabela1[[#This Row],[Alongamento (mm/mm)]]/$I$2</f>
        <v>5.0831999999999995E-2</v>
      </c>
      <c r="D113" s="1">
        <v>43.884999999999998</v>
      </c>
      <c r="E113" s="1">
        <f>Tabela1[[#This Row],[Força (N)]]/$I$5</f>
        <v>908938.39475079521</v>
      </c>
      <c r="F113" s="1">
        <f>Tabela1[[#This Row],[Tensão (Pa)]]/1000000</f>
        <v>0.90893839475079519</v>
      </c>
    </row>
    <row r="114" spans="1:6" x14ac:dyDescent="0.3">
      <c r="A114" s="1">
        <v>30.7</v>
      </c>
      <c r="B114" s="1">
        <v>2.5512999999999999</v>
      </c>
      <c r="C114" s="1">
        <f>Tabela1[[#This Row],[Alongamento (mm/mm)]]/$I$2</f>
        <v>5.1025999999999995E-2</v>
      </c>
      <c r="D114" s="1">
        <v>44.566000000000003</v>
      </c>
      <c r="E114" s="1">
        <f>Tabela1[[#This Row],[Força (N)]]/$I$5</f>
        <v>923043.1468716861</v>
      </c>
      <c r="F114" s="1">
        <f>Tabela1[[#This Row],[Tensão (Pa)]]/1000000</f>
        <v>0.92304314687168609</v>
      </c>
    </row>
    <row r="115" spans="1:6" x14ac:dyDescent="0.3">
      <c r="A115" s="1">
        <v>30.8</v>
      </c>
      <c r="B115" s="1">
        <v>2.5596999999999999</v>
      </c>
      <c r="C115" s="1">
        <f>Tabela1[[#This Row],[Alongamento (mm/mm)]]/$I$2</f>
        <v>5.1193999999999996E-2</v>
      </c>
      <c r="D115" s="1">
        <v>45.246000000000002</v>
      </c>
      <c r="E115" s="1">
        <f>Tabela1[[#This Row],[Força (N)]]/$I$5</f>
        <v>937127.18716861086</v>
      </c>
      <c r="F115" s="1">
        <f>Tabela1[[#This Row],[Tensão (Pa)]]/1000000</f>
        <v>0.93712718716861088</v>
      </c>
    </row>
    <row r="116" spans="1:6" x14ac:dyDescent="0.3">
      <c r="A116" s="1">
        <v>30.917000000000002</v>
      </c>
      <c r="B116" s="1">
        <v>2.5693999999999999</v>
      </c>
      <c r="C116" s="1">
        <f>Tabela1[[#This Row],[Alongamento (mm/mm)]]/$I$2</f>
        <v>5.1387999999999996E-2</v>
      </c>
      <c r="D116" s="1">
        <v>45.927</v>
      </c>
      <c r="E116" s="1">
        <f>Tabela1[[#This Row],[Força (N)]]/$I$5</f>
        <v>951231.93928950152</v>
      </c>
      <c r="F116" s="1">
        <f>Tabela1[[#This Row],[Tensão (Pa)]]/1000000</f>
        <v>0.95123193928950156</v>
      </c>
    </row>
    <row r="117" spans="1:6" x14ac:dyDescent="0.3">
      <c r="A117" s="1">
        <v>31.05</v>
      </c>
      <c r="B117" s="1">
        <v>2.5804999999999998</v>
      </c>
      <c r="C117" s="1">
        <f>Tabela1[[#This Row],[Alongamento (mm/mm)]]/$I$2</f>
        <v>5.1609999999999996E-2</v>
      </c>
      <c r="D117" s="1">
        <v>46.606999999999999</v>
      </c>
      <c r="E117" s="1">
        <f>Tabela1[[#This Row],[Força (N)]]/$I$5</f>
        <v>965315.97958642629</v>
      </c>
      <c r="F117" s="1">
        <f>Tabela1[[#This Row],[Tensão (Pa)]]/1000000</f>
        <v>0.96531597958642623</v>
      </c>
    </row>
    <row r="118" spans="1:6" x14ac:dyDescent="0.3">
      <c r="A118" s="1">
        <v>31.167000000000002</v>
      </c>
      <c r="B118" s="1">
        <v>2.5901999999999998</v>
      </c>
      <c r="C118" s="1">
        <f>Tabela1[[#This Row],[Alongamento (mm/mm)]]/$I$2</f>
        <v>5.1803999999999996E-2</v>
      </c>
      <c r="D118" s="1">
        <v>47.286999999999999</v>
      </c>
      <c r="E118" s="1">
        <f>Tabela1[[#This Row],[Força (N)]]/$I$5</f>
        <v>979400.01988335093</v>
      </c>
      <c r="F118" s="1">
        <f>Tabela1[[#This Row],[Tensão (Pa)]]/1000000</f>
        <v>0.9794000198833509</v>
      </c>
    </row>
    <row r="119" spans="1:6" x14ac:dyDescent="0.3">
      <c r="A119" s="1">
        <v>31.283000000000001</v>
      </c>
      <c r="B119" s="1">
        <v>2.5998999999999999</v>
      </c>
      <c r="C119" s="1">
        <f>Tabela1[[#This Row],[Alongamento (mm/mm)]]/$I$2</f>
        <v>5.1997999999999996E-2</v>
      </c>
      <c r="D119" s="1">
        <v>47.968000000000004</v>
      </c>
      <c r="E119" s="1">
        <f>Tabela1[[#This Row],[Força (N)]]/$I$5</f>
        <v>993504.77200424182</v>
      </c>
      <c r="F119" s="1">
        <f>Tabela1[[#This Row],[Tensão (Pa)]]/1000000</f>
        <v>0.99350477200424181</v>
      </c>
    </row>
    <row r="120" spans="1:6" x14ac:dyDescent="0.3">
      <c r="A120" s="1">
        <v>31.382999999999999</v>
      </c>
      <c r="B120" s="1">
        <v>2.6082000000000001</v>
      </c>
      <c r="C120" s="1">
        <f>Tabela1[[#This Row],[Alongamento (mm/mm)]]/$I$2</f>
        <v>5.2164000000000002E-2</v>
      </c>
      <c r="D120" s="1">
        <v>48.648000000000003</v>
      </c>
      <c r="E120" s="1">
        <f>Tabela1[[#This Row],[Força (N)]]/$I$5</f>
        <v>1007588.8123011665</v>
      </c>
      <c r="F120" s="1">
        <f>Tabela1[[#This Row],[Tensão (Pa)]]/1000000</f>
        <v>1.0075888123011665</v>
      </c>
    </row>
    <row r="121" spans="1:6" x14ac:dyDescent="0.3">
      <c r="A121" s="1">
        <v>31.483000000000001</v>
      </c>
      <c r="B121" s="1">
        <v>2.6166</v>
      </c>
      <c r="C121" s="1">
        <f>Tabela1[[#This Row],[Alongamento (mm/mm)]]/$I$2</f>
        <v>5.2332000000000004E-2</v>
      </c>
      <c r="D121" s="1">
        <v>49.329000000000001</v>
      </c>
      <c r="E121" s="1">
        <f>Tabela1[[#This Row],[Força (N)]]/$I$5</f>
        <v>1021693.5644220572</v>
      </c>
      <c r="F121" s="1">
        <f>Tabela1[[#This Row],[Tensão (Pa)]]/1000000</f>
        <v>1.0216935644220573</v>
      </c>
    </row>
    <row r="122" spans="1:6" x14ac:dyDescent="0.3">
      <c r="A122" s="1">
        <v>31.582999999999998</v>
      </c>
      <c r="B122" s="1">
        <v>2.6248999999999998</v>
      </c>
      <c r="C122" s="1">
        <f>Tabela1[[#This Row],[Alongamento (mm/mm)]]/$I$2</f>
        <v>5.2497999999999996E-2</v>
      </c>
      <c r="D122" s="1">
        <v>50.009</v>
      </c>
      <c r="E122" s="1">
        <f>Tabela1[[#This Row],[Força (N)]]/$I$5</f>
        <v>1035777.6047189819</v>
      </c>
      <c r="F122" s="1">
        <f>Tabela1[[#This Row],[Tensão (Pa)]]/1000000</f>
        <v>1.0357776047189819</v>
      </c>
    </row>
    <row r="123" spans="1:6" x14ac:dyDescent="0.3">
      <c r="A123" s="1">
        <v>31.7</v>
      </c>
      <c r="B123" s="1">
        <v>2.6347</v>
      </c>
      <c r="C123" s="1">
        <f>Tabela1[[#This Row],[Alongamento (mm/mm)]]/$I$2</f>
        <v>5.2693999999999998E-2</v>
      </c>
      <c r="D123" s="1">
        <v>50.689</v>
      </c>
      <c r="E123" s="1">
        <f>Tabela1[[#This Row],[Força (N)]]/$I$5</f>
        <v>1049861.6450159065</v>
      </c>
      <c r="F123" s="1">
        <f>Tabela1[[#This Row],[Tensão (Pa)]]/1000000</f>
        <v>1.0498616450159066</v>
      </c>
    </row>
    <row r="124" spans="1:6" x14ac:dyDescent="0.3">
      <c r="A124" s="1">
        <v>31.8</v>
      </c>
      <c r="B124" s="1">
        <v>2.6429</v>
      </c>
      <c r="C124" s="1">
        <f>Tabela1[[#This Row],[Alongamento (mm/mm)]]/$I$2</f>
        <v>5.2858000000000002E-2</v>
      </c>
      <c r="D124" s="1">
        <v>51.37</v>
      </c>
      <c r="E124" s="1">
        <f>Tabela1[[#This Row],[Força (N)]]/$I$5</f>
        <v>1063966.3971367974</v>
      </c>
      <c r="F124" s="1">
        <f>Tabela1[[#This Row],[Tensão (Pa)]]/1000000</f>
        <v>1.0639663971367974</v>
      </c>
    </row>
    <row r="125" spans="1:6" x14ac:dyDescent="0.3">
      <c r="A125" s="1">
        <v>31.9</v>
      </c>
      <c r="B125" s="1">
        <v>2.6513</v>
      </c>
      <c r="C125" s="1">
        <f>Tabela1[[#This Row],[Alongamento (mm/mm)]]/$I$2</f>
        <v>5.3025999999999997E-2</v>
      </c>
      <c r="D125" s="1">
        <v>52.05</v>
      </c>
      <c r="E125" s="1">
        <f>Tabela1[[#This Row],[Força (N)]]/$I$5</f>
        <v>1078050.437433722</v>
      </c>
      <c r="F125" s="1">
        <f>Tabela1[[#This Row],[Tensão (Pa)]]/1000000</f>
        <v>1.0780504374337219</v>
      </c>
    </row>
    <row r="126" spans="1:6" x14ac:dyDescent="0.3">
      <c r="A126" s="1">
        <v>32</v>
      </c>
      <c r="B126" s="1">
        <v>2.6596000000000002</v>
      </c>
      <c r="C126" s="1">
        <f>Tabela1[[#This Row],[Alongamento (mm/mm)]]/$I$2</f>
        <v>5.3192000000000003E-2</v>
      </c>
      <c r="D126" s="1">
        <v>52.731000000000002</v>
      </c>
      <c r="E126" s="1">
        <f>Tabela1[[#This Row],[Força (N)]]/$I$5</f>
        <v>1092155.1895546129</v>
      </c>
      <c r="F126" s="1">
        <f>Tabela1[[#This Row],[Tensão (Pa)]]/1000000</f>
        <v>1.0921551895546129</v>
      </c>
    </row>
    <row r="127" spans="1:6" x14ac:dyDescent="0.3">
      <c r="A127" s="1">
        <v>32.1</v>
      </c>
      <c r="B127" s="1">
        <v>2.6680000000000001</v>
      </c>
      <c r="C127" s="1">
        <f>Tabela1[[#This Row],[Alongamento (mm/mm)]]/$I$2</f>
        <v>5.3360000000000005E-2</v>
      </c>
      <c r="D127" s="1">
        <v>53.411000000000001</v>
      </c>
      <c r="E127" s="1">
        <f>Tabela1[[#This Row],[Força (N)]]/$I$5</f>
        <v>1106239.2298515376</v>
      </c>
      <c r="F127" s="1">
        <f>Tabela1[[#This Row],[Tensão (Pa)]]/1000000</f>
        <v>1.1062392298515376</v>
      </c>
    </row>
    <row r="128" spans="1:6" x14ac:dyDescent="0.3">
      <c r="A128" s="1">
        <v>32.216999999999999</v>
      </c>
      <c r="B128" s="1">
        <v>2.6777000000000002</v>
      </c>
      <c r="C128" s="1">
        <f>Tabela1[[#This Row],[Alongamento (mm/mm)]]/$I$2</f>
        <v>5.3554000000000004E-2</v>
      </c>
      <c r="D128" s="1">
        <v>54.091000000000001</v>
      </c>
      <c r="E128" s="1">
        <f>Tabela1[[#This Row],[Força (N)]]/$I$5</f>
        <v>1120323.2701484624</v>
      </c>
      <c r="F128" s="1">
        <f>Tabela1[[#This Row],[Tensão (Pa)]]/1000000</f>
        <v>1.1203232701484624</v>
      </c>
    </row>
    <row r="129" spans="1:6" x14ac:dyDescent="0.3">
      <c r="A129" s="1">
        <v>32.317</v>
      </c>
      <c r="B129" s="1">
        <v>2.6859999999999999</v>
      </c>
      <c r="C129" s="1">
        <f>Tabela1[[#This Row],[Alongamento (mm/mm)]]/$I$2</f>
        <v>5.3719999999999997E-2</v>
      </c>
      <c r="D129" s="1">
        <v>54.771999999999998</v>
      </c>
      <c r="E129" s="1">
        <f>Tabela1[[#This Row],[Força (N)]]/$I$5</f>
        <v>1134428.022269353</v>
      </c>
      <c r="F129" s="1">
        <f>Tabela1[[#This Row],[Tensão (Pa)]]/1000000</f>
        <v>1.134428022269353</v>
      </c>
    </row>
    <row r="130" spans="1:6" x14ac:dyDescent="0.3">
      <c r="A130" s="1">
        <v>32.417000000000002</v>
      </c>
      <c r="B130" s="1">
        <v>2.6943000000000001</v>
      </c>
      <c r="C130" s="1">
        <f>Tabela1[[#This Row],[Alongamento (mm/mm)]]/$I$2</f>
        <v>5.3886000000000003E-2</v>
      </c>
      <c r="D130" s="1">
        <v>55.451999999999998</v>
      </c>
      <c r="E130" s="1">
        <f>Tabela1[[#This Row],[Força (N)]]/$I$5</f>
        <v>1148512.0625662778</v>
      </c>
      <c r="F130" s="1">
        <f>Tabela1[[#This Row],[Tensão (Pa)]]/1000000</f>
        <v>1.1485120625662779</v>
      </c>
    </row>
    <row r="131" spans="1:6" x14ac:dyDescent="0.3">
      <c r="A131" s="1">
        <v>32.533000000000001</v>
      </c>
      <c r="B131" s="1">
        <v>2.7040999999999999</v>
      </c>
      <c r="C131" s="1">
        <f>Tabela1[[#This Row],[Alongamento (mm/mm)]]/$I$2</f>
        <v>5.4081999999999998E-2</v>
      </c>
      <c r="D131" s="1">
        <v>56.133000000000003</v>
      </c>
      <c r="E131" s="1">
        <f>Tabela1[[#This Row],[Força (N)]]/$I$5</f>
        <v>1162616.8146871687</v>
      </c>
      <c r="F131" s="1">
        <f>Tabela1[[#This Row],[Tensão (Pa)]]/1000000</f>
        <v>1.1626168146871687</v>
      </c>
    </row>
    <row r="132" spans="1:6" x14ac:dyDescent="0.3">
      <c r="A132" s="1">
        <v>32.65</v>
      </c>
      <c r="B132" s="1">
        <v>2.7139000000000002</v>
      </c>
      <c r="C132" s="1">
        <f>Tabela1[[#This Row],[Alongamento (mm/mm)]]/$I$2</f>
        <v>5.4278000000000007E-2</v>
      </c>
      <c r="D132" s="1">
        <v>56.813000000000002</v>
      </c>
      <c r="E132" s="1">
        <f>Tabela1[[#This Row],[Força (N)]]/$I$5</f>
        <v>1176700.8549840932</v>
      </c>
      <c r="F132" s="1">
        <f>Tabela1[[#This Row],[Tensão (Pa)]]/1000000</f>
        <v>1.1767008549840932</v>
      </c>
    </row>
    <row r="133" spans="1:6" x14ac:dyDescent="0.3">
      <c r="A133" s="1">
        <v>32.75</v>
      </c>
      <c r="B133" s="1">
        <v>2.7221000000000002</v>
      </c>
      <c r="C133" s="1">
        <f>Tabela1[[#This Row],[Alongamento (mm/mm)]]/$I$2</f>
        <v>5.4442000000000004E-2</v>
      </c>
      <c r="D133" s="1">
        <v>57.493000000000002</v>
      </c>
      <c r="E133" s="1">
        <f>Tabela1[[#This Row],[Força (N)]]/$I$5</f>
        <v>1190784.895281018</v>
      </c>
      <c r="F133" s="1">
        <f>Tabela1[[#This Row],[Tensão (Pa)]]/1000000</f>
        <v>1.1907848952810181</v>
      </c>
    </row>
    <row r="134" spans="1:6" x14ac:dyDescent="0.3">
      <c r="A134" s="1">
        <v>32.866999999999997</v>
      </c>
      <c r="B134" s="1">
        <v>2.7317999999999998</v>
      </c>
      <c r="C134" s="1">
        <f>Tabela1[[#This Row],[Alongamento (mm/mm)]]/$I$2</f>
        <v>5.4635999999999997E-2</v>
      </c>
      <c r="D134" s="1">
        <v>58.173999999999999</v>
      </c>
      <c r="E134" s="1">
        <f>Tabela1[[#This Row],[Força (N)]]/$I$5</f>
        <v>1204889.6474019086</v>
      </c>
      <c r="F134" s="1">
        <f>Tabela1[[#This Row],[Tensão (Pa)]]/1000000</f>
        <v>1.2048896474019086</v>
      </c>
    </row>
    <row r="135" spans="1:6" x14ac:dyDescent="0.3">
      <c r="A135" s="1">
        <v>32.982999999999997</v>
      </c>
      <c r="B135" s="1">
        <v>2.7414999999999998</v>
      </c>
      <c r="C135" s="1">
        <f>Tabela1[[#This Row],[Alongamento (mm/mm)]]/$I$2</f>
        <v>5.4829999999999997E-2</v>
      </c>
      <c r="D135" s="1">
        <v>58.853999999999999</v>
      </c>
      <c r="E135" s="1">
        <f>Tabela1[[#This Row],[Força (N)]]/$I$5</f>
        <v>1218973.6876988334</v>
      </c>
      <c r="F135" s="1">
        <f>Tabela1[[#This Row],[Tensão (Pa)]]/1000000</f>
        <v>1.2189736876988335</v>
      </c>
    </row>
    <row r="136" spans="1:6" x14ac:dyDescent="0.3">
      <c r="A136" s="1">
        <v>33.082999999999998</v>
      </c>
      <c r="B136" s="1">
        <v>2.75</v>
      </c>
      <c r="C136" s="1">
        <f>Tabela1[[#This Row],[Alongamento (mm/mm)]]/$I$2</f>
        <v>5.5E-2</v>
      </c>
      <c r="D136" s="1">
        <v>59.534999999999997</v>
      </c>
      <c r="E136" s="1">
        <f>Tabela1[[#This Row],[Força (N)]]/$I$5</f>
        <v>1233078.4398197241</v>
      </c>
      <c r="F136" s="1">
        <f>Tabela1[[#This Row],[Tensão (Pa)]]/1000000</f>
        <v>1.2330784398197241</v>
      </c>
    </row>
    <row r="137" spans="1:6" x14ac:dyDescent="0.3">
      <c r="A137" s="1">
        <v>33.200000000000003</v>
      </c>
      <c r="B137" s="1">
        <v>2.7595999999999998</v>
      </c>
      <c r="C137" s="1">
        <f>Tabela1[[#This Row],[Alongamento (mm/mm)]]/$I$2</f>
        <v>5.5191999999999998E-2</v>
      </c>
      <c r="D137" s="1">
        <v>60.215000000000003</v>
      </c>
      <c r="E137" s="1">
        <f>Tabela1[[#This Row],[Força (N)]]/$I$5</f>
        <v>1247162.4801166491</v>
      </c>
      <c r="F137" s="1">
        <f>Tabela1[[#This Row],[Tensão (Pa)]]/1000000</f>
        <v>1.247162480116649</v>
      </c>
    </row>
    <row r="138" spans="1:6" x14ac:dyDescent="0.3">
      <c r="A138" s="1">
        <v>33.299999999999997</v>
      </c>
      <c r="B138" s="1">
        <v>2.7679</v>
      </c>
      <c r="C138" s="1">
        <f>Tabela1[[#This Row],[Alongamento (mm/mm)]]/$I$2</f>
        <v>5.5357999999999997E-2</v>
      </c>
      <c r="D138" s="1">
        <v>60.895000000000003</v>
      </c>
      <c r="E138" s="1">
        <f>Tabela1[[#This Row],[Força (N)]]/$I$5</f>
        <v>1261246.5204135736</v>
      </c>
      <c r="F138" s="1">
        <f>Tabela1[[#This Row],[Tensão (Pa)]]/1000000</f>
        <v>1.2612465204135737</v>
      </c>
    </row>
    <row r="139" spans="1:6" x14ac:dyDescent="0.3">
      <c r="A139" s="1">
        <v>33.4</v>
      </c>
      <c r="B139" s="1">
        <v>2.7763</v>
      </c>
      <c r="C139" s="1">
        <f>Tabela1[[#This Row],[Alongamento (mm/mm)]]/$I$2</f>
        <v>5.5525999999999999E-2</v>
      </c>
      <c r="D139" s="1">
        <v>61.576000000000001</v>
      </c>
      <c r="E139" s="1">
        <f>Tabela1[[#This Row],[Força (N)]]/$I$5</f>
        <v>1275351.2725344645</v>
      </c>
      <c r="F139" s="1">
        <f>Tabela1[[#This Row],[Tensão (Pa)]]/1000000</f>
        <v>1.2753512725344645</v>
      </c>
    </row>
    <row r="140" spans="1:6" x14ac:dyDescent="0.3">
      <c r="A140" s="1">
        <v>33.5</v>
      </c>
      <c r="B140" s="1">
        <v>2.7846000000000002</v>
      </c>
      <c r="C140" s="1">
        <f>Tabela1[[#This Row],[Alongamento (mm/mm)]]/$I$2</f>
        <v>5.5692000000000005E-2</v>
      </c>
      <c r="D140" s="1">
        <v>62.256</v>
      </c>
      <c r="E140" s="1">
        <f>Tabela1[[#This Row],[Força (N)]]/$I$5</f>
        <v>1289435.312831389</v>
      </c>
      <c r="F140" s="1">
        <f>Tabela1[[#This Row],[Tensão (Pa)]]/1000000</f>
        <v>1.2894353128313891</v>
      </c>
    </row>
    <row r="141" spans="1:6" x14ac:dyDescent="0.3">
      <c r="A141" s="1">
        <v>33.6</v>
      </c>
      <c r="B141" s="1">
        <v>2.7928999999999999</v>
      </c>
      <c r="C141" s="1">
        <f>Tabela1[[#This Row],[Alongamento (mm/mm)]]/$I$2</f>
        <v>5.5857999999999998E-2</v>
      </c>
      <c r="D141" s="1">
        <v>62.936999999999998</v>
      </c>
      <c r="E141" s="1">
        <f>Tabela1[[#This Row],[Força (N)]]/$I$5</f>
        <v>1303540.0649522799</v>
      </c>
      <c r="F141" s="1">
        <f>Tabela1[[#This Row],[Tensão (Pa)]]/1000000</f>
        <v>1.3035400649522799</v>
      </c>
    </row>
    <row r="142" spans="1:6" x14ac:dyDescent="0.3">
      <c r="A142" s="1">
        <v>33.683</v>
      </c>
      <c r="B142" s="1">
        <v>2.7999000000000001</v>
      </c>
      <c r="C142" s="1">
        <f>Tabela1[[#This Row],[Alongamento (mm/mm)]]/$I$2</f>
        <v>5.5997999999999999E-2</v>
      </c>
      <c r="D142" s="1">
        <v>63.616999999999997</v>
      </c>
      <c r="E142" s="1">
        <f>Tabela1[[#This Row],[Força (N)]]/$I$5</f>
        <v>1317624.1052492044</v>
      </c>
      <c r="F142" s="1">
        <f>Tabela1[[#This Row],[Tensão (Pa)]]/1000000</f>
        <v>1.3176241052492044</v>
      </c>
    </row>
    <row r="143" spans="1:6" x14ac:dyDescent="0.3">
      <c r="A143" s="1">
        <v>33.783000000000001</v>
      </c>
      <c r="B143" s="1">
        <v>2.8081999999999998</v>
      </c>
      <c r="C143" s="1">
        <f>Tabela1[[#This Row],[Alongamento (mm/mm)]]/$I$2</f>
        <v>5.6163999999999999E-2</v>
      </c>
      <c r="D143" s="1">
        <v>64.296999999999997</v>
      </c>
      <c r="E143" s="1">
        <f>Tabela1[[#This Row],[Força (N)]]/$I$5</f>
        <v>1331708.1455461292</v>
      </c>
      <c r="F143" s="1">
        <f>Tabela1[[#This Row],[Tensão (Pa)]]/1000000</f>
        <v>1.3317081455461293</v>
      </c>
    </row>
    <row r="144" spans="1:6" x14ac:dyDescent="0.3">
      <c r="A144" s="1">
        <v>33.866999999999997</v>
      </c>
      <c r="B144" s="1">
        <v>2.8151999999999999</v>
      </c>
      <c r="C144" s="1">
        <f>Tabela1[[#This Row],[Alongamento (mm/mm)]]/$I$2</f>
        <v>5.6304E-2</v>
      </c>
      <c r="D144" s="1">
        <v>64.977999999999994</v>
      </c>
      <c r="E144" s="1">
        <f>Tabela1[[#This Row],[Força (N)]]/$I$5</f>
        <v>1345812.8976670199</v>
      </c>
      <c r="F144" s="1">
        <f>Tabela1[[#This Row],[Tensão (Pa)]]/1000000</f>
        <v>1.3458128976670198</v>
      </c>
    </row>
    <row r="145" spans="1:6" x14ac:dyDescent="0.3">
      <c r="A145" s="1">
        <v>33.966999999999999</v>
      </c>
      <c r="B145" s="1">
        <v>2.8235000000000001</v>
      </c>
      <c r="C145" s="1">
        <f>Tabela1[[#This Row],[Alongamento (mm/mm)]]/$I$2</f>
        <v>5.6469999999999999E-2</v>
      </c>
      <c r="D145" s="1">
        <v>65.658000000000001</v>
      </c>
      <c r="E145" s="1">
        <f>Tabela1[[#This Row],[Força (N)]]/$I$5</f>
        <v>1359896.9379639449</v>
      </c>
      <c r="F145" s="1">
        <f>Tabela1[[#This Row],[Tensão (Pa)]]/1000000</f>
        <v>1.359896937963945</v>
      </c>
    </row>
    <row r="146" spans="1:6" x14ac:dyDescent="0.3">
      <c r="A146" s="1">
        <v>34.067</v>
      </c>
      <c r="B146" s="1">
        <v>2.8317999999999999</v>
      </c>
      <c r="C146" s="1">
        <f>Tabela1[[#This Row],[Alongamento (mm/mm)]]/$I$2</f>
        <v>5.6635999999999999E-2</v>
      </c>
      <c r="D146" s="1">
        <v>66.338999999999999</v>
      </c>
      <c r="E146" s="1">
        <f>Tabela1[[#This Row],[Força (N)]]/$I$5</f>
        <v>1374001.6900848355</v>
      </c>
      <c r="F146" s="1">
        <f>Tabela1[[#This Row],[Tensão (Pa)]]/1000000</f>
        <v>1.3740016900848355</v>
      </c>
    </row>
    <row r="147" spans="1:6" x14ac:dyDescent="0.3">
      <c r="A147" s="1">
        <v>34.15</v>
      </c>
      <c r="B147" s="1">
        <v>2.8386999999999998</v>
      </c>
      <c r="C147" s="1">
        <f>Tabela1[[#This Row],[Alongamento (mm/mm)]]/$I$2</f>
        <v>5.6773999999999998E-2</v>
      </c>
      <c r="D147" s="1">
        <v>67.019000000000005</v>
      </c>
      <c r="E147" s="1">
        <f>Tabela1[[#This Row],[Força (N)]]/$I$5</f>
        <v>1388085.7303817603</v>
      </c>
      <c r="F147" s="1">
        <f>Tabela1[[#This Row],[Tensão (Pa)]]/1000000</f>
        <v>1.3880857303817602</v>
      </c>
    </row>
    <row r="148" spans="1:6" x14ac:dyDescent="0.3">
      <c r="A148" s="1">
        <v>34.25</v>
      </c>
      <c r="B148" s="1">
        <v>2.8471000000000002</v>
      </c>
      <c r="C148" s="1">
        <f>Tabela1[[#This Row],[Alongamento (mm/mm)]]/$I$2</f>
        <v>5.6942000000000006E-2</v>
      </c>
      <c r="D148" s="1">
        <v>67.698999999999998</v>
      </c>
      <c r="E148" s="1">
        <f>Tabela1[[#This Row],[Força (N)]]/$I$5</f>
        <v>1402169.770678685</v>
      </c>
      <c r="F148" s="1">
        <f>Tabela1[[#This Row],[Tensão (Pa)]]/1000000</f>
        <v>1.4021697706786851</v>
      </c>
    </row>
    <row r="149" spans="1:6" x14ac:dyDescent="0.3">
      <c r="A149" s="1">
        <v>34.332999999999998</v>
      </c>
      <c r="B149" s="1">
        <v>2.8540999999999999</v>
      </c>
      <c r="C149" s="1">
        <f>Tabela1[[#This Row],[Alongamento (mm/mm)]]/$I$2</f>
        <v>5.7081999999999994E-2</v>
      </c>
      <c r="D149" s="1">
        <v>68.38</v>
      </c>
      <c r="E149" s="1">
        <f>Tabela1[[#This Row],[Força (N)]]/$I$5</f>
        <v>1416274.5227995757</v>
      </c>
      <c r="F149" s="1">
        <f>Tabela1[[#This Row],[Tensão (Pa)]]/1000000</f>
        <v>1.4162745227995757</v>
      </c>
    </row>
    <row r="150" spans="1:6" x14ac:dyDescent="0.3">
      <c r="A150" s="1">
        <v>34.417000000000002</v>
      </c>
      <c r="B150" s="1">
        <v>2.8610000000000002</v>
      </c>
      <c r="C150" s="1">
        <f>Tabela1[[#This Row],[Alongamento (mm/mm)]]/$I$2</f>
        <v>5.7220000000000007E-2</v>
      </c>
      <c r="D150" s="1">
        <v>69.06</v>
      </c>
      <c r="E150" s="1">
        <f>Tabela1[[#This Row],[Força (N)]]/$I$5</f>
        <v>1430358.5630965005</v>
      </c>
      <c r="F150" s="1">
        <f>Tabela1[[#This Row],[Tensão (Pa)]]/1000000</f>
        <v>1.4303585630965006</v>
      </c>
    </row>
    <row r="151" spans="1:6" x14ac:dyDescent="0.3">
      <c r="A151" s="1">
        <v>34.5</v>
      </c>
      <c r="B151" s="1">
        <v>2.8679999999999999</v>
      </c>
      <c r="C151" s="1">
        <f>Tabela1[[#This Row],[Alongamento (mm/mm)]]/$I$2</f>
        <v>5.7359999999999994E-2</v>
      </c>
      <c r="D151" s="1">
        <v>69.741</v>
      </c>
      <c r="E151" s="1">
        <f>Tabela1[[#This Row],[Força (N)]]/$I$5</f>
        <v>1444463.3152173911</v>
      </c>
      <c r="F151" s="1">
        <f>Tabela1[[#This Row],[Tensão (Pa)]]/1000000</f>
        <v>1.4444633152173911</v>
      </c>
    </row>
    <row r="152" spans="1:6" x14ac:dyDescent="0.3">
      <c r="A152" s="1">
        <v>34.582999999999998</v>
      </c>
      <c r="B152" s="1">
        <v>2.8748999999999998</v>
      </c>
      <c r="C152" s="1">
        <f>Tabela1[[#This Row],[Alongamento (mm/mm)]]/$I$2</f>
        <v>5.7497999999999994E-2</v>
      </c>
      <c r="D152" s="1">
        <v>70.421000000000006</v>
      </c>
      <c r="E152" s="1">
        <f>Tabela1[[#This Row],[Força (N)]]/$I$5</f>
        <v>1458547.3555143161</v>
      </c>
      <c r="F152" s="1">
        <f>Tabela1[[#This Row],[Tensão (Pa)]]/1000000</f>
        <v>1.458547355514316</v>
      </c>
    </row>
    <row r="153" spans="1:6" x14ac:dyDescent="0.3">
      <c r="A153" s="1">
        <v>34.65</v>
      </c>
      <c r="B153" s="1">
        <v>2.8803999999999998</v>
      </c>
      <c r="C153" s="1">
        <f>Tabela1[[#This Row],[Alongamento (mm/mm)]]/$I$2</f>
        <v>5.7607999999999999E-2</v>
      </c>
      <c r="D153" s="1">
        <v>71.100999999999999</v>
      </c>
      <c r="E153" s="1">
        <f>Tabela1[[#This Row],[Força (N)]]/$I$5</f>
        <v>1472631.3958112407</v>
      </c>
      <c r="F153" s="1">
        <f>Tabela1[[#This Row],[Tensão (Pa)]]/1000000</f>
        <v>1.4726313958112407</v>
      </c>
    </row>
    <row r="154" spans="1:6" x14ac:dyDescent="0.3">
      <c r="A154" s="1">
        <v>34.732999999999997</v>
      </c>
      <c r="B154" s="1">
        <v>2.8874</v>
      </c>
      <c r="C154" s="1">
        <f>Tabela1[[#This Row],[Alongamento (mm/mm)]]/$I$2</f>
        <v>5.7748000000000001E-2</v>
      </c>
      <c r="D154" s="1">
        <v>71.781999999999996</v>
      </c>
      <c r="E154" s="1">
        <f>Tabela1[[#This Row],[Força (N)]]/$I$5</f>
        <v>1486736.1479321313</v>
      </c>
      <c r="F154" s="1">
        <f>Tabela1[[#This Row],[Tensão (Pa)]]/1000000</f>
        <v>1.4867361479321313</v>
      </c>
    </row>
    <row r="155" spans="1:6" x14ac:dyDescent="0.3">
      <c r="A155" s="1">
        <v>34.817</v>
      </c>
      <c r="B155" s="1">
        <v>2.8944000000000001</v>
      </c>
      <c r="C155" s="1">
        <f>Tabela1[[#This Row],[Alongamento (mm/mm)]]/$I$2</f>
        <v>5.7888000000000002E-2</v>
      </c>
      <c r="D155" s="1">
        <v>72.462000000000003</v>
      </c>
      <c r="E155" s="1">
        <f>Tabela1[[#This Row],[Força (N)]]/$I$5</f>
        <v>1500820.1882290563</v>
      </c>
      <c r="F155" s="1">
        <f>Tabela1[[#This Row],[Tensão (Pa)]]/1000000</f>
        <v>1.5008201882290564</v>
      </c>
    </row>
    <row r="156" spans="1:6" x14ac:dyDescent="0.3">
      <c r="A156" s="1">
        <v>34.883000000000003</v>
      </c>
      <c r="B156" s="1">
        <v>2.9</v>
      </c>
      <c r="C156" s="1">
        <f>Tabela1[[#This Row],[Alongamento (mm/mm)]]/$I$2</f>
        <v>5.7999999999999996E-2</v>
      </c>
      <c r="D156" s="1">
        <v>73.141999999999996</v>
      </c>
      <c r="E156" s="1">
        <f>Tabela1[[#This Row],[Força (N)]]/$I$5</f>
        <v>1514904.2285259808</v>
      </c>
      <c r="F156" s="1">
        <f>Tabela1[[#This Row],[Tensão (Pa)]]/1000000</f>
        <v>1.5149042285259808</v>
      </c>
    </row>
    <row r="157" spans="1:6" x14ac:dyDescent="0.3">
      <c r="A157" s="1">
        <v>34.966999999999999</v>
      </c>
      <c r="B157" s="1">
        <v>2.9068000000000001</v>
      </c>
      <c r="C157" s="1">
        <f>Tabela1[[#This Row],[Alongamento (mm/mm)]]/$I$2</f>
        <v>5.8136E-2</v>
      </c>
      <c r="D157" s="1">
        <v>73.822999999999993</v>
      </c>
      <c r="E157" s="1">
        <f>Tabela1[[#This Row],[Força (N)]]/$I$5</f>
        <v>1529008.9806468715</v>
      </c>
      <c r="F157" s="1">
        <f>Tabela1[[#This Row],[Tensão (Pa)]]/1000000</f>
        <v>1.5290089806468714</v>
      </c>
    </row>
    <row r="158" spans="1:6" x14ac:dyDescent="0.3">
      <c r="A158" s="1">
        <v>35.049999999999997</v>
      </c>
      <c r="B158" s="1">
        <v>2.9138000000000002</v>
      </c>
      <c r="C158" s="1">
        <f>Tabela1[[#This Row],[Alongamento (mm/mm)]]/$I$2</f>
        <v>5.8276000000000001E-2</v>
      </c>
      <c r="D158" s="1">
        <v>74.503</v>
      </c>
      <c r="E158" s="1">
        <f>Tabela1[[#This Row],[Força (N)]]/$I$5</f>
        <v>1543093.0209437963</v>
      </c>
      <c r="F158" s="1">
        <f>Tabela1[[#This Row],[Tensão (Pa)]]/1000000</f>
        <v>1.5430930209437963</v>
      </c>
    </row>
    <row r="159" spans="1:6" x14ac:dyDescent="0.3">
      <c r="A159" s="1">
        <v>35.116999999999997</v>
      </c>
      <c r="B159" s="1">
        <v>2.9192999999999998</v>
      </c>
      <c r="C159" s="1">
        <f>Tabela1[[#This Row],[Alongamento (mm/mm)]]/$I$2</f>
        <v>5.8385999999999993E-2</v>
      </c>
      <c r="D159" s="1">
        <v>75.183999999999997</v>
      </c>
      <c r="E159" s="1">
        <f>Tabela1[[#This Row],[Força (N)]]/$I$5</f>
        <v>1557197.7730646871</v>
      </c>
      <c r="F159" s="1">
        <f>Tabela1[[#This Row],[Tensão (Pa)]]/1000000</f>
        <v>1.5571977730646871</v>
      </c>
    </row>
    <row r="160" spans="1:6" x14ac:dyDescent="0.3">
      <c r="A160" s="1">
        <v>35.200000000000003</v>
      </c>
      <c r="B160" s="1">
        <v>2.9262999999999999</v>
      </c>
      <c r="C160" s="1">
        <f>Tabela1[[#This Row],[Alongamento (mm/mm)]]/$I$2</f>
        <v>5.8525999999999995E-2</v>
      </c>
      <c r="D160" s="1">
        <v>75.864000000000004</v>
      </c>
      <c r="E160" s="1">
        <f>Tabela1[[#This Row],[Força (N)]]/$I$5</f>
        <v>1571281.8133616119</v>
      </c>
      <c r="F160" s="1">
        <f>Tabela1[[#This Row],[Tensão (Pa)]]/1000000</f>
        <v>1.571281813361612</v>
      </c>
    </row>
    <row r="161" spans="1:6" x14ac:dyDescent="0.3">
      <c r="A161" s="1">
        <v>35.267000000000003</v>
      </c>
      <c r="B161" s="1">
        <v>2.9318</v>
      </c>
      <c r="C161" s="1">
        <f>Tabela1[[#This Row],[Alongamento (mm/mm)]]/$I$2</f>
        <v>5.8636000000000001E-2</v>
      </c>
      <c r="D161" s="1">
        <v>76.543999999999997</v>
      </c>
      <c r="E161" s="1">
        <f>Tabela1[[#This Row],[Força (N)]]/$I$5</f>
        <v>1585365.8536585364</v>
      </c>
      <c r="F161" s="1">
        <f>Tabela1[[#This Row],[Tensão (Pa)]]/1000000</f>
        <v>1.5853658536585364</v>
      </c>
    </row>
    <row r="162" spans="1:6" x14ac:dyDescent="0.3">
      <c r="A162" s="1">
        <v>35.332999999999998</v>
      </c>
      <c r="B162" s="1">
        <v>2.9375</v>
      </c>
      <c r="C162" s="1">
        <f>Tabela1[[#This Row],[Alongamento (mm/mm)]]/$I$2</f>
        <v>5.8749999999999997E-2</v>
      </c>
      <c r="D162" s="1">
        <v>77.224999999999994</v>
      </c>
      <c r="E162" s="1">
        <f>Tabela1[[#This Row],[Força (N)]]/$I$5</f>
        <v>1599470.6057794271</v>
      </c>
      <c r="F162" s="1">
        <f>Tabela1[[#This Row],[Tensão (Pa)]]/1000000</f>
        <v>1.599470605779427</v>
      </c>
    </row>
    <row r="163" spans="1:6" x14ac:dyDescent="0.3">
      <c r="A163" s="1">
        <v>35.417000000000002</v>
      </c>
      <c r="B163" s="1">
        <v>2.9443999999999999</v>
      </c>
      <c r="C163" s="1">
        <f>Tabela1[[#This Row],[Alongamento (mm/mm)]]/$I$2</f>
        <v>5.8887999999999996E-2</v>
      </c>
      <c r="D163" s="1">
        <v>77.905000000000001</v>
      </c>
      <c r="E163" s="1">
        <f>Tabela1[[#This Row],[Força (N)]]/$I$5</f>
        <v>1613554.6460763521</v>
      </c>
      <c r="F163" s="1">
        <f>Tabela1[[#This Row],[Tensão (Pa)]]/1000000</f>
        <v>1.6135546460763521</v>
      </c>
    </row>
    <row r="164" spans="1:6" x14ac:dyDescent="0.3">
      <c r="A164" s="1">
        <v>35.482999999999997</v>
      </c>
      <c r="B164" s="1">
        <v>2.9499</v>
      </c>
      <c r="C164" s="1">
        <f>Tabela1[[#This Row],[Alongamento (mm/mm)]]/$I$2</f>
        <v>5.8998000000000002E-2</v>
      </c>
      <c r="D164" s="1">
        <v>78.585999999999999</v>
      </c>
      <c r="E164" s="1">
        <f>Tabela1[[#This Row],[Força (N)]]/$I$5</f>
        <v>1627659.3981972428</v>
      </c>
      <c r="F164" s="1">
        <f>Tabela1[[#This Row],[Tensão (Pa)]]/1000000</f>
        <v>1.6276593981972427</v>
      </c>
    </row>
    <row r="165" spans="1:6" x14ac:dyDescent="0.3">
      <c r="A165" s="1">
        <v>35.549999999999997</v>
      </c>
      <c r="B165" s="1">
        <v>2.9554</v>
      </c>
      <c r="C165" s="1">
        <f>Tabela1[[#This Row],[Alongamento (mm/mm)]]/$I$2</f>
        <v>5.9108000000000001E-2</v>
      </c>
      <c r="D165" s="1">
        <v>79.266000000000005</v>
      </c>
      <c r="E165" s="1">
        <f>Tabela1[[#This Row],[Força (N)]]/$I$5</f>
        <v>1641743.4384941675</v>
      </c>
      <c r="F165" s="1">
        <f>Tabela1[[#This Row],[Tensão (Pa)]]/1000000</f>
        <v>1.6417434384941676</v>
      </c>
    </row>
    <row r="166" spans="1:6" x14ac:dyDescent="0.3">
      <c r="A166" s="1">
        <v>35.633000000000003</v>
      </c>
      <c r="B166" s="1">
        <v>2.9624000000000001</v>
      </c>
      <c r="C166" s="1">
        <f>Tabela1[[#This Row],[Alongamento (mm/mm)]]/$I$2</f>
        <v>5.9248000000000002E-2</v>
      </c>
      <c r="D166" s="1">
        <v>79.945999999999998</v>
      </c>
      <c r="E166" s="1">
        <f>Tabela1[[#This Row],[Força (N)]]/$I$5</f>
        <v>1655827.4787910921</v>
      </c>
      <c r="F166" s="1">
        <f>Tabela1[[#This Row],[Tensão (Pa)]]/1000000</f>
        <v>1.655827478791092</v>
      </c>
    </row>
    <row r="167" spans="1:6" x14ac:dyDescent="0.3">
      <c r="A167" s="1">
        <v>35.700000000000003</v>
      </c>
      <c r="B167" s="1">
        <v>2.968</v>
      </c>
      <c r="C167" s="1">
        <f>Tabela1[[#This Row],[Alongamento (mm/mm)]]/$I$2</f>
        <v>5.9359999999999996E-2</v>
      </c>
      <c r="D167" s="1">
        <v>80.626999999999995</v>
      </c>
      <c r="E167" s="1">
        <f>Tabela1[[#This Row],[Força (N)]]/$I$5</f>
        <v>1669932.2309119829</v>
      </c>
      <c r="F167" s="1">
        <f>Tabela1[[#This Row],[Tensão (Pa)]]/1000000</f>
        <v>1.6699322309119828</v>
      </c>
    </row>
    <row r="168" spans="1:6" x14ac:dyDescent="0.3">
      <c r="A168" s="1">
        <v>35.767000000000003</v>
      </c>
      <c r="B168" s="1">
        <v>2.9735</v>
      </c>
      <c r="C168" s="1">
        <f>Tabela1[[#This Row],[Alongamento (mm/mm)]]/$I$2</f>
        <v>5.9470000000000002E-2</v>
      </c>
      <c r="D168" s="1">
        <v>81.307000000000002</v>
      </c>
      <c r="E168" s="1">
        <f>Tabela1[[#This Row],[Força (N)]]/$I$5</f>
        <v>1684016.2712089077</v>
      </c>
      <c r="F168" s="1">
        <f>Tabela1[[#This Row],[Tensão (Pa)]]/1000000</f>
        <v>1.6840162712089077</v>
      </c>
    </row>
    <row r="169" spans="1:6" x14ac:dyDescent="0.3">
      <c r="A169" s="1">
        <v>35.832999999999998</v>
      </c>
      <c r="B169" s="1">
        <v>2.9790000000000001</v>
      </c>
      <c r="C169" s="1">
        <f>Tabela1[[#This Row],[Alongamento (mm/mm)]]/$I$2</f>
        <v>5.9580000000000001E-2</v>
      </c>
      <c r="D169" s="1">
        <v>81.988</v>
      </c>
      <c r="E169" s="1">
        <f>Tabela1[[#This Row],[Força (N)]]/$I$5</f>
        <v>1698121.0233297984</v>
      </c>
      <c r="F169" s="1">
        <f>Tabela1[[#This Row],[Tensão (Pa)]]/1000000</f>
        <v>1.6981210233297983</v>
      </c>
    </row>
    <row r="170" spans="1:6" x14ac:dyDescent="0.3">
      <c r="A170" s="1">
        <v>35.9</v>
      </c>
      <c r="B170" s="1">
        <v>2.9845999999999999</v>
      </c>
      <c r="C170" s="1">
        <f>Tabela1[[#This Row],[Alongamento (mm/mm)]]/$I$2</f>
        <v>5.9691999999999995E-2</v>
      </c>
      <c r="D170" s="1">
        <v>82.668000000000006</v>
      </c>
      <c r="E170" s="1">
        <f>Tabela1[[#This Row],[Força (N)]]/$I$5</f>
        <v>1712205.0636267234</v>
      </c>
      <c r="F170" s="1">
        <f>Tabela1[[#This Row],[Tensão (Pa)]]/1000000</f>
        <v>1.7122050636267234</v>
      </c>
    </row>
    <row r="171" spans="1:6" x14ac:dyDescent="0.3">
      <c r="A171" s="1">
        <v>35.982999999999997</v>
      </c>
      <c r="B171" s="1">
        <v>2.9916</v>
      </c>
      <c r="C171" s="1">
        <f>Tabela1[[#This Row],[Alongamento (mm/mm)]]/$I$2</f>
        <v>5.9832000000000003E-2</v>
      </c>
      <c r="D171" s="1">
        <v>83.347999999999999</v>
      </c>
      <c r="E171" s="1">
        <f>Tabela1[[#This Row],[Força (N)]]/$I$5</f>
        <v>1726289.1039236479</v>
      </c>
      <c r="F171" s="1">
        <f>Tabela1[[#This Row],[Tensão (Pa)]]/1000000</f>
        <v>1.7262891039236479</v>
      </c>
    </row>
    <row r="172" spans="1:6" x14ac:dyDescent="0.3">
      <c r="A172" s="1">
        <v>36.049999999999997</v>
      </c>
      <c r="B172" s="1">
        <v>2.9971000000000001</v>
      </c>
      <c r="C172" s="1">
        <f>Tabela1[[#This Row],[Alongamento (mm/mm)]]/$I$2</f>
        <v>5.9942000000000002E-2</v>
      </c>
      <c r="D172" s="1">
        <v>84.028999999999996</v>
      </c>
      <c r="E172" s="1">
        <f>Tabela1[[#This Row],[Força (N)]]/$I$5</f>
        <v>1740393.8560445386</v>
      </c>
      <c r="F172" s="1">
        <f>Tabela1[[#This Row],[Tensão (Pa)]]/1000000</f>
        <v>1.7403938560445384</v>
      </c>
    </row>
    <row r="173" spans="1:6" x14ac:dyDescent="0.3">
      <c r="A173" s="1">
        <v>36.116999999999997</v>
      </c>
      <c r="B173" s="1">
        <v>3.0026999999999999</v>
      </c>
      <c r="C173" s="1">
        <f>Tabela1[[#This Row],[Alongamento (mm/mm)]]/$I$2</f>
        <v>6.0053999999999996E-2</v>
      </c>
      <c r="D173" s="1">
        <v>84.709000000000003</v>
      </c>
      <c r="E173" s="1">
        <f>Tabela1[[#This Row],[Força (N)]]/$I$5</f>
        <v>1754477.8963414633</v>
      </c>
      <c r="F173" s="1">
        <f>Tabela1[[#This Row],[Tensão (Pa)]]/1000000</f>
        <v>1.7544778963414633</v>
      </c>
    </row>
    <row r="174" spans="1:6" x14ac:dyDescent="0.3">
      <c r="A174" s="1">
        <v>36.183</v>
      </c>
      <c r="B174" s="1">
        <v>3.0083000000000002</v>
      </c>
      <c r="C174" s="1">
        <f>Tabela1[[#This Row],[Alongamento (mm/mm)]]/$I$2</f>
        <v>6.0166000000000004E-2</v>
      </c>
      <c r="D174" s="1">
        <v>85.39</v>
      </c>
      <c r="E174" s="1">
        <f>Tabela1[[#This Row],[Força (N)]]/$I$5</f>
        <v>1768582.6484623542</v>
      </c>
      <c r="F174" s="1">
        <f>Tabela1[[#This Row],[Tensão (Pa)]]/1000000</f>
        <v>1.7685826484623541</v>
      </c>
    </row>
    <row r="175" spans="1:6" x14ac:dyDescent="0.3">
      <c r="A175" s="1">
        <v>36.25</v>
      </c>
      <c r="B175" s="1">
        <v>3.0139</v>
      </c>
      <c r="C175" s="1">
        <f>Tabela1[[#This Row],[Alongamento (mm/mm)]]/$I$2</f>
        <v>6.0277999999999998E-2</v>
      </c>
      <c r="D175" s="1">
        <v>86.07</v>
      </c>
      <c r="E175" s="1">
        <f>Tabela1[[#This Row],[Força (N)]]/$I$5</f>
        <v>1782666.6887592787</v>
      </c>
      <c r="F175" s="1">
        <f>Tabela1[[#This Row],[Tensão (Pa)]]/1000000</f>
        <v>1.7826666887592788</v>
      </c>
    </row>
    <row r="176" spans="1:6" x14ac:dyDescent="0.3">
      <c r="A176" s="1">
        <v>36.317</v>
      </c>
      <c r="B176" s="1">
        <v>3.0194000000000001</v>
      </c>
      <c r="C176" s="1">
        <f>Tabela1[[#This Row],[Alongamento (mm/mm)]]/$I$2</f>
        <v>6.0388000000000004E-2</v>
      </c>
      <c r="D176" s="1">
        <v>86.75</v>
      </c>
      <c r="E176" s="1">
        <f>Tabela1[[#This Row],[Força (N)]]/$I$5</f>
        <v>1796750.7290562035</v>
      </c>
      <c r="F176" s="1">
        <f>Tabela1[[#This Row],[Tensão (Pa)]]/1000000</f>
        <v>1.7967507290562035</v>
      </c>
    </row>
    <row r="177" spans="1:6" x14ac:dyDescent="0.3">
      <c r="A177" s="1">
        <v>36.383000000000003</v>
      </c>
      <c r="B177" s="1">
        <v>3.0249000000000001</v>
      </c>
      <c r="C177" s="1">
        <f>Tabela1[[#This Row],[Alongamento (mm/mm)]]/$I$2</f>
        <v>6.0498000000000003E-2</v>
      </c>
      <c r="D177" s="1">
        <v>87.430999999999997</v>
      </c>
      <c r="E177" s="1">
        <f>Tabela1[[#This Row],[Força (N)]]/$I$5</f>
        <v>1810855.4811770942</v>
      </c>
      <c r="F177" s="1">
        <f>Tabela1[[#This Row],[Tensão (Pa)]]/1000000</f>
        <v>1.8108554811770941</v>
      </c>
    </row>
    <row r="178" spans="1:6" x14ac:dyDescent="0.3">
      <c r="A178" s="1">
        <v>36.450000000000003</v>
      </c>
      <c r="B178" s="1">
        <v>3.0304000000000002</v>
      </c>
      <c r="C178" s="1">
        <f>Tabela1[[#This Row],[Alongamento (mm/mm)]]/$I$2</f>
        <v>6.0608000000000002E-2</v>
      </c>
      <c r="D178" s="1">
        <v>88.111000000000004</v>
      </c>
      <c r="E178" s="1">
        <f>Tabela1[[#This Row],[Força (N)]]/$I$5</f>
        <v>1824939.5214740192</v>
      </c>
      <c r="F178" s="1">
        <f>Tabela1[[#This Row],[Tensão (Pa)]]/1000000</f>
        <v>1.8249395214740192</v>
      </c>
    </row>
    <row r="179" spans="1:6" x14ac:dyDescent="0.3">
      <c r="A179" s="1">
        <v>36.517000000000003</v>
      </c>
      <c r="B179" s="1">
        <v>3.036</v>
      </c>
      <c r="C179" s="1">
        <f>Tabela1[[#This Row],[Alongamento (mm/mm)]]/$I$2</f>
        <v>6.0720000000000003E-2</v>
      </c>
      <c r="D179" s="1">
        <v>88.792000000000002</v>
      </c>
      <c r="E179" s="1">
        <f>Tabela1[[#This Row],[Força (N)]]/$I$5</f>
        <v>1839044.2735949098</v>
      </c>
      <c r="F179" s="1">
        <f>Tabela1[[#This Row],[Tensão (Pa)]]/1000000</f>
        <v>1.8390442735949097</v>
      </c>
    </row>
    <row r="180" spans="1:6" x14ac:dyDescent="0.3">
      <c r="A180" s="1">
        <v>36.582999999999998</v>
      </c>
      <c r="B180" s="1">
        <v>3.0415000000000001</v>
      </c>
      <c r="C180" s="1">
        <f>Tabela1[[#This Row],[Alongamento (mm/mm)]]/$I$2</f>
        <v>6.0830000000000002E-2</v>
      </c>
      <c r="D180" s="1">
        <v>89.471999999999994</v>
      </c>
      <c r="E180" s="1">
        <f>Tabela1[[#This Row],[Força (N)]]/$I$5</f>
        <v>1853128.3138918343</v>
      </c>
      <c r="F180" s="1">
        <f>Tabela1[[#This Row],[Tensão (Pa)]]/1000000</f>
        <v>1.8531283138918344</v>
      </c>
    </row>
    <row r="181" spans="1:6" x14ac:dyDescent="0.3">
      <c r="A181" s="1">
        <v>36.65</v>
      </c>
      <c r="B181" s="1">
        <v>3.0470999999999999</v>
      </c>
      <c r="C181" s="1">
        <f>Tabela1[[#This Row],[Alongamento (mm/mm)]]/$I$2</f>
        <v>6.0941999999999996E-2</v>
      </c>
      <c r="D181" s="1">
        <v>90.152000000000001</v>
      </c>
      <c r="E181" s="1">
        <f>Tabela1[[#This Row],[Força (N)]]/$I$5</f>
        <v>1867212.3541887591</v>
      </c>
      <c r="F181" s="1">
        <f>Tabela1[[#This Row],[Tensão (Pa)]]/1000000</f>
        <v>1.8672123541887591</v>
      </c>
    </row>
    <row r="182" spans="1:6" x14ac:dyDescent="0.3">
      <c r="A182" s="1">
        <v>36.716999999999999</v>
      </c>
      <c r="B182" s="1">
        <v>3.0527000000000002</v>
      </c>
      <c r="C182" s="1">
        <f>Tabela1[[#This Row],[Alongamento (mm/mm)]]/$I$2</f>
        <v>6.1054000000000004E-2</v>
      </c>
      <c r="D182" s="1">
        <v>90.832999999999998</v>
      </c>
      <c r="E182" s="1">
        <f>Tabela1[[#This Row],[Força (N)]]/$I$5</f>
        <v>1881317.10630965</v>
      </c>
      <c r="F182" s="1">
        <f>Tabela1[[#This Row],[Tensão (Pa)]]/1000000</f>
        <v>1.8813171063096501</v>
      </c>
    </row>
    <row r="183" spans="1:6" x14ac:dyDescent="0.3">
      <c r="A183" s="1">
        <v>36.783000000000001</v>
      </c>
      <c r="B183" s="1">
        <v>3.0581999999999998</v>
      </c>
      <c r="C183" s="1">
        <f>Tabela1[[#This Row],[Alongamento (mm/mm)]]/$I$2</f>
        <v>6.1163999999999996E-2</v>
      </c>
      <c r="D183" s="1">
        <v>91.513000000000005</v>
      </c>
      <c r="E183" s="1">
        <f>Tabela1[[#This Row],[Força (N)]]/$I$5</f>
        <v>1895401.1466065748</v>
      </c>
      <c r="F183" s="1">
        <f>Tabela1[[#This Row],[Tensão (Pa)]]/1000000</f>
        <v>1.8954011466065748</v>
      </c>
    </row>
    <row r="184" spans="1:6" x14ac:dyDescent="0.3">
      <c r="A184" s="1">
        <v>36.85</v>
      </c>
      <c r="B184" s="1">
        <v>3.0636999999999999</v>
      </c>
      <c r="C184" s="1">
        <f>Tabela1[[#This Row],[Alongamento (mm/mm)]]/$I$2</f>
        <v>6.1273999999999995E-2</v>
      </c>
      <c r="D184" s="1">
        <v>92.194000000000003</v>
      </c>
      <c r="E184" s="1">
        <f>Tabela1[[#This Row],[Força (N)]]/$I$5</f>
        <v>1909505.8987274654</v>
      </c>
      <c r="F184" s="1">
        <f>Tabela1[[#This Row],[Tensão (Pa)]]/1000000</f>
        <v>1.9095058987274653</v>
      </c>
    </row>
    <row r="185" spans="1:6" x14ac:dyDescent="0.3">
      <c r="A185" s="1">
        <v>36.917000000000002</v>
      </c>
      <c r="B185" s="1">
        <v>3.0693999999999999</v>
      </c>
      <c r="C185" s="1">
        <f>Tabela1[[#This Row],[Alongamento (mm/mm)]]/$I$2</f>
        <v>6.1387999999999998E-2</v>
      </c>
      <c r="D185" s="1">
        <v>92.873999999999995</v>
      </c>
      <c r="E185" s="1">
        <f>Tabela1[[#This Row],[Força (N)]]/$I$5</f>
        <v>1923589.93902439</v>
      </c>
      <c r="F185" s="1">
        <f>Tabela1[[#This Row],[Tensão (Pa)]]/1000000</f>
        <v>1.92358993902439</v>
      </c>
    </row>
    <row r="186" spans="1:6" x14ac:dyDescent="0.3">
      <c r="A186" s="1">
        <v>36.982999999999997</v>
      </c>
      <c r="B186" s="1">
        <v>3.0749</v>
      </c>
      <c r="C186" s="1">
        <f>Tabela1[[#This Row],[Alongamento (mm/mm)]]/$I$2</f>
        <v>6.1497999999999997E-2</v>
      </c>
      <c r="D186" s="1">
        <v>93.724000000000004</v>
      </c>
      <c r="E186" s="1">
        <f>Tabela1[[#This Row],[Força (N)]]/$I$5</f>
        <v>1941194.989395546</v>
      </c>
      <c r="F186" s="1">
        <f>Tabela1[[#This Row],[Tensão (Pa)]]/1000000</f>
        <v>1.941194989395546</v>
      </c>
    </row>
    <row r="187" spans="1:6" x14ac:dyDescent="0.3">
      <c r="A187" s="1">
        <v>37.049999999999997</v>
      </c>
      <c r="B187" s="1">
        <v>3.0804999999999998</v>
      </c>
      <c r="C187" s="1">
        <f>Tabela1[[#This Row],[Alongamento (mm/mm)]]/$I$2</f>
        <v>6.1609999999999998E-2</v>
      </c>
      <c r="D187" s="1">
        <v>94.405000000000001</v>
      </c>
      <c r="E187" s="1">
        <f>Tabela1[[#This Row],[Força (N)]]/$I$5</f>
        <v>1955299.7415164369</v>
      </c>
      <c r="F187" s="1">
        <f>Tabela1[[#This Row],[Tensão (Pa)]]/1000000</f>
        <v>1.9552997415164368</v>
      </c>
    </row>
    <row r="188" spans="1:6" x14ac:dyDescent="0.3">
      <c r="A188" s="1">
        <v>37.116999999999997</v>
      </c>
      <c r="B188" s="1">
        <v>3.0861000000000001</v>
      </c>
      <c r="C188" s="1">
        <f>Tabela1[[#This Row],[Alongamento (mm/mm)]]/$I$2</f>
        <v>6.1721999999999999E-2</v>
      </c>
      <c r="D188" s="1">
        <v>95.084999999999994</v>
      </c>
      <c r="E188" s="1">
        <f>Tabela1[[#This Row],[Força (N)]]/$I$5</f>
        <v>1969383.7818133614</v>
      </c>
      <c r="F188" s="1">
        <f>Tabela1[[#This Row],[Tensão (Pa)]]/1000000</f>
        <v>1.9693837818133615</v>
      </c>
    </row>
    <row r="189" spans="1:6" x14ac:dyDescent="0.3">
      <c r="A189" s="1">
        <v>37.167000000000002</v>
      </c>
      <c r="B189" s="1">
        <v>3.0901999999999998</v>
      </c>
      <c r="C189" s="1">
        <f>Tabela1[[#This Row],[Alongamento (mm/mm)]]/$I$2</f>
        <v>6.1803999999999998E-2</v>
      </c>
      <c r="D189" s="1">
        <v>95.766000000000005</v>
      </c>
      <c r="E189" s="1">
        <f>Tabela1[[#This Row],[Força (N)]]/$I$5</f>
        <v>1983488.5339342523</v>
      </c>
      <c r="F189" s="1">
        <f>Tabela1[[#This Row],[Tensão (Pa)]]/1000000</f>
        <v>1.9834885339342523</v>
      </c>
    </row>
    <row r="190" spans="1:6" x14ac:dyDescent="0.3">
      <c r="A190" s="1">
        <v>37.232999999999997</v>
      </c>
      <c r="B190" s="1">
        <v>3.0958000000000001</v>
      </c>
      <c r="C190" s="1">
        <f>Tabela1[[#This Row],[Alongamento (mm/mm)]]/$I$2</f>
        <v>6.1915999999999999E-2</v>
      </c>
      <c r="D190" s="1">
        <v>96.445999999999998</v>
      </c>
      <c r="E190" s="1">
        <f>Tabela1[[#This Row],[Força (N)]]/$I$5</f>
        <v>1997572.5742311769</v>
      </c>
      <c r="F190" s="1">
        <f>Tabela1[[#This Row],[Tensão (Pa)]]/1000000</f>
        <v>1.997572574231177</v>
      </c>
    </row>
    <row r="191" spans="1:6" x14ac:dyDescent="0.3">
      <c r="A191" s="1">
        <v>37.299999999999997</v>
      </c>
      <c r="B191" s="1">
        <v>3.1013000000000002</v>
      </c>
      <c r="C191" s="1">
        <f>Tabela1[[#This Row],[Alongamento (mm/mm)]]/$I$2</f>
        <v>6.2026000000000005E-2</v>
      </c>
      <c r="D191" s="1">
        <v>97.126000000000005</v>
      </c>
      <c r="E191" s="1">
        <f>Tabela1[[#This Row],[Força (N)]]/$I$5</f>
        <v>2011656.6145281019</v>
      </c>
      <c r="F191" s="1">
        <f>Tabela1[[#This Row],[Tensão (Pa)]]/1000000</f>
        <v>2.0116566145281021</v>
      </c>
    </row>
    <row r="192" spans="1:6" x14ac:dyDescent="0.3">
      <c r="A192" s="1">
        <v>37.35</v>
      </c>
      <c r="B192" s="1">
        <v>3.1053999999999999</v>
      </c>
      <c r="C192" s="1">
        <f>Tabela1[[#This Row],[Alongamento (mm/mm)]]/$I$2</f>
        <v>6.2107999999999997E-2</v>
      </c>
      <c r="D192" s="1">
        <v>97.807000000000002</v>
      </c>
      <c r="E192" s="1">
        <f>Tabela1[[#This Row],[Força (N)]]/$I$5</f>
        <v>2025761.3666489925</v>
      </c>
      <c r="F192" s="1">
        <f>Tabela1[[#This Row],[Tensão (Pa)]]/1000000</f>
        <v>2.0257613666489926</v>
      </c>
    </row>
    <row r="193" spans="1:6" x14ac:dyDescent="0.3">
      <c r="A193" s="1">
        <v>37.417000000000002</v>
      </c>
      <c r="B193" s="1">
        <v>3.1110000000000002</v>
      </c>
      <c r="C193" s="1">
        <f>Tabela1[[#This Row],[Alongamento (mm/mm)]]/$I$2</f>
        <v>6.2220000000000004E-2</v>
      </c>
      <c r="D193" s="1">
        <v>98.486999999999995</v>
      </c>
      <c r="E193" s="1">
        <f>Tabela1[[#This Row],[Força (N)]]/$I$5</f>
        <v>2039845.4069459171</v>
      </c>
      <c r="F193" s="1">
        <f>Tabela1[[#This Row],[Tensão (Pa)]]/1000000</f>
        <v>2.0398454069459171</v>
      </c>
    </row>
    <row r="194" spans="1:6" x14ac:dyDescent="0.3">
      <c r="A194" s="1">
        <v>37.482999999999997</v>
      </c>
      <c r="B194" s="1">
        <v>3.1166</v>
      </c>
      <c r="C194" s="1">
        <f>Tabela1[[#This Row],[Alongamento (mm/mm)]]/$I$2</f>
        <v>6.2331999999999999E-2</v>
      </c>
      <c r="D194" s="1">
        <v>99.168000000000006</v>
      </c>
      <c r="E194" s="1">
        <f>Tabela1[[#This Row],[Força (N)]]/$I$5</f>
        <v>2053950.1590668082</v>
      </c>
      <c r="F194" s="1">
        <f>Tabela1[[#This Row],[Tensão (Pa)]]/1000000</f>
        <v>2.0539501590668081</v>
      </c>
    </row>
    <row r="195" spans="1:6" x14ac:dyDescent="0.3">
      <c r="A195" s="1">
        <v>37.533000000000001</v>
      </c>
      <c r="B195" s="1">
        <v>3.1208</v>
      </c>
      <c r="C195" s="1">
        <f>Tabela1[[#This Row],[Alongamento (mm/mm)]]/$I$2</f>
        <v>6.2415999999999999E-2</v>
      </c>
      <c r="D195" s="1">
        <v>99.847999999999999</v>
      </c>
      <c r="E195" s="1">
        <f>Tabela1[[#This Row],[Força (N)]]/$I$5</f>
        <v>2068034.1993637327</v>
      </c>
      <c r="F195" s="1">
        <f>Tabela1[[#This Row],[Tensão (Pa)]]/1000000</f>
        <v>2.0680341993637326</v>
      </c>
    </row>
    <row r="196" spans="1:6" x14ac:dyDescent="0.3">
      <c r="A196" s="1">
        <v>37.6</v>
      </c>
      <c r="B196" s="1">
        <v>3.1263000000000001</v>
      </c>
      <c r="C196" s="1">
        <f>Tabela1[[#This Row],[Alongamento (mm/mm)]]/$I$2</f>
        <v>6.2525999999999998E-2</v>
      </c>
      <c r="D196" s="1">
        <v>100.53</v>
      </c>
      <c r="E196" s="1">
        <f>Tabela1[[#This Row],[Força (N)]]/$I$5</f>
        <v>2082159.6633085895</v>
      </c>
      <c r="F196" s="1">
        <f>Tabela1[[#This Row],[Tensão (Pa)]]/1000000</f>
        <v>2.0821596633085897</v>
      </c>
    </row>
    <row r="197" spans="1:6" x14ac:dyDescent="0.3">
      <c r="A197" s="1">
        <v>37.65</v>
      </c>
      <c r="B197" s="1">
        <v>3.1305000000000001</v>
      </c>
      <c r="C197" s="1">
        <f>Tabela1[[#This Row],[Alongamento (mm/mm)]]/$I$2</f>
        <v>6.2609999999999999E-2</v>
      </c>
      <c r="D197" s="1">
        <v>101.21</v>
      </c>
      <c r="E197" s="1">
        <f>Tabela1[[#This Row],[Força (N)]]/$I$5</f>
        <v>2096243.703605514</v>
      </c>
      <c r="F197" s="1">
        <f>Tabela1[[#This Row],[Tensão (Pa)]]/1000000</f>
        <v>2.0962437036055142</v>
      </c>
    </row>
    <row r="198" spans="1:6" x14ac:dyDescent="0.3">
      <c r="A198" s="1">
        <v>37.716999999999999</v>
      </c>
      <c r="B198" s="1">
        <v>3.1360999999999999</v>
      </c>
      <c r="C198" s="1">
        <f>Tabela1[[#This Row],[Alongamento (mm/mm)]]/$I$2</f>
        <v>6.2722E-2</v>
      </c>
      <c r="D198" s="1">
        <v>102.06</v>
      </c>
      <c r="E198" s="1">
        <f>Tabela1[[#This Row],[Força (N)]]/$I$5</f>
        <v>2113848.7539766701</v>
      </c>
      <c r="F198" s="1">
        <f>Tabela1[[#This Row],[Tensão (Pa)]]/1000000</f>
        <v>2.1138487539766699</v>
      </c>
    </row>
    <row r="199" spans="1:6" x14ac:dyDescent="0.3">
      <c r="A199" s="1">
        <v>37.783000000000001</v>
      </c>
      <c r="B199" s="1">
        <v>3.1415000000000002</v>
      </c>
      <c r="C199" s="1">
        <f>Tabela1[[#This Row],[Alongamento (mm/mm)]]/$I$2</f>
        <v>6.2829999999999997E-2</v>
      </c>
      <c r="D199" s="1">
        <v>102.74</v>
      </c>
      <c r="E199" s="1">
        <f>Tabela1[[#This Row],[Força (N)]]/$I$5</f>
        <v>2127932.7942735949</v>
      </c>
      <c r="F199" s="1">
        <f>Tabela1[[#This Row],[Tensão (Pa)]]/1000000</f>
        <v>2.1279327942735948</v>
      </c>
    </row>
    <row r="200" spans="1:6" x14ac:dyDescent="0.3">
      <c r="A200" s="1">
        <v>37.832999999999998</v>
      </c>
      <c r="B200" s="1">
        <v>3.1457000000000002</v>
      </c>
      <c r="C200" s="1">
        <f>Tabela1[[#This Row],[Alongamento (mm/mm)]]/$I$2</f>
        <v>6.2913999999999998E-2</v>
      </c>
      <c r="D200" s="1">
        <v>103.42</v>
      </c>
      <c r="E200" s="1">
        <f>Tabela1[[#This Row],[Força (N)]]/$I$5</f>
        <v>2142016.8345705196</v>
      </c>
      <c r="F200" s="1">
        <f>Tabela1[[#This Row],[Tensão (Pa)]]/1000000</f>
        <v>2.1420168345705197</v>
      </c>
    </row>
    <row r="201" spans="1:6" x14ac:dyDescent="0.3">
      <c r="A201" s="1">
        <v>37.9</v>
      </c>
      <c r="B201" s="1">
        <v>3.1513</v>
      </c>
      <c r="C201" s="1">
        <f>Tabela1[[#This Row],[Alongamento (mm/mm)]]/$I$2</f>
        <v>6.3025999999999999E-2</v>
      </c>
      <c r="D201" s="1">
        <v>104.1</v>
      </c>
      <c r="E201" s="1">
        <f>Tabela1[[#This Row],[Força (N)]]/$I$5</f>
        <v>2156100.8748674439</v>
      </c>
      <c r="F201" s="1">
        <f>Tabela1[[#This Row],[Tensão (Pa)]]/1000000</f>
        <v>2.1561008748674437</v>
      </c>
    </row>
    <row r="202" spans="1:6" x14ac:dyDescent="0.3">
      <c r="A202" s="1">
        <v>37.950000000000003</v>
      </c>
      <c r="B202" s="1">
        <v>3.1554000000000002</v>
      </c>
      <c r="C202" s="1">
        <f>Tabela1[[#This Row],[Alongamento (mm/mm)]]/$I$2</f>
        <v>6.3107999999999997E-2</v>
      </c>
      <c r="D202" s="1">
        <v>104.78</v>
      </c>
      <c r="E202" s="1">
        <f>Tabela1[[#This Row],[Força (N)]]/$I$5</f>
        <v>2170184.9151643692</v>
      </c>
      <c r="F202" s="1">
        <f>Tabela1[[#This Row],[Tensão (Pa)]]/1000000</f>
        <v>2.1701849151643691</v>
      </c>
    </row>
    <row r="203" spans="1:6" x14ac:dyDescent="0.3">
      <c r="A203" s="1">
        <v>38.017000000000003</v>
      </c>
      <c r="B203" s="1">
        <v>3.161</v>
      </c>
      <c r="C203" s="1">
        <f>Tabela1[[#This Row],[Alongamento (mm/mm)]]/$I$2</f>
        <v>6.3219999999999998E-2</v>
      </c>
      <c r="D203" s="1">
        <v>105.46</v>
      </c>
      <c r="E203" s="1">
        <f>Tabela1[[#This Row],[Força (N)]]/$I$5</f>
        <v>2184268.9554612935</v>
      </c>
      <c r="F203" s="1">
        <f>Tabela1[[#This Row],[Tensão (Pa)]]/1000000</f>
        <v>2.1842689554612935</v>
      </c>
    </row>
    <row r="204" spans="1:6" x14ac:dyDescent="0.3">
      <c r="A204" s="1">
        <v>38.067</v>
      </c>
      <c r="B204" s="1">
        <v>3.1650999999999998</v>
      </c>
      <c r="C204" s="1">
        <f>Tabela1[[#This Row],[Alongamento (mm/mm)]]/$I$2</f>
        <v>6.3301999999999997E-2</v>
      </c>
      <c r="D204" s="1">
        <v>106.14</v>
      </c>
      <c r="E204" s="1">
        <f>Tabela1[[#This Row],[Força (N)]]/$I$5</f>
        <v>2198352.9957582182</v>
      </c>
      <c r="F204" s="1">
        <f>Tabela1[[#This Row],[Tensão (Pa)]]/1000000</f>
        <v>2.1983529957582184</v>
      </c>
    </row>
    <row r="205" spans="1:6" x14ac:dyDescent="0.3">
      <c r="A205" s="1">
        <v>38.133000000000003</v>
      </c>
      <c r="B205" s="1">
        <v>3.1707999999999998</v>
      </c>
      <c r="C205" s="1">
        <f>Tabela1[[#This Row],[Alongamento (mm/mm)]]/$I$2</f>
        <v>6.3416E-2</v>
      </c>
      <c r="D205" s="1">
        <v>106.99</v>
      </c>
      <c r="E205" s="1">
        <f>Tabela1[[#This Row],[Força (N)]]/$I$5</f>
        <v>2215958.0461293743</v>
      </c>
      <c r="F205" s="1">
        <f>Tabela1[[#This Row],[Tensão (Pa)]]/1000000</f>
        <v>2.2159580461293742</v>
      </c>
    </row>
    <row r="206" spans="1:6" x14ac:dyDescent="0.3">
      <c r="A206" s="1">
        <v>38.200000000000003</v>
      </c>
      <c r="B206" s="1">
        <v>3.1762999999999999</v>
      </c>
      <c r="C206" s="1">
        <f>Tabela1[[#This Row],[Alongamento (mm/mm)]]/$I$2</f>
        <v>6.3525999999999999E-2</v>
      </c>
      <c r="D206" s="1">
        <v>107.67</v>
      </c>
      <c r="E206" s="1">
        <f>Tabela1[[#This Row],[Força (N)]]/$I$5</f>
        <v>2230042.0864262991</v>
      </c>
      <c r="F206" s="1">
        <f>Tabela1[[#This Row],[Tensão (Pa)]]/1000000</f>
        <v>2.2300420864262991</v>
      </c>
    </row>
    <row r="207" spans="1:6" x14ac:dyDescent="0.3">
      <c r="A207" s="1">
        <v>38.25</v>
      </c>
      <c r="B207" s="1">
        <v>3.1804000000000001</v>
      </c>
      <c r="C207" s="1">
        <f>Tabela1[[#This Row],[Alongamento (mm/mm)]]/$I$2</f>
        <v>6.3607999999999998E-2</v>
      </c>
      <c r="D207" s="1">
        <v>108.35</v>
      </c>
      <c r="E207" s="1">
        <f>Tabela1[[#This Row],[Força (N)]]/$I$5</f>
        <v>2244126.1267232234</v>
      </c>
      <c r="F207" s="1">
        <f>Tabela1[[#This Row],[Tensão (Pa)]]/1000000</f>
        <v>2.2441261267232235</v>
      </c>
    </row>
    <row r="208" spans="1:6" x14ac:dyDescent="0.3">
      <c r="A208" s="1">
        <v>38.317</v>
      </c>
      <c r="B208" s="1">
        <v>3.1859999999999999</v>
      </c>
      <c r="C208" s="1">
        <f>Tabela1[[#This Row],[Alongamento (mm/mm)]]/$I$2</f>
        <v>6.3719999999999999E-2</v>
      </c>
      <c r="D208" s="1">
        <v>109.2</v>
      </c>
      <c r="E208" s="1">
        <f>Tabela1[[#This Row],[Força (N)]]/$I$5</f>
        <v>2261731.1770943794</v>
      </c>
      <c r="F208" s="1">
        <f>Tabela1[[#This Row],[Tensão (Pa)]]/1000000</f>
        <v>2.2617311770943793</v>
      </c>
    </row>
    <row r="209" spans="1:6" x14ac:dyDescent="0.3">
      <c r="A209" s="1">
        <v>38.383000000000003</v>
      </c>
      <c r="B209" s="1">
        <v>3.1916000000000002</v>
      </c>
      <c r="C209" s="1">
        <f>Tabela1[[#This Row],[Alongamento (mm/mm)]]/$I$2</f>
        <v>6.3832E-2</v>
      </c>
      <c r="D209" s="1">
        <v>109.88</v>
      </c>
      <c r="E209" s="1">
        <f>Tabela1[[#This Row],[Força (N)]]/$I$5</f>
        <v>2275815.2173913042</v>
      </c>
      <c r="F209" s="1">
        <f>Tabela1[[#This Row],[Tensão (Pa)]]/1000000</f>
        <v>2.2758152173913042</v>
      </c>
    </row>
    <row r="210" spans="1:6" x14ac:dyDescent="0.3">
      <c r="A210" s="1">
        <v>38.433</v>
      </c>
      <c r="B210" s="1">
        <v>3.1957</v>
      </c>
      <c r="C210" s="1">
        <f>Tabela1[[#This Row],[Alongamento (mm/mm)]]/$I$2</f>
        <v>6.3913999999999999E-2</v>
      </c>
      <c r="D210" s="1">
        <v>110.56</v>
      </c>
      <c r="E210" s="1">
        <f>Tabela1[[#This Row],[Força (N)]]/$I$5</f>
        <v>2289899.257688229</v>
      </c>
      <c r="F210" s="1">
        <f>Tabela1[[#This Row],[Tensão (Pa)]]/1000000</f>
        <v>2.2898992576882291</v>
      </c>
    </row>
    <row r="211" spans="1:6" x14ac:dyDescent="0.3">
      <c r="A211" s="1">
        <v>38.5</v>
      </c>
      <c r="B211" s="1">
        <v>3.2012999999999998</v>
      </c>
      <c r="C211" s="1">
        <f>Tabela1[[#This Row],[Alongamento (mm/mm)]]/$I$2</f>
        <v>6.4026E-2</v>
      </c>
      <c r="D211" s="1">
        <v>111.24</v>
      </c>
      <c r="E211" s="1">
        <f>Tabela1[[#This Row],[Força (N)]]/$I$5</f>
        <v>2303983.2979851537</v>
      </c>
      <c r="F211" s="1">
        <f>Tabela1[[#This Row],[Tensão (Pa)]]/1000000</f>
        <v>2.3039832979851536</v>
      </c>
    </row>
    <row r="212" spans="1:6" x14ac:dyDescent="0.3">
      <c r="A212" s="1">
        <v>38.549999999999997</v>
      </c>
      <c r="B212" s="1">
        <v>3.2054999999999998</v>
      </c>
      <c r="C212" s="1">
        <f>Tabela1[[#This Row],[Alongamento (mm/mm)]]/$I$2</f>
        <v>6.411E-2</v>
      </c>
      <c r="D212" s="1">
        <v>111.93</v>
      </c>
      <c r="E212" s="1">
        <f>Tabela1[[#This Row],[Força (N)]]/$I$5</f>
        <v>2318274.4565217393</v>
      </c>
      <c r="F212" s="1">
        <f>Tabela1[[#This Row],[Tensão (Pa)]]/1000000</f>
        <v>2.3182744565217392</v>
      </c>
    </row>
    <row r="213" spans="1:6" x14ac:dyDescent="0.3">
      <c r="A213" s="1">
        <v>38.6</v>
      </c>
      <c r="B213" s="1">
        <v>3.2097000000000002</v>
      </c>
      <c r="C213" s="1">
        <f>Tabela1[[#This Row],[Alongamento (mm/mm)]]/$I$2</f>
        <v>6.4194000000000001E-2</v>
      </c>
      <c r="D213" s="1">
        <v>112.61</v>
      </c>
      <c r="E213" s="1">
        <f>Tabela1[[#This Row],[Força (N)]]/$I$5</f>
        <v>2332358.4968186636</v>
      </c>
      <c r="F213" s="1">
        <f>Tabela1[[#This Row],[Tensão (Pa)]]/1000000</f>
        <v>2.3323584968186637</v>
      </c>
    </row>
    <row r="214" spans="1:6" x14ac:dyDescent="0.3">
      <c r="A214" s="1">
        <v>38.667000000000002</v>
      </c>
      <c r="B214" s="1">
        <v>3.2151999999999998</v>
      </c>
      <c r="C214" s="1">
        <f>Tabela1[[#This Row],[Alongamento (mm/mm)]]/$I$2</f>
        <v>6.4304E-2</v>
      </c>
      <c r="D214" s="1">
        <v>113.29</v>
      </c>
      <c r="E214" s="1">
        <f>Tabela1[[#This Row],[Força (N)]]/$I$5</f>
        <v>2346442.5371155888</v>
      </c>
      <c r="F214" s="1">
        <f>Tabela1[[#This Row],[Tensão (Pa)]]/1000000</f>
        <v>2.3464425371155886</v>
      </c>
    </row>
    <row r="215" spans="1:6" x14ac:dyDescent="0.3">
      <c r="A215" s="1">
        <v>38.716999999999999</v>
      </c>
      <c r="B215" s="1">
        <v>3.2193000000000001</v>
      </c>
      <c r="C215" s="1">
        <f>Tabela1[[#This Row],[Alongamento (mm/mm)]]/$I$2</f>
        <v>6.4385999999999999E-2</v>
      </c>
      <c r="D215" s="1">
        <v>113.97</v>
      </c>
      <c r="E215" s="1">
        <f>Tabela1[[#This Row],[Força (N)]]/$I$5</f>
        <v>2360526.5774125131</v>
      </c>
      <c r="F215" s="1">
        <f>Tabela1[[#This Row],[Tensão (Pa)]]/1000000</f>
        <v>2.360526577412513</v>
      </c>
    </row>
    <row r="216" spans="1:6" x14ac:dyDescent="0.3">
      <c r="A216" s="1">
        <v>38.767000000000003</v>
      </c>
      <c r="B216" s="1">
        <v>3.2235</v>
      </c>
      <c r="C216" s="1">
        <f>Tabela1[[#This Row],[Alongamento (mm/mm)]]/$I$2</f>
        <v>6.447E-2</v>
      </c>
      <c r="D216" s="1">
        <v>114.65</v>
      </c>
      <c r="E216" s="1">
        <f>Tabela1[[#This Row],[Força (N)]]/$I$5</f>
        <v>2374610.6177094379</v>
      </c>
      <c r="F216" s="1">
        <f>Tabela1[[#This Row],[Tensão (Pa)]]/1000000</f>
        <v>2.3746106177094379</v>
      </c>
    </row>
    <row r="217" spans="1:6" x14ac:dyDescent="0.3">
      <c r="A217" s="1">
        <v>38.817</v>
      </c>
      <c r="B217" s="1">
        <v>3.2275999999999998</v>
      </c>
      <c r="C217" s="1">
        <f>Tabela1[[#This Row],[Alongamento (mm/mm)]]/$I$2</f>
        <v>6.4551999999999998E-2</v>
      </c>
      <c r="D217" s="1">
        <v>115.33</v>
      </c>
      <c r="E217" s="1">
        <f>Tabela1[[#This Row],[Força (N)]]/$I$5</f>
        <v>2388694.6580063626</v>
      </c>
      <c r="F217" s="1">
        <f>Tabela1[[#This Row],[Tensão (Pa)]]/1000000</f>
        <v>2.3886946580063628</v>
      </c>
    </row>
    <row r="218" spans="1:6" x14ac:dyDescent="0.3">
      <c r="A218" s="1">
        <v>38.866999999999997</v>
      </c>
      <c r="B218" s="1">
        <v>3.2317999999999998</v>
      </c>
      <c r="C218" s="1">
        <f>Tabela1[[#This Row],[Alongamento (mm/mm)]]/$I$2</f>
        <v>6.4635999999999999E-2</v>
      </c>
      <c r="D218" s="1">
        <v>116.01</v>
      </c>
      <c r="E218" s="1">
        <f>Tabela1[[#This Row],[Força (N)]]/$I$5</f>
        <v>2402778.6983032874</v>
      </c>
      <c r="F218" s="1">
        <f>Tabela1[[#This Row],[Tensão (Pa)]]/1000000</f>
        <v>2.4027786983032873</v>
      </c>
    </row>
    <row r="219" spans="1:6" x14ac:dyDescent="0.3">
      <c r="A219" s="1">
        <v>38.933</v>
      </c>
      <c r="B219" s="1">
        <v>3.2374000000000001</v>
      </c>
      <c r="C219" s="1">
        <f>Tabela1[[#This Row],[Alongamento (mm/mm)]]/$I$2</f>
        <v>6.4748E-2</v>
      </c>
      <c r="D219" s="1">
        <v>116.86</v>
      </c>
      <c r="E219" s="1">
        <f>Tabela1[[#This Row],[Força (N)]]/$I$5</f>
        <v>2420383.748674443</v>
      </c>
      <c r="F219" s="1">
        <f>Tabela1[[#This Row],[Tensão (Pa)]]/1000000</f>
        <v>2.4203837486744431</v>
      </c>
    </row>
    <row r="220" spans="1:6" x14ac:dyDescent="0.3">
      <c r="A220" s="1">
        <v>39</v>
      </c>
      <c r="B220" s="1">
        <v>3.2429000000000001</v>
      </c>
      <c r="C220" s="1">
        <f>Tabela1[[#This Row],[Alongamento (mm/mm)]]/$I$2</f>
        <v>6.4857999999999999E-2</v>
      </c>
      <c r="D220" s="1">
        <v>117.71</v>
      </c>
      <c r="E220" s="1">
        <f>Tabela1[[#This Row],[Força (N)]]/$I$5</f>
        <v>2437988.7990455991</v>
      </c>
      <c r="F220" s="1">
        <f>Tabela1[[#This Row],[Tensão (Pa)]]/1000000</f>
        <v>2.4379887990455993</v>
      </c>
    </row>
    <row r="221" spans="1:6" x14ac:dyDescent="0.3">
      <c r="A221" s="1">
        <v>39.067</v>
      </c>
      <c r="B221" s="1">
        <v>3.2484999999999999</v>
      </c>
      <c r="C221" s="1">
        <f>Tabela1[[#This Row],[Alongamento (mm/mm)]]/$I$2</f>
        <v>6.497E-2</v>
      </c>
      <c r="D221" s="1">
        <v>118.56</v>
      </c>
      <c r="E221" s="1">
        <f>Tabela1[[#This Row],[Força (N)]]/$I$5</f>
        <v>2455593.8494167551</v>
      </c>
      <c r="F221" s="1">
        <f>Tabela1[[#This Row],[Tensão (Pa)]]/1000000</f>
        <v>2.4555938494167551</v>
      </c>
    </row>
    <row r="222" spans="1:6" x14ac:dyDescent="0.3">
      <c r="A222" s="1">
        <v>39.116999999999997</v>
      </c>
      <c r="B222" s="1">
        <v>3.2526999999999999</v>
      </c>
      <c r="C222" s="1">
        <f>Tabela1[[#This Row],[Alongamento (mm/mm)]]/$I$2</f>
        <v>6.5054000000000001E-2</v>
      </c>
      <c r="D222" s="1">
        <v>119.24</v>
      </c>
      <c r="E222" s="1">
        <f>Tabela1[[#This Row],[Força (N)]]/$I$5</f>
        <v>2469677.8897136794</v>
      </c>
      <c r="F222" s="1">
        <f>Tabela1[[#This Row],[Tensão (Pa)]]/1000000</f>
        <v>2.4696778897136795</v>
      </c>
    </row>
    <row r="223" spans="1:6" x14ac:dyDescent="0.3">
      <c r="A223" s="1">
        <v>39.183</v>
      </c>
      <c r="B223" s="1">
        <v>3.2581000000000002</v>
      </c>
      <c r="C223" s="1">
        <f>Tabela1[[#This Row],[Alongamento (mm/mm)]]/$I$2</f>
        <v>6.5161999999999998E-2</v>
      </c>
      <c r="D223" s="1">
        <v>120.09</v>
      </c>
      <c r="E223" s="1">
        <f>Tabela1[[#This Row],[Força (N)]]/$I$5</f>
        <v>2487282.9400848355</v>
      </c>
      <c r="F223" s="1">
        <f>Tabela1[[#This Row],[Tensão (Pa)]]/1000000</f>
        <v>2.4872829400848353</v>
      </c>
    </row>
    <row r="224" spans="1:6" x14ac:dyDescent="0.3">
      <c r="A224" s="1">
        <v>39.232999999999997</v>
      </c>
      <c r="B224" s="1">
        <v>3.2624</v>
      </c>
      <c r="C224" s="1">
        <f>Tabela1[[#This Row],[Alongamento (mm/mm)]]/$I$2</f>
        <v>6.5248E-2</v>
      </c>
      <c r="D224" s="1">
        <v>120.77</v>
      </c>
      <c r="E224" s="1">
        <f>Tabela1[[#This Row],[Força (N)]]/$I$5</f>
        <v>2501366.9803817603</v>
      </c>
      <c r="F224" s="1">
        <f>Tabela1[[#This Row],[Tensão (Pa)]]/1000000</f>
        <v>2.5013669803817602</v>
      </c>
    </row>
    <row r="225" spans="1:6" x14ac:dyDescent="0.3">
      <c r="A225" s="1">
        <v>39.283000000000001</v>
      </c>
      <c r="B225" s="1">
        <v>3.2665999999999999</v>
      </c>
      <c r="C225" s="1">
        <f>Tabela1[[#This Row],[Alongamento (mm/mm)]]/$I$2</f>
        <v>6.5332000000000001E-2</v>
      </c>
      <c r="D225" s="1">
        <v>121.45</v>
      </c>
      <c r="E225" s="1">
        <f>Tabela1[[#This Row],[Força (N)]]/$I$5</f>
        <v>2515451.020678685</v>
      </c>
      <c r="F225" s="1">
        <f>Tabela1[[#This Row],[Tensão (Pa)]]/1000000</f>
        <v>2.5154510206786851</v>
      </c>
    </row>
    <row r="226" spans="1:6" x14ac:dyDescent="0.3">
      <c r="A226" s="1">
        <v>39.332999999999998</v>
      </c>
      <c r="B226" s="1">
        <v>3.2707999999999999</v>
      </c>
      <c r="C226" s="1">
        <f>Tabela1[[#This Row],[Alongamento (mm/mm)]]/$I$2</f>
        <v>6.5416000000000002E-2</v>
      </c>
      <c r="D226" s="1">
        <v>122.13</v>
      </c>
      <c r="E226" s="1">
        <f>Tabela1[[#This Row],[Força (N)]]/$I$5</f>
        <v>2529535.0609756093</v>
      </c>
      <c r="F226" s="1">
        <f>Tabela1[[#This Row],[Tensão (Pa)]]/1000000</f>
        <v>2.5295350609756095</v>
      </c>
    </row>
    <row r="227" spans="1:6" x14ac:dyDescent="0.3">
      <c r="A227" s="1">
        <v>39.383000000000003</v>
      </c>
      <c r="B227" s="1">
        <v>3.2749000000000001</v>
      </c>
      <c r="C227" s="1">
        <f>Tabela1[[#This Row],[Alongamento (mm/mm)]]/$I$2</f>
        <v>6.5498000000000001E-2</v>
      </c>
      <c r="D227" s="1">
        <v>122.81</v>
      </c>
      <c r="E227" s="1">
        <f>Tabela1[[#This Row],[Força (N)]]/$I$5</f>
        <v>2543619.1012725346</v>
      </c>
      <c r="F227" s="1">
        <f>Tabela1[[#This Row],[Tensão (Pa)]]/1000000</f>
        <v>2.5436191012725344</v>
      </c>
    </row>
    <row r="228" spans="1:6" x14ac:dyDescent="0.3">
      <c r="A228" s="1">
        <v>39.433</v>
      </c>
      <c r="B228" s="1">
        <v>3.2789999999999999</v>
      </c>
      <c r="C228" s="1">
        <f>Tabela1[[#This Row],[Alongamento (mm/mm)]]/$I$2</f>
        <v>6.5579999999999999E-2</v>
      </c>
      <c r="D228" s="1">
        <v>123.49</v>
      </c>
      <c r="E228" s="1">
        <f>Tabela1[[#This Row],[Força (N)]]/$I$5</f>
        <v>2557703.1415694589</v>
      </c>
      <c r="F228" s="1">
        <f>Tabela1[[#This Row],[Tensão (Pa)]]/1000000</f>
        <v>2.5577031415694589</v>
      </c>
    </row>
    <row r="229" spans="1:6" x14ac:dyDescent="0.3">
      <c r="A229" s="1">
        <v>39.482999999999997</v>
      </c>
      <c r="B229" s="1">
        <v>3.2833000000000001</v>
      </c>
      <c r="C229" s="1">
        <f>Tabela1[[#This Row],[Alongamento (mm/mm)]]/$I$2</f>
        <v>6.5666000000000002E-2</v>
      </c>
      <c r="D229" s="1">
        <v>124.17</v>
      </c>
      <c r="E229" s="1">
        <f>Tabela1[[#This Row],[Força (N)]]/$I$5</f>
        <v>2571787.1818663836</v>
      </c>
      <c r="F229" s="1">
        <f>Tabela1[[#This Row],[Tensão (Pa)]]/1000000</f>
        <v>2.5717871818663838</v>
      </c>
    </row>
    <row r="230" spans="1:6" x14ac:dyDescent="0.3">
      <c r="A230" s="1">
        <v>39.533000000000001</v>
      </c>
      <c r="B230" s="1">
        <v>3.2875000000000001</v>
      </c>
      <c r="C230" s="1">
        <f>Tabela1[[#This Row],[Alongamento (mm/mm)]]/$I$2</f>
        <v>6.5750000000000003E-2</v>
      </c>
      <c r="D230" s="1">
        <v>124.85</v>
      </c>
      <c r="E230" s="1">
        <f>Tabela1[[#This Row],[Força (N)]]/$I$5</f>
        <v>2585871.2221633084</v>
      </c>
      <c r="F230" s="1">
        <f>Tabela1[[#This Row],[Tensão (Pa)]]/1000000</f>
        <v>2.5858712221633082</v>
      </c>
    </row>
    <row r="231" spans="1:6" x14ac:dyDescent="0.3">
      <c r="A231" s="1">
        <v>39.582999999999998</v>
      </c>
      <c r="B231" s="1">
        <v>3.2915999999999999</v>
      </c>
      <c r="C231" s="1">
        <f>Tabela1[[#This Row],[Alongamento (mm/mm)]]/$I$2</f>
        <v>6.5832000000000002E-2</v>
      </c>
      <c r="D231" s="1">
        <v>125.53</v>
      </c>
      <c r="E231" s="1">
        <f>Tabela1[[#This Row],[Força (N)]]/$I$5</f>
        <v>2599955.2624602332</v>
      </c>
      <c r="F231" s="1">
        <f>Tabela1[[#This Row],[Tensão (Pa)]]/1000000</f>
        <v>2.5999552624602331</v>
      </c>
    </row>
    <row r="232" spans="1:6" x14ac:dyDescent="0.3">
      <c r="A232" s="1">
        <v>39.633000000000003</v>
      </c>
      <c r="B232" s="1">
        <v>3.2957000000000001</v>
      </c>
      <c r="C232" s="1">
        <f>Tabela1[[#This Row],[Alongamento (mm/mm)]]/$I$2</f>
        <v>6.5914E-2</v>
      </c>
      <c r="D232" s="1">
        <v>126.21</v>
      </c>
      <c r="E232" s="1">
        <f>Tabela1[[#This Row],[Força (N)]]/$I$5</f>
        <v>2614039.3027571579</v>
      </c>
      <c r="F232" s="1">
        <f>Tabela1[[#This Row],[Tensão (Pa)]]/1000000</f>
        <v>2.614039302757158</v>
      </c>
    </row>
    <row r="233" spans="1:6" x14ac:dyDescent="0.3">
      <c r="A233" s="1">
        <v>39.683</v>
      </c>
      <c r="B233" s="1">
        <v>3.2997999999999998</v>
      </c>
      <c r="C233" s="1">
        <f>Tabela1[[#This Row],[Alongamento (mm/mm)]]/$I$2</f>
        <v>6.5995999999999999E-2</v>
      </c>
      <c r="D233" s="1">
        <v>126.89</v>
      </c>
      <c r="E233" s="1">
        <f>Tabela1[[#This Row],[Força (N)]]/$I$5</f>
        <v>2628123.3430540827</v>
      </c>
      <c r="F233" s="1">
        <f>Tabela1[[#This Row],[Tensão (Pa)]]/1000000</f>
        <v>2.6281233430540829</v>
      </c>
    </row>
    <row r="234" spans="1:6" x14ac:dyDescent="0.3">
      <c r="A234" s="1">
        <v>39.732999999999997</v>
      </c>
      <c r="B234" s="1">
        <v>3.3039999999999998</v>
      </c>
      <c r="C234" s="1">
        <f>Tabela1[[#This Row],[Alongamento (mm/mm)]]/$I$2</f>
        <v>6.608E-2</v>
      </c>
      <c r="D234" s="1">
        <v>127.57</v>
      </c>
      <c r="E234" s="1">
        <f>Tabela1[[#This Row],[Força (N)]]/$I$5</f>
        <v>2642207.383351007</v>
      </c>
      <c r="F234" s="1">
        <f>Tabela1[[#This Row],[Tensão (Pa)]]/1000000</f>
        <v>2.6422073833510069</v>
      </c>
    </row>
    <row r="235" spans="1:6" x14ac:dyDescent="0.3">
      <c r="A235" s="1">
        <v>39.783000000000001</v>
      </c>
      <c r="B235" s="1">
        <v>3.3083</v>
      </c>
      <c r="C235" s="1">
        <f>Tabela1[[#This Row],[Alongamento (mm/mm)]]/$I$2</f>
        <v>6.6166000000000003E-2</v>
      </c>
      <c r="D235" s="1">
        <v>128.25</v>
      </c>
      <c r="E235" s="1">
        <f>Tabela1[[#This Row],[Força (N)]]/$I$5</f>
        <v>2656291.4236479322</v>
      </c>
      <c r="F235" s="1">
        <f>Tabela1[[#This Row],[Tensão (Pa)]]/1000000</f>
        <v>2.6562914236479322</v>
      </c>
    </row>
    <row r="236" spans="1:6" x14ac:dyDescent="0.3">
      <c r="A236" s="1">
        <v>39.832999999999998</v>
      </c>
      <c r="B236" s="1">
        <v>3.3123999999999998</v>
      </c>
      <c r="C236" s="1">
        <f>Tabela1[[#This Row],[Alongamento (mm/mm)]]/$I$2</f>
        <v>6.6248000000000001E-2</v>
      </c>
      <c r="D236" s="1">
        <v>128.93</v>
      </c>
      <c r="E236" s="1">
        <f>Tabela1[[#This Row],[Força (N)]]/$I$5</f>
        <v>2670375.463944857</v>
      </c>
      <c r="F236" s="1">
        <f>Tabela1[[#This Row],[Tensão (Pa)]]/1000000</f>
        <v>2.6703754639448571</v>
      </c>
    </row>
    <row r="237" spans="1:6" x14ac:dyDescent="0.3">
      <c r="A237" s="1">
        <v>39.883000000000003</v>
      </c>
      <c r="B237" s="1">
        <v>3.3166000000000002</v>
      </c>
      <c r="C237" s="1">
        <f>Tabela1[[#This Row],[Alongamento (mm/mm)]]/$I$2</f>
        <v>6.6332000000000002E-2</v>
      </c>
      <c r="D237" s="1">
        <v>129.62</v>
      </c>
      <c r="E237" s="1">
        <f>Tabela1[[#This Row],[Força (N)]]/$I$5</f>
        <v>2684666.6224814421</v>
      </c>
      <c r="F237" s="1">
        <f>Tabela1[[#This Row],[Tensão (Pa)]]/1000000</f>
        <v>2.6846666224814419</v>
      </c>
    </row>
    <row r="238" spans="1:6" x14ac:dyDescent="0.3">
      <c r="A238" s="1">
        <v>39.933</v>
      </c>
      <c r="B238" s="1">
        <v>3.3207</v>
      </c>
      <c r="C238" s="1">
        <f>Tabela1[[#This Row],[Alongamento (mm/mm)]]/$I$2</f>
        <v>6.6414000000000001E-2</v>
      </c>
      <c r="D238" s="1">
        <v>130.30000000000001</v>
      </c>
      <c r="E238" s="1">
        <f>Tabela1[[#This Row],[Força (N)]]/$I$5</f>
        <v>2698750.6627783668</v>
      </c>
      <c r="F238" s="1">
        <f>Tabela1[[#This Row],[Tensão (Pa)]]/1000000</f>
        <v>2.6987506627783668</v>
      </c>
    </row>
    <row r="239" spans="1:6" x14ac:dyDescent="0.3">
      <c r="A239" s="1">
        <v>39.982999999999997</v>
      </c>
      <c r="B239" s="1">
        <v>3.3249</v>
      </c>
      <c r="C239" s="1">
        <f>Tabela1[[#This Row],[Alongamento (mm/mm)]]/$I$2</f>
        <v>6.6498000000000002E-2</v>
      </c>
      <c r="D239" s="1">
        <v>130.97999999999999</v>
      </c>
      <c r="E239" s="1">
        <f>Tabela1[[#This Row],[Força (N)]]/$I$5</f>
        <v>2712834.7030752911</v>
      </c>
      <c r="F239" s="1">
        <f>Tabela1[[#This Row],[Tensão (Pa)]]/1000000</f>
        <v>2.7128347030752913</v>
      </c>
    </row>
    <row r="240" spans="1:6" x14ac:dyDescent="0.3">
      <c r="A240" s="1">
        <v>40.067</v>
      </c>
      <c r="B240" s="1">
        <v>3.3317999999999999</v>
      </c>
      <c r="C240" s="1">
        <f>Tabela1[[#This Row],[Alongamento (mm/mm)]]/$I$2</f>
        <v>6.6636000000000001E-2</v>
      </c>
      <c r="D240" s="1">
        <v>132.16999999999999</v>
      </c>
      <c r="E240" s="1">
        <f>Tabela1[[#This Row],[Força (N)]]/$I$5</f>
        <v>2737481.7735949093</v>
      </c>
      <c r="F240" s="1">
        <f>Tabela1[[#This Row],[Tensão (Pa)]]/1000000</f>
        <v>2.7374817735949093</v>
      </c>
    </row>
    <row r="241" spans="1:6" x14ac:dyDescent="0.3">
      <c r="A241" s="1">
        <v>40.15</v>
      </c>
      <c r="B241" s="1">
        <v>3.3388</v>
      </c>
      <c r="C241" s="1">
        <f>Tabela1[[#This Row],[Alongamento (mm/mm)]]/$I$2</f>
        <v>6.6776000000000002E-2</v>
      </c>
      <c r="D241" s="1">
        <v>133.36000000000001</v>
      </c>
      <c r="E241" s="1">
        <f>Tabela1[[#This Row],[Força (N)]]/$I$5</f>
        <v>2762128.844114528</v>
      </c>
      <c r="F241" s="1">
        <f>Tabela1[[#This Row],[Tensão (Pa)]]/1000000</f>
        <v>2.7621288441145282</v>
      </c>
    </row>
    <row r="242" spans="1:6" x14ac:dyDescent="0.3">
      <c r="A242" s="1">
        <v>40.232999999999997</v>
      </c>
      <c r="B242" s="1">
        <v>3.3456999999999999</v>
      </c>
      <c r="C242" s="1">
        <f>Tabela1[[#This Row],[Alongamento (mm/mm)]]/$I$2</f>
        <v>6.6914000000000001E-2</v>
      </c>
      <c r="D242" s="1">
        <v>134.38</v>
      </c>
      <c r="E242" s="1">
        <f>Tabela1[[#This Row],[Força (N)]]/$I$5</f>
        <v>2783254.904559915</v>
      </c>
      <c r="F242" s="1">
        <f>Tabela1[[#This Row],[Tensão (Pa)]]/1000000</f>
        <v>2.7832549045599149</v>
      </c>
    </row>
    <row r="243" spans="1:6" x14ac:dyDescent="0.3">
      <c r="A243" s="1">
        <v>40.299999999999997</v>
      </c>
      <c r="B243" s="1">
        <v>3.3512</v>
      </c>
      <c r="C243" s="1">
        <f>Tabela1[[#This Row],[Alongamento (mm/mm)]]/$I$2</f>
        <v>6.7024E-2</v>
      </c>
      <c r="D243" s="1">
        <v>135.4</v>
      </c>
      <c r="E243" s="1">
        <f>Tabela1[[#This Row],[Força (N)]]/$I$5</f>
        <v>2804380.9650053023</v>
      </c>
      <c r="F243" s="1">
        <f>Tabela1[[#This Row],[Tensão (Pa)]]/1000000</f>
        <v>2.8043809650053024</v>
      </c>
    </row>
    <row r="244" spans="1:6" x14ac:dyDescent="0.3">
      <c r="A244" s="1">
        <v>40.383000000000003</v>
      </c>
      <c r="B244" s="1">
        <v>3.3582999999999998</v>
      </c>
      <c r="C244" s="1">
        <f>Tabela1[[#This Row],[Alongamento (mm/mm)]]/$I$2</f>
        <v>6.7166000000000003E-2</v>
      </c>
      <c r="D244" s="1">
        <v>136.41999999999999</v>
      </c>
      <c r="E244" s="1">
        <f>Tabela1[[#This Row],[Força (N)]]/$I$5</f>
        <v>2825507.0254506888</v>
      </c>
      <c r="F244" s="1">
        <f>Tabela1[[#This Row],[Tensão (Pa)]]/1000000</f>
        <v>2.8255070254506887</v>
      </c>
    </row>
    <row r="245" spans="1:6" x14ac:dyDescent="0.3">
      <c r="A245" s="1">
        <v>40.450000000000003</v>
      </c>
      <c r="B245" s="1">
        <v>3.3639000000000001</v>
      </c>
      <c r="C245" s="1">
        <f>Tabela1[[#This Row],[Alongamento (mm/mm)]]/$I$2</f>
        <v>6.7278000000000004E-2</v>
      </c>
      <c r="D245" s="1">
        <v>137.44</v>
      </c>
      <c r="E245" s="1">
        <f>Tabela1[[#This Row],[Força (N)]]/$I$5</f>
        <v>2846633.0858960762</v>
      </c>
      <c r="F245" s="1">
        <f>Tabela1[[#This Row],[Tensão (Pa)]]/1000000</f>
        <v>2.8466330858960762</v>
      </c>
    </row>
    <row r="246" spans="1:6" x14ac:dyDescent="0.3">
      <c r="A246" s="1">
        <v>40.533000000000001</v>
      </c>
      <c r="B246" s="1">
        <v>3.3706999999999998</v>
      </c>
      <c r="C246" s="1">
        <f>Tabela1[[#This Row],[Alongamento (mm/mm)]]/$I$2</f>
        <v>6.7414000000000002E-2</v>
      </c>
      <c r="D246" s="1">
        <v>138.63</v>
      </c>
      <c r="E246" s="1">
        <f>Tabela1[[#This Row],[Força (N)]]/$I$5</f>
        <v>2871280.1564156944</v>
      </c>
      <c r="F246" s="1">
        <f>Tabela1[[#This Row],[Tensão (Pa)]]/1000000</f>
        <v>2.8712801564156942</v>
      </c>
    </row>
    <row r="247" spans="1:6" x14ac:dyDescent="0.3">
      <c r="A247" s="1">
        <v>40.6</v>
      </c>
      <c r="B247" s="1">
        <v>3.3763000000000001</v>
      </c>
      <c r="C247" s="1">
        <f>Tabela1[[#This Row],[Alongamento (mm/mm)]]/$I$2</f>
        <v>6.7526000000000003E-2</v>
      </c>
      <c r="D247" s="1">
        <v>139.65</v>
      </c>
      <c r="E247" s="1">
        <f>Tabela1[[#This Row],[Força (N)]]/$I$5</f>
        <v>2892406.2168610818</v>
      </c>
      <c r="F247" s="1">
        <f>Tabela1[[#This Row],[Tensão (Pa)]]/1000000</f>
        <v>2.8924062168610818</v>
      </c>
    </row>
    <row r="248" spans="1:6" x14ac:dyDescent="0.3">
      <c r="A248" s="1">
        <v>40.683</v>
      </c>
      <c r="B248" s="1">
        <v>3.3832</v>
      </c>
      <c r="C248" s="1">
        <f>Tabela1[[#This Row],[Alongamento (mm/mm)]]/$I$2</f>
        <v>6.7664000000000002E-2</v>
      </c>
      <c r="D248" s="1">
        <v>140.84</v>
      </c>
      <c r="E248" s="1">
        <f>Tabela1[[#This Row],[Força (N)]]/$I$5</f>
        <v>2917053.2873807</v>
      </c>
      <c r="F248" s="1">
        <f>Tabela1[[#This Row],[Tensão (Pa)]]/1000000</f>
        <v>2.9170532873806998</v>
      </c>
    </row>
    <row r="249" spans="1:6" x14ac:dyDescent="0.3">
      <c r="A249" s="1">
        <v>40.75</v>
      </c>
      <c r="B249" s="1">
        <v>3.3887999999999998</v>
      </c>
      <c r="C249" s="1">
        <f>Tabela1[[#This Row],[Alongamento (mm/mm)]]/$I$2</f>
        <v>6.7776000000000003E-2</v>
      </c>
      <c r="D249" s="1">
        <v>141.86000000000001</v>
      </c>
      <c r="E249" s="1">
        <f>Tabela1[[#This Row],[Força (N)]]/$I$5</f>
        <v>2938179.3478260869</v>
      </c>
      <c r="F249" s="1">
        <f>Tabela1[[#This Row],[Tensão (Pa)]]/1000000</f>
        <v>2.9381793478260869</v>
      </c>
    </row>
    <row r="250" spans="1:6" x14ac:dyDescent="0.3">
      <c r="A250" s="1">
        <v>40.817</v>
      </c>
      <c r="B250" s="1">
        <v>3.3944000000000001</v>
      </c>
      <c r="C250" s="1">
        <f>Tabela1[[#This Row],[Alongamento (mm/mm)]]/$I$2</f>
        <v>6.7888000000000004E-2</v>
      </c>
      <c r="D250" s="1">
        <v>142.88</v>
      </c>
      <c r="E250" s="1">
        <f>Tabela1[[#This Row],[Força (N)]]/$I$5</f>
        <v>2959305.4082714738</v>
      </c>
      <c r="F250" s="1">
        <f>Tabela1[[#This Row],[Tensão (Pa)]]/1000000</f>
        <v>2.959305408271474</v>
      </c>
    </row>
    <row r="251" spans="1:6" x14ac:dyDescent="0.3">
      <c r="A251" s="1">
        <v>40.883000000000003</v>
      </c>
      <c r="B251" s="1">
        <v>3.4</v>
      </c>
      <c r="C251" s="1">
        <f>Tabela1[[#This Row],[Alongamento (mm/mm)]]/$I$2</f>
        <v>6.8000000000000005E-2</v>
      </c>
      <c r="D251" s="1">
        <v>143.9</v>
      </c>
      <c r="E251" s="1">
        <f>Tabela1[[#This Row],[Força (N)]]/$I$5</f>
        <v>2980431.4687168612</v>
      </c>
      <c r="F251" s="1">
        <f>Tabela1[[#This Row],[Tensão (Pa)]]/1000000</f>
        <v>2.9804314687168612</v>
      </c>
    </row>
    <row r="252" spans="1:6" x14ac:dyDescent="0.3">
      <c r="A252" s="1">
        <v>40.950000000000003</v>
      </c>
      <c r="B252" s="1">
        <v>3.4055</v>
      </c>
      <c r="C252" s="1">
        <f>Tabela1[[#This Row],[Alongamento (mm/mm)]]/$I$2</f>
        <v>6.8110000000000004E-2</v>
      </c>
      <c r="D252" s="1">
        <v>144.91999999999999</v>
      </c>
      <c r="E252" s="1">
        <f>Tabela1[[#This Row],[Força (N)]]/$I$5</f>
        <v>3001557.5291622477</v>
      </c>
      <c r="F252" s="1">
        <f>Tabela1[[#This Row],[Tensão (Pa)]]/1000000</f>
        <v>3.0015575291622478</v>
      </c>
    </row>
    <row r="253" spans="1:6" x14ac:dyDescent="0.3">
      <c r="A253" s="1">
        <v>41.017000000000003</v>
      </c>
      <c r="B253" s="1">
        <v>3.411</v>
      </c>
      <c r="C253" s="1">
        <f>Tabela1[[#This Row],[Alongamento (mm/mm)]]/$I$2</f>
        <v>6.8220000000000003E-2</v>
      </c>
      <c r="D253" s="1">
        <v>145.94</v>
      </c>
      <c r="E253" s="1">
        <f>Tabela1[[#This Row],[Força (N)]]/$I$5</f>
        <v>3022683.589607635</v>
      </c>
      <c r="F253" s="1">
        <f>Tabela1[[#This Row],[Tensão (Pa)]]/1000000</f>
        <v>3.0226835896076349</v>
      </c>
    </row>
    <row r="254" spans="1:6" x14ac:dyDescent="0.3">
      <c r="A254" s="1">
        <v>41.082999999999998</v>
      </c>
      <c r="B254" s="1">
        <v>3.4165999999999999</v>
      </c>
      <c r="C254" s="1">
        <f>Tabela1[[#This Row],[Alongamento (mm/mm)]]/$I$2</f>
        <v>6.8332000000000004E-2</v>
      </c>
      <c r="D254" s="1">
        <v>147.13999999999999</v>
      </c>
      <c r="E254" s="1">
        <f>Tabela1[[#This Row],[Força (N)]]/$I$5</f>
        <v>3047537.7783669136</v>
      </c>
      <c r="F254" s="1">
        <f>Tabela1[[#This Row],[Tensão (Pa)]]/1000000</f>
        <v>3.0475377783669138</v>
      </c>
    </row>
    <row r="255" spans="1:6" x14ac:dyDescent="0.3">
      <c r="A255" s="1">
        <v>41.15</v>
      </c>
      <c r="B255" s="1">
        <v>3.4220999999999999</v>
      </c>
      <c r="C255" s="1">
        <f>Tabela1[[#This Row],[Alongamento (mm/mm)]]/$I$2</f>
        <v>6.8442000000000003E-2</v>
      </c>
      <c r="D255" s="1">
        <v>148.33000000000001</v>
      </c>
      <c r="E255" s="1">
        <f>Tabela1[[#This Row],[Força (N)]]/$I$5</f>
        <v>3072184.8488865322</v>
      </c>
      <c r="F255" s="1">
        <f>Tabela1[[#This Row],[Tensão (Pa)]]/1000000</f>
        <v>3.0721848488865322</v>
      </c>
    </row>
    <row r="256" spans="1:6" x14ac:dyDescent="0.3">
      <c r="A256" s="1">
        <v>41.216999999999999</v>
      </c>
      <c r="B256" s="1">
        <v>3.4277000000000002</v>
      </c>
      <c r="C256" s="1">
        <f>Tabela1[[#This Row],[Alongamento (mm/mm)]]/$I$2</f>
        <v>6.8554000000000004E-2</v>
      </c>
      <c r="D256" s="1">
        <v>149.52000000000001</v>
      </c>
      <c r="E256" s="1">
        <f>Tabela1[[#This Row],[Força (N)]]/$I$5</f>
        <v>3096831.9194061505</v>
      </c>
      <c r="F256" s="1">
        <f>Tabela1[[#This Row],[Tensão (Pa)]]/1000000</f>
        <v>3.0968319194061507</v>
      </c>
    </row>
    <row r="257" spans="1:6" x14ac:dyDescent="0.3">
      <c r="A257" s="1">
        <v>41.283000000000001</v>
      </c>
      <c r="B257" s="1">
        <v>3.4333</v>
      </c>
      <c r="C257" s="1">
        <f>Tabela1[[#This Row],[Alongamento (mm/mm)]]/$I$2</f>
        <v>6.8666000000000005E-2</v>
      </c>
      <c r="D257" s="1">
        <v>150.71</v>
      </c>
      <c r="E257" s="1">
        <f>Tabela1[[#This Row],[Força (N)]]/$I$5</f>
        <v>3121478.9899257687</v>
      </c>
      <c r="F257" s="1">
        <f>Tabela1[[#This Row],[Tensão (Pa)]]/1000000</f>
        <v>3.1214789899257687</v>
      </c>
    </row>
    <row r="258" spans="1:6" x14ac:dyDescent="0.3">
      <c r="A258" s="1">
        <v>41.35</v>
      </c>
      <c r="B258" s="1">
        <v>3.4388000000000001</v>
      </c>
      <c r="C258" s="1">
        <f>Tabela1[[#This Row],[Alongamento (mm/mm)]]/$I$2</f>
        <v>6.8776000000000004E-2</v>
      </c>
      <c r="D258" s="1">
        <v>151.9</v>
      </c>
      <c r="E258" s="1">
        <f>Tabela1[[#This Row],[Força (N)]]/$I$5</f>
        <v>3146126.0604453869</v>
      </c>
      <c r="F258" s="1">
        <f>Tabela1[[#This Row],[Tensão (Pa)]]/1000000</f>
        <v>3.1461260604453871</v>
      </c>
    </row>
    <row r="259" spans="1:6" x14ac:dyDescent="0.3">
      <c r="A259" s="1">
        <v>41.417000000000002</v>
      </c>
      <c r="B259" s="1">
        <v>3.4443000000000001</v>
      </c>
      <c r="C259" s="1">
        <f>Tabela1[[#This Row],[Alongamento (mm/mm)]]/$I$2</f>
        <v>6.8886000000000003E-2</v>
      </c>
      <c r="D259" s="1">
        <v>153.09</v>
      </c>
      <c r="E259" s="1">
        <f>Tabela1[[#This Row],[Força (N)]]/$I$5</f>
        <v>3170773.1309650051</v>
      </c>
      <c r="F259" s="1">
        <f>Tabela1[[#This Row],[Tensão (Pa)]]/1000000</f>
        <v>3.1707731309650051</v>
      </c>
    </row>
    <row r="260" spans="1:6" x14ac:dyDescent="0.3">
      <c r="A260" s="1">
        <v>41.482999999999997</v>
      </c>
      <c r="B260" s="1">
        <v>3.4499</v>
      </c>
      <c r="C260" s="1">
        <f>Tabela1[[#This Row],[Alongamento (mm/mm)]]/$I$2</f>
        <v>6.8998000000000004E-2</v>
      </c>
      <c r="D260" s="1">
        <v>154.28</v>
      </c>
      <c r="E260" s="1">
        <f>Tabela1[[#This Row],[Força (N)]]/$I$5</f>
        <v>3195420.2014846234</v>
      </c>
      <c r="F260" s="1">
        <f>Tabela1[[#This Row],[Tensão (Pa)]]/1000000</f>
        <v>3.1954202014846236</v>
      </c>
    </row>
    <row r="261" spans="1:6" x14ac:dyDescent="0.3">
      <c r="A261" s="1">
        <v>41.55</v>
      </c>
      <c r="B261" s="1">
        <v>3.4554</v>
      </c>
      <c r="C261" s="1">
        <f>Tabela1[[#This Row],[Alongamento (mm/mm)]]/$I$2</f>
        <v>6.9108000000000003E-2</v>
      </c>
      <c r="D261" s="1">
        <v>155.47</v>
      </c>
      <c r="E261" s="1">
        <f>Tabela1[[#This Row],[Força (N)]]/$I$5</f>
        <v>3220067.2720042416</v>
      </c>
      <c r="F261" s="1">
        <f>Tabela1[[#This Row],[Tensão (Pa)]]/1000000</f>
        <v>3.2200672720042416</v>
      </c>
    </row>
    <row r="262" spans="1:6" x14ac:dyDescent="0.3">
      <c r="A262" s="1">
        <v>41.616999999999997</v>
      </c>
      <c r="B262" s="1">
        <v>3.4609999999999999</v>
      </c>
      <c r="C262" s="1">
        <f>Tabela1[[#This Row],[Alongamento (mm/mm)]]/$I$2</f>
        <v>6.9220000000000004E-2</v>
      </c>
      <c r="D262" s="1">
        <v>156.66</v>
      </c>
      <c r="E262" s="1">
        <f>Tabela1[[#This Row],[Força (N)]]/$I$5</f>
        <v>3244714.3425238598</v>
      </c>
      <c r="F262" s="1">
        <f>Tabela1[[#This Row],[Tensão (Pa)]]/1000000</f>
        <v>3.2447143425238596</v>
      </c>
    </row>
    <row r="263" spans="1:6" x14ac:dyDescent="0.3">
      <c r="A263" s="1">
        <v>41.683</v>
      </c>
      <c r="B263" s="1">
        <v>3.4666000000000001</v>
      </c>
      <c r="C263" s="1">
        <f>Tabela1[[#This Row],[Alongamento (mm/mm)]]/$I$2</f>
        <v>6.9332000000000005E-2</v>
      </c>
      <c r="D263" s="1">
        <v>157.68</v>
      </c>
      <c r="E263" s="1">
        <f>Tabela1[[#This Row],[Força (N)]]/$I$5</f>
        <v>3265840.4029692472</v>
      </c>
      <c r="F263" s="1">
        <f>Tabela1[[#This Row],[Tensão (Pa)]]/1000000</f>
        <v>3.2658404029692472</v>
      </c>
    </row>
    <row r="264" spans="1:6" x14ac:dyDescent="0.3">
      <c r="A264" s="1">
        <v>41.732999999999997</v>
      </c>
      <c r="B264" s="1">
        <v>3.4706999999999999</v>
      </c>
      <c r="C264" s="1">
        <f>Tabela1[[#This Row],[Alongamento (mm/mm)]]/$I$2</f>
        <v>6.9414000000000003E-2</v>
      </c>
      <c r="D264" s="1">
        <v>158.69999999999999</v>
      </c>
      <c r="E264" s="1">
        <f>Tabela1[[#This Row],[Força (N)]]/$I$5</f>
        <v>3286966.4634146336</v>
      </c>
      <c r="F264" s="1">
        <f>Tabela1[[#This Row],[Tensão (Pa)]]/1000000</f>
        <v>3.2869664634146338</v>
      </c>
    </row>
    <row r="265" spans="1:6" x14ac:dyDescent="0.3">
      <c r="A265" s="1">
        <v>41.8</v>
      </c>
      <c r="B265" s="1">
        <v>3.4763000000000002</v>
      </c>
      <c r="C265" s="1">
        <f>Tabela1[[#This Row],[Alongamento (mm/mm)]]/$I$2</f>
        <v>6.9526000000000004E-2</v>
      </c>
      <c r="D265" s="1">
        <v>159.88999999999999</v>
      </c>
      <c r="E265" s="1">
        <f>Tabela1[[#This Row],[Força (N)]]/$I$5</f>
        <v>3311613.5339342519</v>
      </c>
      <c r="F265" s="1">
        <f>Tabela1[[#This Row],[Tensão (Pa)]]/1000000</f>
        <v>3.3116135339342518</v>
      </c>
    </row>
    <row r="266" spans="1:6" x14ac:dyDescent="0.3">
      <c r="A266" s="1">
        <v>41.866999999999997</v>
      </c>
      <c r="B266" s="1">
        <v>3.4819</v>
      </c>
      <c r="C266" s="1">
        <f>Tabela1[[#This Row],[Alongamento (mm/mm)]]/$I$2</f>
        <v>6.9638000000000005E-2</v>
      </c>
      <c r="D266" s="1">
        <v>161.08000000000001</v>
      </c>
      <c r="E266" s="1">
        <f>Tabela1[[#This Row],[Força (N)]]/$I$5</f>
        <v>3336260.6044538706</v>
      </c>
      <c r="F266" s="1">
        <f>Tabela1[[#This Row],[Tensão (Pa)]]/1000000</f>
        <v>3.3362606044538707</v>
      </c>
    </row>
    <row r="267" spans="1:6" x14ac:dyDescent="0.3">
      <c r="A267" s="1">
        <v>41.933</v>
      </c>
      <c r="B267" s="1">
        <v>3.4874000000000001</v>
      </c>
      <c r="C267" s="1">
        <f>Tabela1[[#This Row],[Alongamento (mm/mm)]]/$I$2</f>
        <v>6.9748000000000004E-2</v>
      </c>
      <c r="D267" s="1">
        <v>162.27000000000001</v>
      </c>
      <c r="E267" s="1">
        <f>Tabela1[[#This Row],[Força (N)]]/$I$5</f>
        <v>3360907.6749734888</v>
      </c>
      <c r="F267" s="1">
        <f>Tabela1[[#This Row],[Tensão (Pa)]]/1000000</f>
        <v>3.3609076749734887</v>
      </c>
    </row>
    <row r="268" spans="1:6" x14ac:dyDescent="0.3">
      <c r="A268" s="1">
        <v>42</v>
      </c>
      <c r="B268" s="1">
        <v>3.4929999999999999</v>
      </c>
      <c r="C268" s="1">
        <f>Tabela1[[#This Row],[Alongamento (mm/mm)]]/$I$2</f>
        <v>6.9859999999999992E-2</v>
      </c>
      <c r="D268" s="1">
        <v>163.46</v>
      </c>
      <c r="E268" s="1">
        <f>Tabela1[[#This Row],[Força (N)]]/$I$5</f>
        <v>3385554.745493107</v>
      </c>
      <c r="F268" s="1">
        <f>Tabela1[[#This Row],[Tensão (Pa)]]/1000000</f>
        <v>3.3855547454931072</v>
      </c>
    </row>
    <row r="269" spans="1:6" x14ac:dyDescent="0.3">
      <c r="A269" s="1">
        <v>42.067</v>
      </c>
      <c r="B269" s="1">
        <v>3.4984999999999999</v>
      </c>
      <c r="C269" s="1">
        <f>Tabela1[[#This Row],[Alongamento (mm/mm)]]/$I$2</f>
        <v>6.9970000000000004E-2</v>
      </c>
      <c r="D269" s="1">
        <v>164.66</v>
      </c>
      <c r="E269" s="1">
        <f>Tabela1[[#This Row],[Força (N)]]/$I$5</f>
        <v>3410408.934252386</v>
      </c>
      <c r="F269" s="1">
        <f>Tabela1[[#This Row],[Tensão (Pa)]]/1000000</f>
        <v>3.410408934252386</v>
      </c>
    </row>
    <row r="270" spans="1:6" x14ac:dyDescent="0.3">
      <c r="A270" s="1">
        <v>42.133000000000003</v>
      </c>
      <c r="B270" s="1">
        <v>3.5041000000000002</v>
      </c>
      <c r="C270" s="1">
        <f>Tabela1[[#This Row],[Alongamento (mm/mm)]]/$I$2</f>
        <v>7.0082000000000005E-2</v>
      </c>
      <c r="D270" s="1">
        <v>165.68</v>
      </c>
      <c r="E270" s="1">
        <f>Tabela1[[#This Row],[Força (N)]]/$I$5</f>
        <v>3431534.9946977729</v>
      </c>
      <c r="F270" s="1">
        <f>Tabela1[[#This Row],[Tensão (Pa)]]/1000000</f>
        <v>3.4315349946977727</v>
      </c>
    </row>
    <row r="271" spans="1:6" x14ac:dyDescent="0.3">
      <c r="A271" s="1">
        <v>42.183</v>
      </c>
      <c r="B271" s="1">
        <v>3.5082</v>
      </c>
      <c r="C271" s="1">
        <f>Tabela1[[#This Row],[Alongamento (mm/mm)]]/$I$2</f>
        <v>7.0164000000000004E-2</v>
      </c>
      <c r="D271" s="1">
        <v>166.7</v>
      </c>
      <c r="E271" s="1">
        <f>Tabela1[[#This Row],[Força (N)]]/$I$5</f>
        <v>3452661.0551431598</v>
      </c>
      <c r="F271" s="1">
        <f>Tabela1[[#This Row],[Tensão (Pa)]]/1000000</f>
        <v>3.4526610551431598</v>
      </c>
    </row>
    <row r="272" spans="1:6" x14ac:dyDescent="0.3">
      <c r="A272" s="1">
        <v>42.25</v>
      </c>
      <c r="B272" s="1">
        <v>3.5137999999999998</v>
      </c>
      <c r="C272" s="1">
        <f>Tabela1[[#This Row],[Alongamento (mm/mm)]]/$I$2</f>
        <v>7.0275999999999991E-2</v>
      </c>
      <c r="D272" s="1">
        <v>167.89</v>
      </c>
      <c r="E272" s="1">
        <f>Tabela1[[#This Row],[Força (N)]]/$I$5</f>
        <v>3477308.125662778</v>
      </c>
      <c r="F272" s="1">
        <f>Tabela1[[#This Row],[Tensão (Pa)]]/1000000</f>
        <v>3.4773081256627782</v>
      </c>
    </row>
    <row r="273" spans="1:6" x14ac:dyDescent="0.3">
      <c r="A273" s="1">
        <v>42.317</v>
      </c>
      <c r="B273" s="1">
        <v>3.5194000000000001</v>
      </c>
      <c r="C273" s="1">
        <f>Tabela1[[#This Row],[Alongamento (mm/mm)]]/$I$2</f>
        <v>7.0388000000000006E-2</v>
      </c>
      <c r="D273" s="1">
        <v>168.91</v>
      </c>
      <c r="E273" s="1">
        <f>Tabela1[[#This Row],[Força (N)]]/$I$5</f>
        <v>3498434.1861081654</v>
      </c>
      <c r="F273" s="1">
        <f>Tabela1[[#This Row],[Tensão (Pa)]]/1000000</f>
        <v>3.4984341861081654</v>
      </c>
    </row>
    <row r="274" spans="1:6" x14ac:dyDescent="0.3">
      <c r="A274" s="1">
        <v>42.366999999999997</v>
      </c>
      <c r="B274" s="1">
        <v>3.5234999999999999</v>
      </c>
      <c r="C274" s="1">
        <f>Tabela1[[#This Row],[Alongamento (mm/mm)]]/$I$2</f>
        <v>7.0469999999999991E-2</v>
      </c>
      <c r="D274" s="1">
        <v>169.93</v>
      </c>
      <c r="E274" s="1">
        <f>Tabela1[[#This Row],[Força (N)]]/$I$5</f>
        <v>3519560.2465535523</v>
      </c>
      <c r="F274" s="1">
        <f>Tabela1[[#This Row],[Tensão (Pa)]]/1000000</f>
        <v>3.5195602465535525</v>
      </c>
    </row>
    <row r="275" spans="1:6" x14ac:dyDescent="0.3">
      <c r="A275" s="1">
        <v>42.433</v>
      </c>
      <c r="B275" s="1">
        <v>3.5289999999999999</v>
      </c>
      <c r="C275" s="1">
        <f>Tabela1[[#This Row],[Alongamento (mm/mm)]]/$I$2</f>
        <v>7.0580000000000004E-2</v>
      </c>
      <c r="D275" s="1">
        <v>171.12</v>
      </c>
      <c r="E275" s="1">
        <f>Tabela1[[#This Row],[Força (N)]]/$I$5</f>
        <v>3544207.3170731706</v>
      </c>
      <c r="F275" s="1">
        <f>Tabela1[[#This Row],[Tensão (Pa)]]/1000000</f>
        <v>3.5442073170731705</v>
      </c>
    </row>
    <row r="276" spans="1:6" x14ac:dyDescent="0.3">
      <c r="A276" s="1">
        <v>42.5</v>
      </c>
      <c r="B276" s="1">
        <v>3.5346000000000002</v>
      </c>
      <c r="C276" s="1">
        <f>Tabela1[[#This Row],[Alongamento (mm/mm)]]/$I$2</f>
        <v>7.0692000000000005E-2</v>
      </c>
      <c r="D276" s="1">
        <v>172.31</v>
      </c>
      <c r="E276" s="1">
        <f>Tabela1[[#This Row],[Força (N)]]/$I$5</f>
        <v>3568854.3875927888</v>
      </c>
      <c r="F276" s="1">
        <f>Tabela1[[#This Row],[Tensão (Pa)]]/1000000</f>
        <v>3.5688543875927889</v>
      </c>
    </row>
    <row r="277" spans="1:6" x14ac:dyDescent="0.3">
      <c r="A277" s="1">
        <v>42.567</v>
      </c>
      <c r="B277" s="1">
        <v>3.5402</v>
      </c>
      <c r="C277" s="1">
        <f>Tabela1[[#This Row],[Alongamento (mm/mm)]]/$I$2</f>
        <v>7.0804000000000006E-2</v>
      </c>
      <c r="D277" s="1">
        <v>173.5</v>
      </c>
      <c r="E277" s="1">
        <f>Tabela1[[#This Row],[Força (N)]]/$I$5</f>
        <v>3593501.458112407</v>
      </c>
      <c r="F277" s="1">
        <f>Tabela1[[#This Row],[Tensão (Pa)]]/1000000</f>
        <v>3.593501458112407</v>
      </c>
    </row>
    <row r="278" spans="1:6" x14ac:dyDescent="0.3">
      <c r="A278" s="1">
        <v>42.633000000000003</v>
      </c>
      <c r="B278" s="1">
        <v>3.5457999999999998</v>
      </c>
      <c r="C278" s="1">
        <f>Tabela1[[#This Row],[Alongamento (mm/mm)]]/$I$2</f>
        <v>7.0915999999999993E-2</v>
      </c>
      <c r="D278" s="1">
        <v>174.69</v>
      </c>
      <c r="E278" s="1">
        <f>Tabela1[[#This Row],[Força (N)]]/$I$5</f>
        <v>3618148.5286320252</v>
      </c>
      <c r="F278" s="1">
        <f>Tabela1[[#This Row],[Tensão (Pa)]]/1000000</f>
        <v>3.6181485286320254</v>
      </c>
    </row>
    <row r="279" spans="1:6" x14ac:dyDescent="0.3">
      <c r="A279" s="1">
        <v>42.716999999999999</v>
      </c>
      <c r="B279" s="1">
        <v>3.5526</v>
      </c>
      <c r="C279" s="1">
        <f>Tabela1[[#This Row],[Alongamento (mm/mm)]]/$I$2</f>
        <v>7.1052000000000004E-2</v>
      </c>
      <c r="D279" s="1">
        <v>176.22</v>
      </c>
      <c r="E279" s="1">
        <f>Tabela1[[#This Row],[Força (N)]]/$I$5</f>
        <v>3649837.6193001061</v>
      </c>
      <c r="F279" s="1">
        <f>Tabela1[[#This Row],[Tensão (Pa)]]/1000000</f>
        <v>3.6498376193001061</v>
      </c>
    </row>
    <row r="280" spans="1:6" x14ac:dyDescent="0.3">
      <c r="A280" s="1">
        <v>42.8</v>
      </c>
      <c r="B280" s="1">
        <v>3.5596999999999999</v>
      </c>
      <c r="C280" s="1">
        <f>Tabela1[[#This Row],[Alongamento (mm/mm)]]/$I$2</f>
        <v>7.1193999999999993E-2</v>
      </c>
      <c r="D280" s="1">
        <v>177.75</v>
      </c>
      <c r="E280" s="1">
        <f>Tabela1[[#This Row],[Força (N)]]/$I$5</f>
        <v>3681526.7099681864</v>
      </c>
      <c r="F280" s="1">
        <f>Tabela1[[#This Row],[Tensão (Pa)]]/1000000</f>
        <v>3.6815267099681863</v>
      </c>
    </row>
    <row r="281" spans="1:6" x14ac:dyDescent="0.3">
      <c r="A281" s="1">
        <v>42.883000000000003</v>
      </c>
      <c r="B281" s="1">
        <v>3.5666000000000002</v>
      </c>
      <c r="C281" s="1">
        <f>Tabela1[[#This Row],[Alongamento (mm/mm)]]/$I$2</f>
        <v>7.1332000000000007E-2</v>
      </c>
      <c r="D281" s="1">
        <v>179.11</v>
      </c>
      <c r="E281" s="1">
        <f>Tabela1[[#This Row],[Força (N)]]/$I$5</f>
        <v>3709694.790562036</v>
      </c>
      <c r="F281" s="1">
        <f>Tabela1[[#This Row],[Tensão (Pa)]]/1000000</f>
        <v>3.7096947905620361</v>
      </c>
    </row>
    <row r="282" spans="1:6" x14ac:dyDescent="0.3">
      <c r="A282" s="1">
        <v>42.95</v>
      </c>
      <c r="B282" s="1">
        <v>3.5720999999999998</v>
      </c>
      <c r="C282" s="1">
        <f>Tabela1[[#This Row],[Alongamento (mm/mm)]]/$I$2</f>
        <v>7.1441999999999992E-2</v>
      </c>
      <c r="D282" s="1">
        <v>180.47</v>
      </c>
      <c r="E282" s="1">
        <f>Tabela1[[#This Row],[Força (N)]]/$I$5</f>
        <v>3737862.8711558855</v>
      </c>
      <c r="F282" s="1">
        <f>Tabela1[[#This Row],[Tensão (Pa)]]/1000000</f>
        <v>3.7378628711558854</v>
      </c>
    </row>
    <row r="283" spans="1:6" x14ac:dyDescent="0.3">
      <c r="A283" s="1">
        <v>43.033000000000001</v>
      </c>
      <c r="B283" s="1">
        <v>3.5790000000000002</v>
      </c>
      <c r="C283" s="1">
        <f>Tabela1[[#This Row],[Alongamento (mm/mm)]]/$I$2</f>
        <v>7.1580000000000005E-2</v>
      </c>
      <c r="D283" s="1">
        <v>181.84</v>
      </c>
      <c r="E283" s="1">
        <f>Tabela1[[#This Row],[Força (N)]]/$I$5</f>
        <v>3766238.0699893953</v>
      </c>
      <c r="F283" s="1">
        <f>Tabela1[[#This Row],[Tensão (Pa)]]/1000000</f>
        <v>3.7662380699893951</v>
      </c>
    </row>
    <row r="284" spans="1:6" x14ac:dyDescent="0.3">
      <c r="A284" s="1">
        <v>43.1</v>
      </c>
      <c r="B284" s="1">
        <v>3.5846</v>
      </c>
      <c r="C284" s="1">
        <f>Tabela1[[#This Row],[Alongamento (mm/mm)]]/$I$2</f>
        <v>7.1692000000000006E-2</v>
      </c>
      <c r="D284" s="1">
        <v>183.2</v>
      </c>
      <c r="E284" s="1">
        <f>Tabela1[[#This Row],[Força (N)]]/$I$5</f>
        <v>3794406.1505832444</v>
      </c>
      <c r="F284" s="1">
        <f>Tabela1[[#This Row],[Tensão (Pa)]]/1000000</f>
        <v>3.7944061505832445</v>
      </c>
    </row>
    <row r="285" spans="1:6" x14ac:dyDescent="0.3">
      <c r="A285" s="1">
        <v>43.183</v>
      </c>
      <c r="B285" s="1">
        <v>3.5916000000000001</v>
      </c>
      <c r="C285" s="1">
        <f>Tabela1[[#This Row],[Alongamento (mm/mm)]]/$I$2</f>
        <v>7.1832000000000007E-2</v>
      </c>
      <c r="D285" s="1">
        <v>184.73</v>
      </c>
      <c r="E285" s="1">
        <f>Tabela1[[#This Row],[Força (N)]]/$I$5</f>
        <v>3826095.2412513252</v>
      </c>
      <c r="F285" s="1">
        <f>Tabela1[[#This Row],[Tensão (Pa)]]/1000000</f>
        <v>3.8260952412513252</v>
      </c>
    </row>
    <row r="286" spans="1:6" x14ac:dyDescent="0.3">
      <c r="A286" s="1">
        <v>43.267000000000003</v>
      </c>
      <c r="B286" s="1">
        <v>3.5985999999999998</v>
      </c>
      <c r="C286" s="1">
        <f>Tabela1[[#This Row],[Alongamento (mm/mm)]]/$I$2</f>
        <v>7.1971999999999994E-2</v>
      </c>
      <c r="D286" s="1">
        <v>186.26</v>
      </c>
      <c r="E286" s="1">
        <f>Tabela1[[#This Row],[Força (N)]]/$I$5</f>
        <v>3857784.3319194056</v>
      </c>
      <c r="F286" s="1">
        <f>Tabela1[[#This Row],[Tensão (Pa)]]/1000000</f>
        <v>3.8577843319194054</v>
      </c>
    </row>
    <row r="287" spans="1:6" x14ac:dyDescent="0.3">
      <c r="A287" s="1">
        <v>43.35</v>
      </c>
      <c r="B287" s="1">
        <v>3.6053999999999999</v>
      </c>
      <c r="C287" s="1">
        <f>Tabela1[[#This Row],[Alongamento (mm/mm)]]/$I$2</f>
        <v>7.2108000000000005E-2</v>
      </c>
      <c r="D287" s="1">
        <v>187.79</v>
      </c>
      <c r="E287" s="1">
        <f>Tabela1[[#This Row],[Força (N)]]/$I$5</f>
        <v>3889473.4225874864</v>
      </c>
      <c r="F287" s="1">
        <f>Tabela1[[#This Row],[Tensão (Pa)]]/1000000</f>
        <v>3.8894734225874865</v>
      </c>
    </row>
    <row r="288" spans="1:6" x14ac:dyDescent="0.3">
      <c r="A288" s="1">
        <v>43.433</v>
      </c>
      <c r="B288" s="1">
        <v>3.6124000000000001</v>
      </c>
      <c r="C288" s="1">
        <f>Tabela1[[#This Row],[Alongamento (mm/mm)]]/$I$2</f>
        <v>7.2248000000000007E-2</v>
      </c>
      <c r="D288" s="1">
        <v>189.32</v>
      </c>
      <c r="E288" s="1">
        <f>Tabela1[[#This Row],[Força (N)]]/$I$5</f>
        <v>3921162.5132555668</v>
      </c>
      <c r="F288" s="1">
        <f>Tabela1[[#This Row],[Tensão (Pa)]]/1000000</f>
        <v>3.9211625132555668</v>
      </c>
    </row>
    <row r="289" spans="1:6" x14ac:dyDescent="0.3">
      <c r="A289" s="1">
        <v>43.5</v>
      </c>
      <c r="B289" s="1">
        <v>3.6179999999999999</v>
      </c>
      <c r="C289" s="1">
        <f>Tabela1[[#This Row],[Alongamento (mm/mm)]]/$I$2</f>
        <v>7.2359999999999994E-2</v>
      </c>
      <c r="D289" s="1">
        <v>190.68</v>
      </c>
      <c r="E289" s="1">
        <f>Tabela1[[#This Row],[Força (N)]]/$I$5</f>
        <v>3949330.5938494168</v>
      </c>
      <c r="F289" s="1">
        <f>Tabela1[[#This Row],[Tensão (Pa)]]/1000000</f>
        <v>3.949330593849417</v>
      </c>
    </row>
    <row r="290" spans="1:6" x14ac:dyDescent="0.3">
      <c r="A290" s="1">
        <v>43.582999999999998</v>
      </c>
      <c r="B290" s="1">
        <v>3.6248999999999998</v>
      </c>
      <c r="C290" s="1">
        <f>Tabela1[[#This Row],[Alongamento (mm/mm)]]/$I$2</f>
        <v>7.2497999999999993E-2</v>
      </c>
      <c r="D290" s="1">
        <v>192.21</v>
      </c>
      <c r="E290" s="1">
        <f>Tabela1[[#This Row],[Força (N)]]/$I$5</f>
        <v>3981019.6845174972</v>
      </c>
      <c r="F290" s="1">
        <f>Tabela1[[#This Row],[Tensão (Pa)]]/1000000</f>
        <v>3.9810196845174972</v>
      </c>
    </row>
    <row r="291" spans="1:6" x14ac:dyDescent="0.3">
      <c r="A291" s="1">
        <v>43.667000000000002</v>
      </c>
      <c r="B291" s="1">
        <v>3.6318999999999999</v>
      </c>
      <c r="C291" s="1">
        <f>Tabela1[[#This Row],[Alongamento (mm/mm)]]/$I$2</f>
        <v>7.2637999999999994E-2</v>
      </c>
      <c r="D291" s="1">
        <v>193.74</v>
      </c>
      <c r="E291" s="1">
        <f>Tabela1[[#This Row],[Força (N)]]/$I$5</f>
        <v>4012708.775185578</v>
      </c>
      <c r="F291" s="1">
        <f>Tabela1[[#This Row],[Tensão (Pa)]]/1000000</f>
        <v>4.0127087751855779</v>
      </c>
    </row>
    <row r="292" spans="1:6" x14ac:dyDescent="0.3">
      <c r="A292" s="1">
        <v>43.75</v>
      </c>
      <c r="B292" s="1">
        <v>3.6387999999999998</v>
      </c>
      <c r="C292" s="1">
        <f>Tabela1[[#This Row],[Alongamento (mm/mm)]]/$I$2</f>
        <v>7.2775999999999993E-2</v>
      </c>
      <c r="D292" s="1">
        <v>195.27</v>
      </c>
      <c r="E292" s="1">
        <f>Tabela1[[#This Row],[Força (N)]]/$I$5</f>
        <v>4044397.8658536584</v>
      </c>
      <c r="F292" s="1">
        <f>Tabela1[[#This Row],[Tensão (Pa)]]/1000000</f>
        <v>4.0443978658536581</v>
      </c>
    </row>
    <row r="293" spans="1:6" x14ac:dyDescent="0.3">
      <c r="A293" s="1">
        <v>43.832999999999998</v>
      </c>
      <c r="B293" s="1">
        <v>3.6456</v>
      </c>
      <c r="C293" s="1">
        <f>Tabela1[[#This Row],[Alongamento (mm/mm)]]/$I$2</f>
        <v>7.2912000000000005E-2</v>
      </c>
      <c r="D293" s="1">
        <v>196.8</v>
      </c>
      <c r="E293" s="1">
        <f>Tabela1[[#This Row],[Força (N)]]/$I$5</f>
        <v>4076086.9565217393</v>
      </c>
      <c r="F293" s="1">
        <f>Tabela1[[#This Row],[Tensão (Pa)]]/1000000</f>
        <v>4.0760869565217392</v>
      </c>
    </row>
    <row r="294" spans="1:6" x14ac:dyDescent="0.3">
      <c r="A294" s="1">
        <v>43.9</v>
      </c>
      <c r="B294" s="1">
        <v>3.6511999999999998</v>
      </c>
      <c r="C294" s="1">
        <f>Tabela1[[#This Row],[Alongamento (mm/mm)]]/$I$2</f>
        <v>7.3023999999999992E-2</v>
      </c>
      <c r="D294" s="1">
        <v>198.17</v>
      </c>
      <c r="E294" s="1">
        <f>Tabela1[[#This Row],[Força (N)]]/$I$5</f>
        <v>4104462.1553552486</v>
      </c>
      <c r="F294" s="1">
        <f>Tabela1[[#This Row],[Tensão (Pa)]]/1000000</f>
        <v>4.1044621553552485</v>
      </c>
    </row>
    <row r="295" spans="1:6" x14ac:dyDescent="0.3">
      <c r="A295" s="1">
        <v>43.982999999999997</v>
      </c>
      <c r="B295" s="1">
        <v>3.6581999999999999</v>
      </c>
      <c r="C295" s="1">
        <f>Tabela1[[#This Row],[Alongamento (mm/mm)]]/$I$2</f>
        <v>7.3163999999999993E-2</v>
      </c>
      <c r="D295" s="1">
        <v>199.7</v>
      </c>
      <c r="E295" s="1">
        <f>Tabela1[[#This Row],[Força (N)]]/$I$5</f>
        <v>4136151.2460233294</v>
      </c>
      <c r="F295" s="1">
        <f>Tabela1[[#This Row],[Tensão (Pa)]]/1000000</f>
        <v>4.1361512460233296</v>
      </c>
    </row>
    <row r="296" spans="1:6" x14ac:dyDescent="0.3">
      <c r="A296" s="1">
        <v>44.067</v>
      </c>
      <c r="B296" s="1">
        <v>3.6652</v>
      </c>
      <c r="C296" s="1">
        <f>Tabela1[[#This Row],[Alongamento (mm/mm)]]/$I$2</f>
        <v>7.3303999999999994E-2</v>
      </c>
      <c r="D296" s="1">
        <v>201.23</v>
      </c>
      <c r="E296" s="1">
        <f>Tabela1[[#This Row],[Força (N)]]/$I$5</f>
        <v>4167840.3366914098</v>
      </c>
      <c r="F296" s="1">
        <f>Tabela1[[#This Row],[Tensão (Pa)]]/1000000</f>
        <v>4.1678403366914099</v>
      </c>
    </row>
    <row r="297" spans="1:6" x14ac:dyDescent="0.3">
      <c r="A297" s="1">
        <v>44.15</v>
      </c>
      <c r="B297" s="1">
        <v>3.6720999999999999</v>
      </c>
      <c r="C297" s="1">
        <f>Tabela1[[#This Row],[Alongamento (mm/mm)]]/$I$2</f>
        <v>7.3441999999999993E-2</v>
      </c>
      <c r="D297" s="1">
        <v>202.76</v>
      </c>
      <c r="E297" s="1">
        <f>Tabela1[[#This Row],[Força (N)]]/$I$5</f>
        <v>4199529.4273594907</v>
      </c>
      <c r="F297" s="1">
        <f>Tabela1[[#This Row],[Tensão (Pa)]]/1000000</f>
        <v>4.199529427359491</v>
      </c>
    </row>
    <row r="298" spans="1:6" x14ac:dyDescent="0.3">
      <c r="A298" s="1">
        <v>44.216999999999999</v>
      </c>
      <c r="B298" s="1">
        <v>3.6777000000000002</v>
      </c>
      <c r="C298" s="1">
        <f>Tabela1[[#This Row],[Alongamento (mm/mm)]]/$I$2</f>
        <v>7.3554000000000008E-2</v>
      </c>
      <c r="D298" s="1">
        <v>204.12</v>
      </c>
      <c r="E298" s="1">
        <f>Tabela1[[#This Row],[Força (N)]]/$I$5</f>
        <v>4227697.5079533402</v>
      </c>
      <c r="F298" s="1">
        <f>Tabela1[[#This Row],[Tensão (Pa)]]/1000000</f>
        <v>4.2276975079533399</v>
      </c>
    </row>
    <row r="299" spans="1:6" x14ac:dyDescent="0.3">
      <c r="A299" s="1">
        <v>44.3</v>
      </c>
      <c r="B299" s="1">
        <v>3.6846000000000001</v>
      </c>
      <c r="C299" s="1">
        <f>Tabela1[[#This Row],[Alongamento (mm/mm)]]/$I$2</f>
        <v>7.3692000000000007E-2</v>
      </c>
      <c r="D299" s="1">
        <v>205.65</v>
      </c>
      <c r="E299" s="1">
        <f>Tabela1[[#This Row],[Força (N)]]/$I$5</f>
        <v>4259386.5986214206</v>
      </c>
      <c r="F299" s="1">
        <f>Tabela1[[#This Row],[Tensão (Pa)]]/1000000</f>
        <v>4.259386598621421</v>
      </c>
    </row>
    <row r="300" spans="1:6" x14ac:dyDescent="0.3">
      <c r="A300" s="1">
        <v>44.366999999999997</v>
      </c>
      <c r="B300" s="1">
        <v>3.6901999999999999</v>
      </c>
      <c r="C300" s="1">
        <f>Tabela1[[#This Row],[Alongamento (mm/mm)]]/$I$2</f>
        <v>7.3803999999999995E-2</v>
      </c>
      <c r="D300" s="1">
        <v>207.01</v>
      </c>
      <c r="E300" s="1">
        <f>Tabela1[[#This Row],[Força (N)]]/$I$5</f>
        <v>4287554.6792152701</v>
      </c>
      <c r="F300" s="1">
        <f>Tabela1[[#This Row],[Tensão (Pa)]]/1000000</f>
        <v>4.2875546792152699</v>
      </c>
    </row>
    <row r="301" spans="1:6" x14ac:dyDescent="0.3">
      <c r="A301" s="1">
        <v>44.433</v>
      </c>
      <c r="B301" s="1">
        <v>3.6958000000000002</v>
      </c>
      <c r="C301" s="1">
        <f>Tabela1[[#This Row],[Alongamento (mm/mm)]]/$I$2</f>
        <v>7.3916000000000009E-2</v>
      </c>
      <c r="D301" s="1">
        <v>208.37</v>
      </c>
      <c r="E301" s="1">
        <f>Tabela1[[#This Row],[Força (N)]]/$I$5</f>
        <v>4315722.7598091196</v>
      </c>
      <c r="F301" s="1">
        <f>Tabela1[[#This Row],[Tensão (Pa)]]/1000000</f>
        <v>4.3157227598091197</v>
      </c>
    </row>
    <row r="302" spans="1:6" x14ac:dyDescent="0.3">
      <c r="A302" s="1">
        <v>44.517000000000003</v>
      </c>
      <c r="B302" s="1">
        <v>3.7027000000000001</v>
      </c>
      <c r="C302" s="1">
        <f>Tabela1[[#This Row],[Alongamento (mm/mm)]]/$I$2</f>
        <v>7.4054000000000009E-2</v>
      </c>
      <c r="D302" s="1">
        <v>209.9</v>
      </c>
      <c r="E302" s="1">
        <f>Tabela1[[#This Row],[Força (N)]]/$I$5</f>
        <v>4347411.8504772</v>
      </c>
      <c r="F302" s="1">
        <f>Tabela1[[#This Row],[Tensão (Pa)]]/1000000</f>
        <v>4.3474118504771999</v>
      </c>
    </row>
    <row r="303" spans="1:6" x14ac:dyDescent="0.3">
      <c r="A303" s="1">
        <v>44.582999999999998</v>
      </c>
      <c r="B303" s="1">
        <v>3.7082000000000002</v>
      </c>
      <c r="C303" s="1">
        <f>Tabela1[[#This Row],[Alongamento (mm/mm)]]/$I$2</f>
        <v>7.4164000000000008E-2</v>
      </c>
      <c r="D303" s="1">
        <v>211.26</v>
      </c>
      <c r="E303" s="1">
        <f>Tabela1[[#This Row],[Força (N)]]/$I$5</f>
        <v>4375579.9310710495</v>
      </c>
      <c r="F303" s="1">
        <f>Tabela1[[#This Row],[Tensão (Pa)]]/1000000</f>
        <v>4.3755799310710497</v>
      </c>
    </row>
    <row r="304" spans="1:6" x14ac:dyDescent="0.3">
      <c r="A304" s="1">
        <v>44.65</v>
      </c>
      <c r="B304" s="1">
        <v>3.7138</v>
      </c>
      <c r="C304" s="1">
        <f>Tabela1[[#This Row],[Alongamento (mm/mm)]]/$I$2</f>
        <v>7.4275999999999995E-2</v>
      </c>
      <c r="D304" s="1">
        <v>212.62</v>
      </c>
      <c r="E304" s="1">
        <f>Tabela1[[#This Row],[Força (N)]]/$I$5</f>
        <v>4403748.0116648991</v>
      </c>
      <c r="F304" s="1">
        <f>Tabela1[[#This Row],[Tensão (Pa)]]/1000000</f>
        <v>4.4037480116648995</v>
      </c>
    </row>
    <row r="305" spans="1:6" x14ac:dyDescent="0.3">
      <c r="A305" s="1">
        <v>44.716999999999999</v>
      </c>
      <c r="B305" s="1">
        <v>3.7193000000000001</v>
      </c>
      <c r="C305" s="1">
        <f>Tabela1[[#This Row],[Alongamento (mm/mm)]]/$I$2</f>
        <v>7.4386000000000008E-2</v>
      </c>
      <c r="D305" s="1">
        <v>214.15</v>
      </c>
      <c r="E305" s="1">
        <f>Tabela1[[#This Row],[Força (N)]]/$I$5</f>
        <v>4435437.1023329794</v>
      </c>
      <c r="F305" s="1">
        <f>Tabela1[[#This Row],[Tensão (Pa)]]/1000000</f>
        <v>4.4354371023329797</v>
      </c>
    </row>
    <row r="306" spans="1:6" x14ac:dyDescent="0.3">
      <c r="A306" s="1">
        <v>44.783000000000001</v>
      </c>
      <c r="B306" s="1">
        <v>3.7248999999999999</v>
      </c>
      <c r="C306" s="1">
        <f>Tabela1[[#This Row],[Alongamento (mm/mm)]]/$I$2</f>
        <v>7.4497999999999995E-2</v>
      </c>
      <c r="D306" s="1">
        <v>215.52</v>
      </c>
      <c r="E306" s="1">
        <f>Tabela1[[#This Row],[Força (N)]]/$I$5</f>
        <v>4463812.3011664897</v>
      </c>
      <c r="F306" s="1">
        <f>Tabela1[[#This Row],[Tensão (Pa)]]/1000000</f>
        <v>4.4638123011664899</v>
      </c>
    </row>
    <row r="307" spans="1:6" x14ac:dyDescent="0.3">
      <c r="A307" s="1">
        <v>44.85</v>
      </c>
      <c r="B307" s="1">
        <v>3.7305000000000001</v>
      </c>
      <c r="C307" s="1">
        <f>Tabela1[[#This Row],[Alongamento (mm/mm)]]/$I$2</f>
        <v>7.461000000000001E-2</v>
      </c>
      <c r="D307" s="1">
        <v>217.05</v>
      </c>
      <c r="E307" s="1">
        <f>Tabela1[[#This Row],[Força (N)]]/$I$5</f>
        <v>4495501.391834571</v>
      </c>
      <c r="F307" s="1">
        <f>Tabela1[[#This Row],[Tensão (Pa)]]/1000000</f>
        <v>4.495501391834571</v>
      </c>
    </row>
    <row r="308" spans="1:6" x14ac:dyDescent="0.3">
      <c r="A308" s="1">
        <v>44.917000000000002</v>
      </c>
      <c r="B308" s="1">
        <v>3.7361</v>
      </c>
      <c r="C308" s="1">
        <f>Tabela1[[#This Row],[Alongamento (mm/mm)]]/$I$2</f>
        <v>7.4721999999999997E-2</v>
      </c>
      <c r="D308" s="1">
        <v>218.41</v>
      </c>
      <c r="E308" s="1">
        <f>Tabela1[[#This Row],[Força (N)]]/$I$5</f>
        <v>4523669.4724284196</v>
      </c>
      <c r="F308" s="1">
        <f>Tabela1[[#This Row],[Tensão (Pa)]]/1000000</f>
        <v>4.5236694724284199</v>
      </c>
    </row>
    <row r="309" spans="1:6" x14ac:dyDescent="0.3">
      <c r="A309" s="1">
        <v>45</v>
      </c>
      <c r="B309" s="1">
        <v>3.7429999999999999</v>
      </c>
      <c r="C309" s="1">
        <f>Tabela1[[#This Row],[Alongamento (mm/mm)]]/$I$2</f>
        <v>7.4859999999999996E-2</v>
      </c>
      <c r="D309" s="1">
        <v>220.28</v>
      </c>
      <c r="E309" s="1">
        <f>Tabela1[[#This Row],[Força (N)]]/$I$5</f>
        <v>4562400.5832449626</v>
      </c>
      <c r="F309" s="1">
        <f>Tabela1[[#This Row],[Tensão (Pa)]]/1000000</f>
        <v>4.5624005832449628</v>
      </c>
    </row>
    <row r="310" spans="1:6" x14ac:dyDescent="0.3">
      <c r="A310" s="1">
        <v>45.082999999999998</v>
      </c>
      <c r="B310" s="1">
        <v>3.7498999999999998</v>
      </c>
      <c r="C310" s="1">
        <f>Tabela1[[#This Row],[Alongamento (mm/mm)]]/$I$2</f>
        <v>7.4997999999999995E-2</v>
      </c>
      <c r="D310" s="1">
        <v>221.98</v>
      </c>
      <c r="E310" s="1">
        <f>Tabela1[[#This Row],[Força (N)]]/$I$5</f>
        <v>4597610.6839872738</v>
      </c>
      <c r="F310" s="1">
        <f>Tabela1[[#This Row],[Tensão (Pa)]]/1000000</f>
        <v>4.5976106839872735</v>
      </c>
    </row>
    <row r="311" spans="1:6" x14ac:dyDescent="0.3">
      <c r="A311" s="1">
        <v>45.167000000000002</v>
      </c>
      <c r="B311" s="1">
        <v>3.7568000000000001</v>
      </c>
      <c r="C311" s="1">
        <f>Tabela1[[#This Row],[Alongamento (mm/mm)]]/$I$2</f>
        <v>7.5136000000000008E-2</v>
      </c>
      <c r="D311" s="1">
        <v>223.85</v>
      </c>
      <c r="E311" s="1">
        <f>Tabela1[[#This Row],[Força (N)]]/$I$5</f>
        <v>4636341.7948038168</v>
      </c>
      <c r="F311" s="1">
        <f>Tabela1[[#This Row],[Tensão (Pa)]]/1000000</f>
        <v>4.6363417948038173</v>
      </c>
    </row>
    <row r="312" spans="1:6" x14ac:dyDescent="0.3">
      <c r="A312" s="1">
        <v>45.25</v>
      </c>
      <c r="B312" s="1">
        <v>3.7637999999999998</v>
      </c>
      <c r="C312" s="1">
        <f>Tabela1[[#This Row],[Alongamento (mm/mm)]]/$I$2</f>
        <v>7.5275999999999996E-2</v>
      </c>
      <c r="D312" s="1">
        <v>225.72</v>
      </c>
      <c r="E312" s="1">
        <f>Tabela1[[#This Row],[Força (N)]]/$I$5</f>
        <v>4675072.9056203607</v>
      </c>
      <c r="F312" s="1">
        <f>Tabela1[[#This Row],[Tensão (Pa)]]/1000000</f>
        <v>4.675072905620361</v>
      </c>
    </row>
    <row r="313" spans="1:6" x14ac:dyDescent="0.3">
      <c r="A313" s="1">
        <v>45.332999999999998</v>
      </c>
      <c r="B313" s="1">
        <v>3.7707000000000002</v>
      </c>
      <c r="C313" s="1">
        <f>Tabela1[[#This Row],[Alongamento (mm/mm)]]/$I$2</f>
        <v>7.5414000000000009E-2</v>
      </c>
      <c r="D313" s="1">
        <v>227.42</v>
      </c>
      <c r="E313" s="1">
        <f>Tabela1[[#This Row],[Força (N)]]/$I$5</f>
        <v>4710283.006362672</v>
      </c>
      <c r="F313" s="1">
        <f>Tabela1[[#This Row],[Tensão (Pa)]]/1000000</f>
        <v>4.7102830063626717</v>
      </c>
    </row>
    <row r="314" spans="1:6" x14ac:dyDescent="0.3">
      <c r="A314" s="1">
        <v>45.417000000000002</v>
      </c>
      <c r="B314" s="1">
        <v>3.7776999999999998</v>
      </c>
      <c r="C314" s="1">
        <f>Tabela1[[#This Row],[Alongamento (mm/mm)]]/$I$2</f>
        <v>7.5553999999999996E-2</v>
      </c>
      <c r="D314" s="1">
        <v>229.46</v>
      </c>
      <c r="E314" s="1">
        <f>Tabela1[[#This Row],[Força (N)]]/$I$5</f>
        <v>4752535.1272534467</v>
      </c>
      <c r="F314" s="1">
        <f>Tabela1[[#This Row],[Tensão (Pa)]]/1000000</f>
        <v>4.7525351272534468</v>
      </c>
    </row>
    <row r="315" spans="1:6" x14ac:dyDescent="0.3">
      <c r="A315" s="1">
        <v>45.5</v>
      </c>
      <c r="B315" s="1">
        <v>3.7847</v>
      </c>
      <c r="C315" s="1">
        <f>Tabela1[[#This Row],[Alongamento (mm/mm)]]/$I$2</f>
        <v>7.5693999999999997E-2</v>
      </c>
      <c r="D315" s="1">
        <v>231.33</v>
      </c>
      <c r="E315" s="1">
        <f>Tabela1[[#This Row],[Força (N)]]/$I$5</f>
        <v>4791266.2380699897</v>
      </c>
      <c r="F315" s="1">
        <f>Tabela1[[#This Row],[Tensão (Pa)]]/1000000</f>
        <v>4.7912662380699897</v>
      </c>
    </row>
    <row r="316" spans="1:6" x14ac:dyDescent="0.3">
      <c r="A316" s="1">
        <v>45.582999999999998</v>
      </c>
      <c r="B316" s="1">
        <v>3.7915999999999999</v>
      </c>
      <c r="C316" s="1">
        <f>Tabela1[[#This Row],[Alongamento (mm/mm)]]/$I$2</f>
        <v>7.5831999999999997E-2</v>
      </c>
      <c r="D316" s="1">
        <v>233.21</v>
      </c>
      <c r="E316" s="1">
        <f>Tabela1[[#This Row],[Força (N)]]/$I$5</f>
        <v>4830204.4671261925</v>
      </c>
      <c r="F316" s="1">
        <f>Tabela1[[#This Row],[Tensão (Pa)]]/1000000</f>
        <v>4.8302044671261921</v>
      </c>
    </row>
    <row r="317" spans="1:6" x14ac:dyDescent="0.3">
      <c r="A317" s="1">
        <v>45.667000000000002</v>
      </c>
      <c r="B317" s="1">
        <v>3.7985000000000002</v>
      </c>
      <c r="C317" s="1">
        <f>Tabela1[[#This Row],[Alongamento (mm/mm)]]/$I$2</f>
        <v>7.597000000000001E-2</v>
      </c>
      <c r="D317" s="1">
        <v>235.25</v>
      </c>
      <c r="E317" s="1">
        <f>Tabela1[[#This Row],[Força (N)]]/$I$5</f>
        <v>4872456.5880169673</v>
      </c>
      <c r="F317" s="1">
        <f>Tabela1[[#This Row],[Tensão (Pa)]]/1000000</f>
        <v>4.8724565880169672</v>
      </c>
    </row>
    <row r="318" spans="1:6" x14ac:dyDescent="0.3">
      <c r="A318" s="1">
        <v>45.75</v>
      </c>
      <c r="B318" s="1">
        <v>3.8054000000000001</v>
      </c>
      <c r="C318" s="1">
        <f>Tabela1[[#This Row],[Alongamento (mm/mm)]]/$I$2</f>
        <v>7.6108000000000009E-2</v>
      </c>
      <c r="D318" s="1">
        <v>237.29</v>
      </c>
      <c r="E318" s="1">
        <f>Tabela1[[#This Row],[Força (N)]]/$I$5</f>
        <v>4914708.7089077411</v>
      </c>
      <c r="F318" s="1">
        <f>Tabela1[[#This Row],[Tensão (Pa)]]/1000000</f>
        <v>4.9147087089077415</v>
      </c>
    </row>
    <row r="319" spans="1:6" x14ac:dyDescent="0.3">
      <c r="A319" s="1">
        <v>45.832999999999998</v>
      </c>
      <c r="B319" s="1">
        <v>3.8123999999999998</v>
      </c>
      <c r="C319" s="1">
        <f>Tabela1[[#This Row],[Alongamento (mm/mm)]]/$I$2</f>
        <v>7.6247999999999996E-2</v>
      </c>
      <c r="D319" s="1">
        <v>239.33</v>
      </c>
      <c r="E319" s="1">
        <f>Tabela1[[#This Row],[Força (N)]]/$I$5</f>
        <v>4956960.8297985159</v>
      </c>
      <c r="F319" s="1">
        <f>Tabela1[[#This Row],[Tensão (Pa)]]/1000000</f>
        <v>4.9569608297985157</v>
      </c>
    </row>
    <row r="320" spans="1:6" x14ac:dyDescent="0.3">
      <c r="A320" s="1">
        <v>45.917000000000002</v>
      </c>
      <c r="B320" s="1">
        <v>3.8193999999999999</v>
      </c>
      <c r="C320" s="1">
        <f>Tabela1[[#This Row],[Alongamento (mm/mm)]]/$I$2</f>
        <v>7.6387999999999998E-2</v>
      </c>
      <c r="D320" s="1">
        <v>241.37</v>
      </c>
      <c r="E320" s="1">
        <f>Tabela1[[#This Row],[Força (N)]]/$I$5</f>
        <v>4999212.9506892897</v>
      </c>
      <c r="F320" s="1">
        <f>Tabela1[[#This Row],[Tensão (Pa)]]/1000000</f>
        <v>4.9992129506892899</v>
      </c>
    </row>
    <row r="321" spans="1:6" x14ac:dyDescent="0.3">
      <c r="A321" s="1">
        <v>46</v>
      </c>
      <c r="B321" s="1">
        <v>3.8262999999999998</v>
      </c>
      <c r="C321" s="1">
        <f>Tabela1[[#This Row],[Alongamento (mm/mm)]]/$I$2</f>
        <v>7.6525999999999997E-2</v>
      </c>
      <c r="D321" s="1">
        <v>243.41</v>
      </c>
      <c r="E321" s="1">
        <f>Tabela1[[#This Row],[Força (N)]]/$I$5</f>
        <v>5041465.0715800636</v>
      </c>
      <c r="F321" s="1">
        <f>Tabela1[[#This Row],[Tensão (Pa)]]/1000000</f>
        <v>5.0414650715800633</v>
      </c>
    </row>
    <row r="322" spans="1:6" x14ac:dyDescent="0.3">
      <c r="A322" s="1">
        <v>46.082999999999998</v>
      </c>
      <c r="B322" s="1">
        <v>3.8332000000000002</v>
      </c>
      <c r="C322" s="1">
        <f>Tabela1[[#This Row],[Alongamento (mm/mm)]]/$I$2</f>
        <v>7.666400000000001E-2</v>
      </c>
      <c r="D322" s="1">
        <v>245.45</v>
      </c>
      <c r="E322" s="1">
        <f>Tabela1[[#This Row],[Força (N)]]/$I$5</f>
        <v>5083717.1924708374</v>
      </c>
      <c r="F322" s="1">
        <f>Tabela1[[#This Row],[Tensão (Pa)]]/1000000</f>
        <v>5.0837171924708375</v>
      </c>
    </row>
    <row r="323" spans="1:6" x14ac:dyDescent="0.3">
      <c r="A323" s="1">
        <v>46.167000000000002</v>
      </c>
      <c r="B323" s="1">
        <v>3.8401000000000001</v>
      </c>
      <c r="C323" s="1">
        <f>Tabela1[[#This Row],[Alongamento (mm/mm)]]/$I$2</f>
        <v>7.6801999999999995E-2</v>
      </c>
      <c r="D323" s="1">
        <v>247.49</v>
      </c>
      <c r="E323" s="1">
        <f>Tabela1[[#This Row],[Força (N)]]/$I$5</f>
        <v>5125969.3133616121</v>
      </c>
      <c r="F323" s="1">
        <f>Tabela1[[#This Row],[Tensão (Pa)]]/1000000</f>
        <v>5.1259693133616118</v>
      </c>
    </row>
    <row r="324" spans="1:6" x14ac:dyDescent="0.3">
      <c r="A324" s="1">
        <v>46.232999999999997</v>
      </c>
      <c r="B324" s="1">
        <v>3.8456999999999999</v>
      </c>
      <c r="C324" s="1">
        <f>Tabela1[[#This Row],[Alongamento (mm/mm)]]/$I$2</f>
        <v>7.6913999999999996E-2</v>
      </c>
      <c r="D324" s="1">
        <v>249.19</v>
      </c>
      <c r="E324" s="1">
        <f>Tabela1[[#This Row],[Força (N)]]/$I$5</f>
        <v>5161179.4141039234</v>
      </c>
      <c r="F324" s="1">
        <f>Tabela1[[#This Row],[Tensão (Pa)]]/1000000</f>
        <v>5.1611794141039233</v>
      </c>
    </row>
    <row r="325" spans="1:6" x14ac:dyDescent="0.3">
      <c r="A325" s="1">
        <v>46.3</v>
      </c>
      <c r="B325" s="1">
        <v>3.8513000000000002</v>
      </c>
      <c r="C325" s="1">
        <f>Tabela1[[#This Row],[Alongamento (mm/mm)]]/$I$2</f>
        <v>7.7025999999999997E-2</v>
      </c>
      <c r="D325" s="1">
        <v>250.9</v>
      </c>
      <c r="E325" s="1">
        <f>Tabela1[[#This Row],[Força (N)]]/$I$5</f>
        <v>5196596.6330858963</v>
      </c>
      <c r="F325" s="1">
        <f>Tabela1[[#This Row],[Tensão (Pa)]]/1000000</f>
        <v>5.1965966330858961</v>
      </c>
    </row>
    <row r="326" spans="1:6" x14ac:dyDescent="0.3">
      <c r="A326" s="1">
        <v>46.366999999999997</v>
      </c>
      <c r="B326" s="1">
        <v>3.8569</v>
      </c>
      <c r="C326" s="1">
        <f>Tabela1[[#This Row],[Alongamento (mm/mm)]]/$I$2</f>
        <v>7.7137999999999998E-2</v>
      </c>
      <c r="D326" s="1">
        <v>252.6</v>
      </c>
      <c r="E326" s="1">
        <f>Tabela1[[#This Row],[Força (N)]]/$I$5</f>
        <v>5231806.7338282075</v>
      </c>
      <c r="F326" s="1">
        <f>Tabela1[[#This Row],[Tensão (Pa)]]/1000000</f>
        <v>5.2318067338282077</v>
      </c>
    </row>
    <row r="327" spans="1:6" x14ac:dyDescent="0.3">
      <c r="A327" s="1">
        <v>46.433</v>
      </c>
      <c r="B327" s="1">
        <v>3.8624000000000001</v>
      </c>
      <c r="C327" s="1">
        <f>Tabela1[[#This Row],[Alongamento (mm/mm)]]/$I$2</f>
        <v>7.7247999999999997E-2</v>
      </c>
      <c r="D327" s="1">
        <v>254.3</v>
      </c>
      <c r="E327" s="1">
        <f>Tabela1[[#This Row],[Força (N)]]/$I$5</f>
        <v>5267016.8345705196</v>
      </c>
      <c r="F327" s="1">
        <f>Tabela1[[#This Row],[Tensão (Pa)]]/1000000</f>
        <v>5.2670168345705193</v>
      </c>
    </row>
    <row r="328" spans="1:6" x14ac:dyDescent="0.3">
      <c r="A328" s="1">
        <v>46.5</v>
      </c>
      <c r="B328" s="1">
        <v>3.8679999999999999</v>
      </c>
      <c r="C328" s="1">
        <f>Tabela1[[#This Row],[Alongamento (mm/mm)]]/$I$2</f>
        <v>7.7359999999999998E-2</v>
      </c>
      <c r="D328" s="1">
        <v>256</v>
      </c>
      <c r="E328" s="1">
        <f>Tabela1[[#This Row],[Força (N)]]/$I$5</f>
        <v>5302226.9353128308</v>
      </c>
      <c r="F328" s="1">
        <f>Tabela1[[#This Row],[Tensão (Pa)]]/1000000</f>
        <v>5.3022269353128308</v>
      </c>
    </row>
    <row r="329" spans="1:6" x14ac:dyDescent="0.3">
      <c r="A329" s="1">
        <v>46.567</v>
      </c>
      <c r="B329" s="1">
        <v>3.8734999999999999</v>
      </c>
      <c r="C329" s="1">
        <f>Tabela1[[#This Row],[Alongamento (mm/mm)]]/$I$2</f>
        <v>7.7469999999999997E-2</v>
      </c>
      <c r="D329" s="1">
        <v>257.87</v>
      </c>
      <c r="E329" s="1">
        <f>Tabela1[[#This Row],[Força (N)]]/$I$5</f>
        <v>5340958.0461293738</v>
      </c>
      <c r="F329" s="1">
        <f>Tabela1[[#This Row],[Tensão (Pa)]]/1000000</f>
        <v>5.3409580461293737</v>
      </c>
    </row>
    <row r="330" spans="1:6" x14ac:dyDescent="0.3">
      <c r="A330" s="1">
        <v>46.633000000000003</v>
      </c>
      <c r="B330" s="1">
        <v>3.879</v>
      </c>
      <c r="C330" s="1">
        <f>Tabela1[[#This Row],[Alongamento (mm/mm)]]/$I$2</f>
        <v>7.7579999999999996E-2</v>
      </c>
      <c r="D330" s="1">
        <v>259.57</v>
      </c>
      <c r="E330" s="1">
        <f>Tabela1[[#This Row],[Força (N)]]/$I$5</f>
        <v>5376168.146871686</v>
      </c>
      <c r="F330" s="1">
        <f>Tabela1[[#This Row],[Tensão (Pa)]]/1000000</f>
        <v>5.3761681468716862</v>
      </c>
    </row>
    <row r="331" spans="1:6" x14ac:dyDescent="0.3">
      <c r="A331" s="1">
        <v>46.7</v>
      </c>
      <c r="B331" s="1">
        <v>3.8845999999999998</v>
      </c>
      <c r="C331" s="1">
        <f>Tabela1[[#This Row],[Alongamento (mm/mm)]]/$I$2</f>
        <v>7.7691999999999997E-2</v>
      </c>
      <c r="D331" s="1">
        <v>261.27</v>
      </c>
      <c r="E331" s="1">
        <f>Tabela1[[#This Row],[Força (N)]]/$I$5</f>
        <v>5411378.2476139972</v>
      </c>
      <c r="F331" s="1">
        <f>Tabela1[[#This Row],[Tensão (Pa)]]/1000000</f>
        <v>5.4113782476139969</v>
      </c>
    </row>
    <row r="332" spans="1:6" x14ac:dyDescent="0.3">
      <c r="A332" s="1">
        <v>46.783000000000001</v>
      </c>
      <c r="B332" s="1">
        <v>3.8915999999999999</v>
      </c>
      <c r="C332" s="1">
        <f>Tabela1[[#This Row],[Alongamento (mm/mm)]]/$I$2</f>
        <v>7.7831999999999998E-2</v>
      </c>
      <c r="D332" s="1">
        <v>263.64999999999998</v>
      </c>
      <c r="E332" s="1">
        <f>Tabela1[[#This Row],[Força (N)]]/$I$5</f>
        <v>5460672.3886532336</v>
      </c>
      <c r="F332" s="1">
        <f>Tabela1[[#This Row],[Tensão (Pa)]]/1000000</f>
        <v>5.4606723886532338</v>
      </c>
    </row>
    <row r="333" spans="1:6" x14ac:dyDescent="0.3">
      <c r="A333" s="1">
        <v>46.866999999999997</v>
      </c>
      <c r="B333" s="1">
        <v>3.8984999999999999</v>
      </c>
      <c r="C333" s="1">
        <f>Tabela1[[#This Row],[Alongamento (mm/mm)]]/$I$2</f>
        <v>7.7969999999999998E-2</v>
      </c>
      <c r="D333" s="1">
        <v>265.86</v>
      </c>
      <c r="E333" s="1">
        <f>Tabela1[[#This Row],[Força (N)]]/$I$5</f>
        <v>5506445.5196182393</v>
      </c>
      <c r="F333" s="1">
        <f>Tabela1[[#This Row],[Tensão (Pa)]]/1000000</f>
        <v>5.5064455196182394</v>
      </c>
    </row>
    <row r="334" spans="1:6" x14ac:dyDescent="0.3">
      <c r="A334" s="1">
        <v>46.95</v>
      </c>
      <c r="B334" s="1">
        <v>3.9055</v>
      </c>
      <c r="C334" s="1">
        <f>Tabela1[[#This Row],[Alongamento (mm/mm)]]/$I$2</f>
        <v>7.8109999999999999E-2</v>
      </c>
      <c r="D334" s="1">
        <v>268.08</v>
      </c>
      <c r="E334" s="1">
        <f>Tabela1[[#This Row],[Força (N)]]/$I$5</f>
        <v>5552425.7688229047</v>
      </c>
      <c r="F334" s="1">
        <f>Tabela1[[#This Row],[Tensão (Pa)]]/1000000</f>
        <v>5.5524257688229044</v>
      </c>
    </row>
    <row r="335" spans="1:6" x14ac:dyDescent="0.3">
      <c r="A335" s="1">
        <v>47.033000000000001</v>
      </c>
      <c r="B335" s="1">
        <v>3.9123999999999999</v>
      </c>
      <c r="C335" s="1">
        <f>Tabela1[[#This Row],[Alongamento (mm/mm)]]/$I$2</f>
        <v>7.8247999999999998E-2</v>
      </c>
      <c r="D335" s="1">
        <v>270.29000000000002</v>
      </c>
      <c r="E335" s="1">
        <f>Tabela1[[#This Row],[Força (N)]]/$I$5</f>
        <v>5598198.8997879112</v>
      </c>
      <c r="F335" s="1">
        <f>Tabela1[[#This Row],[Tensão (Pa)]]/1000000</f>
        <v>5.5981988997879109</v>
      </c>
    </row>
    <row r="336" spans="1:6" x14ac:dyDescent="0.3">
      <c r="A336" s="1">
        <v>47.116999999999997</v>
      </c>
      <c r="B336" s="1">
        <v>3.9194</v>
      </c>
      <c r="C336" s="1">
        <f>Tabela1[[#This Row],[Alongamento (mm/mm)]]/$I$2</f>
        <v>7.8387999999999999E-2</v>
      </c>
      <c r="D336" s="1">
        <v>272.67</v>
      </c>
      <c r="E336" s="1">
        <f>Tabela1[[#This Row],[Força (N)]]/$I$5</f>
        <v>5647493.0408271477</v>
      </c>
      <c r="F336" s="1">
        <f>Tabela1[[#This Row],[Tensão (Pa)]]/1000000</f>
        <v>5.6474930408271478</v>
      </c>
    </row>
    <row r="337" spans="1:6" x14ac:dyDescent="0.3">
      <c r="A337" s="1">
        <v>47.2</v>
      </c>
      <c r="B337" s="1">
        <v>3.9262000000000001</v>
      </c>
      <c r="C337" s="1">
        <f>Tabela1[[#This Row],[Alongamento (mm/mm)]]/$I$2</f>
        <v>7.8523999999999997E-2</v>
      </c>
      <c r="D337" s="1">
        <v>274.88</v>
      </c>
      <c r="E337" s="1">
        <f>Tabela1[[#This Row],[Força (N)]]/$I$5</f>
        <v>5693266.1717921523</v>
      </c>
      <c r="F337" s="1">
        <f>Tabela1[[#This Row],[Tensão (Pa)]]/1000000</f>
        <v>5.6932661717921524</v>
      </c>
    </row>
    <row r="338" spans="1:6" x14ac:dyDescent="0.3">
      <c r="A338" s="1">
        <v>47.283000000000001</v>
      </c>
      <c r="B338" s="1">
        <v>3.9333</v>
      </c>
      <c r="C338" s="1">
        <f>Tabela1[[#This Row],[Alongamento (mm/mm)]]/$I$2</f>
        <v>7.8666E-2</v>
      </c>
      <c r="D338" s="1">
        <v>277.26</v>
      </c>
      <c r="E338" s="1">
        <f>Tabela1[[#This Row],[Força (N)]]/$I$5</f>
        <v>5742560.3128313888</v>
      </c>
      <c r="F338" s="1">
        <f>Tabela1[[#This Row],[Tensão (Pa)]]/1000000</f>
        <v>5.7425603128313885</v>
      </c>
    </row>
    <row r="339" spans="1:6" x14ac:dyDescent="0.3">
      <c r="A339" s="1">
        <v>47.366999999999997</v>
      </c>
      <c r="B339" s="1">
        <v>3.9401999999999999</v>
      </c>
      <c r="C339" s="1">
        <f>Tabela1[[#This Row],[Alongamento (mm/mm)]]/$I$2</f>
        <v>7.8803999999999999E-2</v>
      </c>
      <c r="D339" s="1">
        <v>279.47000000000003</v>
      </c>
      <c r="E339" s="1">
        <f>Tabela1[[#This Row],[Força (N)]]/$I$5</f>
        <v>5788333.4437963944</v>
      </c>
      <c r="F339" s="1">
        <f>Tabela1[[#This Row],[Tensão (Pa)]]/1000000</f>
        <v>5.788333443796394</v>
      </c>
    </row>
    <row r="340" spans="1:6" x14ac:dyDescent="0.3">
      <c r="A340" s="1">
        <v>47.45</v>
      </c>
      <c r="B340" s="1">
        <v>3.9470999999999998</v>
      </c>
      <c r="C340" s="1">
        <f>Tabela1[[#This Row],[Alongamento (mm/mm)]]/$I$2</f>
        <v>7.8941999999999998E-2</v>
      </c>
      <c r="D340" s="1">
        <v>281.85000000000002</v>
      </c>
      <c r="E340" s="1">
        <f>Tabela1[[#This Row],[Força (N)]]/$I$5</f>
        <v>5837627.5848356308</v>
      </c>
      <c r="F340" s="1">
        <f>Tabela1[[#This Row],[Tensão (Pa)]]/1000000</f>
        <v>5.8376275848356309</v>
      </c>
    </row>
    <row r="341" spans="1:6" x14ac:dyDescent="0.3">
      <c r="A341" s="1">
        <v>47.533000000000001</v>
      </c>
      <c r="B341" s="1">
        <v>3.9540999999999999</v>
      </c>
      <c r="C341" s="1">
        <f>Tabela1[[#This Row],[Alongamento (mm/mm)]]/$I$2</f>
        <v>7.9082E-2</v>
      </c>
      <c r="D341" s="1">
        <v>284.07</v>
      </c>
      <c r="E341" s="1">
        <f>Tabela1[[#This Row],[Força (N)]]/$I$5</f>
        <v>5883607.8340402963</v>
      </c>
      <c r="F341" s="1">
        <f>Tabela1[[#This Row],[Tensão (Pa)]]/1000000</f>
        <v>5.883607834040296</v>
      </c>
    </row>
    <row r="342" spans="1:6" x14ac:dyDescent="0.3">
      <c r="A342" s="1">
        <v>47.616999999999997</v>
      </c>
      <c r="B342" s="1">
        <v>3.9609999999999999</v>
      </c>
      <c r="C342" s="1">
        <f>Tabela1[[#This Row],[Alongamento (mm/mm)]]/$I$2</f>
        <v>7.9219999999999999E-2</v>
      </c>
      <c r="D342" s="1">
        <v>286.45</v>
      </c>
      <c r="E342" s="1">
        <f>Tabela1[[#This Row],[Força (N)]]/$I$5</f>
        <v>5932901.9750795327</v>
      </c>
      <c r="F342" s="1">
        <f>Tabela1[[#This Row],[Tensão (Pa)]]/1000000</f>
        <v>5.9329019750795329</v>
      </c>
    </row>
    <row r="343" spans="1:6" x14ac:dyDescent="0.3">
      <c r="A343" s="1">
        <v>47.7</v>
      </c>
      <c r="B343" s="1">
        <v>3.968</v>
      </c>
      <c r="C343" s="1">
        <f>Tabela1[[#This Row],[Alongamento (mm/mm)]]/$I$2</f>
        <v>7.936E-2</v>
      </c>
      <c r="D343" s="1">
        <v>288.83</v>
      </c>
      <c r="E343" s="1">
        <f>Tabela1[[#This Row],[Força (N)]]/$I$5</f>
        <v>5982196.1161187692</v>
      </c>
      <c r="F343" s="1">
        <f>Tabela1[[#This Row],[Tensão (Pa)]]/1000000</f>
        <v>5.9821961161187689</v>
      </c>
    </row>
    <row r="344" spans="1:6" x14ac:dyDescent="0.3">
      <c r="A344" s="1">
        <v>47.783000000000001</v>
      </c>
      <c r="B344" s="1">
        <v>3.9750000000000001</v>
      </c>
      <c r="C344" s="1">
        <f>Tabela1[[#This Row],[Alongamento (mm/mm)]]/$I$2</f>
        <v>7.9500000000000001E-2</v>
      </c>
      <c r="D344" s="1">
        <v>291.20999999999998</v>
      </c>
      <c r="E344" s="1">
        <f>Tabela1[[#This Row],[Força (N)]]/$I$5</f>
        <v>6031490.2571580056</v>
      </c>
      <c r="F344" s="1">
        <f>Tabela1[[#This Row],[Tensão (Pa)]]/1000000</f>
        <v>6.0314902571580058</v>
      </c>
    </row>
    <row r="345" spans="1:6" x14ac:dyDescent="0.3">
      <c r="A345" s="1">
        <v>47.866999999999997</v>
      </c>
      <c r="B345" s="1">
        <v>3.9817999999999998</v>
      </c>
      <c r="C345" s="1">
        <f>Tabela1[[#This Row],[Alongamento (mm/mm)]]/$I$2</f>
        <v>7.9635999999999998E-2</v>
      </c>
      <c r="D345" s="1">
        <v>293.58999999999997</v>
      </c>
      <c r="E345" s="1">
        <f>Tabela1[[#This Row],[Força (N)]]/$I$5</f>
        <v>6080784.3981972421</v>
      </c>
      <c r="F345" s="1">
        <f>Tabela1[[#This Row],[Tensão (Pa)]]/1000000</f>
        <v>6.0807843981972418</v>
      </c>
    </row>
    <row r="346" spans="1:6" x14ac:dyDescent="0.3">
      <c r="A346" s="1">
        <v>47.95</v>
      </c>
      <c r="B346" s="1">
        <v>3.9887000000000001</v>
      </c>
      <c r="C346" s="1">
        <f>Tabela1[[#This Row],[Alongamento (mm/mm)]]/$I$2</f>
        <v>7.9773999999999998E-2</v>
      </c>
      <c r="D346" s="1">
        <v>295.97000000000003</v>
      </c>
      <c r="E346" s="1">
        <f>Tabela1[[#This Row],[Força (N)]]/$I$5</f>
        <v>6130078.5392364794</v>
      </c>
      <c r="F346" s="1">
        <f>Tabela1[[#This Row],[Tensão (Pa)]]/1000000</f>
        <v>6.1300785392364796</v>
      </c>
    </row>
    <row r="347" spans="1:6" x14ac:dyDescent="0.3">
      <c r="A347" s="1">
        <v>48.033000000000001</v>
      </c>
      <c r="B347" s="1">
        <v>3.9956999999999998</v>
      </c>
      <c r="C347" s="1">
        <f>Tabela1[[#This Row],[Alongamento (mm/mm)]]/$I$2</f>
        <v>7.9913999999999999E-2</v>
      </c>
      <c r="D347" s="1">
        <v>298.35000000000002</v>
      </c>
      <c r="E347" s="1">
        <f>Tabela1[[#This Row],[Força (N)]]/$I$5</f>
        <v>6179372.6802757159</v>
      </c>
      <c r="F347" s="1">
        <f>Tabela1[[#This Row],[Tensão (Pa)]]/1000000</f>
        <v>6.1793726802757156</v>
      </c>
    </row>
    <row r="348" spans="1:6" x14ac:dyDescent="0.3">
      <c r="A348" s="1">
        <v>48.1</v>
      </c>
      <c r="B348" s="1">
        <v>4.0012999999999996</v>
      </c>
      <c r="C348" s="1">
        <f>Tabela1[[#This Row],[Alongamento (mm/mm)]]/$I$2</f>
        <v>8.0025999999999986E-2</v>
      </c>
      <c r="D348" s="1">
        <v>300.39</v>
      </c>
      <c r="E348" s="1">
        <f>Tabela1[[#This Row],[Força (N)]]/$I$5</f>
        <v>6221624.8011664897</v>
      </c>
      <c r="F348" s="1">
        <f>Tabela1[[#This Row],[Tensão (Pa)]]/1000000</f>
        <v>6.2216248011664899</v>
      </c>
    </row>
    <row r="349" spans="1:6" x14ac:dyDescent="0.3">
      <c r="A349" s="1">
        <v>48.183</v>
      </c>
      <c r="B349" s="1">
        <v>4.0082000000000004</v>
      </c>
      <c r="C349" s="1">
        <f>Tabela1[[#This Row],[Alongamento (mm/mm)]]/$I$2</f>
        <v>8.0164000000000013E-2</v>
      </c>
      <c r="D349" s="1">
        <v>302.77999999999997</v>
      </c>
      <c r="E349" s="1">
        <f>Tabela1[[#This Row],[Força (N)]]/$I$5</f>
        <v>6271126.060445386</v>
      </c>
      <c r="F349" s="1">
        <f>Tabela1[[#This Row],[Tensão (Pa)]]/1000000</f>
        <v>6.2711260604453862</v>
      </c>
    </row>
    <row r="350" spans="1:6" x14ac:dyDescent="0.3">
      <c r="A350" s="1">
        <v>48.267000000000003</v>
      </c>
      <c r="B350" s="1">
        <v>4.0152000000000001</v>
      </c>
      <c r="C350" s="1">
        <f>Tabela1[[#This Row],[Alongamento (mm/mm)]]/$I$2</f>
        <v>8.0304E-2</v>
      </c>
      <c r="D350" s="1">
        <v>305.16000000000003</v>
      </c>
      <c r="E350" s="1">
        <f>Tabela1[[#This Row],[Força (N)]]/$I$5</f>
        <v>6320420.2014846234</v>
      </c>
      <c r="F350" s="1">
        <f>Tabela1[[#This Row],[Tensão (Pa)]]/1000000</f>
        <v>6.3204202014846231</v>
      </c>
    </row>
    <row r="351" spans="1:6" x14ac:dyDescent="0.3">
      <c r="A351" s="1">
        <v>48.35</v>
      </c>
      <c r="B351" s="1">
        <v>4.0221999999999998</v>
      </c>
      <c r="C351" s="1">
        <f>Tabela1[[#This Row],[Alongamento (mm/mm)]]/$I$2</f>
        <v>8.0444000000000002E-2</v>
      </c>
      <c r="D351" s="1">
        <v>307.54000000000002</v>
      </c>
      <c r="E351" s="1">
        <f>Tabela1[[#This Row],[Força (N)]]/$I$5</f>
        <v>6369714.3425238598</v>
      </c>
      <c r="F351" s="1">
        <f>Tabela1[[#This Row],[Tensão (Pa)]]/1000000</f>
        <v>6.36971434252386</v>
      </c>
    </row>
    <row r="352" spans="1:6" x14ac:dyDescent="0.3">
      <c r="A352" s="1">
        <v>48.433</v>
      </c>
      <c r="B352" s="1">
        <v>4.0289999999999999</v>
      </c>
      <c r="C352" s="1">
        <f>Tabela1[[#This Row],[Alongamento (mm/mm)]]/$I$2</f>
        <v>8.0579999999999999E-2</v>
      </c>
      <c r="D352" s="1">
        <v>309.92</v>
      </c>
      <c r="E352" s="1">
        <f>Tabela1[[#This Row],[Força (N)]]/$I$5</f>
        <v>6419008.4835630963</v>
      </c>
      <c r="F352" s="1">
        <f>Tabela1[[#This Row],[Tensão (Pa)]]/1000000</f>
        <v>6.4190084835630961</v>
      </c>
    </row>
    <row r="353" spans="1:6" x14ac:dyDescent="0.3">
      <c r="A353" s="1">
        <v>48.517000000000003</v>
      </c>
      <c r="B353" s="1">
        <v>4.0359999999999996</v>
      </c>
      <c r="C353" s="1">
        <f>Tabela1[[#This Row],[Alongamento (mm/mm)]]/$I$2</f>
        <v>8.0719999999999986E-2</v>
      </c>
      <c r="D353" s="1">
        <v>312.3</v>
      </c>
      <c r="E353" s="1">
        <f>Tabela1[[#This Row],[Força (N)]]/$I$5</f>
        <v>6468302.6246023327</v>
      </c>
      <c r="F353" s="1">
        <f>Tabela1[[#This Row],[Tensão (Pa)]]/1000000</f>
        <v>6.468302624602333</v>
      </c>
    </row>
    <row r="354" spans="1:6" x14ac:dyDescent="0.3">
      <c r="A354" s="1">
        <v>48.6</v>
      </c>
      <c r="B354" s="1">
        <v>4.0430000000000001</v>
      </c>
      <c r="C354" s="1">
        <f>Tabela1[[#This Row],[Alongamento (mm/mm)]]/$I$2</f>
        <v>8.0860000000000001E-2</v>
      </c>
      <c r="D354" s="1">
        <v>314.68</v>
      </c>
      <c r="E354" s="1">
        <f>Tabela1[[#This Row],[Força (N)]]/$I$5</f>
        <v>6517596.7656415692</v>
      </c>
      <c r="F354" s="1">
        <f>Tabela1[[#This Row],[Tensão (Pa)]]/1000000</f>
        <v>6.517596765641569</v>
      </c>
    </row>
    <row r="355" spans="1:6" x14ac:dyDescent="0.3">
      <c r="A355" s="1">
        <v>48.683</v>
      </c>
      <c r="B355" s="1">
        <v>4.0499000000000001</v>
      </c>
      <c r="C355" s="1">
        <f>Tabela1[[#This Row],[Alongamento (mm/mm)]]/$I$2</f>
        <v>8.0998000000000001E-2</v>
      </c>
      <c r="D355" s="1">
        <v>317.23</v>
      </c>
      <c r="E355" s="1">
        <f>Tabela1[[#This Row],[Força (N)]]/$I$5</f>
        <v>6570411.9167550374</v>
      </c>
      <c r="F355" s="1">
        <f>Tabela1[[#This Row],[Tensão (Pa)]]/1000000</f>
        <v>6.5704119167550372</v>
      </c>
    </row>
    <row r="356" spans="1:6" x14ac:dyDescent="0.3">
      <c r="A356" s="1">
        <v>48.767000000000003</v>
      </c>
      <c r="B356" s="1">
        <v>4.0568999999999997</v>
      </c>
      <c r="C356" s="1">
        <f>Tabela1[[#This Row],[Alongamento (mm/mm)]]/$I$2</f>
        <v>8.1137999999999988E-2</v>
      </c>
      <c r="D356" s="1">
        <v>319.62</v>
      </c>
      <c r="E356" s="1">
        <f>Tabela1[[#This Row],[Força (N)]]/$I$5</f>
        <v>6619913.1760339336</v>
      </c>
      <c r="F356" s="1">
        <f>Tabela1[[#This Row],[Tensão (Pa)]]/1000000</f>
        <v>6.6199131760339336</v>
      </c>
    </row>
    <row r="357" spans="1:6" x14ac:dyDescent="0.3">
      <c r="A357" s="1">
        <v>48.85</v>
      </c>
      <c r="B357" s="1">
        <v>4.0637999999999996</v>
      </c>
      <c r="C357" s="1">
        <f>Tabela1[[#This Row],[Alongamento (mm/mm)]]/$I$2</f>
        <v>8.1275999999999987E-2</v>
      </c>
      <c r="D357" s="1">
        <v>322</v>
      </c>
      <c r="E357" s="1">
        <f>Tabela1[[#This Row],[Força (N)]]/$I$5</f>
        <v>6669207.3170731701</v>
      </c>
      <c r="F357" s="1">
        <f>Tabela1[[#This Row],[Tensão (Pa)]]/1000000</f>
        <v>6.6692073170731705</v>
      </c>
    </row>
    <row r="358" spans="1:6" x14ac:dyDescent="0.3">
      <c r="A358" s="1">
        <v>48.933</v>
      </c>
      <c r="B358" s="1">
        <v>4.0707000000000004</v>
      </c>
      <c r="C358" s="1">
        <f>Tabela1[[#This Row],[Alongamento (mm/mm)]]/$I$2</f>
        <v>8.1414000000000014E-2</v>
      </c>
      <c r="D358" s="1">
        <v>324.38</v>
      </c>
      <c r="E358" s="1">
        <f>Tabela1[[#This Row],[Força (N)]]/$I$5</f>
        <v>6718501.4581124065</v>
      </c>
      <c r="F358" s="1">
        <f>Tabela1[[#This Row],[Tensão (Pa)]]/1000000</f>
        <v>6.7185014581124065</v>
      </c>
    </row>
    <row r="359" spans="1:6" x14ac:dyDescent="0.3">
      <c r="A359" s="1">
        <v>49.017000000000003</v>
      </c>
      <c r="B359" s="1">
        <v>4.0777000000000001</v>
      </c>
      <c r="C359" s="1">
        <f>Tabela1[[#This Row],[Alongamento (mm/mm)]]/$I$2</f>
        <v>8.1554000000000001E-2</v>
      </c>
      <c r="D359" s="1">
        <v>326.93</v>
      </c>
      <c r="E359" s="1">
        <f>Tabela1[[#This Row],[Força (N)]]/$I$5</f>
        <v>6771316.6092258748</v>
      </c>
      <c r="F359" s="1">
        <f>Tabela1[[#This Row],[Tensão (Pa)]]/1000000</f>
        <v>6.7713166092258747</v>
      </c>
    </row>
    <row r="360" spans="1:6" x14ac:dyDescent="0.3">
      <c r="A360" s="1">
        <v>49.1</v>
      </c>
      <c r="B360" s="1">
        <v>4.0846</v>
      </c>
      <c r="C360" s="1">
        <f>Tabela1[[#This Row],[Alongamento (mm/mm)]]/$I$2</f>
        <v>8.1692000000000001E-2</v>
      </c>
      <c r="D360" s="1">
        <v>329.48</v>
      </c>
      <c r="E360" s="1">
        <f>Tabela1[[#This Row],[Força (N)]]/$I$5</f>
        <v>6824131.760339343</v>
      </c>
      <c r="F360" s="1">
        <f>Tabela1[[#This Row],[Tensão (Pa)]]/1000000</f>
        <v>6.824131760339343</v>
      </c>
    </row>
    <row r="361" spans="1:6" x14ac:dyDescent="0.3">
      <c r="A361" s="1">
        <v>49.183</v>
      </c>
      <c r="B361" s="1">
        <v>4.0915999999999997</v>
      </c>
      <c r="C361" s="1">
        <f>Tabela1[[#This Row],[Alongamento (mm/mm)]]/$I$2</f>
        <v>8.1831999999999988E-2</v>
      </c>
      <c r="D361" s="1">
        <v>332.03</v>
      </c>
      <c r="E361" s="1">
        <f>Tabela1[[#This Row],[Força (N)]]/$I$5</f>
        <v>6876946.9114528093</v>
      </c>
      <c r="F361" s="1">
        <f>Tabela1[[#This Row],[Tensão (Pa)]]/1000000</f>
        <v>6.8769469114528095</v>
      </c>
    </row>
    <row r="362" spans="1:6" x14ac:dyDescent="0.3">
      <c r="A362" s="1">
        <v>49.267000000000003</v>
      </c>
      <c r="B362" s="1">
        <v>4.0986000000000002</v>
      </c>
      <c r="C362" s="1">
        <f>Tabela1[[#This Row],[Alongamento (mm/mm)]]/$I$2</f>
        <v>8.1972000000000003E-2</v>
      </c>
      <c r="D362" s="1">
        <v>334.58</v>
      </c>
      <c r="E362" s="1">
        <f>Tabela1[[#This Row],[Força (N)]]/$I$5</f>
        <v>6929762.0625662776</v>
      </c>
      <c r="F362" s="1">
        <f>Tabela1[[#This Row],[Tensão (Pa)]]/1000000</f>
        <v>6.9297620625662777</v>
      </c>
    </row>
    <row r="363" spans="1:6" x14ac:dyDescent="0.3">
      <c r="A363" s="1">
        <v>49.35</v>
      </c>
      <c r="B363" s="1">
        <v>4.1054000000000004</v>
      </c>
      <c r="C363" s="1">
        <f>Tabela1[[#This Row],[Alongamento (mm/mm)]]/$I$2</f>
        <v>8.2108000000000014E-2</v>
      </c>
      <c r="D363" s="1">
        <v>337.14</v>
      </c>
      <c r="E363" s="1">
        <f>Tabela1[[#This Row],[Força (N)]]/$I$5</f>
        <v>6982784.3319194056</v>
      </c>
      <c r="F363" s="1">
        <f>Tabela1[[#This Row],[Tensão (Pa)]]/1000000</f>
        <v>6.9827843319194054</v>
      </c>
    </row>
    <row r="364" spans="1:6" x14ac:dyDescent="0.3">
      <c r="A364" s="1">
        <v>49.433</v>
      </c>
      <c r="B364" s="1">
        <v>4.1123000000000003</v>
      </c>
      <c r="C364" s="1">
        <f>Tabela1[[#This Row],[Alongamento (mm/mm)]]/$I$2</f>
        <v>8.2246E-2</v>
      </c>
      <c r="D364" s="1">
        <v>339.52</v>
      </c>
      <c r="E364" s="1">
        <f>Tabela1[[#This Row],[Força (N)]]/$I$5</f>
        <v>7032078.4729586421</v>
      </c>
      <c r="F364" s="1">
        <f>Tabela1[[#This Row],[Tensão (Pa)]]/1000000</f>
        <v>7.0320784729586423</v>
      </c>
    </row>
    <row r="365" spans="1:6" x14ac:dyDescent="0.3">
      <c r="A365" s="1">
        <v>49.517000000000003</v>
      </c>
      <c r="B365" s="1">
        <v>4.1193999999999997</v>
      </c>
      <c r="C365" s="1">
        <f>Tabela1[[#This Row],[Alongamento (mm/mm)]]/$I$2</f>
        <v>8.2387999999999989E-2</v>
      </c>
      <c r="D365" s="1">
        <v>342.07</v>
      </c>
      <c r="E365" s="1">
        <f>Tabela1[[#This Row],[Força (N)]]/$I$5</f>
        <v>7084893.6240721103</v>
      </c>
      <c r="F365" s="1">
        <f>Tabela1[[#This Row],[Tensão (Pa)]]/1000000</f>
        <v>7.0848936240721105</v>
      </c>
    </row>
    <row r="366" spans="1:6" x14ac:dyDescent="0.3">
      <c r="A366" s="1">
        <v>49.6</v>
      </c>
      <c r="B366" s="1">
        <v>4.1262999999999996</v>
      </c>
      <c r="C366" s="1">
        <f>Tabela1[[#This Row],[Alongamento (mm/mm)]]/$I$2</f>
        <v>8.2525999999999988E-2</v>
      </c>
      <c r="D366" s="1">
        <v>344.62</v>
      </c>
      <c r="E366" s="1">
        <f>Tabela1[[#This Row],[Força (N)]]/$I$5</f>
        <v>7137708.7751855776</v>
      </c>
      <c r="F366" s="1">
        <f>Tabela1[[#This Row],[Tensão (Pa)]]/1000000</f>
        <v>7.1377087751855779</v>
      </c>
    </row>
    <row r="367" spans="1:6" x14ac:dyDescent="0.3">
      <c r="A367" s="1">
        <v>49.683</v>
      </c>
      <c r="B367" s="1">
        <v>4.1332000000000004</v>
      </c>
      <c r="C367" s="1">
        <f>Tabela1[[#This Row],[Alongamento (mm/mm)]]/$I$2</f>
        <v>8.2664000000000015E-2</v>
      </c>
      <c r="D367" s="1">
        <v>347.17</v>
      </c>
      <c r="E367" s="1">
        <f>Tabela1[[#This Row],[Força (N)]]/$I$5</f>
        <v>7190523.9262990458</v>
      </c>
      <c r="F367" s="1">
        <f>Tabela1[[#This Row],[Tensão (Pa)]]/1000000</f>
        <v>7.1905239262990461</v>
      </c>
    </row>
    <row r="368" spans="1:6" x14ac:dyDescent="0.3">
      <c r="A368" s="1">
        <v>49.767000000000003</v>
      </c>
      <c r="B368" s="1">
        <v>4.1402000000000001</v>
      </c>
      <c r="C368" s="1">
        <f>Tabela1[[#This Row],[Alongamento (mm/mm)]]/$I$2</f>
        <v>8.2804000000000003E-2</v>
      </c>
      <c r="D368" s="1">
        <v>349.72</v>
      </c>
      <c r="E368" s="1">
        <f>Tabela1[[#This Row],[Força (N)]]/$I$5</f>
        <v>7243339.0774125131</v>
      </c>
      <c r="F368" s="1">
        <f>Tabela1[[#This Row],[Tensão (Pa)]]/1000000</f>
        <v>7.2433390774125135</v>
      </c>
    </row>
    <row r="369" spans="1:6" x14ac:dyDescent="0.3">
      <c r="A369" s="1">
        <v>49.866999999999997</v>
      </c>
      <c r="B369" s="1">
        <v>4.1485000000000003</v>
      </c>
      <c r="C369" s="1">
        <f>Tabela1[[#This Row],[Alongamento (mm/mm)]]/$I$2</f>
        <v>8.2970000000000002E-2</v>
      </c>
      <c r="D369" s="1">
        <v>352.78</v>
      </c>
      <c r="E369" s="1">
        <f>Tabela1[[#This Row],[Força (N)]]/$I$5</f>
        <v>7306717.2587486738</v>
      </c>
      <c r="F369" s="1">
        <f>Tabela1[[#This Row],[Tensão (Pa)]]/1000000</f>
        <v>7.3067172587486739</v>
      </c>
    </row>
    <row r="370" spans="1:6" x14ac:dyDescent="0.3">
      <c r="A370" s="1">
        <v>49.966999999999999</v>
      </c>
      <c r="B370" s="1">
        <v>4.1569000000000003</v>
      </c>
      <c r="C370" s="1">
        <f>Tabela1[[#This Row],[Alongamento (mm/mm)]]/$I$2</f>
        <v>8.3138000000000004E-2</v>
      </c>
      <c r="D370" s="1">
        <v>355.85</v>
      </c>
      <c r="E370" s="1">
        <f>Tabela1[[#This Row],[Força (N)]]/$I$5</f>
        <v>7370302.5583244963</v>
      </c>
      <c r="F370" s="1">
        <f>Tabela1[[#This Row],[Tensão (Pa)]]/1000000</f>
        <v>7.3703025583244965</v>
      </c>
    </row>
    <row r="371" spans="1:6" x14ac:dyDescent="0.3">
      <c r="A371" s="1">
        <v>50.067</v>
      </c>
      <c r="B371" s="1">
        <v>4.1651999999999996</v>
      </c>
      <c r="C371" s="1">
        <f>Tabela1[[#This Row],[Alongamento (mm/mm)]]/$I$2</f>
        <v>8.3303999999999989E-2</v>
      </c>
      <c r="D371" s="1">
        <v>358.91</v>
      </c>
      <c r="E371" s="1">
        <f>Tabela1[[#This Row],[Força (N)]]/$I$5</f>
        <v>7433680.7396606579</v>
      </c>
      <c r="F371" s="1">
        <f>Tabela1[[#This Row],[Tensão (Pa)]]/1000000</f>
        <v>7.4336807396606579</v>
      </c>
    </row>
    <row r="372" spans="1:6" x14ac:dyDescent="0.3">
      <c r="A372" s="1">
        <v>50.15</v>
      </c>
      <c r="B372" s="1">
        <v>4.1722000000000001</v>
      </c>
      <c r="C372" s="1">
        <f>Tabela1[[#This Row],[Alongamento (mm/mm)]]/$I$2</f>
        <v>8.3444000000000004E-2</v>
      </c>
      <c r="D372" s="1">
        <v>361.63</v>
      </c>
      <c r="E372" s="1">
        <f>Tabela1[[#This Row],[Força (N)]]/$I$5</f>
        <v>7490016.9008483561</v>
      </c>
      <c r="F372" s="1">
        <f>Tabela1[[#This Row],[Tensão (Pa)]]/1000000</f>
        <v>7.4900169008483557</v>
      </c>
    </row>
    <row r="373" spans="1:6" x14ac:dyDescent="0.3">
      <c r="A373" s="1">
        <v>50.25</v>
      </c>
      <c r="B373" s="1">
        <v>4.1803999999999997</v>
      </c>
      <c r="C373" s="1">
        <f>Tabela1[[#This Row],[Alongamento (mm/mm)]]/$I$2</f>
        <v>8.3607999999999988E-2</v>
      </c>
      <c r="D373" s="1">
        <v>364.69</v>
      </c>
      <c r="E373" s="1">
        <f>Tabela1[[#This Row],[Força (N)]]/$I$5</f>
        <v>7553395.0821845168</v>
      </c>
      <c r="F373" s="1">
        <f>Tabela1[[#This Row],[Tensão (Pa)]]/1000000</f>
        <v>7.5533950821845171</v>
      </c>
    </row>
    <row r="374" spans="1:6" x14ac:dyDescent="0.3">
      <c r="A374" s="1">
        <v>50.35</v>
      </c>
      <c r="B374" s="1">
        <v>4.1886999999999999</v>
      </c>
      <c r="C374" s="1">
        <f>Tabela1[[#This Row],[Alongamento (mm/mm)]]/$I$2</f>
        <v>8.3774000000000001E-2</v>
      </c>
      <c r="D374" s="1">
        <v>367.92</v>
      </c>
      <c r="E374" s="1">
        <f>Tabela1[[#This Row],[Força (N)]]/$I$5</f>
        <v>7620294.2735949103</v>
      </c>
      <c r="F374" s="1">
        <f>Tabela1[[#This Row],[Tensão (Pa)]]/1000000</f>
        <v>7.6202942735949106</v>
      </c>
    </row>
    <row r="375" spans="1:6" x14ac:dyDescent="0.3">
      <c r="A375" s="1">
        <v>50.45</v>
      </c>
      <c r="B375" s="1">
        <v>4.1971999999999996</v>
      </c>
      <c r="C375" s="1">
        <f>Tabela1[[#This Row],[Alongamento (mm/mm)]]/$I$2</f>
        <v>8.3943999999999991E-2</v>
      </c>
      <c r="D375" s="1">
        <v>370.99</v>
      </c>
      <c r="E375" s="1">
        <f>Tabela1[[#This Row],[Força (N)]]/$I$5</f>
        <v>7683879.5731707318</v>
      </c>
      <c r="F375" s="1">
        <f>Tabela1[[#This Row],[Tensão (Pa)]]/1000000</f>
        <v>7.6838795731707314</v>
      </c>
    </row>
    <row r="376" spans="1:6" x14ac:dyDescent="0.3">
      <c r="A376" s="1">
        <v>50.533000000000001</v>
      </c>
      <c r="B376" s="1">
        <v>4.2039999999999997</v>
      </c>
      <c r="C376" s="1">
        <f>Tabela1[[#This Row],[Alongamento (mm/mm)]]/$I$2</f>
        <v>8.4079999999999988E-2</v>
      </c>
      <c r="D376" s="1">
        <v>373.71</v>
      </c>
      <c r="E376" s="1">
        <f>Tabela1[[#This Row],[Força (N)]]/$I$5</f>
        <v>7740215.7343584299</v>
      </c>
      <c r="F376" s="1">
        <f>Tabela1[[#This Row],[Tensão (Pa)]]/1000000</f>
        <v>7.7402157343584301</v>
      </c>
    </row>
    <row r="377" spans="1:6" x14ac:dyDescent="0.3">
      <c r="A377" s="1">
        <v>50.633000000000003</v>
      </c>
      <c r="B377" s="1">
        <v>4.2123999999999997</v>
      </c>
      <c r="C377" s="1">
        <f>Tabela1[[#This Row],[Alongamento (mm/mm)]]/$I$2</f>
        <v>8.424799999999999E-2</v>
      </c>
      <c r="D377" s="1">
        <v>376.77</v>
      </c>
      <c r="E377" s="1">
        <f>Tabela1[[#This Row],[Força (N)]]/$I$5</f>
        <v>7803593.9156945907</v>
      </c>
      <c r="F377" s="1">
        <f>Tabela1[[#This Row],[Tensão (Pa)]]/1000000</f>
        <v>7.8035939156945906</v>
      </c>
    </row>
    <row r="378" spans="1:6" x14ac:dyDescent="0.3">
      <c r="A378" s="1">
        <v>50.716999999999999</v>
      </c>
      <c r="B378" s="1">
        <v>4.2191999999999998</v>
      </c>
      <c r="C378" s="1">
        <f>Tabela1[[#This Row],[Alongamento (mm/mm)]]/$I$2</f>
        <v>8.4384000000000001E-2</v>
      </c>
      <c r="D378" s="1">
        <v>379.49</v>
      </c>
      <c r="E378" s="1">
        <f>Tabela1[[#This Row],[Força (N)]]/$I$5</f>
        <v>7859930.0768822907</v>
      </c>
      <c r="F378" s="1">
        <f>Tabela1[[#This Row],[Tensão (Pa)]]/1000000</f>
        <v>7.8599300768822911</v>
      </c>
    </row>
    <row r="379" spans="1:6" x14ac:dyDescent="0.3">
      <c r="A379" s="1">
        <v>50.817</v>
      </c>
      <c r="B379" s="1">
        <v>4.2275999999999998</v>
      </c>
      <c r="C379" s="1">
        <f>Tabela1[[#This Row],[Alongamento (mm/mm)]]/$I$2</f>
        <v>8.4552000000000002E-2</v>
      </c>
      <c r="D379" s="1">
        <v>382.55</v>
      </c>
      <c r="E379" s="1">
        <f>Tabela1[[#This Row],[Força (N)]]/$I$5</f>
        <v>7923308.2582184514</v>
      </c>
      <c r="F379" s="1">
        <f>Tabela1[[#This Row],[Tensão (Pa)]]/1000000</f>
        <v>7.9233082582184515</v>
      </c>
    </row>
    <row r="380" spans="1:6" x14ac:dyDescent="0.3">
      <c r="A380" s="1">
        <v>50.9</v>
      </c>
      <c r="B380" s="1">
        <v>4.2346000000000004</v>
      </c>
      <c r="C380" s="1">
        <f>Tabela1[[#This Row],[Alongamento (mm/mm)]]/$I$2</f>
        <v>8.4692000000000003E-2</v>
      </c>
      <c r="D380" s="1">
        <v>385.27</v>
      </c>
      <c r="E380" s="1">
        <f>Tabela1[[#This Row],[Força (N)]]/$I$5</f>
        <v>7979644.4194061495</v>
      </c>
      <c r="F380" s="1">
        <f>Tabela1[[#This Row],[Tensão (Pa)]]/1000000</f>
        <v>7.9796444194061493</v>
      </c>
    </row>
    <row r="381" spans="1:6" x14ac:dyDescent="0.3">
      <c r="A381" s="1">
        <v>50.982999999999997</v>
      </c>
      <c r="B381" s="1">
        <v>4.2416</v>
      </c>
      <c r="C381" s="1">
        <f>Tabela1[[#This Row],[Alongamento (mm/mm)]]/$I$2</f>
        <v>8.4832000000000005E-2</v>
      </c>
      <c r="D381" s="1">
        <v>388</v>
      </c>
      <c r="E381" s="1">
        <f>Tabela1[[#This Row],[Força (N)]]/$I$5</f>
        <v>8036187.6988335093</v>
      </c>
      <c r="F381" s="1">
        <f>Tabela1[[#This Row],[Tensão (Pa)]]/1000000</f>
        <v>8.0361876988335101</v>
      </c>
    </row>
    <row r="382" spans="1:6" x14ac:dyDescent="0.3">
      <c r="A382" s="1">
        <v>51.067</v>
      </c>
      <c r="B382" s="1">
        <v>4.2485999999999997</v>
      </c>
      <c r="C382" s="1">
        <f>Tabela1[[#This Row],[Alongamento (mm/mm)]]/$I$2</f>
        <v>8.4971999999999992E-2</v>
      </c>
      <c r="D382" s="1">
        <v>390.72</v>
      </c>
      <c r="E382" s="1">
        <f>Tabela1[[#This Row],[Força (N)]]/$I$5</f>
        <v>8092523.8600212093</v>
      </c>
      <c r="F382" s="1">
        <f>Tabela1[[#This Row],[Tensão (Pa)]]/1000000</f>
        <v>8.0925238600212097</v>
      </c>
    </row>
    <row r="383" spans="1:6" x14ac:dyDescent="0.3">
      <c r="A383" s="1">
        <v>51.15</v>
      </c>
      <c r="B383" s="1">
        <v>4.2553999999999998</v>
      </c>
      <c r="C383" s="1">
        <f>Tabela1[[#This Row],[Alongamento (mm/mm)]]/$I$2</f>
        <v>8.5108000000000003E-2</v>
      </c>
      <c r="D383" s="1">
        <v>393.44</v>
      </c>
      <c r="E383" s="1">
        <f>Tabela1[[#This Row],[Força (N)]]/$I$5</f>
        <v>8148860.0212089075</v>
      </c>
      <c r="F383" s="1">
        <f>Tabela1[[#This Row],[Tensão (Pa)]]/1000000</f>
        <v>8.1488600212089075</v>
      </c>
    </row>
    <row r="384" spans="1:6" x14ac:dyDescent="0.3">
      <c r="A384" s="1">
        <v>51.25</v>
      </c>
      <c r="B384" s="1">
        <v>4.2637999999999998</v>
      </c>
      <c r="C384" s="1">
        <f>Tabela1[[#This Row],[Alongamento (mm/mm)]]/$I$2</f>
        <v>8.5275999999999991E-2</v>
      </c>
      <c r="D384" s="1">
        <v>396.67</v>
      </c>
      <c r="E384" s="1">
        <f>Tabela1[[#This Row],[Força (N)]]/$I$5</f>
        <v>8215759.2126193</v>
      </c>
      <c r="F384" s="1">
        <f>Tabela1[[#This Row],[Tensão (Pa)]]/1000000</f>
        <v>8.2157592126193002</v>
      </c>
    </row>
    <row r="385" spans="1:6" x14ac:dyDescent="0.3">
      <c r="A385" s="1">
        <v>51.35</v>
      </c>
      <c r="B385" s="1">
        <v>4.2721</v>
      </c>
      <c r="C385" s="1">
        <f>Tabela1[[#This Row],[Alongamento (mm/mm)]]/$I$2</f>
        <v>8.5442000000000004E-2</v>
      </c>
      <c r="D385" s="1">
        <v>399.9</v>
      </c>
      <c r="E385" s="1">
        <f>Tabela1[[#This Row],[Força (N)]]/$I$5</f>
        <v>8282658.4040296916</v>
      </c>
      <c r="F385" s="1">
        <f>Tabela1[[#This Row],[Tensão (Pa)]]/1000000</f>
        <v>8.2826584040296911</v>
      </c>
    </row>
    <row r="386" spans="1:6" x14ac:dyDescent="0.3">
      <c r="A386" s="1">
        <v>51.45</v>
      </c>
      <c r="B386" s="1">
        <v>4.2805</v>
      </c>
      <c r="C386" s="1">
        <f>Tabela1[[#This Row],[Alongamento (mm/mm)]]/$I$2</f>
        <v>8.5610000000000006E-2</v>
      </c>
      <c r="D386" s="1">
        <v>403.3</v>
      </c>
      <c r="E386" s="1">
        <f>Tabela1[[#This Row],[Força (N)]]/$I$5</f>
        <v>8353078.6055143159</v>
      </c>
      <c r="F386" s="1">
        <f>Tabela1[[#This Row],[Tensão (Pa)]]/1000000</f>
        <v>8.353078605514316</v>
      </c>
    </row>
    <row r="387" spans="1:6" x14ac:dyDescent="0.3">
      <c r="A387" s="1">
        <v>51.55</v>
      </c>
      <c r="B387" s="1">
        <v>4.2888999999999999</v>
      </c>
      <c r="C387" s="1">
        <f>Tabela1[[#This Row],[Alongamento (mm/mm)]]/$I$2</f>
        <v>8.5777999999999993E-2</v>
      </c>
      <c r="D387" s="1">
        <v>406.54</v>
      </c>
      <c r="E387" s="1">
        <f>Tabela1[[#This Row],[Força (N)]]/$I$5</f>
        <v>8420184.9151643682</v>
      </c>
      <c r="F387" s="1">
        <f>Tabela1[[#This Row],[Tensão (Pa)]]/1000000</f>
        <v>8.4201849151643682</v>
      </c>
    </row>
    <row r="388" spans="1:6" x14ac:dyDescent="0.3">
      <c r="A388" s="1">
        <v>51.65</v>
      </c>
      <c r="B388" s="1">
        <v>4.2969999999999997</v>
      </c>
      <c r="C388" s="1">
        <f>Tabela1[[#This Row],[Alongamento (mm/mm)]]/$I$2</f>
        <v>8.5939999999999989E-2</v>
      </c>
      <c r="D388" s="1">
        <v>409.94</v>
      </c>
      <c r="E388" s="1">
        <f>Tabela1[[#This Row],[Força (N)]]/$I$5</f>
        <v>8490605.1166489925</v>
      </c>
      <c r="F388" s="1">
        <f>Tabela1[[#This Row],[Tensão (Pa)]]/1000000</f>
        <v>8.4906051166489931</v>
      </c>
    </row>
    <row r="389" spans="1:6" x14ac:dyDescent="0.3">
      <c r="A389" s="1">
        <v>51.75</v>
      </c>
      <c r="B389" s="1">
        <v>4.3055000000000003</v>
      </c>
      <c r="C389" s="1">
        <f>Tabela1[[#This Row],[Alongamento (mm/mm)]]/$I$2</f>
        <v>8.6110000000000006E-2</v>
      </c>
      <c r="D389" s="1">
        <v>413.17</v>
      </c>
      <c r="E389" s="1">
        <f>Tabela1[[#This Row],[Força (N)]]/$I$5</f>
        <v>8557504.308059385</v>
      </c>
      <c r="F389" s="1">
        <f>Tabela1[[#This Row],[Tensão (Pa)]]/1000000</f>
        <v>8.5575043080593858</v>
      </c>
    </row>
    <row r="390" spans="1:6" x14ac:dyDescent="0.3">
      <c r="A390" s="1">
        <v>51.85</v>
      </c>
      <c r="B390" s="1">
        <v>4.3136999999999999</v>
      </c>
      <c r="C390" s="1">
        <f>Tabela1[[#This Row],[Alongamento (mm/mm)]]/$I$2</f>
        <v>8.6274000000000003E-2</v>
      </c>
      <c r="D390" s="1">
        <v>416.57</v>
      </c>
      <c r="E390" s="1">
        <f>Tabela1[[#This Row],[Força (N)]]/$I$5</f>
        <v>8627924.5095440075</v>
      </c>
      <c r="F390" s="1">
        <f>Tabela1[[#This Row],[Tensão (Pa)]]/1000000</f>
        <v>8.6279245095440071</v>
      </c>
    </row>
    <row r="391" spans="1:6" x14ac:dyDescent="0.3">
      <c r="A391" s="1">
        <v>51.95</v>
      </c>
      <c r="B391" s="1">
        <v>4.3221999999999996</v>
      </c>
      <c r="C391" s="1">
        <f>Tabela1[[#This Row],[Alongamento (mm/mm)]]/$I$2</f>
        <v>8.6443999999999993E-2</v>
      </c>
      <c r="D391" s="1">
        <v>419.97</v>
      </c>
      <c r="E391" s="1">
        <f>Tabela1[[#This Row],[Força (N)]]/$I$5</f>
        <v>8698344.7110286318</v>
      </c>
      <c r="F391" s="1">
        <f>Tabela1[[#This Row],[Tensão (Pa)]]/1000000</f>
        <v>8.698344711028632</v>
      </c>
    </row>
    <row r="392" spans="1:6" x14ac:dyDescent="0.3">
      <c r="A392" s="1">
        <v>52.05</v>
      </c>
      <c r="B392" s="1">
        <v>4.3304999999999998</v>
      </c>
      <c r="C392" s="1">
        <f>Tabela1[[#This Row],[Alongamento (mm/mm)]]/$I$2</f>
        <v>8.6609999999999993E-2</v>
      </c>
      <c r="D392" s="1">
        <v>423.38</v>
      </c>
      <c r="E392" s="1">
        <f>Tabela1[[#This Row],[Força (N)]]/$I$5</f>
        <v>8768972.0307529159</v>
      </c>
      <c r="F392" s="1">
        <f>Tabela1[[#This Row],[Tensão (Pa)]]/1000000</f>
        <v>8.7689720307529164</v>
      </c>
    </row>
    <row r="393" spans="1:6" x14ac:dyDescent="0.3">
      <c r="A393" s="1">
        <v>52.15</v>
      </c>
      <c r="B393" s="1">
        <v>4.3387000000000002</v>
      </c>
      <c r="C393" s="1">
        <f>Tabela1[[#This Row],[Alongamento (mm/mm)]]/$I$2</f>
        <v>8.6774000000000004E-2</v>
      </c>
      <c r="D393" s="1">
        <v>426.78</v>
      </c>
      <c r="E393" s="1">
        <f>Tabela1[[#This Row],[Força (N)]]/$I$5</f>
        <v>8839392.2322375383</v>
      </c>
      <c r="F393" s="1">
        <f>Tabela1[[#This Row],[Tensão (Pa)]]/1000000</f>
        <v>8.8393922322375378</v>
      </c>
    </row>
    <row r="394" spans="1:6" x14ac:dyDescent="0.3">
      <c r="A394" s="1">
        <v>52.25</v>
      </c>
      <c r="B394" s="1">
        <v>4.3471000000000002</v>
      </c>
      <c r="C394" s="1">
        <f>Tabela1[[#This Row],[Alongamento (mm/mm)]]/$I$2</f>
        <v>8.6942000000000005E-2</v>
      </c>
      <c r="D394" s="1">
        <v>430.18</v>
      </c>
      <c r="E394" s="1">
        <f>Tabela1[[#This Row],[Força (N)]]/$I$5</f>
        <v>8909812.4337221626</v>
      </c>
      <c r="F394" s="1">
        <f>Tabela1[[#This Row],[Tensão (Pa)]]/1000000</f>
        <v>8.9098124337221627</v>
      </c>
    </row>
    <row r="395" spans="1:6" x14ac:dyDescent="0.3">
      <c r="A395" s="1">
        <v>52.35</v>
      </c>
      <c r="B395" s="1">
        <v>4.3555000000000001</v>
      </c>
      <c r="C395" s="1">
        <f>Tabela1[[#This Row],[Alongamento (mm/mm)]]/$I$2</f>
        <v>8.7110000000000007E-2</v>
      </c>
      <c r="D395" s="1">
        <v>433.58</v>
      </c>
      <c r="E395" s="1">
        <f>Tabela1[[#This Row],[Força (N)]]/$I$5</f>
        <v>8980232.6352067869</v>
      </c>
      <c r="F395" s="1">
        <f>Tabela1[[#This Row],[Tensão (Pa)]]/1000000</f>
        <v>8.9802326352067876</v>
      </c>
    </row>
    <row r="396" spans="1:6" x14ac:dyDescent="0.3">
      <c r="A396" s="1">
        <v>52.45</v>
      </c>
      <c r="B396" s="1">
        <v>4.3638000000000003</v>
      </c>
      <c r="C396" s="1">
        <f>Tabela1[[#This Row],[Alongamento (mm/mm)]]/$I$2</f>
        <v>8.7276000000000006E-2</v>
      </c>
      <c r="D396" s="1">
        <v>436.98</v>
      </c>
      <c r="E396" s="1">
        <f>Tabela1[[#This Row],[Força (N)]]/$I$5</f>
        <v>9050652.8366914112</v>
      </c>
      <c r="F396" s="1">
        <f>Tabela1[[#This Row],[Tensão (Pa)]]/1000000</f>
        <v>9.0506528366914107</v>
      </c>
    </row>
    <row r="397" spans="1:6" x14ac:dyDescent="0.3">
      <c r="A397" s="1">
        <v>52.55</v>
      </c>
      <c r="B397" s="1">
        <v>4.3720999999999997</v>
      </c>
      <c r="C397" s="1">
        <f>Tabela1[[#This Row],[Alongamento (mm/mm)]]/$I$2</f>
        <v>8.7441999999999992E-2</v>
      </c>
      <c r="D397" s="1">
        <v>440.56</v>
      </c>
      <c r="E397" s="1">
        <f>Tabela1[[#This Row],[Força (N)]]/$I$5</f>
        <v>9124801.1664899252</v>
      </c>
      <c r="F397" s="1">
        <f>Tabela1[[#This Row],[Tensão (Pa)]]/1000000</f>
        <v>9.1248011664899256</v>
      </c>
    </row>
    <row r="398" spans="1:6" x14ac:dyDescent="0.3">
      <c r="A398" s="1">
        <v>52.65</v>
      </c>
      <c r="B398" s="1">
        <v>4.3803999999999998</v>
      </c>
      <c r="C398" s="1">
        <f>Tabela1[[#This Row],[Alongamento (mm/mm)]]/$I$2</f>
        <v>8.7607999999999991E-2</v>
      </c>
      <c r="D398" s="1">
        <v>444.13</v>
      </c>
      <c r="E398" s="1">
        <f>Tabela1[[#This Row],[Força (N)]]/$I$5</f>
        <v>9198742.3780487794</v>
      </c>
      <c r="F398" s="1">
        <f>Tabela1[[#This Row],[Tensão (Pa)]]/1000000</f>
        <v>9.1987423780487791</v>
      </c>
    </row>
    <row r="399" spans="1:6" x14ac:dyDescent="0.3">
      <c r="A399" s="1">
        <v>52.75</v>
      </c>
      <c r="B399" s="1">
        <v>4.3887999999999998</v>
      </c>
      <c r="C399" s="1">
        <f>Tabela1[[#This Row],[Alongamento (mm/mm)]]/$I$2</f>
        <v>8.7775999999999993E-2</v>
      </c>
      <c r="D399" s="1">
        <v>447.53</v>
      </c>
      <c r="E399" s="1">
        <f>Tabela1[[#This Row],[Força (N)]]/$I$5</f>
        <v>9269162.5795334037</v>
      </c>
      <c r="F399" s="1">
        <f>Tabela1[[#This Row],[Tensão (Pa)]]/1000000</f>
        <v>9.2691625795334041</v>
      </c>
    </row>
    <row r="400" spans="1:6" x14ac:dyDescent="0.3">
      <c r="A400" s="1">
        <v>52.85</v>
      </c>
      <c r="B400" s="1">
        <v>4.3971</v>
      </c>
      <c r="C400" s="1">
        <f>Tabela1[[#This Row],[Alongamento (mm/mm)]]/$I$2</f>
        <v>8.7942000000000006E-2</v>
      </c>
      <c r="D400" s="1">
        <v>451.1</v>
      </c>
      <c r="E400" s="1">
        <f>Tabela1[[#This Row],[Força (N)]]/$I$5</f>
        <v>9343103.7910922579</v>
      </c>
      <c r="F400" s="1">
        <f>Tabela1[[#This Row],[Tensão (Pa)]]/1000000</f>
        <v>9.3431037910922576</v>
      </c>
    </row>
    <row r="401" spans="1:6" x14ac:dyDescent="0.3">
      <c r="A401" s="1">
        <v>52.95</v>
      </c>
      <c r="B401" s="1">
        <v>4.4054000000000002</v>
      </c>
      <c r="C401" s="1">
        <f>Tabela1[[#This Row],[Alongamento (mm/mm)]]/$I$2</f>
        <v>8.8108000000000006E-2</v>
      </c>
      <c r="D401" s="1">
        <v>454.5</v>
      </c>
      <c r="E401" s="1">
        <f>Tabela1[[#This Row],[Força (N)]]/$I$5</f>
        <v>9413523.9925768822</v>
      </c>
      <c r="F401" s="1">
        <f>Tabela1[[#This Row],[Tensão (Pa)]]/1000000</f>
        <v>9.4135239925768825</v>
      </c>
    </row>
    <row r="402" spans="1:6" x14ac:dyDescent="0.3">
      <c r="A402" s="1">
        <v>53.05</v>
      </c>
      <c r="B402" s="1">
        <v>4.4137000000000004</v>
      </c>
      <c r="C402" s="1">
        <f>Tabela1[[#This Row],[Alongamento (mm/mm)]]/$I$2</f>
        <v>8.8274000000000005E-2</v>
      </c>
      <c r="D402" s="1">
        <v>457.91</v>
      </c>
      <c r="E402" s="1">
        <f>Tabela1[[#This Row],[Força (N)]]/$I$5</f>
        <v>9484151.3123011664</v>
      </c>
      <c r="F402" s="1">
        <f>Tabela1[[#This Row],[Tensão (Pa)]]/1000000</f>
        <v>9.4841513123011669</v>
      </c>
    </row>
    <row r="403" spans="1:6" x14ac:dyDescent="0.3">
      <c r="A403" s="1">
        <v>53.15</v>
      </c>
      <c r="B403" s="1">
        <v>4.4221000000000004</v>
      </c>
      <c r="C403" s="1">
        <f>Tabela1[[#This Row],[Alongamento (mm/mm)]]/$I$2</f>
        <v>8.8442000000000007E-2</v>
      </c>
      <c r="D403" s="1">
        <v>461.48</v>
      </c>
      <c r="E403" s="1">
        <f>Tabela1[[#This Row],[Força (N)]]/$I$5</f>
        <v>9558092.5238600206</v>
      </c>
      <c r="F403" s="1">
        <f>Tabela1[[#This Row],[Tensão (Pa)]]/1000000</f>
        <v>9.5580925238600205</v>
      </c>
    </row>
    <row r="404" spans="1:6" x14ac:dyDescent="0.3">
      <c r="A404" s="1">
        <v>53.25</v>
      </c>
      <c r="B404" s="1">
        <v>4.4305000000000003</v>
      </c>
      <c r="C404" s="1">
        <f>Tabela1[[#This Row],[Alongamento (mm/mm)]]/$I$2</f>
        <v>8.8610000000000008E-2</v>
      </c>
      <c r="D404" s="1">
        <v>464.88</v>
      </c>
      <c r="E404" s="1">
        <f>Tabela1[[#This Row],[Força (N)]]/$I$5</f>
        <v>9628512.7253446449</v>
      </c>
      <c r="F404" s="1">
        <f>Tabela1[[#This Row],[Tensão (Pa)]]/1000000</f>
        <v>9.6285127253446454</v>
      </c>
    </row>
    <row r="405" spans="1:6" x14ac:dyDescent="0.3">
      <c r="A405" s="1">
        <v>53.35</v>
      </c>
      <c r="B405" s="1">
        <v>4.4387999999999996</v>
      </c>
      <c r="C405" s="1">
        <f>Tabela1[[#This Row],[Alongamento (mm/mm)]]/$I$2</f>
        <v>8.8775999999999994E-2</v>
      </c>
      <c r="D405" s="1">
        <v>468.45</v>
      </c>
      <c r="E405" s="1">
        <f>Tabela1[[#This Row],[Força (N)]]/$I$5</f>
        <v>9702453.9369034991</v>
      </c>
      <c r="F405" s="1">
        <f>Tabela1[[#This Row],[Tensão (Pa)]]/1000000</f>
        <v>9.702453936903499</v>
      </c>
    </row>
    <row r="406" spans="1:6" x14ac:dyDescent="0.3">
      <c r="A406" s="1">
        <v>53.45</v>
      </c>
      <c r="B406" s="1">
        <v>4.4470999999999998</v>
      </c>
      <c r="C406" s="1">
        <f>Tabela1[[#This Row],[Alongamento (mm/mm)]]/$I$2</f>
        <v>8.8941999999999993E-2</v>
      </c>
      <c r="D406" s="1">
        <v>471.85</v>
      </c>
      <c r="E406" s="1">
        <f>Tabela1[[#This Row],[Força (N)]]/$I$5</f>
        <v>9772874.1383881234</v>
      </c>
      <c r="F406" s="1">
        <f>Tabela1[[#This Row],[Tensão (Pa)]]/1000000</f>
        <v>9.7728741383881239</v>
      </c>
    </row>
    <row r="407" spans="1:6" x14ac:dyDescent="0.3">
      <c r="A407" s="1">
        <v>53.55</v>
      </c>
      <c r="B407" s="1">
        <v>4.4554999999999998</v>
      </c>
      <c r="C407" s="1">
        <f>Tabela1[[#This Row],[Alongamento (mm/mm)]]/$I$2</f>
        <v>8.9109999999999995E-2</v>
      </c>
      <c r="D407" s="1">
        <v>475.43</v>
      </c>
      <c r="E407" s="1">
        <f>Tabela1[[#This Row],[Força (N)]]/$I$5</f>
        <v>9847022.4681866374</v>
      </c>
      <c r="F407" s="1">
        <f>Tabela1[[#This Row],[Tensão (Pa)]]/1000000</f>
        <v>9.847022468186637</v>
      </c>
    </row>
    <row r="408" spans="1:6" x14ac:dyDescent="0.3">
      <c r="A408" s="1">
        <v>53.65</v>
      </c>
      <c r="B408" s="1">
        <v>4.4638</v>
      </c>
      <c r="C408" s="1">
        <f>Tabela1[[#This Row],[Alongamento (mm/mm)]]/$I$2</f>
        <v>8.9275999999999994E-2</v>
      </c>
      <c r="D408" s="1">
        <v>479</v>
      </c>
      <c r="E408" s="1">
        <f>Tabela1[[#This Row],[Força (N)]]/$I$5</f>
        <v>9920963.6797454935</v>
      </c>
      <c r="F408" s="1">
        <f>Tabela1[[#This Row],[Tensão (Pa)]]/1000000</f>
        <v>9.9209636797454941</v>
      </c>
    </row>
    <row r="409" spans="1:6" x14ac:dyDescent="0.3">
      <c r="A409" s="1">
        <v>53.767000000000003</v>
      </c>
      <c r="B409" s="1">
        <v>4.4734999999999996</v>
      </c>
      <c r="C409" s="1">
        <f>Tabela1[[#This Row],[Alongamento (mm/mm)]]/$I$2</f>
        <v>8.9469999999999994E-2</v>
      </c>
      <c r="D409" s="1">
        <v>483.08</v>
      </c>
      <c r="E409" s="1">
        <f>Tabela1[[#This Row],[Força (N)]]/$I$5</f>
        <v>10005467.921527041</v>
      </c>
      <c r="F409" s="1">
        <f>Tabela1[[#This Row],[Tensão (Pa)]]/1000000</f>
        <v>10.005467921527041</v>
      </c>
    </row>
    <row r="410" spans="1:6" x14ac:dyDescent="0.3">
      <c r="A410" s="1">
        <v>53.883000000000003</v>
      </c>
      <c r="B410" s="1">
        <v>4.4832000000000001</v>
      </c>
      <c r="C410" s="1">
        <f>Tabela1[[#This Row],[Alongamento (mm/mm)]]/$I$2</f>
        <v>8.9664000000000008E-2</v>
      </c>
      <c r="D410" s="1">
        <v>487.16</v>
      </c>
      <c r="E410" s="1">
        <f>Tabela1[[#This Row],[Força (N)]]/$I$5</f>
        <v>10089972.163308589</v>
      </c>
      <c r="F410" s="1">
        <f>Tabela1[[#This Row],[Tensão (Pa)]]/1000000</f>
        <v>10.089972163308589</v>
      </c>
    </row>
    <row r="411" spans="1:6" x14ac:dyDescent="0.3">
      <c r="A411" s="1">
        <v>54</v>
      </c>
      <c r="B411" s="1">
        <v>4.4930000000000003</v>
      </c>
      <c r="C411" s="1">
        <f>Tabela1[[#This Row],[Alongamento (mm/mm)]]/$I$2</f>
        <v>8.9860000000000009E-2</v>
      </c>
      <c r="D411" s="1">
        <v>491.25</v>
      </c>
      <c r="E411" s="1">
        <f>Tabela1[[#This Row],[Força (N)]]/$I$5</f>
        <v>10174683.523329798</v>
      </c>
      <c r="F411" s="1">
        <f>Tabela1[[#This Row],[Tensão (Pa)]]/1000000</f>
        <v>10.174683523329799</v>
      </c>
    </row>
    <row r="412" spans="1:6" x14ac:dyDescent="0.3">
      <c r="A412" s="1">
        <v>54.116999999999997</v>
      </c>
      <c r="B412" s="1">
        <v>4.5026999999999999</v>
      </c>
      <c r="C412" s="1">
        <f>Tabela1[[#This Row],[Alongamento (mm/mm)]]/$I$2</f>
        <v>9.0053999999999995E-2</v>
      </c>
      <c r="D412" s="1">
        <v>495.33</v>
      </c>
      <c r="E412" s="1">
        <f>Tabela1[[#This Row],[Força (N)]]/$I$5</f>
        <v>10259187.765111346</v>
      </c>
      <c r="F412" s="1">
        <f>Tabela1[[#This Row],[Tensão (Pa)]]/1000000</f>
        <v>10.259187765111346</v>
      </c>
    </row>
    <row r="413" spans="1:6" x14ac:dyDescent="0.3">
      <c r="A413" s="1">
        <v>54.232999999999997</v>
      </c>
      <c r="B413" s="1">
        <v>4.5125000000000002</v>
      </c>
      <c r="C413" s="1">
        <f>Tabela1[[#This Row],[Alongamento (mm/mm)]]/$I$2</f>
        <v>9.0249999999999997E-2</v>
      </c>
      <c r="D413" s="1">
        <v>499.41</v>
      </c>
      <c r="E413" s="1">
        <f>Tabela1[[#This Row],[Força (N)]]/$I$5</f>
        <v>10343692.006892895</v>
      </c>
      <c r="F413" s="1">
        <f>Tabela1[[#This Row],[Tensão (Pa)]]/1000000</f>
        <v>10.343692006892896</v>
      </c>
    </row>
    <row r="414" spans="1:6" x14ac:dyDescent="0.3">
      <c r="A414" s="1">
        <v>54.35</v>
      </c>
      <c r="B414" s="1">
        <v>4.5221999999999998</v>
      </c>
      <c r="C414" s="1">
        <f>Tabela1[[#This Row],[Alongamento (mm/mm)]]/$I$2</f>
        <v>9.0443999999999997E-2</v>
      </c>
      <c r="D414" s="1">
        <v>503.49</v>
      </c>
      <c r="E414" s="1">
        <f>Tabela1[[#This Row],[Força (N)]]/$I$5</f>
        <v>10428196.248674443</v>
      </c>
      <c r="F414" s="1">
        <f>Tabela1[[#This Row],[Tensão (Pa)]]/1000000</f>
        <v>10.428196248674443</v>
      </c>
    </row>
    <row r="415" spans="1:6" x14ac:dyDescent="0.3">
      <c r="A415" s="1">
        <v>54.466999999999999</v>
      </c>
      <c r="B415" s="1">
        <v>4.5317999999999996</v>
      </c>
      <c r="C415" s="1">
        <f>Tabela1[[#This Row],[Alongamento (mm/mm)]]/$I$2</f>
        <v>9.0635999999999994E-2</v>
      </c>
      <c r="D415" s="1">
        <v>507.74</v>
      </c>
      <c r="E415" s="1">
        <f>Tabela1[[#This Row],[Força (N)]]/$I$5</f>
        <v>10516221.500530222</v>
      </c>
      <c r="F415" s="1">
        <f>Tabela1[[#This Row],[Tensão (Pa)]]/1000000</f>
        <v>10.516221500530223</v>
      </c>
    </row>
    <row r="416" spans="1:6" x14ac:dyDescent="0.3">
      <c r="A416" s="1">
        <v>54.582999999999998</v>
      </c>
      <c r="B416" s="1">
        <v>4.5415999999999999</v>
      </c>
      <c r="C416" s="1">
        <f>Tabela1[[#This Row],[Alongamento (mm/mm)]]/$I$2</f>
        <v>9.0831999999999996E-2</v>
      </c>
      <c r="D416" s="1">
        <v>511.83</v>
      </c>
      <c r="E416" s="1">
        <f>Tabela1[[#This Row],[Força (N)]]/$I$5</f>
        <v>10600932.86055143</v>
      </c>
      <c r="F416" s="1">
        <f>Tabela1[[#This Row],[Tensão (Pa)]]/1000000</f>
        <v>10.600932860551429</v>
      </c>
    </row>
    <row r="417" spans="1:6" x14ac:dyDescent="0.3">
      <c r="A417" s="1">
        <v>54.7</v>
      </c>
      <c r="B417" s="1">
        <v>4.5511999999999997</v>
      </c>
      <c r="C417" s="1">
        <f>Tabela1[[#This Row],[Alongamento (mm/mm)]]/$I$2</f>
        <v>9.1023999999999994E-2</v>
      </c>
      <c r="D417" s="1">
        <v>516.08000000000004</v>
      </c>
      <c r="E417" s="1">
        <f>Tabela1[[#This Row],[Força (N)]]/$I$5</f>
        <v>10688958.112407211</v>
      </c>
      <c r="F417" s="1">
        <f>Tabela1[[#This Row],[Tensão (Pa)]]/1000000</f>
        <v>10.688958112407212</v>
      </c>
    </row>
    <row r="418" spans="1:6" x14ac:dyDescent="0.3">
      <c r="A418" s="1">
        <v>54.817</v>
      </c>
      <c r="B418" s="1">
        <v>4.5609999999999999</v>
      </c>
      <c r="C418" s="1">
        <f>Tabela1[[#This Row],[Alongamento (mm/mm)]]/$I$2</f>
        <v>9.1219999999999996E-2</v>
      </c>
      <c r="D418" s="1">
        <v>520.33000000000004</v>
      </c>
      <c r="E418" s="1">
        <f>Tabela1[[#This Row],[Força (N)]]/$I$5</f>
        <v>10776983.364262991</v>
      </c>
      <c r="F418" s="1">
        <f>Tabela1[[#This Row],[Tensão (Pa)]]/1000000</f>
        <v>10.776983364262991</v>
      </c>
    </row>
    <row r="419" spans="1:6" x14ac:dyDescent="0.3">
      <c r="A419" s="1">
        <v>54.933</v>
      </c>
      <c r="B419" s="1">
        <v>4.5707000000000004</v>
      </c>
      <c r="C419" s="1">
        <f>Tabela1[[#This Row],[Alongamento (mm/mm)]]/$I$2</f>
        <v>9.1414000000000009E-2</v>
      </c>
      <c r="D419" s="1">
        <v>524.41</v>
      </c>
      <c r="E419" s="1">
        <f>Tabela1[[#This Row],[Força (N)]]/$I$5</f>
        <v>10861487.606044538</v>
      </c>
      <c r="F419" s="1">
        <f>Tabela1[[#This Row],[Tensão (Pa)]]/1000000</f>
        <v>10.861487606044538</v>
      </c>
    </row>
    <row r="420" spans="1:6" x14ac:dyDescent="0.3">
      <c r="A420" s="1">
        <v>55.05</v>
      </c>
      <c r="B420" s="1">
        <v>4.5804999999999998</v>
      </c>
      <c r="C420" s="1">
        <f>Tabela1[[#This Row],[Alongamento (mm/mm)]]/$I$2</f>
        <v>9.1609999999999997E-2</v>
      </c>
      <c r="D420" s="1">
        <v>528.66999999999996</v>
      </c>
      <c r="E420" s="1">
        <f>Tabela1[[#This Row],[Força (N)]]/$I$5</f>
        <v>10949719.976139978</v>
      </c>
      <c r="F420" s="1">
        <f>Tabela1[[#This Row],[Tensão (Pa)]]/1000000</f>
        <v>10.949719976139978</v>
      </c>
    </row>
    <row r="421" spans="1:6" x14ac:dyDescent="0.3">
      <c r="A421" s="1">
        <v>55.167000000000002</v>
      </c>
      <c r="B421" s="1">
        <v>4.5902000000000003</v>
      </c>
      <c r="C421" s="1">
        <f>Tabela1[[#This Row],[Alongamento (mm/mm)]]/$I$2</f>
        <v>9.1804000000000011E-2</v>
      </c>
      <c r="D421" s="1">
        <v>532.91999999999996</v>
      </c>
      <c r="E421" s="1">
        <f>Tabela1[[#This Row],[Força (N)]]/$I$5</f>
        <v>11037745.227995757</v>
      </c>
      <c r="F421" s="1">
        <f>Tabela1[[#This Row],[Tensão (Pa)]]/1000000</f>
        <v>11.037745227995757</v>
      </c>
    </row>
    <row r="422" spans="1:6" x14ac:dyDescent="0.3">
      <c r="A422" s="1">
        <v>55.283000000000001</v>
      </c>
      <c r="B422" s="1">
        <v>4.5998999999999999</v>
      </c>
      <c r="C422" s="1">
        <f>Tabela1[[#This Row],[Alongamento (mm/mm)]]/$I$2</f>
        <v>9.1997999999999996E-2</v>
      </c>
      <c r="D422" s="1">
        <v>537.16999999999996</v>
      </c>
      <c r="E422" s="1">
        <f>Tabela1[[#This Row],[Força (N)]]/$I$5</f>
        <v>11125770.479851536</v>
      </c>
      <c r="F422" s="1">
        <f>Tabela1[[#This Row],[Tensão (Pa)]]/1000000</f>
        <v>11.125770479851537</v>
      </c>
    </row>
    <row r="423" spans="1:6" x14ac:dyDescent="0.3">
      <c r="A423" s="1">
        <v>55.4</v>
      </c>
      <c r="B423" s="1">
        <v>4.6096000000000004</v>
      </c>
      <c r="C423" s="1">
        <f>Tabela1[[#This Row],[Alongamento (mm/mm)]]/$I$2</f>
        <v>9.219200000000001E-2</v>
      </c>
      <c r="D423" s="1">
        <v>541.25</v>
      </c>
      <c r="E423" s="1">
        <f>Tabela1[[#This Row],[Força (N)]]/$I$5</f>
        <v>11210274.721633086</v>
      </c>
      <c r="F423" s="1">
        <f>Tabela1[[#This Row],[Tensão (Pa)]]/1000000</f>
        <v>11.210274721633086</v>
      </c>
    </row>
    <row r="424" spans="1:6" x14ac:dyDescent="0.3">
      <c r="A424" s="1">
        <v>55.517000000000003</v>
      </c>
      <c r="B424" s="1">
        <v>4.6193999999999997</v>
      </c>
      <c r="C424" s="1">
        <f>Tabela1[[#This Row],[Alongamento (mm/mm)]]/$I$2</f>
        <v>9.2387999999999998E-2</v>
      </c>
      <c r="D424" s="1">
        <v>545.51</v>
      </c>
      <c r="E424" s="1">
        <f>Tabela1[[#This Row],[Força (N)]]/$I$5</f>
        <v>11298507.091728525</v>
      </c>
      <c r="F424" s="1">
        <f>Tabela1[[#This Row],[Tensão (Pa)]]/1000000</f>
        <v>11.298507091728526</v>
      </c>
    </row>
    <row r="425" spans="1:6" x14ac:dyDescent="0.3">
      <c r="A425" s="1">
        <v>55.633000000000003</v>
      </c>
      <c r="B425" s="1">
        <v>4.6291000000000002</v>
      </c>
      <c r="C425" s="1">
        <f>Tabela1[[#This Row],[Alongamento (mm/mm)]]/$I$2</f>
        <v>9.2581999999999998E-2</v>
      </c>
      <c r="D425" s="1">
        <v>549.76</v>
      </c>
      <c r="E425" s="1">
        <f>Tabela1[[#This Row],[Força (N)]]/$I$5</f>
        <v>11386532.343584305</v>
      </c>
      <c r="F425" s="1">
        <f>Tabela1[[#This Row],[Tensão (Pa)]]/1000000</f>
        <v>11.386532343584305</v>
      </c>
    </row>
    <row r="426" spans="1:6" x14ac:dyDescent="0.3">
      <c r="A426" s="1">
        <v>55.75</v>
      </c>
      <c r="B426" s="1">
        <v>4.6387999999999998</v>
      </c>
      <c r="C426" s="1">
        <f>Tabela1[[#This Row],[Alongamento (mm/mm)]]/$I$2</f>
        <v>9.2775999999999997E-2</v>
      </c>
      <c r="D426" s="1">
        <v>554.01</v>
      </c>
      <c r="E426" s="1">
        <f>Tabela1[[#This Row],[Força (N)]]/$I$5</f>
        <v>11474557.595440084</v>
      </c>
      <c r="F426" s="1">
        <f>Tabela1[[#This Row],[Tensão (Pa)]]/1000000</f>
        <v>11.474557595440084</v>
      </c>
    </row>
    <row r="427" spans="1:6" x14ac:dyDescent="0.3">
      <c r="A427" s="1">
        <v>55.866999999999997</v>
      </c>
      <c r="B427" s="1">
        <v>4.6485000000000003</v>
      </c>
      <c r="C427" s="1">
        <f>Tabela1[[#This Row],[Alongamento (mm/mm)]]/$I$2</f>
        <v>9.2970000000000011E-2</v>
      </c>
      <c r="D427" s="1">
        <v>558.42999999999995</v>
      </c>
      <c r="E427" s="1">
        <f>Tabela1[[#This Row],[Força (N)]]/$I$5</f>
        <v>11566103.857370093</v>
      </c>
      <c r="F427" s="1">
        <f>Tabela1[[#This Row],[Tensão (Pa)]]/1000000</f>
        <v>11.566103857370093</v>
      </c>
    </row>
    <row r="428" spans="1:6" x14ac:dyDescent="0.3">
      <c r="A428" s="1">
        <v>55.982999999999997</v>
      </c>
      <c r="B428" s="1">
        <v>4.6582999999999997</v>
      </c>
      <c r="C428" s="1">
        <f>Tabela1[[#This Row],[Alongamento (mm/mm)]]/$I$2</f>
        <v>9.3165999999999999E-2</v>
      </c>
      <c r="D428" s="1">
        <v>562.69000000000005</v>
      </c>
      <c r="E428" s="1">
        <f>Tabela1[[#This Row],[Força (N)]]/$I$5</f>
        <v>11654336.227465536</v>
      </c>
      <c r="F428" s="1">
        <f>Tabela1[[#This Row],[Tensão (Pa)]]/1000000</f>
        <v>11.654336227465537</v>
      </c>
    </row>
    <row r="429" spans="1:6" x14ac:dyDescent="0.3">
      <c r="A429" s="1">
        <v>56.1</v>
      </c>
      <c r="B429" s="1">
        <v>4.6680000000000001</v>
      </c>
      <c r="C429" s="1">
        <f>Tabela1[[#This Row],[Alongamento (mm/mm)]]/$I$2</f>
        <v>9.3359999999999999E-2</v>
      </c>
      <c r="D429" s="1">
        <v>567.11</v>
      </c>
      <c r="E429" s="1">
        <f>Tabela1[[#This Row],[Força (N)]]/$I$5</f>
        <v>11745882.489395546</v>
      </c>
      <c r="F429" s="1">
        <f>Tabela1[[#This Row],[Tensão (Pa)]]/1000000</f>
        <v>11.745882489395546</v>
      </c>
    </row>
    <row r="430" spans="1:6" x14ac:dyDescent="0.3">
      <c r="A430" s="1">
        <v>56.232999999999997</v>
      </c>
      <c r="B430" s="1">
        <v>4.6791</v>
      </c>
      <c r="C430" s="1">
        <f>Tabela1[[#This Row],[Alongamento (mm/mm)]]/$I$2</f>
        <v>9.3581999999999999E-2</v>
      </c>
      <c r="D430" s="1">
        <v>572.04</v>
      </c>
      <c r="E430" s="1">
        <f>Tabela1[[#This Row],[Força (N)]]/$I$5</f>
        <v>11847991.781548249</v>
      </c>
      <c r="F430" s="1">
        <f>Tabela1[[#This Row],[Tensão (Pa)]]/1000000</f>
        <v>11.847991781548249</v>
      </c>
    </row>
    <row r="431" spans="1:6" x14ac:dyDescent="0.3">
      <c r="A431" s="1">
        <v>56.366999999999997</v>
      </c>
      <c r="B431" s="1">
        <v>4.6901000000000002</v>
      </c>
      <c r="C431" s="1">
        <f>Tabela1[[#This Row],[Alongamento (mm/mm)]]/$I$2</f>
        <v>9.3801999999999996E-2</v>
      </c>
      <c r="D431" s="1">
        <v>576.98</v>
      </c>
      <c r="E431" s="1">
        <f>Tabela1[[#This Row],[Força (N)]]/$I$5</f>
        <v>11950308.191940615</v>
      </c>
      <c r="F431" s="1">
        <f>Tabela1[[#This Row],[Tensão (Pa)]]/1000000</f>
        <v>11.950308191940614</v>
      </c>
    </row>
    <row r="432" spans="1:6" x14ac:dyDescent="0.3">
      <c r="A432" s="1">
        <v>56.5</v>
      </c>
      <c r="B432" s="1">
        <v>4.7012</v>
      </c>
      <c r="C432" s="1">
        <f>Tabela1[[#This Row],[Alongamento (mm/mm)]]/$I$2</f>
        <v>9.4023999999999996E-2</v>
      </c>
      <c r="D432" s="1">
        <v>581.91</v>
      </c>
      <c r="E432" s="1">
        <f>Tabela1[[#This Row],[Força (N)]]/$I$5</f>
        <v>12052417.484093318</v>
      </c>
      <c r="F432" s="1">
        <f>Tabela1[[#This Row],[Tensão (Pa)]]/1000000</f>
        <v>12.052417484093318</v>
      </c>
    </row>
    <row r="433" spans="1:6" x14ac:dyDescent="0.3">
      <c r="A433" s="1">
        <v>56.633000000000003</v>
      </c>
      <c r="B433" s="1">
        <v>4.7125000000000004</v>
      </c>
      <c r="C433" s="1">
        <f>Tabela1[[#This Row],[Alongamento (mm/mm)]]/$I$2</f>
        <v>9.425E-2</v>
      </c>
      <c r="D433" s="1">
        <v>586.84</v>
      </c>
      <c r="E433" s="1">
        <f>Tabela1[[#This Row],[Força (N)]]/$I$5</f>
        <v>12154526.776246024</v>
      </c>
      <c r="F433" s="1">
        <f>Tabela1[[#This Row],[Tensão (Pa)]]/1000000</f>
        <v>12.154526776246025</v>
      </c>
    </row>
    <row r="434" spans="1:6" x14ac:dyDescent="0.3">
      <c r="A434" s="1">
        <v>56.75</v>
      </c>
      <c r="B434" s="1">
        <v>4.7221000000000002</v>
      </c>
      <c r="C434" s="1">
        <f>Tabela1[[#This Row],[Alongamento (mm/mm)]]/$I$2</f>
        <v>9.4441999999999998E-2</v>
      </c>
      <c r="D434" s="1">
        <v>591.26</v>
      </c>
      <c r="E434" s="1">
        <f>Tabela1[[#This Row],[Força (N)]]/$I$5</f>
        <v>12246073.038176034</v>
      </c>
      <c r="F434" s="1">
        <f>Tabela1[[#This Row],[Tensão (Pa)]]/1000000</f>
        <v>12.246073038176034</v>
      </c>
    </row>
    <row r="435" spans="1:6" x14ac:dyDescent="0.3">
      <c r="A435" s="1">
        <v>56.866999999999997</v>
      </c>
      <c r="B435" s="1">
        <v>4.7317999999999998</v>
      </c>
      <c r="C435" s="1">
        <f>Tabela1[[#This Row],[Alongamento (mm/mm)]]/$I$2</f>
        <v>9.4635999999999998E-2</v>
      </c>
      <c r="D435" s="1">
        <v>595.86</v>
      </c>
      <c r="E435" s="1">
        <f>Tabela1[[#This Row],[Força (N)]]/$I$5</f>
        <v>12341347.428419936</v>
      </c>
      <c r="F435" s="1">
        <f>Tabela1[[#This Row],[Tensão (Pa)]]/1000000</f>
        <v>12.341347428419937</v>
      </c>
    </row>
    <row r="436" spans="1:6" x14ac:dyDescent="0.3">
      <c r="A436" s="1">
        <v>56.982999999999997</v>
      </c>
      <c r="B436" s="1">
        <v>4.7416</v>
      </c>
      <c r="C436" s="1">
        <f>Tabela1[[#This Row],[Alongamento (mm/mm)]]/$I$2</f>
        <v>9.4832E-2</v>
      </c>
      <c r="D436" s="1">
        <v>600.28</v>
      </c>
      <c r="E436" s="1">
        <f>Tabela1[[#This Row],[Força (N)]]/$I$5</f>
        <v>12432893.690349946</v>
      </c>
      <c r="F436" s="1">
        <f>Tabela1[[#This Row],[Tensão (Pa)]]/1000000</f>
        <v>12.432893690349946</v>
      </c>
    </row>
    <row r="437" spans="1:6" x14ac:dyDescent="0.3">
      <c r="A437" s="1">
        <v>57.1</v>
      </c>
      <c r="B437" s="1">
        <v>4.7514000000000003</v>
      </c>
      <c r="C437" s="1">
        <f>Tabela1[[#This Row],[Alongamento (mm/mm)]]/$I$2</f>
        <v>9.5028000000000001E-2</v>
      </c>
      <c r="D437" s="1">
        <v>604.87</v>
      </c>
      <c r="E437" s="1">
        <f>Tabela1[[#This Row],[Força (N)]]/$I$5</f>
        <v>12527960.962354189</v>
      </c>
      <c r="F437" s="1">
        <f>Tabela1[[#This Row],[Tensão (Pa)]]/1000000</f>
        <v>12.527960962354189</v>
      </c>
    </row>
    <row r="438" spans="1:6" x14ac:dyDescent="0.3">
      <c r="A438" s="1">
        <v>57.216999999999999</v>
      </c>
      <c r="B438" s="1">
        <v>4.7610000000000001</v>
      </c>
      <c r="C438" s="1">
        <f>Tabela1[[#This Row],[Alongamento (mm/mm)]]/$I$2</f>
        <v>9.5219999999999999E-2</v>
      </c>
      <c r="D438" s="1">
        <v>609.46</v>
      </c>
      <c r="E438" s="1">
        <f>Tabela1[[#This Row],[Força (N)]]/$I$5</f>
        <v>12623028.23435843</v>
      </c>
      <c r="F438" s="1">
        <f>Tabela1[[#This Row],[Tensão (Pa)]]/1000000</f>
        <v>12.623028234358429</v>
      </c>
    </row>
    <row r="439" spans="1:6" x14ac:dyDescent="0.3">
      <c r="A439" s="1">
        <v>57.332999999999998</v>
      </c>
      <c r="B439" s="1">
        <v>4.7706999999999997</v>
      </c>
      <c r="C439" s="1">
        <f>Tabela1[[#This Row],[Alongamento (mm/mm)]]/$I$2</f>
        <v>9.5413999999999999E-2</v>
      </c>
      <c r="D439" s="1">
        <v>614.05999999999995</v>
      </c>
      <c r="E439" s="1">
        <f>Tabela1[[#This Row],[Força (N)]]/$I$5</f>
        <v>12718302.624602331</v>
      </c>
      <c r="F439" s="1">
        <f>Tabela1[[#This Row],[Tensão (Pa)]]/1000000</f>
        <v>12.71830262460233</v>
      </c>
    </row>
    <row r="440" spans="1:6" x14ac:dyDescent="0.3">
      <c r="A440" s="1">
        <v>57.466999999999999</v>
      </c>
      <c r="B440" s="1">
        <v>4.7819000000000003</v>
      </c>
      <c r="C440" s="1">
        <f>Tabela1[[#This Row],[Alongamento (mm/mm)]]/$I$2</f>
        <v>9.5638000000000001E-2</v>
      </c>
      <c r="D440" s="1">
        <v>619.33000000000004</v>
      </c>
      <c r="E440" s="1">
        <f>Tabela1[[#This Row],[Força (N)]]/$I$5</f>
        <v>12827453.936903499</v>
      </c>
      <c r="F440" s="1">
        <f>Tabela1[[#This Row],[Tensão (Pa)]]/1000000</f>
        <v>12.827453936903499</v>
      </c>
    </row>
    <row r="441" spans="1:6" x14ac:dyDescent="0.3">
      <c r="A441" s="1">
        <v>57.6</v>
      </c>
      <c r="B441" s="1">
        <v>4.7930000000000001</v>
      </c>
      <c r="C441" s="1">
        <f>Tabela1[[#This Row],[Alongamento (mm/mm)]]/$I$2</f>
        <v>9.5860000000000001E-2</v>
      </c>
      <c r="D441" s="1">
        <v>624.42999999999995</v>
      </c>
      <c r="E441" s="1">
        <f>Tabela1[[#This Row],[Força (N)]]/$I$5</f>
        <v>12933084.239130434</v>
      </c>
      <c r="F441" s="1">
        <f>Tabela1[[#This Row],[Tensão (Pa)]]/1000000</f>
        <v>12.933084239130434</v>
      </c>
    </row>
    <row r="442" spans="1:6" x14ac:dyDescent="0.3">
      <c r="A442" s="1">
        <v>57.732999999999997</v>
      </c>
      <c r="B442" s="1">
        <v>4.8040000000000003</v>
      </c>
      <c r="C442" s="1">
        <f>Tabela1[[#This Row],[Alongamento (mm/mm)]]/$I$2</f>
        <v>9.6079999999999999E-2</v>
      </c>
      <c r="D442" s="1">
        <v>629.88</v>
      </c>
      <c r="E442" s="1">
        <f>Tabela1[[#This Row],[Força (N)]]/$I$5</f>
        <v>13045963.679745492</v>
      </c>
      <c r="F442" s="1">
        <f>Tabela1[[#This Row],[Tensão (Pa)]]/1000000</f>
        <v>13.045963679745492</v>
      </c>
    </row>
    <row r="443" spans="1:6" x14ac:dyDescent="0.3">
      <c r="A443" s="1">
        <v>57.866999999999997</v>
      </c>
      <c r="B443" s="1">
        <v>4.8151999999999999</v>
      </c>
      <c r="C443" s="1">
        <f>Tabela1[[#This Row],[Alongamento (mm/mm)]]/$I$2</f>
        <v>9.6304000000000001E-2</v>
      </c>
      <c r="D443" s="1">
        <v>635.15</v>
      </c>
      <c r="E443" s="1">
        <f>Tabela1[[#This Row],[Força (N)]]/$I$5</f>
        <v>13155114.992046658</v>
      </c>
      <c r="F443" s="1">
        <f>Tabela1[[#This Row],[Tensão (Pa)]]/1000000</f>
        <v>13.155114992046657</v>
      </c>
    </row>
    <row r="444" spans="1:6" x14ac:dyDescent="0.3">
      <c r="A444" s="1">
        <v>58</v>
      </c>
      <c r="B444" s="1">
        <v>4.8262999999999998</v>
      </c>
      <c r="C444" s="1">
        <f>Tabela1[[#This Row],[Alongamento (mm/mm)]]/$I$2</f>
        <v>9.6526000000000001E-2</v>
      </c>
      <c r="D444" s="1">
        <v>640.41999999999996</v>
      </c>
      <c r="E444" s="1">
        <f>Tabela1[[#This Row],[Força (N)]]/$I$5</f>
        <v>13264266.304347824</v>
      </c>
      <c r="F444" s="1">
        <f>Tabela1[[#This Row],[Tensão (Pa)]]/1000000</f>
        <v>13.264266304347824</v>
      </c>
    </row>
    <row r="445" spans="1:6" x14ac:dyDescent="0.3">
      <c r="A445" s="1">
        <v>58.133000000000003</v>
      </c>
      <c r="B445" s="1">
        <v>4.8373999999999997</v>
      </c>
      <c r="C445" s="1">
        <f>Tabela1[[#This Row],[Alongamento (mm/mm)]]/$I$2</f>
        <v>9.6748000000000001E-2</v>
      </c>
      <c r="D445" s="1">
        <v>645.70000000000005</v>
      </c>
      <c r="E445" s="1">
        <f>Tabela1[[#This Row],[Força (N)]]/$I$5</f>
        <v>13373624.734888654</v>
      </c>
      <c r="F445" s="1">
        <f>Tabela1[[#This Row],[Tensão (Pa)]]/1000000</f>
        <v>13.373624734888654</v>
      </c>
    </row>
    <row r="446" spans="1:6" x14ac:dyDescent="0.3">
      <c r="A446" s="1">
        <v>58.25</v>
      </c>
      <c r="B446" s="1">
        <v>4.8471000000000002</v>
      </c>
      <c r="C446" s="1">
        <f>Tabela1[[#This Row],[Alongamento (mm/mm)]]/$I$2</f>
        <v>9.6942E-2</v>
      </c>
      <c r="D446" s="1">
        <v>650.46</v>
      </c>
      <c r="E446" s="1">
        <f>Tabela1[[#This Row],[Força (N)]]/$I$5</f>
        <v>13472213.016967127</v>
      </c>
      <c r="F446" s="1">
        <f>Tabela1[[#This Row],[Tensão (Pa)]]/1000000</f>
        <v>13.472213016967126</v>
      </c>
    </row>
    <row r="447" spans="1:6" x14ac:dyDescent="0.3">
      <c r="A447" s="1">
        <v>58.366999999999997</v>
      </c>
      <c r="B447" s="1">
        <v>4.8567999999999998</v>
      </c>
      <c r="C447" s="1">
        <f>Tabela1[[#This Row],[Alongamento (mm/mm)]]/$I$2</f>
        <v>9.7136E-2</v>
      </c>
      <c r="D447" s="1">
        <v>655.22</v>
      </c>
      <c r="E447" s="1">
        <f>Tabela1[[#This Row],[Força (N)]]/$I$5</f>
        <v>13570801.2990456</v>
      </c>
      <c r="F447" s="1">
        <f>Tabela1[[#This Row],[Tensão (Pa)]]/1000000</f>
        <v>13.5708012990456</v>
      </c>
    </row>
    <row r="448" spans="1:6" x14ac:dyDescent="0.3">
      <c r="A448" s="1">
        <v>58.5</v>
      </c>
      <c r="B448" s="1">
        <v>4.8680000000000003</v>
      </c>
      <c r="C448" s="1">
        <f>Tabela1[[#This Row],[Alongamento (mm/mm)]]/$I$2</f>
        <v>9.7360000000000002E-2</v>
      </c>
      <c r="D448" s="1">
        <v>660.49</v>
      </c>
      <c r="E448" s="1">
        <f>Tabela1[[#This Row],[Força (N)]]/$I$5</f>
        <v>13679952.611346764</v>
      </c>
      <c r="F448" s="1">
        <f>Tabela1[[#This Row],[Tensão (Pa)]]/1000000</f>
        <v>13.679952611346765</v>
      </c>
    </row>
    <row r="449" spans="1:6" x14ac:dyDescent="0.3">
      <c r="A449" s="1">
        <v>58.633000000000003</v>
      </c>
      <c r="B449" s="1">
        <v>4.8789999999999996</v>
      </c>
      <c r="C449" s="1">
        <f>Tabela1[[#This Row],[Alongamento (mm/mm)]]/$I$2</f>
        <v>9.7579999999999986E-2</v>
      </c>
      <c r="D449" s="1">
        <v>665.77</v>
      </c>
      <c r="E449" s="1">
        <f>Tabela1[[#This Row],[Força (N)]]/$I$5</f>
        <v>13789311.041887593</v>
      </c>
      <c r="F449" s="1">
        <f>Tabela1[[#This Row],[Tensão (Pa)]]/1000000</f>
        <v>13.789311041887592</v>
      </c>
    </row>
    <row r="450" spans="1:6" x14ac:dyDescent="0.3">
      <c r="A450" s="1">
        <v>58.767000000000003</v>
      </c>
      <c r="B450" s="1">
        <v>4.8902999999999999</v>
      </c>
      <c r="C450" s="1">
        <f>Tabela1[[#This Row],[Alongamento (mm/mm)]]/$I$2</f>
        <v>9.7806000000000004E-2</v>
      </c>
      <c r="D450" s="1">
        <v>671.21</v>
      </c>
      <c r="E450" s="1">
        <f>Tabela1[[#This Row],[Força (N)]]/$I$5</f>
        <v>13901983.364262991</v>
      </c>
      <c r="F450" s="1">
        <f>Tabela1[[#This Row],[Tensão (Pa)]]/1000000</f>
        <v>13.901983364262991</v>
      </c>
    </row>
    <row r="451" spans="1:6" x14ac:dyDescent="0.3">
      <c r="A451" s="1">
        <v>58.9</v>
      </c>
      <c r="B451" s="1">
        <v>4.9013</v>
      </c>
      <c r="C451" s="1">
        <f>Tabela1[[#This Row],[Alongamento (mm/mm)]]/$I$2</f>
        <v>9.8026000000000002E-2</v>
      </c>
      <c r="D451" s="1">
        <v>676.65</v>
      </c>
      <c r="E451" s="1">
        <f>Tabela1[[#This Row],[Força (N)]]/$I$5</f>
        <v>14014655.686638387</v>
      </c>
      <c r="F451" s="1">
        <f>Tabela1[[#This Row],[Tensão (Pa)]]/1000000</f>
        <v>14.014655686638386</v>
      </c>
    </row>
    <row r="452" spans="1:6" x14ac:dyDescent="0.3">
      <c r="A452" s="1">
        <v>59.033000000000001</v>
      </c>
      <c r="B452" s="1">
        <v>4.9123000000000001</v>
      </c>
      <c r="C452" s="1">
        <f>Tabela1[[#This Row],[Alongamento (mm/mm)]]/$I$2</f>
        <v>9.8246E-2</v>
      </c>
      <c r="D452" s="1">
        <v>682.1</v>
      </c>
      <c r="E452" s="1">
        <f>Tabela1[[#This Row],[Força (N)]]/$I$5</f>
        <v>14127535.127253447</v>
      </c>
      <c r="F452" s="1">
        <f>Tabela1[[#This Row],[Tensão (Pa)]]/1000000</f>
        <v>14.127535127253447</v>
      </c>
    </row>
    <row r="453" spans="1:6" x14ac:dyDescent="0.3">
      <c r="A453" s="1">
        <v>59.167000000000002</v>
      </c>
      <c r="B453" s="1">
        <v>4.9234999999999998</v>
      </c>
      <c r="C453" s="1">
        <f>Tabela1[[#This Row],[Alongamento (mm/mm)]]/$I$2</f>
        <v>9.8470000000000002E-2</v>
      </c>
      <c r="D453" s="1">
        <v>687.37</v>
      </c>
      <c r="E453" s="1">
        <f>Tabela1[[#This Row],[Força (N)]]/$I$5</f>
        <v>14236686.439554613</v>
      </c>
      <c r="F453" s="1">
        <f>Tabela1[[#This Row],[Tensão (Pa)]]/1000000</f>
        <v>14.236686439554614</v>
      </c>
    </row>
    <row r="454" spans="1:6" x14ac:dyDescent="0.3">
      <c r="A454" s="1">
        <v>59.3</v>
      </c>
      <c r="B454" s="1">
        <v>4.9345999999999997</v>
      </c>
      <c r="C454" s="1">
        <f>Tabela1[[#This Row],[Alongamento (mm/mm)]]/$I$2</f>
        <v>9.8691999999999988E-2</v>
      </c>
      <c r="D454" s="1">
        <v>692.81</v>
      </c>
      <c r="E454" s="1">
        <f>Tabela1[[#This Row],[Força (N)]]/$I$5</f>
        <v>14349358.761930009</v>
      </c>
      <c r="F454" s="1">
        <f>Tabela1[[#This Row],[Tensão (Pa)]]/1000000</f>
        <v>14.349358761930009</v>
      </c>
    </row>
    <row r="455" spans="1:6" x14ac:dyDescent="0.3">
      <c r="A455" s="1">
        <v>59.433</v>
      </c>
      <c r="B455" s="1">
        <v>4.9458000000000002</v>
      </c>
      <c r="C455" s="1">
        <f>Tabela1[[#This Row],[Alongamento (mm/mm)]]/$I$2</f>
        <v>9.8916000000000004E-2</v>
      </c>
      <c r="D455" s="1">
        <v>698.26</v>
      </c>
      <c r="E455" s="1">
        <f>Tabela1[[#This Row],[Força (N)]]/$I$5</f>
        <v>14462238.202545067</v>
      </c>
      <c r="F455" s="1">
        <f>Tabela1[[#This Row],[Tensão (Pa)]]/1000000</f>
        <v>14.462238202545068</v>
      </c>
    </row>
    <row r="456" spans="1:6" x14ac:dyDescent="0.3">
      <c r="A456" s="1">
        <v>59.567</v>
      </c>
      <c r="B456" s="1">
        <v>4.9568000000000003</v>
      </c>
      <c r="C456" s="1">
        <f>Tabela1[[#This Row],[Alongamento (mm/mm)]]/$I$2</f>
        <v>9.9136000000000002E-2</v>
      </c>
      <c r="D456" s="1">
        <v>703.7</v>
      </c>
      <c r="E456" s="1">
        <f>Tabela1[[#This Row],[Força (N)]]/$I$5</f>
        <v>14574910.524920467</v>
      </c>
      <c r="F456" s="1">
        <f>Tabela1[[#This Row],[Tensão (Pa)]]/1000000</f>
        <v>14.574910524920467</v>
      </c>
    </row>
    <row r="457" spans="1:6" x14ac:dyDescent="0.3">
      <c r="A457" s="1">
        <v>59.7</v>
      </c>
      <c r="B457" s="1">
        <v>4.968</v>
      </c>
      <c r="C457" s="1">
        <f>Tabela1[[#This Row],[Alongamento (mm/mm)]]/$I$2</f>
        <v>9.9360000000000004E-2</v>
      </c>
      <c r="D457" s="1">
        <v>709.14</v>
      </c>
      <c r="E457" s="1">
        <f>Tabela1[[#This Row],[Força (N)]]/$I$5</f>
        <v>14687582.847295864</v>
      </c>
      <c r="F457" s="1">
        <f>Tabela1[[#This Row],[Tensão (Pa)]]/1000000</f>
        <v>14.687582847295863</v>
      </c>
    </row>
    <row r="458" spans="1:6" x14ac:dyDescent="0.3">
      <c r="A458" s="1">
        <v>59.832999999999998</v>
      </c>
      <c r="B458" s="1">
        <v>4.9790999999999999</v>
      </c>
      <c r="C458" s="1">
        <f>Tabela1[[#This Row],[Alongamento (mm/mm)]]/$I$2</f>
        <v>9.9582000000000004E-2</v>
      </c>
      <c r="D458" s="1">
        <v>714.59</v>
      </c>
      <c r="E458" s="1">
        <f>Tabela1[[#This Row],[Força (N)]]/$I$5</f>
        <v>14800462.287910923</v>
      </c>
      <c r="F458" s="1">
        <f>Tabela1[[#This Row],[Tensão (Pa)]]/1000000</f>
        <v>14.800462287910923</v>
      </c>
    </row>
    <row r="459" spans="1:6" x14ac:dyDescent="0.3">
      <c r="A459" s="1">
        <v>59.982999999999997</v>
      </c>
      <c r="B459" s="1">
        <v>4.9916</v>
      </c>
      <c r="C459" s="1">
        <f>Tabela1[[#This Row],[Alongamento (mm/mm)]]/$I$2</f>
        <v>9.9832000000000004E-2</v>
      </c>
      <c r="D459" s="1">
        <v>720.54</v>
      </c>
      <c r="E459" s="1">
        <f>Tabela1[[#This Row],[Força (N)]]/$I$5</f>
        <v>14923697.640509013</v>
      </c>
      <c r="F459" s="1">
        <f>Tabela1[[#This Row],[Tensão (Pa)]]/1000000</f>
        <v>14.923697640509014</v>
      </c>
    </row>
    <row r="460" spans="1:6" x14ac:dyDescent="0.3">
      <c r="A460" s="1">
        <v>60.116999999999997</v>
      </c>
      <c r="B460" s="1">
        <v>5.0026999999999999</v>
      </c>
      <c r="C460" s="1">
        <f>Tabela1[[#This Row],[Alongamento (mm/mm)]]/$I$2</f>
        <v>0.100054</v>
      </c>
      <c r="D460" s="1">
        <v>725.98</v>
      </c>
      <c r="E460" s="1">
        <f>Tabela1[[#This Row],[Força (N)]]/$I$5</f>
        <v>15036369.962884411</v>
      </c>
      <c r="F460" s="1">
        <f>Tabela1[[#This Row],[Tensão (Pa)]]/1000000</f>
        <v>15.036369962884411</v>
      </c>
    </row>
    <row r="461" spans="1:6" x14ac:dyDescent="0.3">
      <c r="A461" s="1">
        <v>60.25</v>
      </c>
      <c r="B461" s="1">
        <v>5.0137999999999998</v>
      </c>
      <c r="C461" s="1">
        <f>Tabela1[[#This Row],[Alongamento (mm/mm)]]/$I$2</f>
        <v>0.10027599999999999</v>
      </c>
      <c r="D461" s="1">
        <v>731.42</v>
      </c>
      <c r="E461" s="1">
        <f>Tabela1[[#This Row],[Força (N)]]/$I$5</f>
        <v>15149042.285259807</v>
      </c>
      <c r="F461" s="1">
        <f>Tabela1[[#This Row],[Tensão (Pa)]]/1000000</f>
        <v>15.149042285259808</v>
      </c>
    </row>
    <row r="462" spans="1:6" x14ac:dyDescent="0.3">
      <c r="A462" s="1">
        <v>60.383000000000003</v>
      </c>
      <c r="B462" s="1">
        <v>5.0248999999999997</v>
      </c>
      <c r="C462" s="1">
        <f>Tabela1[[#This Row],[Alongamento (mm/mm)]]/$I$2</f>
        <v>0.10049799999999999</v>
      </c>
      <c r="D462" s="1">
        <v>736.87</v>
      </c>
      <c r="E462" s="1">
        <f>Tabela1[[#This Row],[Força (N)]]/$I$5</f>
        <v>15261921.725874867</v>
      </c>
      <c r="F462" s="1">
        <f>Tabela1[[#This Row],[Tensão (Pa)]]/1000000</f>
        <v>15.261921725874867</v>
      </c>
    </row>
    <row r="463" spans="1:6" x14ac:dyDescent="0.3">
      <c r="A463" s="1">
        <v>60.517000000000003</v>
      </c>
      <c r="B463" s="1">
        <v>5.0359999999999996</v>
      </c>
      <c r="C463" s="1">
        <f>Tabela1[[#This Row],[Alongamento (mm/mm)]]/$I$2</f>
        <v>0.10071999999999999</v>
      </c>
      <c r="D463" s="1">
        <v>742.48</v>
      </c>
      <c r="E463" s="1">
        <f>Tabela1[[#This Row],[Força (N)]]/$I$5</f>
        <v>15378115.058324495</v>
      </c>
      <c r="F463" s="1">
        <f>Tabela1[[#This Row],[Tensão (Pa)]]/1000000</f>
        <v>15.378115058324495</v>
      </c>
    </row>
    <row r="464" spans="1:6" x14ac:dyDescent="0.3">
      <c r="A464" s="1">
        <v>60.667000000000002</v>
      </c>
      <c r="B464" s="1">
        <v>5.0486000000000004</v>
      </c>
      <c r="C464" s="1">
        <f>Tabela1[[#This Row],[Alongamento (mm/mm)]]/$I$2</f>
        <v>0.10097200000000001</v>
      </c>
      <c r="D464" s="1">
        <v>748.6</v>
      </c>
      <c r="E464" s="1">
        <f>Tabela1[[#This Row],[Força (N)]]/$I$5</f>
        <v>15504871.420996819</v>
      </c>
      <c r="F464" s="1">
        <f>Tabela1[[#This Row],[Tensão (Pa)]]/1000000</f>
        <v>15.504871420996819</v>
      </c>
    </row>
    <row r="465" spans="1:6" x14ac:dyDescent="0.3">
      <c r="A465" s="1">
        <v>60.817</v>
      </c>
      <c r="B465" s="1">
        <v>5.0610999999999997</v>
      </c>
      <c r="C465" s="1">
        <f>Tabela1[[#This Row],[Alongamento (mm/mm)]]/$I$2</f>
        <v>0.10122199999999999</v>
      </c>
      <c r="D465" s="1">
        <v>754.56</v>
      </c>
      <c r="E465" s="1">
        <f>Tabela1[[#This Row],[Força (N)]]/$I$5</f>
        <v>15628313.891834568</v>
      </c>
      <c r="F465" s="1">
        <f>Tabela1[[#This Row],[Tensão (Pa)]]/1000000</f>
        <v>15.628313891834567</v>
      </c>
    </row>
    <row r="466" spans="1:6" x14ac:dyDescent="0.3">
      <c r="A466" s="1">
        <v>60.966999999999999</v>
      </c>
      <c r="B466" s="1">
        <v>5.0735000000000001</v>
      </c>
      <c r="C466" s="1">
        <f>Tabela1[[#This Row],[Alongamento (mm/mm)]]/$I$2</f>
        <v>0.10147</v>
      </c>
      <c r="D466" s="1">
        <v>760.68</v>
      </c>
      <c r="E466" s="1">
        <f>Tabela1[[#This Row],[Força (N)]]/$I$5</f>
        <v>15755070.254506892</v>
      </c>
      <c r="F466" s="1">
        <f>Tabela1[[#This Row],[Tensão (Pa)]]/1000000</f>
        <v>15.755070254506892</v>
      </c>
    </row>
    <row r="467" spans="1:6" x14ac:dyDescent="0.3">
      <c r="A467" s="1">
        <v>61.116999999999997</v>
      </c>
      <c r="B467" s="1">
        <v>5.0861000000000001</v>
      </c>
      <c r="C467" s="1">
        <f>Tabela1[[#This Row],[Alongamento (mm/mm)]]/$I$2</f>
        <v>0.10172200000000001</v>
      </c>
      <c r="D467" s="1">
        <v>766.81</v>
      </c>
      <c r="E467" s="1">
        <f>Tabela1[[#This Row],[Força (N)]]/$I$5</f>
        <v>15882033.735418875</v>
      </c>
      <c r="F467" s="1">
        <f>Tabela1[[#This Row],[Tensão (Pa)]]/1000000</f>
        <v>15.882033735418874</v>
      </c>
    </row>
    <row r="468" spans="1:6" x14ac:dyDescent="0.3">
      <c r="A468" s="1">
        <v>61.267000000000003</v>
      </c>
      <c r="B468" s="1">
        <v>5.0984999999999996</v>
      </c>
      <c r="C468" s="1">
        <f>Tabela1[[#This Row],[Alongamento (mm/mm)]]/$I$2</f>
        <v>0.10196999999999999</v>
      </c>
      <c r="D468" s="1">
        <v>773.1</v>
      </c>
      <c r="E468" s="1">
        <f>Tabela1[[#This Row],[Força (N)]]/$I$5</f>
        <v>16012311.10816543</v>
      </c>
      <c r="F468" s="1">
        <f>Tabela1[[#This Row],[Tensão (Pa)]]/1000000</f>
        <v>16.012311108165431</v>
      </c>
    </row>
    <row r="469" spans="1:6" x14ac:dyDescent="0.3">
      <c r="A469" s="1">
        <v>61.417000000000002</v>
      </c>
      <c r="B469" s="1">
        <v>5.1109999999999998</v>
      </c>
      <c r="C469" s="1">
        <f>Tabela1[[#This Row],[Alongamento (mm/mm)]]/$I$2</f>
        <v>0.10221999999999999</v>
      </c>
      <c r="D469" s="1">
        <v>779.39</v>
      </c>
      <c r="E469" s="1">
        <f>Tabela1[[#This Row],[Força (N)]]/$I$5</f>
        <v>16142588.480911981</v>
      </c>
      <c r="F469" s="1">
        <f>Tabela1[[#This Row],[Tensão (Pa)]]/1000000</f>
        <v>16.142588480911982</v>
      </c>
    </row>
    <row r="470" spans="1:6" x14ac:dyDescent="0.3">
      <c r="A470" s="1">
        <v>61.567</v>
      </c>
      <c r="B470" s="1">
        <v>5.1235999999999997</v>
      </c>
      <c r="C470" s="1">
        <f>Tabela1[[#This Row],[Alongamento (mm/mm)]]/$I$2</f>
        <v>0.10247199999999999</v>
      </c>
      <c r="D470" s="1">
        <v>785.52</v>
      </c>
      <c r="E470" s="1">
        <f>Tabela1[[#This Row],[Força (N)]]/$I$5</f>
        <v>16269551.961823964</v>
      </c>
      <c r="F470" s="1">
        <f>Tabela1[[#This Row],[Tensão (Pa)]]/1000000</f>
        <v>16.269551961823964</v>
      </c>
    </row>
    <row r="471" spans="1:6" x14ac:dyDescent="0.3">
      <c r="A471" s="1">
        <v>61.716999999999999</v>
      </c>
      <c r="B471" s="1">
        <v>5.1360000000000001</v>
      </c>
      <c r="C471" s="1">
        <f>Tabela1[[#This Row],[Alongamento (mm/mm)]]/$I$2</f>
        <v>0.10272000000000001</v>
      </c>
      <c r="D471" s="1">
        <v>791.81</v>
      </c>
      <c r="E471" s="1">
        <f>Tabela1[[#This Row],[Força (N)]]/$I$5</f>
        <v>16399829.334570518</v>
      </c>
      <c r="F471" s="1">
        <f>Tabela1[[#This Row],[Tensão (Pa)]]/1000000</f>
        <v>16.399829334570519</v>
      </c>
    </row>
    <row r="472" spans="1:6" x14ac:dyDescent="0.3">
      <c r="A472" s="1">
        <v>61.866999999999997</v>
      </c>
      <c r="B472" s="1">
        <v>5.1485000000000003</v>
      </c>
      <c r="C472" s="1">
        <f>Tabela1[[#This Row],[Alongamento (mm/mm)]]/$I$2</f>
        <v>0.10297000000000001</v>
      </c>
      <c r="D472" s="1">
        <v>798.1</v>
      </c>
      <c r="E472" s="1">
        <f>Tabela1[[#This Row],[Força (N)]]/$I$5</f>
        <v>16530106.707317073</v>
      </c>
      <c r="F472" s="1">
        <f>Tabela1[[#This Row],[Tensão (Pa)]]/1000000</f>
        <v>16.530106707317074</v>
      </c>
    </row>
    <row r="473" spans="1:6" x14ac:dyDescent="0.3">
      <c r="A473" s="1">
        <v>62.017000000000003</v>
      </c>
      <c r="B473" s="1">
        <v>5.1609999999999996</v>
      </c>
      <c r="C473" s="1">
        <f>Tabela1[[#This Row],[Alongamento (mm/mm)]]/$I$2</f>
        <v>0.10321999999999999</v>
      </c>
      <c r="D473" s="1">
        <v>804.4</v>
      </c>
      <c r="E473" s="1">
        <f>Tabela1[[#This Row],[Força (N)]]/$I$5</f>
        <v>16660591.198303286</v>
      </c>
      <c r="F473" s="1">
        <f>Tabela1[[#This Row],[Tensão (Pa)]]/1000000</f>
        <v>16.660591198303287</v>
      </c>
    </row>
    <row r="474" spans="1:6" x14ac:dyDescent="0.3">
      <c r="A474" s="1">
        <v>62.167000000000002</v>
      </c>
      <c r="B474" s="1">
        <v>5.1736000000000004</v>
      </c>
      <c r="C474" s="1">
        <f>Tabela1[[#This Row],[Alongamento (mm/mm)]]/$I$2</f>
        <v>0.10347200000000001</v>
      </c>
      <c r="D474" s="1">
        <v>810.69</v>
      </c>
      <c r="E474" s="1">
        <f>Tabela1[[#This Row],[Força (N)]]/$I$5</f>
        <v>16790868.571049843</v>
      </c>
      <c r="F474" s="1">
        <f>Tabela1[[#This Row],[Tensão (Pa)]]/1000000</f>
        <v>16.790868571049842</v>
      </c>
    </row>
    <row r="475" spans="1:6" x14ac:dyDescent="0.3">
      <c r="A475" s="1">
        <v>62.317</v>
      </c>
      <c r="B475" s="1">
        <v>5.1859999999999999</v>
      </c>
      <c r="C475" s="1">
        <f>Tabela1[[#This Row],[Alongamento (mm/mm)]]/$I$2</f>
        <v>0.10371999999999999</v>
      </c>
      <c r="D475" s="1">
        <v>817.15</v>
      </c>
      <c r="E475" s="1">
        <f>Tabela1[[#This Row],[Força (N)]]/$I$5</f>
        <v>16924666.953870624</v>
      </c>
      <c r="F475" s="1">
        <f>Tabela1[[#This Row],[Tensão (Pa)]]/1000000</f>
        <v>16.924666953870624</v>
      </c>
    </row>
    <row r="476" spans="1:6" x14ac:dyDescent="0.3">
      <c r="A476" s="1">
        <v>62.466999999999999</v>
      </c>
      <c r="B476" s="1">
        <v>5.1985000000000001</v>
      </c>
      <c r="C476" s="1">
        <f>Tabela1[[#This Row],[Alongamento (mm/mm)]]/$I$2</f>
        <v>0.10397000000000001</v>
      </c>
      <c r="D476" s="1">
        <v>823.45</v>
      </c>
      <c r="E476" s="1">
        <f>Tabela1[[#This Row],[Força (N)]]/$I$5</f>
        <v>17055151.444856841</v>
      </c>
      <c r="F476" s="1">
        <f>Tabela1[[#This Row],[Tensão (Pa)]]/1000000</f>
        <v>17.05515144485684</v>
      </c>
    </row>
    <row r="477" spans="1:6" x14ac:dyDescent="0.3">
      <c r="A477" s="1">
        <v>62.616999999999997</v>
      </c>
      <c r="B477" s="1">
        <v>5.2111000000000001</v>
      </c>
      <c r="C477" s="1">
        <f>Tabela1[[#This Row],[Alongamento (mm/mm)]]/$I$2</f>
        <v>0.104222</v>
      </c>
      <c r="D477" s="1">
        <v>829.91</v>
      </c>
      <c r="E477" s="1">
        <f>Tabela1[[#This Row],[Força (N)]]/$I$5</f>
        <v>17188949.827677622</v>
      </c>
      <c r="F477" s="1">
        <f>Tabela1[[#This Row],[Tensão (Pa)]]/1000000</f>
        <v>17.188949827677622</v>
      </c>
    </row>
    <row r="478" spans="1:6" x14ac:dyDescent="0.3">
      <c r="A478" s="1">
        <v>62.783000000000001</v>
      </c>
      <c r="B478" s="1">
        <v>5.2248999999999999</v>
      </c>
      <c r="C478" s="1">
        <f>Tabela1[[#This Row],[Alongamento (mm/mm)]]/$I$2</f>
        <v>0.10449799999999999</v>
      </c>
      <c r="D478" s="1">
        <v>836.89</v>
      </c>
      <c r="E478" s="1">
        <f>Tabela1[[#This Row],[Força (N)]]/$I$5</f>
        <v>17333518.358960763</v>
      </c>
      <c r="F478" s="1">
        <f>Tabela1[[#This Row],[Tensão (Pa)]]/1000000</f>
        <v>17.333518358960763</v>
      </c>
    </row>
    <row r="479" spans="1:6" x14ac:dyDescent="0.3">
      <c r="A479" s="1">
        <v>62.95</v>
      </c>
      <c r="B479" s="1">
        <v>5.2388000000000003</v>
      </c>
      <c r="C479" s="1">
        <f>Tabela1[[#This Row],[Alongamento (mm/mm)]]/$I$2</f>
        <v>0.10477600000000001</v>
      </c>
      <c r="D479" s="1">
        <v>844.03</v>
      </c>
      <c r="E479" s="1">
        <f>Tabela1[[#This Row],[Força (N)]]/$I$5</f>
        <v>17481400.782078471</v>
      </c>
      <c r="F479" s="1">
        <f>Tabela1[[#This Row],[Tensão (Pa)]]/1000000</f>
        <v>17.48140078207847</v>
      </c>
    </row>
    <row r="480" spans="1:6" x14ac:dyDescent="0.3">
      <c r="A480" s="1">
        <v>63.116999999999997</v>
      </c>
      <c r="B480" s="1">
        <v>5.2526999999999999</v>
      </c>
      <c r="C480" s="1">
        <f>Tabela1[[#This Row],[Alongamento (mm/mm)]]/$I$2</f>
        <v>0.10505399999999999</v>
      </c>
      <c r="D480" s="1">
        <v>851</v>
      </c>
      <c r="E480" s="1">
        <f>Tabela1[[#This Row],[Força (N)]]/$I$5</f>
        <v>17625762.195121951</v>
      </c>
      <c r="F480" s="1">
        <f>Tabela1[[#This Row],[Tensão (Pa)]]/1000000</f>
        <v>17.625762195121951</v>
      </c>
    </row>
    <row r="481" spans="1:6" x14ac:dyDescent="0.3">
      <c r="A481" s="1">
        <v>63.267000000000003</v>
      </c>
      <c r="B481" s="1">
        <v>5.2651000000000003</v>
      </c>
      <c r="C481" s="1">
        <f>Tabela1[[#This Row],[Alongamento (mm/mm)]]/$I$2</f>
        <v>0.10530200000000001</v>
      </c>
      <c r="D481" s="1">
        <v>857.47</v>
      </c>
      <c r="E481" s="1">
        <f>Tabela1[[#This Row],[Força (N)]]/$I$5</f>
        <v>17759767.696182396</v>
      </c>
      <c r="F481" s="1">
        <f>Tabela1[[#This Row],[Tensão (Pa)]]/1000000</f>
        <v>17.759767696182397</v>
      </c>
    </row>
    <row r="482" spans="1:6" x14ac:dyDescent="0.3">
      <c r="A482" s="1">
        <v>63.417000000000002</v>
      </c>
      <c r="B482" s="1">
        <v>5.2777000000000003</v>
      </c>
      <c r="C482" s="1">
        <f>Tabela1[[#This Row],[Alongamento (mm/mm)]]/$I$2</f>
        <v>0.10555400000000001</v>
      </c>
      <c r="D482" s="1">
        <v>863.93</v>
      </c>
      <c r="E482" s="1">
        <f>Tabela1[[#This Row],[Força (N)]]/$I$5</f>
        <v>17893566.079003181</v>
      </c>
      <c r="F482" s="1">
        <f>Tabela1[[#This Row],[Tensão (Pa)]]/1000000</f>
        <v>17.893566079003183</v>
      </c>
    </row>
    <row r="483" spans="1:6" x14ac:dyDescent="0.3">
      <c r="A483" s="1">
        <v>63.567</v>
      </c>
      <c r="B483" s="1">
        <v>5.2901999999999996</v>
      </c>
      <c r="C483" s="1">
        <f>Tabela1[[#This Row],[Alongamento (mm/mm)]]/$I$2</f>
        <v>0.105804</v>
      </c>
      <c r="D483" s="1">
        <v>870.57</v>
      </c>
      <c r="E483" s="1">
        <f>Tabela1[[#This Row],[Força (N)]]/$I$5</f>
        <v>18031092.590137858</v>
      </c>
      <c r="F483" s="1">
        <f>Tabela1[[#This Row],[Tensão (Pa)]]/1000000</f>
        <v>18.03109259013786</v>
      </c>
    </row>
    <row r="484" spans="1:6" x14ac:dyDescent="0.3">
      <c r="A484" s="1">
        <v>63.716999999999999</v>
      </c>
      <c r="B484" s="1">
        <v>5.3026999999999997</v>
      </c>
      <c r="C484" s="1">
        <f>Tabela1[[#This Row],[Alongamento (mm/mm)]]/$I$2</f>
        <v>0.106054</v>
      </c>
      <c r="D484" s="1">
        <v>877.03</v>
      </c>
      <c r="E484" s="1">
        <f>Tabela1[[#This Row],[Força (N)]]/$I$5</f>
        <v>18164890.972958643</v>
      </c>
      <c r="F484" s="1">
        <f>Tabela1[[#This Row],[Tensão (Pa)]]/1000000</f>
        <v>18.164890972958641</v>
      </c>
    </row>
    <row r="485" spans="1:6" x14ac:dyDescent="0.3">
      <c r="A485" s="1">
        <v>63.883000000000003</v>
      </c>
      <c r="B485" s="1">
        <v>5.3166000000000002</v>
      </c>
      <c r="C485" s="1">
        <f>Tabela1[[#This Row],[Alongamento (mm/mm)]]/$I$2</f>
        <v>0.10633200000000001</v>
      </c>
      <c r="D485" s="1">
        <v>884.34</v>
      </c>
      <c r="E485" s="1">
        <f>Tabela1[[#This Row],[Força (N)]]/$I$5</f>
        <v>18316294.406150583</v>
      </c>
      <c r="F485" s="1">
        <f>Tabela1[[#This Row],[Tensão (Pa)]]/1000000</f>
        <v>18.316294406150583</v>
      </c>
    </row>
    <row r="486" spans="1:6" x14ac:dyDescent="0.3">
      <c r="A486" s="1">
        <v>64.033000000000001</v>
      </c>
      <c r="B486" s="1">
        <v>5.3291000000000004</v>
      </c>
      <c r="C486" s="1">
        <f>Tabela1[[#This Row],[Alongamento (mm/mm)]]/$I$2</f>
        <v>0.10658200000000001</v>
      </c>
      <c r="D486" s="1">
        <v>891.15</v>
      </c>
      <c r="E486" s="1">
        <f>Tabela1[[#This Row],[Força (N)]]/$I$5</f>
        <v>18457341.927359492</v>
      </c>
      <c r="F486" s="1">
        <f>Tabela1[[#This Row],[Tensão (Pa)]]/1000000</f>
        <v>18.45734192735949</v>
      </c>
    </row>
    <row r="487" spans="1:6" x14ac:dyDescent="0.3">
      <c r="A487" s="1">
        <v>64.2</v>
      </c>
      <c r="B487" s="1">
        <v>5.3429000000000002</v>
      </c>
      <c r="C487" s="1">
        <f>Tabela1[[#This Row],[Alongamento (mm/mm)]]/$I$2</f>
        <v>0.10685800000000001</v>
      </c>
      <c r="D487" s="1">
        <v>898.46</v>
      </c>
      <c r="E487" s="1">
        <f>Tabela1[[#This Row],[Força (N)]]/$I$5</f>
        <v>18608745.360551432</v>
      </c>
      <c r="F487" s="1">
        <f>Tabela1[[#This Row],[Tensão (Pa)]]/1000000</f>
        <v>18.608745360551431</v>
      </c>
    </row>
    <row r="488" spans="1:6" x14ac:dyDescent="0.3">
      <c r="A488" s="1">
        <v>64.349999999999994</v>
      </c>
      <c r="B488" s="1">
        <v>5.3555999999999999</v>
      </c>
      <c r="C488" s="1">
        <f>Tabela1[[#This Row],[Alongamento (mm/mm)]]/$I$2</f>
        <v>0.107112</v>
      </c>
      <c r="D488" s="1">
        <v>905.27</v>
      </c>
      <c r="E488" s="1">
        <f>Tabela1[[#This Row],[Força (N)]]/$I$5</f>
        <v>18749792.881760336</v>
      </c>
      <c r="F488" s="1">
        <f>Tabela1[[#This Row],[Tensão (Pa)]]/1000000</f>
        <v>18.749792881760335</v>
      </c>
    </row>
    <row r="489" spans="1:6" x14ac:dyDescent="0.3">
      <c r="A489" s="1">
        <v>64.5</v>
      </c>
      <c r="B489" s="1">
        <v>5.3678999999999997</v>
      </c>
      <c r="C489" s="1">
        <f>Tabela1[[#This Row],[Alongamento (mm/mm)]]/$I$2</f>
        <v>0.107358</v>
      </c>
      <c r="D489" s="1">
        <v>912.07</v>
      </c>
      <c r="E489" s="1">
        <f>Tabela1[[#This Row],[Força (N)]]/$I$5</f>
        <v>18890633.284729585</v>
      </c>
      <c r="F489" s="1">
        <f>Tabela1[[#This Row],[Tensão (Pa)]]/1000000</f>
        <v>18.890633284729585</v>
      </c>
    </row>
    <row r="490" spans="1:6" x14ac:dyDescent="0.3">
      <c r="A490" s="1">
        <v>64.650000000000006</v>
      </c>
      <c r="B490" s="1">
        <v>5.3804999999999996</v>
      </c>
      <c r="C490" s="1">
        <f>Tabela1[[#This Row],[Alongamento (mm/mm)]]/$I$2</f>
        <v>0.10761</v>
      </c>
      <c r="D490" s="1">
        <v>918.87</v>
      </c>
      <c r="E490" s="1">
        <f>Tabela1[[#This Row],[Força (N)]]/$I$5</f>
        <v>19031473.687698834</v>
      </c>
      <c r="F490" s="1">
        <f>Tabela1[[#This Row],[Tensão (Pa)]]/1000000</f>
        <v>19.031473687698835</v>
      </c>
    </row>
    <row r="491" spans="1:6" x14ac:dyDescent="0.3">
      <c r="A491" s="1">
        <v>64.816999999999993</v>
      </c>
      <c r="B491" s="1">
        <v>5.3943000000000003</v>
      </c>
      <c r="C491" s="1">
        <f>Tabela1[[#This Row],[Alongamento (mm/mm)]]/$I$2</f>
        <v>0.10788600000000001</v>
      </c>
      <c r="D491" s="1">
        <v>926.53</v>
      </c>
      <c r="E491" s="1">
        <f>Tabela1[[#This Row],[Força (N)]]/$I$5</f>
        <v>19190126.259278897</v>
      </c>
      <c r="F491" s="1">
        <f>Tabela1[[#This Row],[Tensão (Pa)]]/1000000</f>
        <v>19.190126259278898</v>
      </c>
    </row>
    <row r="492" spans="1:6" x14ac:dyDescent="0.3">
      <c r="A492" s="1">
        <v>64.983000000000004</v>
      </c>
      <c r="B492" s="1">
        <v>5.4082999999999997</v>
      </c>
      <c r="C492" s="1">
        <f>Tabela1[[#This Row],[Alongamento (mm/mm)]]/$I$2</f>
        <v>0.108166</v>
      </c>
      <c r="D492" s="1">
        <v>934.18</v>
      </c>
      <c r="E492" s="1">
        <f>Tabela1[[#This Row],[Força (N)]]/$I$5</f>
        <v>19348571.712619297</v>
      </c>
      <c r="F492" s="1">
        <f>Tabela1[[#This Row],[Tensão (Pa)]]/1000000</f>
        <v>19.348571712619297</v>
      </c>
    </row>
    <row r="493" spans="1:6" x14ac:dyDescent="0.3">
      <c r="A493" s="1">
        <v>65.150000000000006</v>
      </c>
      <c r="B493" s="1">
        <v>5.4221000000000004</v>
      </c>
      <c r="C493" s="1">
        <f>Tabela1[[#This Row],[Alongamento (mm/mm)]]/$I$2</f>
        <v>0.10844200000000001</v>
      </c>
      <c r="D493" s="1">
        <v>941.67</v>
      </c>
      <c r="E493" s="1">
        <f>Tabela1[[#This Row],[Força (N)]]/$I$5</f>
        <v>19503703.274125133</v>
      </c>
      <c r="F493" s="1">
        <f>Tabela1[[#This Row],[Tensão (Pa)]]/1000000</f>
        <v>19.503703274125133</v>
      </c>
    </row>
    <row r="494" spans="1:6" x14ac:dyDescent="0.3">
      <c r="A494" s="1">
        <v>65.316999999999993</v>
      </c>
      <c r="B494" s="1">
        <v>5.4359999999999999</v>
      </c>
      <c r="C494" s="1">
        <f>Tabela1[[#This Row],[Alongamento (mm/mm)]]/$I$2</f>
        <v>0.10872</v>
      </c>
      <c r="D494" s="1">
        <v>949.15</v>
      </c>
      <c r="E494" s="1">
        <f>Tabela1[[#This Row],[Força (N)]]/$I$5</f>
        <v>19658627.717391305</v>
      </c>
      <c r="F494" s="1">
        <f>Tabela1[[#This Row],[Tensão (Pa)]]/1000000</f>
        <v>19.658627717391305</v>
      </c>
    </row>
    <row r="495" spans="1:6" x14ac:dyDescent="0.3">
      <c r="A495" s="1">
        <v>65.483000000000004</v>
      </c>
      <c r="B495" s="1">
        <v>5.4499000000000004</v>
      </c>
      <c r="C495" s="1">
        <f>Tabela1[[#This Row],[Alongamento (mm/mm)]]/$I$2</f>
        <v>0.10899800000000001</v>
      </c>
      <c r="D495" s="1">
        <v>956.81</v>
      </c>
      <c r="E495" s="1">
        <f>Tabela1[[#This Row],[Força (N)]]/$I$5</f>
        <v>19817280.288971364</v>
      </c>
      <c r="F495" s="1">
        <f>Tabela1[[#This Row],[Tensão (Pa)]]/1000000</f>
        <v>19.817280288971364</v>
      </c>
    </row>
    <row r="496" spans="1:6" x14ac:dyDescent="0.3">
      <c r="A496" s="1">
        <v>65.650000000000006</v>
      </c>
      <c r="B496" s="1">
        <v>5.4638</v>
      </c>
      <c r="C496" s="1">
        <f>Tabela1[[#This Row],[Alongamento (mm/mm)]]/$I$2</f>
        <v>0.109276</v>
      </c>
      <c r="D496" s="1">
        <v>964.46</v>
      </c>
      <c r="E496" s="1">
        <f>Tabela1[[#This Row],[Força (N)]]/$I$5</f>
        <v>19975725.742311772</v>
      </c>
      <c r="F496" s="1">
        <f>Tabela1[[#This Row],[Tensão (Pa)]]/1000000</f>
        <v>19.975725742311774</v>
      </c>
    </row>
    <row r="497" spans="1:6" x14ac:dyDescent="0.3">
      <c r="A497" s="1">
        <v>65.816999999999993</v>
      </c>
      <c r="B497" s="1">
        <v>5.4776999999999996</v>
      </c>
      <c r="C497" s="1">
        <f>Tabela1[[#This Row],[Alongamento (mm/mm)]]/$I$2</f>
        <v>0.10955399999999998</v>
      </c>
      <c r="D497" s="1">
        <v>972.28</v>
      </c>
      <c r="E497" s="1">
        <f>Tabela1[[#This Row],[Força (N)]]/$I$5</f>
        <v>20137692.205726404</v>
      </c>
      <c r="F497" s="1">
        <f>Tabela1[[#This Row],[Tensão (Pa)]]/1000000</f>
        <v>20.137692205726403</v>
      </c>
    </row>
    <row r="498" spans="1:6" x14ac:dyDescent="0.3">
      <c r="A498" s="1">
        <v>65.983000000000004</v>
      </c>
      <c r="B498" s="1">
        <v>5.4915000000000003</v>
      </c>
      <c r="C498" s="1">
        <f>Tabela1[[#This Row],[Alongamento (mm/mm)]]/$I$2</f>
        <v>0.10983000000000001</v>
      </c>
      <c r="D498" s="1">
        <v>979.94</v>
      </c>
      <c r="E498" s="1">
        <f>Tabela1[[#This Row],[Força (N)]]/$I$5</f>
        <v>20296344.777306467</v>
      </c>
      <c r="F498" s="1">
        <f>Tabela1[[#This Row],[Tensão (Pa)]]/1000000</f>
        <v>20.296344777306466</v>
      </c>
    </row>
    <row r="499" spans="1:6" x14ac:dyDescent="0.3">
      <c r="A499" s="1">
        <v>66.150000000000006</v>
      </c>
      <c r="B499" s="1">
        <v>5.5054999999999996</v>
      </c>
      <c r="C499" s="1">
        <f>Tabela1[[#This Row],[Alongamento (mm/mm)]]/$I$2</f>
        <v>0.11010999999999999</v>
      </c>
      <c r="D499" s="1">
        <v>987.59</v>
      </c>
      <c r="E499" s="1">
        <f>Tabela1[[#This Row],[Força (N)]]/$I$5</f>
        <v>20454790.230646871</v>
      </c>
      <c r="F499" s="1">
        <f>Tabela1[[#This Row],[Tensão (Pa)]]/1000000</f>
        <v>20.454790230646871</v>
      </c>
    </row>
    <row r="500" spans="1:6" x14ac:dyDescent="0.3">
      <c r="A500" s="1">
        <v>66.316999999999993</v>
      </c>
      <c r="B500" s="1">
        <v>5.5194000000000001</v>
      </c>
      <c r="C500" s="1">
        <f>Tabela1[[#This Row],[Alongamento (mm/mm)]]/$I$2</f>
        <v>0.110388</v>
      </c>
      <c r="D500" s="1">
        <v>995.08</v>
      </c>
      <c r="E500" s="1">
        <f>Tabela1[[#This Row],[Força (N)]]/$I$5</f>
        <v>20609921.792152703</v>
      </c>
      <c r="F500" s="1">
        <f>Tabela1[[#This Row],[Tensão (Pa)]]/1000000</f>
        <v>20.609921792152704</v>
      </c>
    </row>
    <row r="501" spans="1:6" x14ac:dyDescent="0.3">
      <c r="A501" s="1">
        <v>66.483000000000004</v>
      </c>
      <c r="B501" s="1">
        <v>5.5331999999999999</v>
      </c>
      <c r="C501" s="1">
        <f>Tabela1[[#This Row],[Alongamento (mm/mm)]]/$I$2</f>
        <v>0.110664</v>
      </c>
      <c r="D501" s="1">
        <v>1002.6</v>
      </c>
      <c r="E501" s="1">
        <f>Tabela1[[#This Row],[Força (N)]]/$I$5</f>
        <v>20765674.708377518</v>
      </c>
      <c r="F501" s="1">
        <f>Tabela1[[#This Row],[Tensão (Pa)]]/1000000</f>
        <v>20.765674708377517</v>
      </c>
    </row>
    <row r="502" spans="1:6" x14ac:dyDescent="0.3">
      <c r="A502" s="1">
        <v>66.667000000000002</v>
      </c>
      <c r="B502" s="1">
        <v>5.5484999999999998</v>
      </c>
      <c r="C502" s="1">
        <f>Tabela1[[#This Row],[Alongamento (mm/mm)]]/$I$2</f>
        <v>0.11097</v>
      </c>
      <c r="D502" s="1">
        <v>1010.7</v>
      </c>
      <c r="E502" s="1">
        <f>Tabela1[[#This Row],[Força (N)]]/$I$5</f>
        <v>20933440.48250265</v>
      </c>
      <c r="F502" s="1">
        <f>Tabela1[[#This Row],[Tensão (Pa)]]/1000000</f>
        <v>20.93344048250265</v>
      </c>
    </row>
    <row r="503" spans="1:6" x14ac:dyDescent="0.3">
      <c r="A503" s="1">
        <v>66.849999999999994</v>
      </c>
      <c r="B503" s="1">
        <v>5.5637999999999996</v>
      </c>
      <c r="C503" s="1">
        <f>Tabela1[[#This Row],[Alongamento (mm/mm)]]/$I$2</f>
        <v>0.11127599999999999</v>
      </c>
      <c r="D503" s="1">
        <v>1018.7</v>
      </c>
      <c r="E503" s="1">
        <f>Tabela1[[#This Row],[Força (N)]]/$I$5</f>
        <v>21099135.074231178</v>
      </c>
      <c r="F503" s="1">
        <f>Tabela1[[#This Row],[Tensão (Pa)]]/1000000</f>
        <v>21.099135074231178</v>
      </c>
    </row>
    <row r="504" spans="1:6" x14ac:dyDescent="0.3">
      <c r="A504" s="1">
        <v>67.033000000000001</v>
      </c>
      <c r="B504" s="1">
        <v>5.5789999999999997</v>
      </c>
      <c r="C504" s="1">
        <f>Tabela1[[#This Row],[Alongamento (mm/mm)]]/$I$2</f>
        <v>0.11158</v>
      </c>
      <c r="D504" s="1">
        <v>1027.0999999999999</v>
      </c>
      <c r="E504" s="1">
        <f>Tabela1[[#This Row],[Força (N)]]/$I$5</f>
        <v>21273114.395546127</v>
      </c>
      <c r="F504" s="1">
        <f>Tabela1[[#This Row],[Tensão (Pa)]]/1000000</f>
        <v>21.273114395546127</v>
      </c>
    </row>
    <row r="505" spans="1:6" x14ac:dyDescent="0.3">
      <c r="A505" s="1">
        <v>67.216999999999999</v>
      </c>
      <c r="B505" s="1">
        <v>5.5944000000000003</v>
      </c>
      <c r="C505" s="1">
        <f>Tabela1[[#This Row],[Alongamento (mm/mm)]]/$I$2</f>
        <v>0.111888</v>
      </c>
      <c r="D505" s="1">
        <v>1035.2</v>
      </c>
      <c r="E505" s="1">
        <f>Tabela1[[#This Row],[Força (N)]]/$I$5</f>
        <v>21440880.169671264</v>
      </c>
      <c r="F505" s="1">
        <f>Tabela1[[#This Row],[Tensão (Pa)]]/1000000</f>
        <v>21.440880169671264</v>
      </c>
    </row>
    <row r="506" spans="1:6" x14ac:dyDescent="0.3">
      <c r="A506" s="1">
        <v>67.400000000000006</v>
      </c>
      <c r="B506" s="1">
        <v>5.6096000000000004</v>
      </c>
      <c r="C506" s="1">
        <f>Tabela1[[#This Row],[Alongamento (mm/mm)]]/$I$2</f>
        <v>0.11219200000000001</v>
      </c>
      <c r="D506" s="1">
        <v>1043.5999999999999</v>
      </c>
      <c r="E506" s="1">
        <f>Tabela1[[#This Row],[Força (N)]]/$I$5</f>
        <v>21614859.490986213</v>
      </c>
      <c r="F506" s="1">
        <f>Tabela1[[#This Row],[Tensão (Pa)]]/1000000</f>
        <v>21.614859490986213</v>
      </c>
    </row>
    <row r="507" spans="1:6" x14ac:dyDescent="0.3">
      <c r="A507" s="1">
        <v>67.582999999999998</v>
      </c>
      <c r="B507" s="1">
        <v>5.6249000000000002</v>
      </c>
      <c r="C507" s="1">
        <f>Tabela1[[#This Row],[Alongamento (mm/mm)]]/$I$2</f>
        <v>0.112498</v>
      </c>
      <c r="D507" s="1">
        <v>1051.7</v>
      </c>
      <c r="E507" s="1">
        <f>Tabela1[[#This Row],[Força (N)]]/$I$5</f>
        <v>21782625.265111346</v>
      </c>
      <c r="F507" s="1">
        <f>Tabela1[[#This Row],[Tensão (Pa)]]/1000000</f>
        <v>21.782625265111346</v>
      </c>
    </row>
    <row r="508" spans="1:6" x14ac:dyDescent="0.3">
      <c r="A508" s="1">
        <v>67.766999999999996</v>
      </c>
      <c r="B508" s="1">
        <v>5.6402000000000001</v>
      </c>
      <c r="C508" s="1">
        <f>Tabela1[[#This Row],[Alongamento (mm/mm)]]/$I$2</f>
        <v>0.112804</v>
      </c>
      <c r="D508" s="1">
        <v>1059.9000000000001</v>
      </c>
      <c r="E508" s="1">
        <f>Tabela1[[#This Row],[Força (N)]]/$I$5</f>
        <v>21952462.221633088</v>
      </c>
      <c r="F508" s="1">
        <f>Tabela1[[#This Row],[Tensão (Pa)]]/1000000</f>
        <v>21.952462221633088</v>
      </c>
    </row>
    <row r="509" spans="1:6" x14ac:dyDescent="0.3">
      <c r="A509" s="1">
        <v>67.95</v>
      </c>
      <c r="B509" s="1">
        <v>5.6554000000000002</v>
      </c>
      <c r="C509" s="1">
        <f>Tabela1[[#This Row],[Alongamento (mm/mm)]]/$I$2</f>
        <v>0.113108</v>
      </c>
      <c r="D509" s="1">
        <v>1068.2</v>
      </c>
      <c r="E509" s="1">
        <f>Tabela1[[#This Row],[Força (N)]]/$I$5</f>
        <v>22124370.360551432</v>
      </c>
      <c r="F509" s="1">
        <f>Tabela1[[#This Row],[Tensão (Pa)]]/1000000</f>
        <v>22.124370360551431</v>
      </c>
    </row>
    <row r="510" spans="1:6" x14ac:dyDescent="0.3">
      <c r="A510" s="1">
        <v>68.132999999999996</v>
      </c>
      <c r="B510" s="1">
        <v>5.6707999999999998</v>
      </c>
      <c r="C510" s="1">
        <f>Tabela1[[#This Row],[Alongamento (mm/mm)]]/$I$2</f>
        <v>0.113416</v>
      </c>
      <c r="D510" s="1">
        <v>1076.5999999999999</v>
      </c>
      <c r="E510" s="1">
        <f>Tabela1[[#This Row],[Força (N)]]/$I$5</f>
        <v>22298349.681866381</v>
      </c>
      <c r="F510" s="1">
        <f>Tabela1[[#This Row],[Tensão (Pa)]]/1000000</f>
        <v>22.29834968186638</v>
      </c>
    </row>
    <row r="511" spans="1:6" x14ac:dyDescent="0.3">
      <c r="A511" s="1">
        <v>68.316999999999993</v>
      </c>
      <c r="B511" s="1">
        <v>5.6859999999999999</v>
      </c>
      <c r="C511" s="1">
        <f>Tabela1[[#This Row],[Alongamento (mm/mm)]]/$I$2</f>
        <v>0.11372</v>
      </c>
      <c r="D511" s="1">
        <v>1084.9000000000001</v>
      </c>
      <c r="E511" s="1">
        <f>Tabela1[[#This Row],[Força (N)]]/$I$5</f>
        <v>22470257.820784729</v>
      </c>
      <c r="F511" s="1">
        <f>Tabela1[[#This Row],[Tensão (Pa)]]/1000000</f>
        <v>22.470257820784727</v>
      </c>
    </row>
    <row r="512" spans="1:6" x14ac:dyDescent="0.3">
      <c r="A512" s="1">
        <v>68.5</v>
      </c>
      <c r="B512" s="1">
        <v>5.7012999999999998</v>
      </c>
      <c r="C512" s="1">
        <f>Tabela1[[#This Row],[Alongamento (mm/mm)]]/$I$2</f>
        <v>0.114026</v>
      </c>
      <c r="D512" s="1">
        <v>1093.2</v>
      </c>
      <c r="E512" s="1">
        <f>Tabela1[[#This Row],[Força (N)]]/$I$5</f>
        <v>22642165.959703077</v>
      </c>
      <c r="F512" s="1">
        <f>Tabela1[[#This Row],[Tensão (Pa)]]/1000000</f>
        <v>22.642165959703078</v>
      </c>
    </row>
    <row r="513" spans="1:6" x14ac:dyDescent="0.3">
      <c r="A513" s="1">
        <v>68.7</v>
      </c>
      <c r="B513" s="1">
        <v>5.7179000000000002</v>
      </c>
      <c r="C513" s="1">
        <f>Tabela1[[#This Row],[Alongamento (mm/mm)]]/$I$2</f>
        <v>0.114358</v>
      </c>
      <c r="D513" s="1">
        <v>1102.2</v>
      </c>
      <c r="E513" s="1">
        <f>Tabela1[[#This Row],[Força (N)]]/$I$5</f>
        <v>22828572.375397667</v>
      </c>
      <c r="F513" s="1">
        <f>Tabela1[[#This Row],[Tensão (Pa)]]/1000000</f>
        <v>22.828572375397666</v>
      </c>
    </row>
    <row r="514" spans="1:6" x14ac:dyDescent="0.3">
      <c r="A514" s="1">
        <v>68.900000000000006</v>
      </c>
      <c r="B514" s="1">
        <v>5.7346000000000004</v>
      </c>
      <c r="C514" s="1">
        <f>Tabela1[[#This Row],[Alongamento (mm/mm)]]/$I$2</f>
        <v>0.114692</v>
      </c>
      <c r="D514" s="1">
        <v>1111.3</v>
      </c>
      <c r="E514" s="1">
        <f>Tabela1[[#This Row],[Força (N)]]/$I$5</f>
        <v>23017049.973488864</v>
      </c>
      <c r="F514" s="1">
        <f>Tabela1[[#This Row],[Tensão (Pa)]]/1000000</f>
        <v>23.017049973488863</v>
      </c>
    </row>
    <row r="515" spans="1:6" x14ac:dyDescent="0.3">
      <c r="A515" s="1">
        <v>69.099999999999994</v>
      </c>
      <c r="B515" s="1">
        <v>5.7512999999999996</v>
      </c>
      <c r="C515" s="1">
        <f>Tabela1[[#This Row],[Alongamento (mm/mm)]]/$I$2</f>
        <v>0.11502599999999999</v>
      </c>
      <c r="D515" s="1">
        <v>1120.4000000000001</v>
      </c>
      <c r="E515" s="1">
        <f>Tabela1[[#This Row],[Força (N)]]/$I$5</f>
        <v>23205527.571580064</v>
      </c>
      <c r="F515" s="1">
        <f>Tabela1[[#This Row],[Tensão (Pa)]]/1000000</f>
        <v>23.205527571580063</v>
      </c>
    </row>
    <row r="516" spans="1:6" x14ac:dyDescent="0.3">
      <c r="A516" s="1">
        <v>69.283000000000001</v>
      </c>
      <c r="B516" s="1">
        <v>5.7664999999999997</v>
      </c>
      <c r="C516" s="1">
        <f>Tabela1[[#This Row],[Alongamento (mm/mm)]]/$I$2</f>
        <v>0.11532999999999999</v>
      </c>
      <c r="D516" s="1">
        <v>1128.9000000000001</v>
      </c>
      <c r="E516" s="1">
        <f>Tabela1[[#This Row],[Força (N)]]/$I$5</f>
        <v>23381578.075291622</v>
      </c>
      <c r="F516" s="1">
        <f>Tabela1[[#This Row],[Tensão (Pa)]]/1000000</f>
        <v>23.381578075291621</v>
      </c>
    </row>
    <row r="517" spans="1:6" x14ac:dyDescent="0.3">
      <c r="A517" s="1">
        <v>69.483000000000004</v>
      </c>
      <c r="B517" s="1">
        <v>5.7832999999999997</v>
      </c>
      <c r="C517" s="1">
        <f>Tabela1[[#This Row],[Alongamento (mm/mm)]]/$I$2</f>
        <v>0.11566599999999999</v>
      </c>
      <c r="D517" s="1">
        <v>1138.0999999999999</v>
      </c>
      <c r="E517" s="1">
        <f>Tabela1[[#This Row],[Força (N)]]/$I$5</f>
        <v>23572126.855779424</v>
      </c>
      <c r="F517" s="1">
        <f>Tabela1[[#This Row],[Tensão (Pa)]]/1000000</f>
        <v>23.572126855779423</v>
      </c>
    </row>
    <row r="518" spans="1:6" x14ac:dyDescent="0.3">
      <c r="A518" s="1">
        <v>69.683000000000007</v>
      </c>
      <c r="B518" s="1">
        <v>5.7999000000000001</v>
      </c>
      <c r="C518" s="1">
        <f>Tabela1[[#This Row],[Alongamento (mm/mm)]]/$I$2</f>
        <v>0.115998</v>
      </c>
      <c r="D518" s="1">
        <v>1147.0999999999999</v>
      </c>
      <c r="E518" s="1">
        <f>Tabela1[[#This Row],[Força (N)]]/$I$5</f>
        <v>23758533.271474015</v>
      </c>
      <c r="F518" s="1">
        <f>Tabela1[[#This Row],[Tensão (Pa)]]/1000000</f>
        <v>23.758533271474015</v>
      </c>
    </row>
    <row r="519" spans="1:6" x14ac:dyDescent="0.3">
      <c r="A519" s="1">
        <v>69.882999999999996</v>
      </c>
      <c r="B519" s="1">
        <v>5.8166000000000002</v>
      </c>
      <c r="C519" s="1">
        <f>Tabela1[[#This Row],[Alongamento (mm/mm)]]/$I$2</f>
        <v>0.116332</v>
      </c>
      <c r="D519" s="1">
        <v>1156.3</v>
      </c>
      <c r="E519" s="1">
        <f>Tabela1[[#This Row],[Força (N)]]/$I$5</f>
        <v>23949082.051961821</v>
      </c>
      <c r="F519" s="1">
        <f>Tabela1[[#This Row],[Tensão (Pa)]]/1000000</f>
        <v>23.94908205196182</v>
      </c>
    </row>
    <row r="520" spans="1:6" x14ac:dyDescent="0.3">
      <c r="A520" s="1">
        <v>70.082999999999998</v>
      </c>
      <c r="B520" s="1">
        <v>5.8331999999999997</v>
      </c>
      <c r="C520" s="1">
        <f>Tabela1[[#This Row],[Alongamento (mm/mm)]]/$I$2</f>
        <v>0.11666399999999999</v>
      </c>
      <c r="D520" s="1">
        <v>1165.5</v>
      </c>
      <c r="E520" s="1">
        <f>Tabela1[[#This Row],[Força (N)]]/$I$5</f>
        <v>24139630.832449626</v>
      </c>
      <c r="F520" s="1">
        <f>Tabela1[[#This Row],[Tensão (Pa)]]/1000000</f>
        <v>24.139630832449626</v>
      </c>
    </row>
    <row r="521" spans="1:6" x14ac:dyDescent="0.3">
      <c r="A521" s="1">
        <v>70.283000000000001</v>
      </c>
      <c r="B521" s="1">
        <v>5.8498999999999999</v>
      </c>
      <c r="C521" s="1">
        <f>Tabela1[[#This Row],[Alongamento (mm/mm)]]/$I$2</f>
        <v>0.11699799999999999</v>
      </c>
      <c r="D521" s="1">
        <v>1174.9000000000001</v>
      </c>
      <c r="E521" s="1">
        <f>Tabela1[[#This Row],[Força (N)]]/$I$5</f>
        <v>24334321.977730647</v>
      </c>
      <c r="F521" s="1">
        <f>Tabela1[[#This Row],[Tensão (Pa)]]/1000000</f>
        <v>24.334321977730646</v>
      </c>
    </row>
    <row r="522" spans="1:6" x14ac:dyDescent="0.3">
      <c r="A522" s="1">
        <v>70.466999999999999</v>
      </c>
      <c r="B522" s="1">
        <v>5.8651999999999997</v>
      </c>
      <c r="C522" s="1">
        <f>Tabela1[[#This Row],[Alongamento (mm/mm)]]/$I$2</f>
        <v>0.11730399999999999</v>
      </c>
      <c r="D522" s="1">
        <v>1183.7</v>
      </c>
      <c r="E522" s="1">
        <f>Tabela1[[#This Row],[Força (N)]]/$I$5</f>
        <v>24516586.028632026</v>
      </c>
      <c r="F522" s="1">
        <f>Tabela1[[#This Row],[Tensão (Pa)]]/1000000</f>
        <v>24.516586028632027</v>
      </c>
    </row>
    <row r="523" spans="1:6" x14ac:dyDescent="0.3">
      <c r="A523" s="1">
        <v>70.667000000000002</v>
      </c>
      <c r="B523" s="1">
        <v>5.8818000000000001</v>
      </c>
      <c r="C523" s="1">
        <f>Tabela1[[#This Row],[Alongamento (mm/mm)]]/$I$2</f>
        <v>0.117636</v>
      </c>
      <c r="D523" s="1">
        <v>1193.0999999999999</v>
      </c>
      <c r="E523" s="1">
        <f>Tabela1[[#This Row],[Força (N)]]/$I$5</f>
        <v>24711277.173913039</v>
      </c>
      <c r="F523" s="1">
        <f>Tabela1[[#This Row],[Tensão (Pa)]]/1000000</f>
        <v>24.711277173913039</v>
      </c>
    </row>
    <row r="524" spans="1:6" x14ac:dyDescent="0.3">
      <c r="A524" s="1">
        <v>70.867000000000004</v>
      </c>
      <c r="B524" s="1">
        <v>5.8986000000000001</v>
      </c>
      <c r="C524" s="1">
        <f>Tabela1[[#This Row],[Alongamento (mm/mm)]]/$I$2</f>
        <v>0.11797200000000001</v>
      </c>
      <c r="D524" s="1">
        <v>1202.5999999999999</v>
      </c>
      <c r="E524" s="1">
        <f>Tabela1[[#This Row],[Força (N)]]/$I$5</f>
        <v>24908039.501590665</v>
      </c>
      <c r="F524" s="1">
        <f>Tabela1[[#This Row],[Tensão (Pa)]]/1000000</f>
        <v>24.908039501590665</v>
      </c>
    </row>
    <row r="525" spans="1:6" x14ac:dyDescent="0.3">
      <c r="A525" s="1">
        <v>71.066999999999993</v>
      </c>
      <c r="B525" s="1">
        <v>5.9151999999999996</v>
      </c>
      <c r="C525" s="1">
        <f>Tabela1[[#This Row],[Alongamento (mm/mm)]]/$I$2</f>
        <v>0.11830399999999999</v>
      </c>
      <c r="D525" s="1">
        <v>1212</v>
      </c>
      <c r="E525" s="1">
        <f>Tabela1[[#This Row],[Força (N)]]/$I$5</f>
        <v>25102730.646871686</v>
      </c>
      <c r="F525" s="1">
        <f>Tabela1[[#This Row],[Tensão (Pa)]]/1000000</f>
        <v>25.102730646871684</v>
      </c>
    </row>
    <row r="526" spans="1:6" x14ac:dyDescent="0.3">
      <c r="A526" s="1">
        <v>71.266999999999996</v>
      </c>
      <c r="B526" s="1">
        <v>5.9318</v>
      </c>
      <c r="C526" s="1">
        <f>Tabela1[[#This Row],[Alongamento (mm/mm)]]/$I$2</f>
        <v>0.11863600000000001</v>
      </c>
      <c r="D526" s="1">
        <v>1221.5</v>
      </c>
      <c r="E526" s="1">
        <f>Tabela1[[#This Row],[Força (N)]]/$I$5</f>
        <v>25299492.974549308</v>
      </c>
      <c r="F526" s="1">
        <f>Tabela1[[#This Row],[Tensão (Pa)]]/1000000</f>
        <v>25.29949297454931</v>
      </c>
    </row>
    <row r="527" spans="1:6" x14ac:dyDescent="0.3">
      <c r="A527" s="1">
        <v>71.483000000000004</v>
      </c>
      <c r="B527" s="1">
        <v>5.9499000000000004</v>
      </c>
      <c r="C527" s="1">
        <f>Tabela1[[#This Row],[Alongamento (mm/mm)]]/$I$2</f>
        <v>0.11899800000000001</v>
      </c>
      <c r="D527" s="1">
        <v>1231.7</v>
      </c>
      <c r="E527" s="1">
        <f>Tabela1[[#This Row],[Força (N)]]/$I$5</f>
        <v>25510753.579003181</v>
      </c>
      <c r="F527" s="1">
        <f>Tabela1[[#This Row],[Tensão (Pa)]]/1000000</f>
        <v>25.510753579003183</v>
      </c>
    </row>
    <row r="528" spans="1:6" x14ac:dyDescent="0.3">
      <c r="A528" s="1">
        <v>71.7</v>
      </c>
      <c r="B528" s="1">
        <v>5.968</v>
      </c>
      <c r="C528" s="1">
        <f>Tabela1[[#This Row],[Alongamento (mm/mm)]]/$I$2</f>
        <v>0.11935999999999999</v>
      </c>
      <c r="D528" s="1">
        <v>1241.9000000000001</v>
      </c>
      <c r="E528" s="1">
        <f>Tabela1[[#This Row],[Força (N)]]/$I$5</f>
        <v>25722014.183457054</v>
      </c>
      <c r="F528" s="1">
        <f>Tabela1[[#This Row],[Tensão (Pa)]]/1000000</f>
        <v>25.722014183457055</v>
      </c>
    </row>
    <row r="529" spans="1:6" x14ac:dyDescent="0.3">
      <c r="A529" s="1">
        <v>71.917000000000002</v>
      </c>
      <c r="B529" s="1">
        <v>5.9859999999999998</v>
      </c>
      <c r="C529" s="1">
        <f>Tabela1[[#This Row],[Alongamento (mm/mm)]]/$I$2</f>
        <v>0.11971999999999999</v>
      </c>
      <c r="D529" s="1">
        <v>1251.9000000000001</v>
      </c>
      <c r="E529" s="1">
        <f>Tabela1[[#This Row],[Força (N)]]/$I$5</f>
        <v>25929132.423117708</v>
      </c>
      <c r="F529" s="1">
        <f>Tabela1[[#This Row],[Tensão (Pa)]]/1000000</f>
        <v>25.929132423117707</v>
      </c>
    </row>
    <row r="530" spans="1:6" x14ac:dyDescent="0.3">
      <c r="A530" s="1">
        <v>72.132999999999996</v>
      </c>
      <c r="B530" s="1">
        <v>6.0039999999999996</v>
      </c>
      <c r="C530" s="1">
        <f>Tabela1[[#This Row],[Alongamento (mm/mm)]]/$I$2</f>
        <v>0.12007999999999999</v>
      </c>
      <c r="D530" s="1">
        <v>1262</v>
      </c>
      <c r="E530" s="1">
        <f>Tabela1[[#This Row],[Força (N)]]/$I$5</f>
        <v>26138321.845174972</v>
      </c>
      <c r="F530" s="1">
        <f>Tabela1[[#This Row],[Tensão (Pa)]]/1000000</f>
        <v>26.138321845174971</v>
      </c>
    </row>
    <row r="531" spans="1:6" x14ac:dyDescent="0.3">
      <c r="A531" s="1">
        <v>72.349999999999994</v>
      </c>
      <c r="B531" s="1">
        <v>6.0221999999999998</v>
      </c>
      <c r="C531" s="1">
        <f>Tabela1[[#This Row],[Alongamento (mm/mm)]]/$I$2</f>
        <v>0.120444</v>
      </c>
      <c r="D531" s="1">
        <v>1272</v>
      </c>
      <c r="E531" s="1">
        <f>Tabela1[[#This Row],[Força (N)]]/$I$5</f>
        <v>26345440.08483563</v>
      </c>
      <c r="F531" s="1">
        <f>Tabela1[[#This Row],[Tensão (Pa)]]/1000000</f>
        <v>26.34544008483563</v>
      </c>
    </row>
    <row r="532" spans="1:6" x14ac:dyDescent="0.3">
      <c r="A532" s="1">
        <v>72.566999999999993</v>
      </c>
      <c r="B532" s="1">
        <v>6.0400999999999998</v>
      </c>
      <c r="C532" s="1">
        <f>Tabela1[[#This Row],[Alongamento (mm/mm)]]/$I$2</f>
        <v>0.12080199999999999</v>
      </c>
      <c r="D532" s="1">
        <v>1282</v>
      </c>
      <c r="E532" s="1">
        <f>Tabela1[[#This Row],[Força (N)]]/$I$5</f>
        <v>26552558.324496288</v>
      </c>
      <c r="F532" s="1">
        <f>Tabela1[[#This Row],[Tensão (Pa)]]/1000000</f>
        <v>26.552558324496289</v>
      </c>
    </row>
    <row r="533" spans="1:6" x14ac:dyDescent="0.3">
      <c r="A533" s="1">
        <v>72.783000000000001</v>
      </c>
      <c r="B533" s="1">
        <v>6.0583</v>
      </c>
      <c r="C533" s="1">
        <f>Tabela1[[#This Row],[Alongamento (mm/mm)]]/$I$2</f>
        <v>0.121166</v>
      </c>
      <c r="D533" s="1">
        <v>1292.0999999999999</v>
      </c>
      <c r="E533" s="1">
        <f>Tabela1[[#This Row],[Força (N)]]/$I$5</f>
        <v>26761747.746553548</v>
      </c>
      <c r="F533" s="1">
        <f>Tabela1[[#This Row],[Tensão (Pa)]]/1000000</f>
        <v>26.761747746553549</v>
      </c>
    </row>
    <row r="534" spans="1:6" x14ac:dyDescent="0.3">
      <c r="A534" s="1">
        <v>73</v>
      </c>
      <c r="B534" s="1">
        <v>6.0762</v>
      </c>
      <c r="C534" s="1">
        <f>Tabela1[[#This Row],[Alongamento (mm/mm)]]/$I$2</f>
        <v>0.12152400000000001</v>
      </c>
      <c r="D534" s="1">
        <v>1301.9000000000001</v>
      </c>
      <c r="E534" s="1">
        <f>Tabela1[[#This Row],[Força (N)]]/$I$5</f>
        <v>26964723.621420998</v>
      </c>
      <c r="F534" s="1">
        <f>Tabela1[[#This Row],[Tensão (Pa)]]/1000000</f>
        <v>26.964723621420998</v>
      </c>
    </row>
    <row r="535" spans="1:6" x14ac:dyDescent="0.3">
      <c r="A535" s="1">
        <v>73.216999999999999</v>
      </c>
      <c r="B535" s="1">
        <v>6.0944000000000003</v>
      </c>
      <c r="C535" s="1">
        <f>Tabela1[[#This Row],[Alongamento (mm/mm)]]/$I$2</f>
        <v>0.12188800000000001</v>
      </c>
      <c r="D535" s="1">
        <v>1312</v>
      </c>
      <c r="E535" s="1">
        <f>Tabela1[[#This Row],[Força (N)]]/$I$5</f>
        <v>27173913.043478258</v>
      </c>
      <c r="F535" s="1">
        <f>Tabela1[[#This Row],[Tensão (Pa)]]/1000000</f>
        <v>27.173913043478258</v>
      </c>
    </row>
    <row r="536" spans="1:6" x14ac:dyDescent="0.3">
      <c r="A536" s="1">
        <v>73.433000000000007</v>
      </c>
      <c r="B536" s="1">
        <v>6.1123000000000003</v>
      </c>
      <c r="C536" s="1">
        <f>Tabela1[[#This Row],[Alongamento (mm/mm)]]/$I$2</f>
        <v>0.12224600000000001</v>
      </c>
      <c r="D536" s="1">
        <v>1322.2</v>
      </c>
      <c r="E536" s="1">
        <f>Tabela1[[#This Row],[Força (N)]]/$I$5</f>
        <v>27385173.647932131</v>
      </c>
      <c r="F536" s="1">
        <f>Tabela1[[#This Row],[Tensão (Pa)]]/1000000</f>
        <v>27.385173647932131</v>
      </c>
    </row>
    <row r="537" spans="1:6" x14ac:dyDescent="0.3">
      <c r="A537" s="1">
        <v>73.667000000000002</v>
      </c>
      <c r="B537" s="1">
        <v>6.1318999999999999</v>
      </c>
      <c r="C537" s="1">
        <f>Tabela1[[#This Row],[Alongamento (mm/mm)]]/$I$2</f>
        <v>0.122638</v>
      </c>
      <c r="D537" s="1">
        <v>1332.9</v>
      </c>
      <c r="E537" s="1">
        <f>Tabela1[[#This Row],[Força (N)]]/$I$5</f>
        <v>27606790.164369036</v>
      </c>
      <c r="F537" s="1">
        <f>Tabela1[[#This Row],[Tensão (Pa)]]/1000000</f>
        <v>27.606790164369034</v>
      </c>
    </row>
    <row r="538" spans="1:6" x14ac:dyDescent="0.3">
      <c r="A538" s="1">
        <v>73.882999999999996</v>
      </c>
      <c r="B538" s="1">
        <v>6.1498999999999997</v>
      </c>
      <c r="C538" s="1">
        <f>Tabela1[[#This Row],[Alongamento (mm/mm)]]/$I$2</f>
        <v>0.122998</v>
      </c>
      <c r="D538" s="1">
        <v>1343.1</v>
      </c>
      <c r="E538" s="1">
        <f>Tabela1[[#This Row],[Força (N)]]/$I$5</f>
        <v>27818050.768822901</v>
      </c>
      <c r="F538" s="1">
        <f>Tabela1[[#This Row],[Tensão (Pa)]]/1000000</f>
        <v>27.8180507688229</v>
      </c>
    </row>
    <row r="539" spans="1:6" x14ac:dyDescent="0.3">
      <c r="A539" s="1">
        <v>74.117000000000004</v>
      </c>
      <c r="B539" s="1">
        <v>6.1694000000000004</v>
      </c>
      <c r="C539" s="1">
        <f>Tabela1[[#This Row],[Alongamento (mm/mm)]]/$I$2</f>
        <v>0.12338800000000001</v>
      </c>
      <c r="D539" s="1">
        <v>1353.8</v>
      </c>
      <c r="E539" s="1">
        <f>Tabela1[[#This Row],[Força (N)]]/$I$5</f>
        <v>28039667.285259806</v>
      </c>
      <c r="F539" s="1">
        <f>Tabela1[[#This Row],[Tensão (Pa)]]/1000000</f>
        <v>28.039667285259807</v>
      </c>
    </row>
    <row r="540" spans="1:6" x14ac:dyDescent="0.3">
      <c r="A540" s="1">
        <v>74.349999999999994</v>
      </c>
      <c r="B540" s="1">
        <v>6.1887999999999996</v>
      </c>
      <c r="C540" s="1">
        <f>Tabela1[[#This Row],[Alongamento (mm/mm)]]/$I$2</f>
        <v>0.123776</v>
      </c>
      <c r="D540" s="1">
        <v>1364.7</v>
      </c>
      <c r="E540" s="1">
        <f>Tabela1[[#This Row],[Força (N)]]/$I$5</f>
        <v>28265426.166489925</v>
      </c>
      <c r="F540" s="1">
        <f>Tabela1[[#This Row],[Tensão (Pa)]]/1000000</f>
        <v>28.265426166489924</v>
      </c>
    </row>
    <row r="541" spans="1:6" x14ac:dyDescent="0.3">
      <c r="A541" s="1">
        <v>74.582999999999998</v>
      </c>
      <c r="B541" s="1">
        <v>6.2083000000000004</v>
      </c>
      <c r="C541" s="1">
        <f>Tabela1[[#This Row],[Alongamento (mm/mm)]]/$I$2</f>
        <v>0.12416600000000001</v>
      </c>
      <c r="D541" s="1">
        <v>1375.6</v>
      </c>
      <c r="E541" s="1">
        <f>Tabela1[[#This Row],[Força (N)]]/$I$5</f>
        <v>28491185.047720041</v>
      </c>
      <c r="F541" s="1">
        <f>Tabela1[[#This Row],[Tensão (Pa)]]/1000000</f>
        <v>28.491185047720041</v>
      </c>
    </row>
    <row r="542" spans="1:6" x14ac:dyDescent="0.3">
      <c r="A542" s="1">
        <v>74.816999999999993</v>
      </c>
      <c r="B542" s="1">
        <v>6.2275999999999998</v>
      </c>
      <c r="C542" s="1">
        <f>Tabela1[[#This Row],[Alongamento (mm/mm)]]/$I$2</f>
        <v>0.124552</v>
      </c>
      <c r="D542" s="1">
        <v>1386.5</v>
      </c>
      <c r="E542" s="1">
        <f>Tabela1[[#This Row],[Força (N)]]/$I$5</f>
        <v>28716943.928950157</v>
      </c>
      <c r="F542" s="1">
        <f>Tabela1[[#This Row],[Tensão (Pa)]]/1000000</f>
        <v>28.716943928950158</v>
      </c>
    </row>
    <row r="543" spans="1:6" x14ac:dyDescent="0.3">
      <c r="A543" s="1">
        <v>75.05</v>
      </c>
      <c r="B543" s="1">
        <v>6.2470999999999997</v>
      </c>
      <c r="C543" s="1">
        <f>Tabela1[[#This Row],[Alongamento (mm/mm)]]/$I$2</f>
        <v>0.124942</v>
      </c>
      <c r="D543" s="1">
        <v>1397.2</v>
      </c>
      <c r="E543" s="1">
        <f>Tabela1[[#This Row],[Força (N)]]/$I$5</f>
        <v>28938560.445387062</v>
      </c>
      <c r="F543" s="1">
        <f>Tabela1[[#This Row],[Tensão (Pa)]]/1000000</f>
        <v>28.938560445387061</v>
      </c>
    </row>
    <row r="544" spans="1:6" x14ac:dyDescent="0.3">
      <c r="A544" s="1">
        <v>75.283000000000001</v>
      </c>
      <c r="B544" s="1">
        <v>6.2664999999999997</v>
      </c>
      <c r="C544" s="1">
        <f>Tabela1[[#This Row],[Alongamento (mm/mm)]]/$I$2</f>
        <v>0.12533</v>
      </c>
      <c r="D544" s="1">
        <v>1408.1</v>
      </c>
      <c r="E544" s="1">
        <f>Tabela1[[#This Row],[Força (N)]]/$I$5</f>
        <v>29164319.326617178</v>
      </c>
      <c r="F544" s="1">
        <f>Tabela1[[#This Row],[Tensão (Pa)]]/1000000</f>
        <v>29.164319326617179</v>
      </c>
    </row>
    <row r="545" spans="1:6" x14ac:dyDescent="0.3">
      <c r="A545" s="1">
        <v>75.533000000000001</v>
      </c>
      <c r="B545" s="1">
        <v>6.2874999999999996</v>
      </c>
      <c r="C545" s="1">
        <f>Tabela1[[#This Row],[Alongamento (mm/mm)]]/$I$2</f>
        <v>0.12575</v>
      </c>
      <c r="D545" s="1">
        <v>1419.6</v>
      </c>
      <c r="E545" s="1">
        <f>Tabela1[[#This Row],[Força (N)]]/$I$5</f>
        <v>29402505.302226931</v>
      </c>
      <c r="F545" s="1">
        <f>Tabela1[[#This Row],[Tensão (Pa)]]/1000000</f>
        <v>29.402505302226931</v>
      </c>
    </row>
    <row r="546" spans="1:6" x14ac:dyDescent="0.3">
      <c r="A546" s="1">
        <v>75.766999999999996</v>
      </c>
      <c r="B546" s="1">
        <v>6.3068</v>
      </c>
      <c r="C546" s="1">
        <f>Tabela1[[#This Row],[Alongamento (mm/mm)]]/$I$2</f>
        <v>0.126136</v>
      </c>
      <c r="D546" s="1">
        <v>1430.5</v>
      </c>
      <c r="E546" s="1">
        <f>Tabela1[[#This Row],[Força (N)]]/$I$5</f>
        <v>29628264.18345705</v>
      </c>
      <c r="F546" s="1">
        <f>Tabela1[[#This Row],[Tensão (Pa)]]/1000000</f>
        <v>29.628264183457052</v>
      </c>
    </row>
    <row r="547" spans="1:6" x14ac:dyDescent="0.3">
      <c r="A547" s="1">
        <v>76</v>
      </c>
      <c r="B547" s="1">
        <v>6.3262999999999998</v>
      </c>
      <c r="C547" s="1">
        <f>Tabela1[[#This Row],[Alongamento (mm/mm)]]/$I$2</f>
        <v>0.126526</v>
      </c>
      <c r="D547" s="1">
        <v>1441.6</v>
      </c>
      <c r="E547" s="1">
        <f>Tabela1[[#This Row],[Força (N)]]/$I$5</f>
        <v>29858165.429480378</v>
      </c>
      <c r="F547" s="1">
        <f>Tabela1[[#This Row],[Tensão (Pa)]]/1000000</f>
        <v>29.858165429480376</v>
      </c>
    </row>
    <row r="548" spans="1:6" x14ac:dyDescent="0.3">
      <c r="A548" s="1">
        <v>76.25</v>
      </c>
      <c r="B548" s="1">
        <v>6.3471000000000002</v>
      </c>
      <c r="C548" s="1">
        <f>Tabela1[[#This Row],[Alongamento (mm/mm)]]/$I$2</f>
        <v>0.126942</v>
      </c>
      <c r="D548" s="1">
        <v>1453.3</v>
      </c>
      <c r="E548" s="1">
        <f>Tabela1[[#This Row],[Força (N)]]/$I$5</f>
        <v>30100493.76988335</v>
      </c>
      <c r="F548" s="1">
        <f>Tabela1[[#This Row],[Tensão (Pa)]]/1000000</f>
        <v>30.10049376988335</v>
      </c>
    </row>
    <row r="549" spans="1:6" x14ac:dyDescent="0.3">
      <c r="A549" s="1">
        <v>76.5</v>
      </c>
      <c r="B549" s="1">
        <v>6.3680000000000003</v>
      </c>
      <c r="C549" s="1">
        <f>Tabela1[[#This Row],[Alongamento (mm/mm)]]/$I$2</f>
        <v>0.12736</v>
      </c>
      <c r="D549" s="1">
        <v>1465.1</v>
      </c>
      <c r="E549" s="1">
        <f>Tabela1[[#This Row],[Força (N)]]/$I$5</f>
        <v>30344893.292682923</v>
      </c>
      <c r="F549" s="1">
        <f>Tabela1[[#This Row],[Tensão (Pa)]]/1000000</f>
        <v>30.344893292682922</v>
      </c>
    </row>
    <row r="550" spans="1:6" x14ac:dyDescent="0.3">
      <c r="A550" s="1">
        <v>76.75</v>
      </c>
      <c r="B550" s="1">
        <v>6.3887999999999998</v>
      </c>
      <c r="C550" s="1">
        <f>Tabela1[[#This Row],[Alongamento (mm/mm)]]/$I$2</f>
        <v>0.127776</v>
      </c>
      <c r="D550" s="1">
        <v>1477</v>
      </c>
      <c r="E550" s="1">
        <f>Tabela1[[#This Row],[Força (N)]]/$I$5</f>
        <v>30591363.997879107</v>
      </c>
      <c r="F550" s="1">
        <f>Tabela1[[#This Row],[Tensão (Pa)]]/1000000</f>
        <v>30.591363997879107</v>
      </c>
    </row>
    <row r="551" spans="1:6" x14ac:dyDescent="0.3">
      <c r="A551" s="1">
        <v>76.983000000000004</v>
      </c>
      <c r="B551" s="1">
        <v>6.4082999999999997</v>
      </c>
      <c r="C551" s="1">
        <f>Tabela1[[#This Row],[Alongamento (mm/mm)]]/$I$2</f>
        <v>0.128166</v>
      </c>
      <c r="D551" s="1">
        <v>1488.2</v>
      </c>
      <c r="E551" s="1">
        <f>Tabela1[[#This Row],[Força (N)]]/$I$5</f>
        <v>30823336.426299047</v>
      </c>
      <c r="F551" s="1">
        <f>Tabela1[[#This Row],[Tensão (Pa)]]/1000000</f>
        <v>30.823336426299047</v>
      </c>
    </row>
    <row r="552" spans="1:6" x14ac:dyDescent="0.3">
      <c r="A552" s="1">
        <v>77.233000000000004</v>
      </c>
      <c r="B552" s="1">
        <v>6.4291</v>
      </c>
      <c r="C552" s="1">
        <f>Tabela1[[#This Row],[Alongamento (mm/mm)]]/$I$2</f>
        <v>0.128582</v>
      </c>
      <c r="D552" s="1">
        <v>1500.4</v>
      </c>
      <c r="E552" s="1">
        <f>Tabela1[[#This Row],[Força (N)]]/$I$5</f>
        <v>31076020.678685047</v>
      </c>
      <c r="F552" s="1">
        <f>Tabela1[[#This Row],[Tensão (Pa)]]/1000000</f>
        <v>31.076020678685047</v>
      </c>
    </row>
    <row r="553" spans="1:6" x14ac:dyDescent="0.3">
      <c r="A553" s="1">
        <v>77.483000000000004</v>
      </c>
      <c r="B553" s="1">
        <v>6.4499000000000004</v>
      </c>
      <c r="C553" s="1">
        <f>Tabela1[[#This Row],[Alongamento (mm/mm)]]/$I$2</f>
        <v>0.128998</v>
      </c>
      <c r="D553" s="1">
        <v>1512.3</v>
      </c>
      <c r="E553" s="1">
        <f>Tabela1[[#This Row],[Força (N)]]/$I$5</f>
        <v>31322491.383881226</v>
      </c>
      <c r="F553" s="1">
        <f>Tabela1[[#This Row],[Tensão (Pa)]]/1000000</f>
        <v>31.322491383881225</v>
      </c>
    </row>
    <row r="554" spans="1:6" x14ac:dyDescent="0.3">
      <c r="A554" s="1">
        <v>77.733000000000004</v>
      </c>
      <c r="B554" s="1">
        <v>6.4707999999999997</v>
      </c>
      <c r="C554" s="1">
        <f>Tabela1[[#This Row],[Alongamento (mm/mm)]]/$I$2</f>
        <v>0.129416</v>
      </c>
      <c r="D554" s="1">
        <v>1524.3</v>
      </c>
      <c r="E554" s="1">
        <f>Tabela1[[#This Row],[Força (N)]]/$I$5</f>
        <v>31571033.271474015</v>
      </c>
      <c r="F554" s="1">
        <f>Tabela1[[#This Row],[Tensão (Pa)]]/1000000</f>
        <v>31.571033271474015</v>
      </c>
    </row>
    <row r="555" spans="1:6" x14ac:dyDescent="0.3">
      <c r="A555" s="1">
        <v>78</v>
      </c>
      <c r="B555" s="1">
        <v>6.4928999999999997</v>
      </c>
      <c r="C555" s="1">
        <f>Tabela1[[#This Row],[Alongamento (mm/mm)]]/$I$2</f>
        <v>0.129858</v>
      </c>
      <c r="D555" s="1">
        <v>1536.8</v>
      </c>
      <c r="E555" s="1">
        <f>Tabela1[[#This Row],[Força (N)]]/$I$5</f>
        <v>31829931.071049839</v>
      </c>
      <c r="F555" s="1">
        <f>Tabela1[[#This Row],[Tensão (Pa)]]/1000000</f>
        <v>31.829931071049838</v>
      </c>
    </row>
    <row r="556" spans="1:6" x14ac:dyDescent="0.3">
      <c r="A556" s="1">
        <v>78.266999999999996</v>
      </c>
      <c r="B556" s="1">
        <v>6.5152000000000001</v>
      </c>
      <c r="C556" s="1">
        <f>Tabela1[[#This Row],[Alongamento (mm/mm)]]/$I$2</f>
        <v>0.130304</v>
      </c>
      <c r="D556" s="1">
        <v>1549.3</v>
      </c>
      <c r="E556" s="1">
        <f>Tabela1[[#This Row],[Força (N)]]/$I$5</f>
        <v>32088828.87062566</v>
      </c>
      <c r="F556" s="1">
        <f>Tabela1[[#This Row],[Tensão (Pa)]]/1000000</f>
        <v>32.088828870625662</v>
      </c>
    </row>
    <row r="557" spans="1:6" x14ac:dyDescent="0.3">
      <c r="A557" s="1">
        <v>78.533000000000001</v>
      </c>
      <c r="B557" s="1">
        <v>6.5373999999999999</v>
      </c>
      <c r="C557" s="1">
        <f>Tabela1[[#This Row],[Alongamento (mm/mm)]]/$I$2</f>
        <v>0.130748</v>
      </c>
      <c r="D557" s="1">
        <v>1561.7</v>
      </c>
      <c r="E557" s="1">
        <f>Tabela1[[#This Row],[Força (N)]]/$I$5</f>
        <v>32345655.487804879</v>
      </c>
      <c r="F557" s="1">
        <f>Tabela1[[#This Row],[Tensão (Pa)]]/1000000</f>
        <v>32.345655487804876</v>
      </c>
    </row>
    <row r="558" spans="1:6" x14ac:dyDescent="0.3">
      <c r="A558" s="1">
        <v>78.8</v>
      </c>
      <c r="B558" s="1">
        <v>6.5597000000000003</v>
      </c>
      <c r="C558" s="1">
        <f>Tabela1[[#This Row],[Alongamento (mm/mm)]]/$I$2</f>
        <v>0.13119400000000001</v>
      </c>
      <c r="D558" s="1">
        <v>1573.9</v>
      </c>
      <c r="E558" s="1">
        <f>Tabela1[[#This Row],[Força (N)]]/$I$5</f>
        <v>32598339.740190882</v>
      </c>
      <c r="F558" s="1">
        <f>Tabela1[[#This Row],[Tensão (Pa)]]/1000000</f>
        <v>32.59833974019088</v>
      </c>
    </row>
    <row r="559" spans="1:6" x14ac:dyDescent="0.3">
      <c r="A559" s="1">
        <v>79.066999999999993</v>
      </c>
      <c r="B559" s="1">
        <v>6.5818000000000003</v>
      </c>
      <c r="C559" s="1">
        <f>Tabela1[[#This Row],[Alongamento (mm/mm)]]/$I$2</f>
        <v>0.131636</v>
      </c>
      <c r="D559" s="1">
        <v>1586.2</v>
      </c>
      <c r="E559" s="1">
        <f>Tabela1[[#This Row],[Força (N)]]/$I$5</f>
        <v>32853095.174973488</v>
      </c>
      <c r="F559" s="1">
        <f>Tabela1[[#This Row],[Tensão (Pa)]]/1000000</f>
        <v>32.85309517497349</v>
      </c>
    </row>
    <row r="560" spans="1:6" x14ac:dyDescent="0.3">
      <c r="A560" s="1">
        <v>79.332999999999998</v>
      </c>
      <c r="B560" s="1">
        <v>6.6040000000000001</v>
      </c>
      <c r="C560" s="1">
        <f>Tabela1[[#This Row],[Alongamento (mm/mm)]]/$I$2</f>
        <v>0.13208</v>
      </c>
      <c r="D560" s="1">
        <v>1598.6</v>
      </c>
      <c r="E560" s="1">
        <f>Tabela1[[#This Row],[Força (N)]]/$I$5</f>
        <v>33109921.792152699</v>
      </c>
      <c r="F560" s="1">
        <f>Tabela1[[#This Row],[Tensão (Pa)]]/1000000</f>
        <v>33.109921792152697</v>
      </c>
    </row>
    <row r="561" spans="1:6" x14ac:dyDescent="0.3">
      <c r="A561" s="1">
        <v>79.599999999999994</v>
      </c>
      <c r="B561" s="1">
        <v>6.6262999999999996</v>
      </c>
      <c r="C561" s="1">
        <f>Tabela1[[#This Row],[Alongamento (mm/mm)]]/$I$2</f>
        <v>0.132526</v>
      </c>
      <c r="D561" s="1">
        <v>1610.8</v>
      </c>
      <c r="E561" s="1">
        <f>Tabela1[[#This Row],[Força (N)]]/$I$5</f>
        <v>33362606.044538703</v>
      </c>
      <c r="F561" s="1">
        <f>Tabela1[[#This Row],[Tensão (Pa)]]/1000000</f>
        <v>33.362606044538701</v>
      </c>
    </row>
    <row r="562" spans="1:6" x14ac:dyDescent="0.3">
      <c r="A562" s="1">
        <v>79.867000000000004</v>
      </c>
      <c r="B562" s="1">
        <v>6.6485000000000003</v>
      </c>
      <c r="C562" s="1">
        <f>Tabela1[[#This Row],[Alongamento (mm/mm)]]/$I$2</f>
        <v>0.13297</v>
      </c>
      <c r="D562" s="1">
        <v>1623.1</v>
      </c>
      <c r="E562" s="1">
        <f>Tabela1[[#This Row],[Força (N)]]/$I$5</f>
        <v>33617361.479321308</v>
      </c>
      <c r="F562" s="1">
        <f>Tabela1[[#This Row],[Tensão (Pa)]]/1000000</f>
        <v>33.61736147932131</v>
      </c>
    </row>
    <row r="563" spans="1:6" x14ac:dyDescent="0.3">
      <c r="A563" s="1">
        <v>80.150000000000006</v>
      </c>
      <c r="B563" s="1">
        <v>6.6722000000000001</v>
      </c>
      <c r="C563" s="1">
        <f>Tabela1[[#This Row],[Alongamento (mm/mm)]]/$I$2</f>
        <v>0.13344400000000001</v>
      </c>
      <c r="D563" s="1">
        <v>1636</v>
      </c>
      <c r="E563" s="1">
        <f>Tabela1[[#This Row],[Força (N)]]/$I$5</f>
        <v>33884544.008483559</v>
      </c>
      <c r="F563" s="1">
        <f>Tabela1[[#This Row],[Tensão (Pa)]]/1000000</f>
        <v>33.884544008483559</v>
      </c>
    </row>
    <row r="564" spans="1:6" x14ac:dyDescent="0.3">
      <c r="A564" s="1">
        <v>80.433000000000007</v>
      </c>
      <c r="B564" s="1">
        <v>6.6957000000000004</v>
      </c>
      <c r="C564" s="1">
        <f>Tabela1[[#This Row],[Alongamento (mm/mm)]]/$I$2</f>
        <v>0.13391400000000001</v>
      </c>
      <c r="D564" s="1">
        <v>1649.1</v>
      </c>
      <c r="E564" s="1">
        <f>Tabela1[[#This Row],[Força (N)]]/$I$5</f>
        <v>34155868.902439021</v>
      </c>
      <c r="F564" s="1">
        <f>Tabela1[[#This Row],[Tensão (Pa)]]/1000000</f>
        <v>34.155868902439018</v>
      </c>
    </row>
    <row r="565" spans="1:6" x14ac:dyDescent="0.3">
      <c r="A565" s="1">
        <v>80.716999999999999</v>
      </c>
      <c r="B565" s="1">
        <v>6.7192999999999996</v>
      </c>
      <c r="C565" s="1">
        <f>Tabela1[[#This Row],[Alongamento (mm/mm)]]/$I$2</f>
        <v>0.13438600000000001</v>
      </c>
      <c r="D565" s="1">
        <v>1662</v>
      </c>
      <c r="E565" s="1">
        <f>Tabela1[[#This Row],[Força (N)]]/$I$5</f>
        <v>34423051.431601271</v>
      </c>
      <c r="F565" s="1">
        <f>Tabela1[[#This Row],[Tensão (Pa)]]/1000000</f>
        <v>34.423051431601273</v>
      </c>
    </row>
    <row r="566" spans="1:6" x14ac:dyDescent="0.3">
      <c r="A566" s="1">
        <v>81.016999999999996</v>
      </c>
      <c r="B566" s="1">
        <v>6.7443999999999997</v>
      </c>
      <c r="C566" s="1">
        <f>Tabela1[[#This Row],[Alongamento (mm/mm)]]/$I$2</f>
        <v>0.13488800000000001</v>
      </c>
      <c r="D566" s="1">
        <v>1675.6</v>
      </c>
      <c r="E566" s="1">
        <f>Tabela1[[#This Row],[Força (N)]]/$I$5</f>
        <v>34704732.237539761</v>
      </c>
      <c r="F566" s="1">
        <f>Tabela1[[#This Row],[Tensão (Pa)]]/1000000</f>
        <v>34.704732237539758</v>
      </c>
    </row>
    <row r="567" spans="1:6" x14ac:dyDescent="0.3">
      <c r="A567" s="1">
        <v>81.316999999999993</v>
      </c>
      <c r="B567" s="1">
        <v>6.7693000000000003</v>
      </c>
      <c r="C567" s="1">
        <f>Tabela1[[#This Row],[Alongamento (mm/mm)]]/$I$2</f>
        <v>0.13538600000000001</v>
      </c>
      <c r="D567" s="1">
        <v>1689.3</v>
      </c>
      <c r="E567" s="1">
        <f>Tabela1[[#This Row],[Força (N)]]/$I$5</f>
        <v>34988484.225874864</v>
      </c>
      <c r="F567" s="1">
        <f>Tabela1[[#This Row],[Tensão (Pa)]]/1000000</f>
        <v>34.988484225874863</v>
      </c>
    </row>
    <row r="568" spans="1:6" x14ac:dyDescent="0.3">
      <c r="A568" s="1">
        <v>81.599999999999994</v>
      </c>
      <c r="B568" s="1">
        <v>6.7930000000000001</v>
      </c>
      <c r="C568" s="1">
        <f>Tabela1[[#This Row],[Alongamento (mm/mm)]]/$I$2</f>
        <v>0.13586000000000001</v>
      </c>
      <c r="D568" s="1">
        <v>1702.3</v>
      </c>
      <c r="E568" s="1">
        <f>Tabela1[[#This Row],[Força (N)]]/$I$5</f>
        <v>35257737.93743372</v>
      </c>
      <c r="F568" s="1">
        <f>Tabela1[[#This Row],[Tensão (Pa)]]/1000000</f>
        <v>35.257737937433717</v>
      </c>
    </row>
    <row r="569" spans="1:6" x14ac:dyDescent="0.3">
      <c r="A569" s="1">
        <v>81.900000000000006</v>
      </c>
      <c r="B569" s="1">
        <v>6.8179999999999996</v>
      </c>
      <c r="C569" s="1">
        <f>Tabela1[[#This Row],[Alongamento (mm/mm)]]/$I$2</f>
        <v>0.13635999999999998</v>
      </c>
      <c r="D569" s="1">
        <v>1716.1</v>
      </c>
      <c r="E569" s="1">
        <f>Tabela1[[#This Row],[Força (N)]]/$I$5</f>
        <v>35543561.108165428</v>
      </c>
      <c r="F569" s="1">
        <f>Tabela1[[#This Row],[Tensão (Pa)]]/1000000</f>
        <v>35.543561108165427</v>
      </c>
    </row>
    <row r="570" spans="1:6" x14ac:dyDescent="0.3">
      <c r="A570" s="1">
        <v>82.2</v>
      </c>
      <c r="B570" s="1">
        <v>6.843</v>
      </c>
      <c r="C570" s="1">
        <f>Tabela1[[#This Row],[Alongamento (mm/mm)]]/$I$2</f>
        <v>0.13686000000000001</v>
      </c>
      <c r="D570" s="1">
        <v>1730.1</v>
      </c>
      <c r="E570" s="1">
        <f>Tabela1[[#This Row],[Força (N)]]/$I$5</f>
        <v>35833526.643690348</v>
      </c>
      <c r="F570" s="1">
        <f>Tabela1[[#This Row],[Tensão (Pa)]]/1000000</f>
        <v>35.833526643690348</v>
      </c>
    </row>
    <row r="571" spans="1:6" x14ac:dyDescent="0.3">
      <c r="A571" s="1">
        <v>82.483000000000004</v>
      </c>
      <c r="B571" s="1">
        <v>6.8666</v>
      </c>
      <c r="C571" s="1">
        <f>Tabela1[[#This Row],[Alongamento (mm/mm)]]/$I$2</f>
        <v>0.13733200000000001</v>
      </c>
      <c r="D571" s="1">
        <v>1743.7</v>
      </c>
      <c r="E571" s="1">
        <f>Tabela1[[#This Row],[Força (N)]]/$I$5</f>
        <v>36115207.449628845</v>
      </c>
      <c r="F571" s="1">
        <f>Tabela1[[#This Row],[Tensão (Pa)]]/1000000</f>
        <v>36.115207449628848</v>
      </c>
    </row>
    <row r="572" spans="1:6" x14ac:dyDescent="0.3">
      <c r="A572" s="1">
        <v>82.783000000000001</v>
      </c>
      <c r="B572" s="1">
        <v>6.8916000000000004</v>
      </c>
      <c r="C572" s="1">
        <f>Tabela1[[#This Row],[Alongamento (mm/mm)]]/$I$2</f>
        <v>0.13783200000000001</v>
      </c>
      <c r="D572" s="1">
        <v>1757.8</v>
      </c>
      <c r="E572" s="1">
        <f>Tabela1[[#This Row],[Força (N)]]/$I$5</f>
        <v>36407244.16755037</v>
      </c>
      <c r="F572" s="1">
        <f>Tabela1[[#This Row],[Tensão (Pa)]]/1000000</f>
        <v>36.407244167550367</v>
      </c>
    </row>
    <row r="573" spans="1:6" x14ac:dyDescent="0.3">
      <c r="A573" s="1">
        <v>83.082999999999998</v>
      </c>
      <c r="B573" s="1">
        <v>6.9165999999999999</v>
      </c>
      <c r="C573" s="1">
        <f>Tabela1[[#This Row],[Alongamento (mm/mm)]]/$I$2</f>
        <v>0.13833200000000001</v>
      </c>
      <c r="D573" s="1">
        <v>1771.7</v>
      </c>
      <c r="E573" s="1">
        <f>Tabela1[[#This Row],[Força (N)]]/$I$5</f>
        <v>36695138.520678684</v>
      </c>
      <c r="F573" s="1">
        <f>Tabela1[[#This Row],[Tensão (Pa)]]/1000000</f>
        <v>36.695138520678682</v>
      </c>
    </row>
    <row r="574" spans="1:6" x14ac:dyDescent="0.3">
      <c r="A574" s="1">
        <v>83.382999999999996</v>
      </c>
      <c r="B574" s="1">
        <v>6.9416000000000002</v>
      </c>
      <c r="C574" s="1">
        <f>Tabela1[[#This Row],[Alongamento (mm/mm)]]/$I$2</f>
        <v>0.13883200000000001</v>
      </c>
      <c r="D574" s="1">
        <v>1785.5</v>
      </c>
      <c r="E574" s="1">
        <f>Tabela1[[#This Row],[Força (N)]]/$I$5</f>
        <v>36980961.691410393</v>
      </c>
      <c r="F574" s="1">
        <f>Tabela1[[#This Row],[Tensão (Pa)]]/1000000</f>
        <v>36.980961691410393</v>
      </c>
    </row>
    <row r="575" spans="1:6" x14ac:dyDescent="0.3">
      <c r="A575" s="1">
        <v>83.7</v>
      </c>
      <c r="B575" s="1">
        <v>6.968</v>
      </c>
      <c r="C575" s="1">
        <f>Tabela1[[#This Row],[Alongamento (mm/mm)]]/$I$2</f>
        <v>0.13936000000000001</v>
      </c>
      <c r="D575" s="1">
        <v>1800</v>
      </c>
      <c r="E575" s="1">
        <f>Tabela1[[#This Row],[Força (N)]]/$I$5</f>
        <v>37281283.138918348</v>
      </c>
      <c r="F575" s="1">
        <f>Tabela1[[#This Row],[Tensão (Pa)]]/1000000</f>
        <v>37.281283138918347</v>
      </c>
    </row>
    <row r="576" spans="1:6" x14ac:dyDescent="0.3">
      <c r="A576" s="1">
        <v>84.016999999999996</v>
      </c>
      <c r="B576" s="1">
        <v>6.9943999999999997</v>
      </c>
      <c r="C576" s="1">
        <f>Tabela1[[#This Row],[Alongamento (mm/mm)]]/$I$2</f>
        <v>0.13988799999999998</v>
      </c>
      <c r="D576" s="1">
        <v>1814.4</v>
      </c>
      <c r="E576" s="1">
        <f>Tabela1[[#This Row],[Força (N)]]/$I$5</f>
        <v>37579533.40402969</v>
      </c>
      <c r="F576" s="1">
        <f>Tabela1[[#This Row],[Tensão (Pa)]]/1000000</f>
        <v>37.579533404029689</v>
      </c>
    </row>
    <row r="577" spans="1:6" x14ac:dyDescent="0.3">
      <c r="A577" s="1">
        <v>84.332999999999998</v>
      </c>
      <c r="B577" s="1">
        <v>7.0208000000000004</v>
      </c>
      <c r="C577" s="1">
        <f>Tabela1[[#This Row],[Alongamento (mm/mm)]]/$I$2</f>
        <v>0.14041600000000001</v>
      </c>
      <c r="D577" s="1">
        <v>1828.9</v>
      </c>
      <c r="E577" s="1">
        <f>Tabela1[[#This Row],[Força (N)]]/$I$5</f>
        <v>37879854.851537645</v>
      </c>
      <c r="F577" s="1">
        <f>Tabela1[[#This Row],[Tensão (Pa)]]/1000000</f>
        <v>37.879854851537644</v>
      </c>
    </row>
    <row r="578" spans="1:6" x14ac:dyDescent="0.3">
      <c r="A578" s="1">
        <v>84.667000000000002</v>
      </c>
      <c r="B578" s="1">
        <v>7.0484999999999998</v>
      </c>
      <c r="C578" s="1">
        <f>Tabela1[[#This Row],[Alongamento (mm/mm)]]/$I$2</f>
        <v>0.14096999999999998</v>
      </c>
      <c r="D578" s="1">
        <v>1843.7</v>
      </c>
      <c r="E578" s="1">
        <f>Tabela1[[#This Row],[Força (N)]]/$I$5</f>
        <v>38186389.846235417</v>
      </c>
      <c r="F578" s="1">
        <f>Tabela1[[#This Row],[Tensão (Pa)]]/1000000</f>
        <v>38.186389846235414</v>
      </c>
    </row>
    <row r="579" spans="1:6" x14ac:dyDescent="0.3">
      <c r="A579" s="1">
        <v>85</v>
      </c>
      <c r="B579" s="1">
        <v>7.0762999999999998</v>
      </c>
      <c r="C579" s="1">
        <f>Tabela1[[#This Row],[Alongamento (mm/mm)]]/$I$2</f>
        <v>0.14152599999999999</v>
      </c>
      <c r="D579" s="1">
        <v>1858.5</v>
      </c>
      <c r="E579" s="1">
        <f>Tabela1[[#This Row],[Força (N)]]/$I$5</f>
        <v>38492924.840933189</v>
      </c>
      <c r="F579" s="1">
        <f>Tabela1[[#This Row],[Tensão (Pa)]]/1000000</f>
        <v>38.492924840933192</v>
      </c>
    </row>
    <row r="580" spans="1:6" x14ac:dyDescent="0.3">
      <c r="A580" s="1">
        <v>85.332999999999998</v>
      </c>
      <c r="B580" s="1">
        <v>7.1040000000000001</v>
      </c>
      <c r="C580" s="1">
        <f>Tabela1[[#This Row],[Alongamento (mm/mm)]]/$I$2</f>
        <v>0.14208000000000001</v>
      </c>
      <c r="D580" s="1">
        <v>1873.1</v>
      </c>
      <c r="E580" s="1">
        <f>Tabela1[[#This Row],[Força (N)]]/$I$5</f>
        <v>38795317.47083775</v>
      </c>
      <c r="F580" s="1">
        <f>Tabela1[[#This Row],[Tensão (Pa)]]/1000000</f>
        <v>38.795317470837752</v>
      </c>
    </row>
    <row r="581" spans="1:6" x14ac:dyDescent="0.3">
      <c r="A581" s="1">
        <v>85.683000000000007</v>
      </c>
      <c r="B581" s="1">
        <v>7.1333000000000002</v>
      </c>
      <c r="C581" s="1">
        <f>Tabela1[[#This Row],[Alongamento (mm/mm)]]/$I$2</f>
        <v>0.14266600000000002</v>
      </c>
      <c r="D581" s="1">
        <v>1888.3</v>
      </c>
      <c r="E581" s="1">
        <f>Tabela1[[#This Row],[Força (N)]]/$I$5</f>
        <v>39110137.195121951</v>
      </c>
      <c r="F581" s="1">
        <f>Tabela1[[#This Row],[Tensão (Pa)]]/1000000</f>
        <v>39.110137195121951</v>
      </c>
    </row>
    <row r="582" spans="1:6" x14ac:dyDescent="0.3">
      <c r="A582" s="1">
        <v>86.033000000000001</v>
      </c>
      <c r="B582" s="1">
        <v>7.1623999999999999</v>
      </c>
      <c r="C582" s="1">
        <f>Tabela1[[#This Row],[Alongamento (mm/mm)]]/$I$2</f>
        <v>0.14324799999999999</v>
      </c>
      <c r="D582" s="1">
        <v>1903.4</v>
      </c>
      <c r="E582" s="1">
        <f>Tabela1[[#This Row],[Força (N)]]/$I$5</f>
        <v>39422885.737009548</v>
      </c>
      <c r="F582" s="1">
        <f>Tabela1[[#This Row],[Tensão (Pa)]]/1000000</f>
        <v>39.422885737009551</v>
      </c>
    </row>
    <row r="583" spans="1:6" x14ac:dyDescent="0.3">
      <c r="A583" s="1">
        <v>86.4</v>
      </c>
      <c r="B583" s="1">
        <v>7.1928999999999998</v>
      </c>
      <c r="C583" s="1">
        <f>Tabela1[[#This Row],[Alongamento (mm/mm)]]/$I$2</f>
        <v>0.14385799999999999</v>
      </c>
      <c r="D583" s="1">
        <v>1918.4</v>
      </c>
      <c r="E583" s="1">
        <f>Tabela1[[#This Row],[Força (N)]]/$I$5</f>
        <v>39733563.096500531</v>
      </c>
      <c r="F583" s="1">
        <f>Tabela1[[#This Row],[Tensão (Pa)]]/1000000</f>
        <v>39.733563096500532</v>
      </c>
    </row>
    <row r="584" spans="1:6" x14ac:dyDescent="0.3">
      <c r="A584" s="1">
        <v>87.917000000000002</v>
      </c>
      <c r="B584" s="1">
        <v>7.3193999999999999</v>
      </c>
      <c r="C584" s="1">
        <f>Tabela1[[#This Row],[Alongamento (mm/mm)]]/$I$2</f>
        <v>0.14638799999999999</v>
      </c>
      <c r="D584" s="1">
        <v>2099.6999999999998</v>
      </c>
      <c r="E584" s="1">
        <f>Tabela1[[#This Row],[Força (N)]]/$I$5</f>
        <v>43488616.781548247</v>
      </c>
      <c r="F584" s="1">
        <f>Tabela1[[#This Row],[Tensão (Pa)]]/1000000</f>
        <v>43.488616781548245</v>
      </c>
    </row>
    <row r="585" spans="1:6" x14ac:dyDescent="0.3">
      <c r="A585" s="1">
        <v>88.417000000000002</v>
      </c>
      <c r="B585" s="1">
        <v>7.3609999999999998</v>
      </c>
      <c r="C585" s="1">
        <f>Tabela1[[#This Row],[Alongamento (mm/mm)]]/$I$2</f>
        <v>0.14721999999999999</v>
      </c>
      <c r="D585" s="1">
        <v>2111.1</v>
      </c>
      <c r="E585" s="1">
        <f>Tabela1[[#This Row],[Força (N)]]/$I$5</f>
        <v>43724731.574761398</v>
      </c>
      <c r="F585" s="1">
        <f>Tabela1[[#This Row],[Tensão (Pa)]]/1000000</f>
        <v>43.7247315747614</v>
      </c>
    </row>
    <row r="586" spans="1:6" x14ac:dyDescent="0.3">
      <c r="A586" s="1">
        <v>88.917000000000002</v>
      </c>
      <c r="B586" s="1">
        <v>7.4027000000000003</v>
      </c>
      <c r="C586" s="1">
        <f>Tabela1[[#This Row],[Alongamento (mm/mm)]]/$I$2</f>
        <v>0.14805400000000002</v>
      </c>
      <c r="D586" s="1">
        <v>2121</v>
      </c>
      <c r="E586" s="1">
        <f>Tabela1[[#This Row],[Força (N)]]/$I$5</f>
        <v>43929778.63202545</v>
      </c>
      <c r="F586" s="1">
        <f>Tabela1[[#This Row],[Tensão (Pa)]]/1000000</f>
        <v>43.929778632025453</v>
      </c>
    </row>
    <row r="587" spans="1:6" x14ac:dyDescent="0.3">
      <c r="A587" s="1">
        <v>89.417000000000002</v>
      </c>
      <c r="B587" s="1">
        <v>7.4443999999999999</v>
      </c>
      <c r="C587" s="1">
        <f>Tabela1[[#This Row],[Alongamento (mm/mm)]]/$I$2</f>
        <v>0.14888799999999999</v>
      </c>
      <c r="D587" s="1">
        <v>2129.5</v>
      </c>
      <c r="E587" s="1">
        <f>Tabela1[[#This Row],[Força (N)]]/$I$5</f>
        <v>44105829.135737009</v>
      </c>
      <c r="F587" s="1">
        <f>Tabela1[[#This Row],[Tensão (Pa)]]/1000000</f>
        <v>44.105829135737011</v>
      </c>
    </row>
    <row r="588" spans="1:6" x14ac:dyDescent="0.3">
      <c r="A588" s="1">
        <v>89.917000000000002</v>
      </c>
      <c r="B588" s="1">
        <v>7.4861000000000004</v>
      </c>
      <c r="C588" s="1">
        <f>Tabela1[[#This Row],[Alongamento (mm/mm)]]/$I$2</f>
        <v>0.14972200000000002</v>
      </c>
      <c r="D588" s="1">
        <v>2136.4</v>
      </c>
      <c r="E588" s="1">
        <f>Tabela1[[#This Row],[Força (N)]]/$I$5</f>
        <v>44248740.721102864</v>
      </c>
      <c r="F588" s="1">
        <f>Tabela1[[#This Row],[Tensão (Pa)]]/1000000</f>
        <v>44.248740721102862</v>
      </c>
    </row>
    <row r="589" spans="1:6" x14ac:dyDescent="0.3">
      <c r="A589" s="1">
        <v>90.417000000000002</v>
      </c>
      <c r="B589" s="1">
        <v>7.5277000000000003</v>
      </c>
      <c r="C589" s="1">
        <f>Tabela1[[#This Row],[Alongamento (mm/mm)]]/$I$2</f>
        <v>0.15055399999999999</v>
      </c>
      <c r="D589" s="1">
        <v>2142.1</v>
      </c>
      <c r="E589" s="1">
        <f>Tabela1[[#This Row],[Força (N)]]/$I$5</f>
        <v>44366798.117709436</v>
      </c>
      <c r="F589" s="1">
        <f>Tabela1[[#This Row],[Tensão (Pa)]]/1000000</f>
        <v>44.366798117709436</v>
      </c>
    </row>
    <row r="590" spans="1:6" x14ac:dyDescent="0.3">
      <c r="A590" s="1">
        <v>90.917000000000002</v>
      </c>
      <c r="B590" s="1">
        <v>7.5693999999999999</v>
      </c>
      <c r="C590" s="1">
        <f>Tabela1[[#This Row],[Alongamento (mm/mm)]]/$I$2</f>
        <v>0.15138799999999999</v>
      </c>
      <c r="D590" s="1">
        <v>2146.5</v>
      </c>
      <c r="E590" s="1">
        <f>Tabela1[[#This Row],[Força (N)]]/$I$5</f>
        <v>44457930.143160127</v>
      </c>
      <c r="F590" s="1">
        <f>Tabela1[[#This Row],[Tensão (Pa)]]/1000000</f>
        <v>44.457930143160127</v>
      </c>
    </row>
    <row r="591" spans="1:6" x14ac:dyDescent="0.3">
      <c r="A591" s="1">
        <v>91.417000000000002</v>
      </c>
      <c r="B591" s="1">
        <v>7.6109999999999998</v>
      </c>
      <c r="C591" s="1">
        <f>Tabela1[[#This Row],[Alongamento (mm/mm)]]/$I$2</f>
        <v>0.15221999999999999</v>
      </c>
      <c r="D591" s="1">
        <v>2149.1999999999998</v>
      </c>
      <c r="E591" s="1">
        <f>Tabela1[[#This Row],[Força (N)]]/$I$5</f>
        <v>44513852.067868501</v>
      </c>
      <c r="F591" s="1">
        <f>Tabela1[[#This Row],[Tensão (Pa)]]/1000000</f>
        <v>44.513852067868498</v>
      </c>
    </row>
    <row r="592" spans="1:6" x14ac:dyDescent="0.3">
      <c r="A592" s="1">
        <v>91.917000000000002</v>
      </c>
      <c r="B592" s="1">
        <v>7.6527000000000003</v>
      </c>
      <c r="C592" s="1">
        <f>Tabela1[[#This Row],[Alongamento (mm/mm)]]/$I$2</f>
        <v>0.153054</v>
      </c>
      <c r="D592" s="1">
        <v>2150.9</v>
      </c>
      <c r="E592" s="1">
        <f>Tabela1[[#This Row],[Força (N)]]/$I$5</f>
        <v>44549062.168610819</v>
      </c>
      <c r="F592" s="1">
        <f>Tabela1[[#This Row],[Tensão (Pa)]]/1000000</f>
        <v>44.549062168610817</v>
      </c>
    </row>
    <row r="593" spans="1:6" x14ac:dyDescent="0.3">
      <c r="A593" s="1">
        <v>92.417000000000002</v>
      </c>
      <c r="B593" s="1">
        <v>7.6943999999999999</v>
      </c>
      <c r="C593" s="1">
        <f>Tabela1[[#This Row],[Alongamento (mm/mm)]]/$I$2</f>
        <v>0.153888</v>
      </c>
      <c r="D593" s="1">
        <v>2151.8000000000002</v>
      </c>
      <c r="E593" s="1">
        <f>Tabela1[[#This Row],[Força (N)]]/$I$5</f>
        <v>44567702.810180277</v>
      </c>
      <c r="F593" s="1">
        <f>Tabela1[[#This Row],[Tensão (Pa)]]/1000000</f>
        <v>44.567702810180279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5234-FEC7-4EAD-A554-D877E4D36279}">
  <dimension ref="A1:K625"/>
  <sheetViews>
    <sheetView topLeftCell="A604" zoomScale="85" zoomScaleNormal="85" workbookViewId="0">
      <selection activeCell="A626" sqref="A626"/>
    </sheetView>
  </sheetViews>
  <sheetFormatPr defaultRowHeight="14.4" x14ac:dyDescent="0.3"/>
  <cols>
    <col min="1" max="1" width="16.44140625" style="1" customWidth="1"/>
    <col min="2" max="2" width="26.33203125" style="1" bestFit="1" customWidth="1"/>
    <col min="3" max="3" width="26.33203125" style="1" customWidth="1"/>
    <col min="4" max="4" width="15.44140625" style="1" customWidth="1"/>
    <col min="5" max="5" width="22.33203125" style="13" customWidth="1"/>
    <col min="6" max="6" width="17.88671875" style="13" bestFit="1" customWidth="1"/>
    <col min="7" max="7" width="18" bestFit="1" customWidth="1"/>
    <col min="8" max="8" width="12" bestFit="1" customWidth="1"/>
    <col min="9" max="9" width="14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>
        <v>1.6667000000000001E-2</v>
      </c>
      <c r="B2" s="1">
        <v>0</v>
      </c>
      <c r="C2" s="1">
        <f>Tabela13[[#This Row],[Alongamento (mm/mm)]]/$I$2</f>
        <v>0</v>
      </c>
      <c r="D2" s="1">
        <v>0</v>
      </c>
      <c r="E2" s="1">
        <f>Tabela13[[#This Row],[Força (N)]]/$I$5</f>
        <v>0</v>
      </c>
      <c r="F2" s="1">
        <f>Tabela13[[#This Row],[Tensão (Pa)]]/1000000</f>
        <v>0</v>
      </c>
      <c r="H2" s="2" t="s">
        <v>10</v>
      </c>
      <c r="I2" s="1">
        <v>50</v>
      </c>
      <c r="J2" s="1">
        <v>13.13</v>
      </c>
      <c r="K2" s="1">
        <v>3.67</v>
      </c>
    </row>
    <row r="3" spans="1:11" x14ac:dyDescent="0.3">
      <c r="A3" s="1">
        <v>9.1999999999999993</v>
      </c>
      <c r="B3" s="1">
        <v>0.75926000000000005</v>
      </c>
      <c r="C3" s="1">
        <f>Tabela13[[#This Row],[Alongamento (mm/mm)]]/$I$2</f>
        <v>1.5185200000000001E-2</v>
      </c>
      <c r="D3" s="1">
        <v>12.417</v>
      </c>
      <c r="E3" s="1">
        <f>Tabela13[[#This Row],[Força (N)]]/$I$5</f>
        <v>257683.07285559826</v>
      </c>
      <c r="F3" s="1">
        <f>Tabela13[[#This Row],[Tensão (Pa)]]/1000000</f>
        <v>0.25768307285559827</v>
      </c>
      <c r="H3" s="2" t="s">
        <v>11</v>
      </c>
      <c r="I3" s="1">
        <f>I2/1000</f>
        <v>0.05</v>
      </c>
      <c r="J3" s="1">
        <f>J2/1000</f>
        <v>1.3130000000000001E-2</v>
      </c>
      <c r="K3" s="1">
        <f>K2/1000</f>
        <v>3.6700000000000001E-3</v>
      </c>
    </row>
    <row r="4" spans="1:11" x14ac:dyDescent="0.3">
      <c r="A4" s="1">
        <v>9.2833000000000006</v>
      </c>
      <c r="B4" s="1">
        <v>0.76615</v>
      </c>
      <c r="C4" s="1">
        <f>Tabela13[[#This Row],[Alongamento (mm/mm)]]/$I$2</f>
        <v>1.5323E-2</v>
      </c>
      <c r="D4" s="1">
        <v>12.587</v>
      </c>
      <c r="E4" s="1">
        <f>Tabela13[[#This Row],[Força (N)]]/$I$5</f>
        <v>261210.98800301322</v>
      </c>
      <c r="F4" s="1">
        <f>Tabela13[[#This Row],[Tensão (Pa)]]/1000000</f>
        <v>0.26121098800301323</v>
      </c>
    </row>
    <row r="5" spans="1:11" ht="15" thickBot="1" x14ac:dyDescent="0.35">
      <c r="A5" s="1">
        <v>9.3666999999999998</v>
      </c>
      <c r="B5" s="1">
        <v>0.77322000000000002</v>
      </c>
      <c r="C5" s="1">
        <f>Tabela13[[#This Row],[Alongamento (mm/mm)]]/$I$2</f>
        <v>1.54644E-2</v>
      </c>
      <c r="D5" s="1">
        <v>12.757</v>
      </c>
      <c r="E5" s="1">
        <f>Tabela13[[#This Row],[Força (N)]]/$I$5</f>
        <v>264738.9031504282</v>
      </c>
      <c r="F5" s="1">
        <f>Tabela13[[#This Row],[Tensão (Pa)]]/1000000</f>
        <v>0.2647389031504282</v>
      </c>
      <c r="H5" s="3" t="s">
        <v>12</v>
      </c>
      <c r="I5" s="4">
        <f>J3*K3</f>
        <v>4.8187100000000005E-5</v>
      </c>
    </row>
    <row r="6" spans="1:11" ht="15" thickTop="1" x14ac:dyDescent="0.3">
      <c r="A6" s="1">
        <v>9.4499999999999993</v>
      </c>
      <c r="B6" s="1">
        <v>0.78010999999999997</v>
      </c>
      <c r="C6" s="1">
        <f>Tabela13[[#This Row],[Alongamento (mm/mm)]]/$I$2</f>
        <v>1.56022E-2</v>
      </c>
      <c r="D6" s="1">
        <v>12.928000000000001</v>
      </c>
      <c r="E6" s="1">
        <f>Tabela13[[#This Row],[Força (N)]]/$I$5</f>
        <v>268287.57073988678</v>
      </c>
      <c r="F6" s="1">
        <f>Tabela13[[#This Row],[Tensão (Pa)]]/1000000</f>
        <v>0.26828757073988679</v>
      </c>
    </row>
    <row r="7" spans="1:11" x14ac:dyDescent="0.3">
      <c r="A7" s="1">
        <v>9.5333000000000006</v>
      </c>
      <c r="B7" s="1">
        <v>0.78698999999999997</v>
      </c>
      <c r="C7" s="1">
        <f>Tabela13[[#This Row],[Alongamento (mm/mm)]]/$I$2</f>
        <v>1.5739799999999998E-2</v>
      </c>
      <c r="D7" s="1">
        <v>12.928000000000001</v>
      </c>
      <c r="E7" s="1">
        <f>Tabela13[[#This Row],[Força (N)]]/$I$5</f>
        <v>268287.57073988678</v>
      </c>
      <c r="F7" s="1">
        <f>Tabela13[[#This Row],[Tensão (Pa)]]/1000000</f>
        <v>0.26828757073988679</v>
      </c>
    </row>
    <row r="8" spans="1:11" x14ac:dyDescent="0.3">
      <c r="A8" s="1">
        <v>9.6166999999999998</v>
      </c>
      <c r="B8" s="1">
        <v>0.79405999999999999</v>
      </c>
      <c r="C8" s="1">
        <f>Tabela13[[#This Row],[Alongamento (mm/mm)]]/$I$2</f>
        <v>1.5881199999999998E-2</v>
      </c>
      <c r="D8" s="1">
        <v>12.928000000000001</v>
      </c>
      <c r="E8" s="1">
        <f>Tabela13[[#This Row],[Força (N)]]/$I$5</f>
        <v>268287.57073988678</v>
      </c>
      <c r="F8" s="1">
        <f>Tabela13[[#This Row],[Tensão (Pa)]]/1000000</f>
        <v>0.26828757073988679</v>
      </c>
    </row>
    <row r="9" spans="1:11" x14ac:dyDescent="0.3">
      <c r="A9" s="1">
        <v>9.6999999999999993</v>
      </c>
      <c r="B9" s="1">
        <v>0.80095000000000005</v>
      </c>
      <c r="C9" s="1">
        <f>Tabela13[[#This Row],[Alongamento (mm/mm)]]/$I$2</f>
        <v>1.6019000000000002E-2</v>
      </c>
      <c r="D9" s="1">
        <v>12.757</v>
      </c>
      <c r="E9" s="1">
        <f>Tabela13[[#This Row],[Força (N)]]/$I$5</f>
        <v>264738.9031504282</v>
      </c>
      <c r="F9" s="1">
        <f>Tabela13[[#This Row],[Tensão (Pa)]]/1000000</f>
        <v>0.2647389031504282</v>
      </c>
    </row>
    <row r="10" spans="1:11" x14ac:dyDescent="0.3">
      <c r="A10" s="1">
        <v>9.7833000000000006</v>
      </c>
      <c r="B10" s="1">
        <v>0.80784</v>
      </c>
      <c r="C10" s="1">
        <f>Tabela13[[#This Row],[Alongamento (mm/mm)]]/$I$2</f>
        <v>1.6156799999999999E-2</v>
      </c>
      <c r="D10" s="1">
        <v>12.928000000000001</v>
      </c>
      <c r="E10" s="1">
        <f>Tabela13[[#This Row],[Força (N)]]/$I$5</f>
        <v>268287.57073988678</v>
      </c>
      <c r="F10" s="1">
        <f>Tabela13[[#This Row],[Tensão (Pa)]]/1000000</f>
        <v>0.26828757073988679</v>
      </c>
    </row>
    <row r="11" spans="1:11" x14ac:dyDescent="0.3">
      <c r="A11" s="1">
        <v>9.8666999999999998</v>
      </c>
      <c r="B11" s="1">
        <v>0.81481999999999999</v>
      </c>
      <c r="C11" s="1">
        <f>Tabela13[[#This Row],[Alongamento (mm/mm)]]/$I$2</f>
        <v>1.6296399999999999E-2</v>
      </c>
      <c r="D11" s="1">
        <v>12.928000000000001</v>
      </c>
      <c r="E11" s="1">
        <f>Tabela13[[#This Row],[Força (N)]]/$I$5</f>
        <v>268287.57073988678</v>
      </c>
      <c r="F11" s="1">
        <f>Tabela13[[#This Row],[Tensão (Pa)]]/1000000</f>
        <v>0.26828757073988679</v>
      </c>
    </row>
    <row r="12" spans="1:11" x14ac:dyDescent="0.3">
      <c r="A12" s="1">
        <v>9.9499999999999993</v>
      </c>
      <c r="B12" s="1">
        <v>0.82179999999999997</v>
      </c>
      <c r="C12" s="1">
        <f>Tabela13[[#This Row],[Alongamento (mm/mm)]]/$I$2</f>
        <v>1.6435999999999999E-2</v>
      </c>
      <c r="D12" s="1">
        <v>12.928000000000001</v>
      </c>
      <c r="E12" s="1">
        <f>Tabela13[[#This Row],[Força (N)]]/$I$5</f>
        <v>268287.57073988678</v>
      </c>
      <c r="F12" s="1">
        <f>Tabela13[[#This Row],[Tensão (Pa)]]/1000000</f>
        <v>0.26828757073988679</v>
      </c>
    </row>
    <row r="13" spans="1:11" x14ac:dyDescent="0.3">
      <c r="A13" s="1">
        <v>10.032999999999999</v>
      </c>
      <c r="B13" s="1">
        <v>0.82867999999999997</v>
      </c>
      <c r="C13" s="1">
        <f>Tabela13[[#This Row],[Alongamento (mm/mm)]]/$I$2</f>
        <v>1.6573600000000001E-2</v>
      </c>
      <c r="D13" s="1">
        <v>13.098000000000001</v>
      </c>
      <c r="E13" s="1">
        <f>Tabela13[[#This Row],[Força (N)]]/$I$5</f>
        <v>271815.48588730179</v>
      </c>
      <c r="F13" s="1">
        <f>Tabela13[[#This Row],[Tensão (Pa)]]/1000000</f>
        <v>0.27181548588730181</v>
      </c>
    </row>
    <row r="14" spans="1:11" x14ac:dyDescent="0.3">
      <c r="A14" s="1">
        <v>10.117000000000001</v>
      </c>
      <c r="B14" s="1">
        <v>0.83565999999999996</v>
      </c>
      <c r="C14" s="1">
        <f>Tabela13[[#This Row],[Alongamento (mm/mm)]]/$I$2</f>
        <v>1.6713199999999998E-2</v>
      </c>
      <c r="D14" s="1">
        <v>13.098000000000001</v>
      </c>
      <c r="E14" s="1">
        <f>Tabela13[[#This Row],[Força (N)]]/$I$5</f>
        <v>271815.48588730179</v>
      </c>
      <c r="F14" s="1">
        <f>Tabela13[[#This Row],[Tensão (Pa)]]/1000000</f>
        <v>0.27181548588730181</v>
      </c>
    </row>
    <row r="15" spans="1:11" x14ac:dyDescent="0.3">
      <c r="A15" s="1">
        <v>10.199999999999999</v>
      </c>
      <c r="B15" s="1">
        <v>0.84263999999999994</v>
      </c>
      <c r="C15" s="1">
        <f>Tabela13[[#This Row],[Alongamento (mm/mm)]]/$I$2</f>
        <v>1.6852799999999998E-2</v>
      </c>
      <c r="D15" s="1">
        <v>13.098000000000001</v>
      </c>
      <c r="E15" s="1">
        <f>Tabela13[[#This Row],[Força (N)]]/$I$5</f>
        <v>271815.48588730179</v>
      </c>
      <c r="F15" s="1">
        <f>Tabela13[[#This Row],[Tensão (Pa)]]/1000000</f>
        <v>0.27181548588730181</v>
      </c>
    </row>
    <row r="16" spans="1:11" x14ac:dyDescent="0.3">
      <c r="A16" s="1">
        <v>10.282999999999999</v>
      </c>
      <c r="B16" s="1">
        <v>0.84953000000000001</v>
      </c>
      <c r="C16" s="1">
        <f>Tabela13[[#This Row],[Alongamento (mm/mm)]]/$I$2</f>
        <v>1.6990600000000002E-2</v>
      </c>
      <c r="D16" s="1">
        <v>13.098000000000001</v>
      </c>
      <c r="E16" s="1">
        <f>Tabela13[[#This Row],[Força (N)]]/$I$5</f>
        <v>271815.48588730179</v>
      </c>
      <c r="F16" s="1">
        <f>Tabela13[[#This Row],[Tensão (Pa)]]/1000000</f>
        <v>0.27181548588730181</v>
      </c>
    </row>
    <row r="17" spans="1:6" x14ac:dyDescent="0.3">
      <c r="A17" s="1">
        <v>10.367000000000001</v>
      </c>
      <c r="B17" s="1">
        <v>0.85650999999999999</v>
      </c>
      <c r="C17" s="1">
        <f>Tabela13[[#This Row],[Alongamento (mm/mm)]]/$I$2</f>
        <v>1.7130199999999998E-2</v>
      </c>
      <c r="D17" s="1">
        <v>13.098000000000001</v>
      </c>
      <c r="E17" s="1">
        <f>Tabela13[[#This Row],[Força (N)]]/$I$5</f>
        <v>271815.48588730179</v>
      </c>
      <c r="F17" s="1">
        <f>Tabela13[[#This Row],[Tensão (Pa)]]/1000000</f>
        <v>0.27181548588730181</v>
      </c>
    </row>
    <row r="18" spans="1:6" x14ac:dyDescent="0.3">
      <c r="A18" s="1">
        <v>10.45</v>
      </c>
      <c r="B18" s="1">
        <v>0.86338999999999999</v>
      </c>
      <c r="C18" s="1">
        <f>Tabela13[[#This Row],[Alongamento (mm/mm)]]/$I$2</f>
        <v>1.72678E-2</v>
      </c>
      <c r="D18" s="1">
        <v>13.268000000000001</v>
      </c>
      <c r="E18" s="1">
        <f>Tabela13[[#This Row],[Força (N)]]/$I$5</f>
        <v>275343.40103471675</v>
      </c>
      <c r="F18" s="1">
        <f>Tabela13[[#This Row],[Tensão (Pa)]]/1000000</f>
        <v>0.27534340103471677</v>
      </c>
    </row>
    <row r="19" spans="1:6" x14ac:dyDescent="0.3">
      <c r="A19" s="1">
        <v>10.532999999999999</v>
      </c>
      <c r="B19" s="1">
        <v>0.87028000000000005</v>
      </c>
      <c r="C19" s="1">
        <f>Tabela13[[#This Row],[Alongamento (mm/mm)]]/$I$2</f>
        <v>1.74056E-2</v>
      </c>
      <c r="D19" s="1">
        <v>13.268000000000001</v>
      </c>
      <c r="E19" s="1">
        <f>Tabela13[[#This Row],[Força (N)]]/$I$5</f>
        <v>275343.40103471675</v>
      </c>
      <c r="F19" s="1">
        <f>Tabela13[[#This Row],[Tensão (Pa)]]/1000000</f>
        <v>0.27534340103471677</v>
      </c>
    </row>
    <row r="20" spans="1:6" x14ac:dyDescent="0.3">
      <c r="A20" s="1">
        <v>10.617000000000001</v>
      </c>
      <c r="B20" s="1">
        <v>0.87734999999999996</v>
      </c>
      <c r="C20" s="1">
        <f>Tabela13[[#This Row],[Alongamento (mm/mm)]]/$I$2</f>
        <v>1.7547E-2</v>
      </c>
      <c r="D20" s="1">
        <v>13.268000000000001</v>
      </c>
      <c r="E20" s="1">
        <f>Tabela13[[#This Row],[Força (N)]]/$I$5</f>
        <v>275343.40103471675</v>
      </c>
      <c r="F20" s="1">
        <f>Tabela13[[#This Row],[Tensão (Pa)]]/1000000</f>
        <v>0.27534340103471677</v>
      </c>
    </row>
    <row r="21" spans="1:6" x14ac:dyDescent="0.3">
      <c r="A21" s="1">
        <v>10.7</v>
      </c>
      <c r="B21" s="1">
        <v>0.88424000000000003</v>
      </c>
      <c r="C21" s="1">
        <f>Tabela13[[#This Row],[Alongamento (mm/mm)]]/$I$2</f>
        <v>1.7684800000000001E-2</v>
      </c>
      <c r="D21" s="1">
        <v>13.268000000000001</v>
      </c>
      <c r="E21" s="1">
        <f>Tabela13[[#This Row],[Força (N)]]/$I$5</f>
        <v>275343.40103471675</v>
      </c>
      <c r="F21" s="1">
        <f>Tabela13[[#This Row],[Tensão (Pa)]]/1000000</f>
        <v>0.27534340103471677</v>
      </c>
    </row>
    <row r="22" spans="1:6" x14ac:dyDescent="0.3">
      <c r="A22" s="1">
        <v>10.782999999999999</v>
      </c>
      <c r="B22" s="1">
        <v>0.89122000000000001</v>
      </c>
      <c r="C22" s="1">
        <f>Tabela13[[#This Row],[Alongamento (mm/mm)]]/$I$2</f>
        <v>1.7824400000000001E-2</v>
      </c>
      <c r="D22" s="1">
        <v>13.098000000000001</v>
      </c>
      <c r="E22" s="1">
        <f>Tabela13[[#This Row],[Força (N)]]/$I$5</f>
        <v>271815.48588730179</v>
      </c>
      <c r="F22" s="1">
        <f>Tabela13[[#This Row],[Tensão (Pa)]]/1000000</f>
        <v>0.27181548588730181</v>
      </c>
    </row>
    <row r="23" spans="1:6" x14ac:dyDescent="0.3">
      <c r="A23" s="1">
        <v>10.867000000000001</v>
      </c>
      <c r="B23" s="1">
        <v>0.8982</v>
      </c>
      <c r="C23" s="1">
        <f>Tabela13[[#This Row],[Alongamento (mm/mm)]]/$I$2</f>
        <v>1.7964000000000001E-2</v>
      </c>
      <c r="D23" s="1">
        <v>12.928000000000001</v>
      </c>
      <c r="E23" s="1">
        <f>Tabela13[[#This Row],[Força (N)]]/$I$5</f>
        <v>268287.57073988678</v>
      </c>
      <c r="F23" s="1">
        <f>Tabela13[[#This Row],[Tensão (Pa)]]/1000000</f>
        <v>0.26828757073988679</v>
      </c>
    </row>
    <row r="24" spans="1:6" x14ac:dyDescent="0.3">
      <c r="A24" s="1">
        <v>10.967000000000001</v>
      </c>
      <c r="B24" s="1">
        <v>0.90647999999999995</v>
      </c>
      <c r="C24" s="1">
        <f>Tabela13[[#This Row],[Alongamento (mm/mm)]]/$I$2</f>
        <v>1.8129599999999999E-2</v>
      </c>
      <c r="D24" s="1">
        <v>12.928000000000001</v>
      </c>
      <c r="E24" s="1">
        <f>Tabela13[[#This Row],[Força (N)]]/$I$5</f>
        <v>268287.57073988678</v>
      </c>
      <c r="F24" s="1">
        <f>Tabela13[[#This Row],[Tensão (Pa)]]/1000000</f>
        <v>0.26828757073988679</v>
      </c>
    </row>
    <row r="25" spans="1:6" x14ac:dyDescent="0.3">
      <c r="A25" s="1">
        <v>11.067</v>
      </c>
      <c r="B25" s="1">
        <v>0.91485000000000005</v>
      </c>
      <c r="C25" s="1">
        <f>Tabela13[[#This Row],[Alongamento (mm/mm)]]/$I$2</f>
        <v>1.8297000000000001E-2</v>
      </c>
      <c r="D25" s="1">
        <v>12.928000000000001</v>
      </c>
      <c r="E25" s="1">
        <f>Tabela13[[#This Row],[Força (N)]]/$I$5</f>
        <v>268287.57073988678</v>
      </c>
      <c r="F25" s="1">
        <f>Tabela13[[#This Row],[Tensão (Pa)]]/1000000</f>
        <v>0.26828757073988679</v>
      </c>
    </row>
    <row r="26" spans="1:6" x14ac:dyDescent="0.3">
      <c r="A26" s="1">
        <v>11.167</v>
      </c>
      <c r="B26" s="1">
        <v>0.92313999999999996</v>
      </c>
      <c r="C26" s="1">
        <f>Tabela13[[#This Row],[Alongamento (mm/mm)]]/$I$2</f>
        <v>1.8462799999999998E-2</v>
      </c>
      <c r="D26" s="1">
        <v>13.098000000000001</v>
      </c>
      <c r="E26" s="1">
        <f>Tabela13[[#This Row],[Força (N)]]/$I$5</f>
        <v>271815.48588730179</v>
      </c>
      <c r="F26" s="1">
        <f>Tabela13[[#This Row],[Tensão (Pa)]]/1000000</f>
        <v>0.27181548588730181</v>
      </c>
    </row>
    <row r="27" spans="1:6" x14ac:dyDescent="0.3">
      <c r="A27" s="1">
        <v>11.266999999999999</v>
      </c>
      <c r="B27" s="1">
        <v>0.93142000000000003</v>
      </c>
      <c r="C27" s="1">
        <f>Tabela13[[#This Row],[Alongamento (mm/mm)]]/$I$2</f>
        <v>1.86284E-2</v>
      </c>
      <c r="D27" s="1">
        <v>13.098000000000001</v>
      </c>
      <c r="E27" s="1">
        <f>Tabela13[[#This Row],[Força (N)]]/$I$5</f>
        <v>271815.48588730179</v>
      </c>
      <c r="F27" s="1">
        <f>Tabela13[[#This Row],[Tensão (Pa)]]/1000000</f>
        <v>0.27181548588730181</v>
      </c>
    </row>
    <row r="28" spans="1:6" x14ac:dyDescent="0.3">
      <c r="A28" s="1">
        <v>11.367000000000001</v>
      </c>
      <c r="B28" s="1">
        <v>0.93989</v>
      </c>
      <c r="C28" s="1">
        <f>Tabela13[[#This Row],[Alongamento (mm/mm)]]/$I$2</f>
        <v>1.87978E-2</v>
      </c>
      <c r="D28" s="1">
        <v>13.098000000000001</v>
      </c>
      <c r="E28" s="1">
        <f>Tabela13[[#This Row],[Força (N)]]/$I$5</f>
        <v>271815.48588730179</v>
      </c>
      <c r="F28" s="1">
        <f>Tabela13[[#This Row],[Tensão (Pa)]]/1000000</f>
        <v>0.27181548588730181</v>
      </c>
    </row>
    <row r="29" spans="1:6" x14ac:dyDescent="0.3">
      <c r="A29" s="1">
        <v>11.467000000000001</v>
      </c>
      <c r="B29" s="1">
        <v>0.94816999999999996</v>
      </c>
      <c r="C29" s="1">
        <f>Tabela13[[#This Row],[Alongamento (mm/mm)]]/$I$2</f>
        <v>1.8963399999999998E-2</v>
      </c>
      <c r="D29" s="1">
        <v>13.098000000000001</v>
      </c>
      <c r="E29" s="1">
        <f>Tabela13[[#This Row],[Força (N)]]/$I$5</f>
        <v>271815.48588730179</v>
      </c>
      <c r="F29" s="1">
        <f>Tabela13[[#This Row],[Tensão (Pa)]]/1000000</f>
        <v>0.27181548588730181</v>
      </c>
    </row>
    <row r="30" spans="1:6" x14ac:dyDescent="0.3">
      <c r="A30" s="1">
        <v>11.567</v>
      </c>
      <c r="B30" s="1">
        <v>0.95653999999999995</v>
      </c>
      <c r="C30" s="1">
        <f>Tabela13[[#This Row],[Alongamento (mm/mm)]]/$I$2</f>
        <v>1.91308E-2</v>
      </c>
      <c r="D30" s="1">
        <v>13.098000000000001</v>
      </c>
      <c r="E30" s="1">
        <f>Tabela13[[#This Row],[Força (N)]]/$I$5</f>
        <v>271815.48588730179</v>
      </c>
      <c r="F30" s="1">
        <f>Tabela13[[#This Row],[Tensão (Pa)]]/1000000</f>
        <v>0.27181548588730181</v>
      </c>
    </row>
    <row r="31" spans="1:6" x14ac:dyDescent="0.3">
      <c r="A31" s="1">
        <v>11.667</v>
      </c>
      <c r="B31" s="1">
        <v>0.96482999999999997</v>
      </c>
      <c r="C31" s="1">
        <f>Tabela13[[#This Row],[Alongamento (mm/mm)]]/$I$2</f>
        <v>1.9296600000000001E-2</v>
      </c>
      <c r="D31" s="1">
        <v>13.098000000000001</v>
      </c>
      <c r="E31" s="1">
        <f>Tabela13[[#This Row],[Força (N)]]/$I$5</f>
        <v>271815.48588730179</v>
      </c>
      <c r="F31" s="1">
        <f>Tabela13[[#This Row],[Tensão (Pa)]]/1000000</f>
        <v>0.27181548588730181</v>
      </c>
    </row>
    <row r="32" spans="1:6" x14ac:dyDescent="0.3">
      <c r="A32" s="1">
        <v>11.766999999999999</v>
      </c>
      <c r="B32" s="1">
        <v>0.97311000000000003</v>
      </c>
      <c r="C32" s="1">
        <f>Tabela13[[#This Row],[Alongamento (mm/mm)]]/$I$2</f>
        <v>1.9462199999999999E-2</v>
      </c>
      <c r="D32" s="1">
        <v>13.438000000000001</v>
      </c>
      <c r="E32" s="1">
        <f>Tabela13[[#This Row],[Força (N)]]/$I$5</f>
        <v>278871.3161821317</v>
      </c>
      <c r="F32" s="1">
        <f>Tabela13[[#This Row],[Tensão (Pa)]]/1000000</f>
        <v>0.27887131618213168</v>
      </c>
    </row>
    <row r="33" spans="1:6" x14ac:dyDescent="0.3">
      <c r="A33" s="1">
        <v>11.867000000000001</v>
      </c>
      <c r="B33" s="1">
        <v>0.98158000000000001</v>
      </c>
      <c r="C33" s="1">
        <f>Tabela13[[#This Row],[Alongamento (mm/mm)]]/$I$2</f>
        <v>1.9631599999999999E-2</v>
      </c>
      <c r="D33" s="1">
        <v>13.438000000000001</v>
      </c>
      <c r="E33" s="1">
        <f>Tabela13[[#This Row],[Força (N)]]/$I$5</f>
        <v>278871.3161821317</v>
      </c>
      <c r="F33" s="1">
        <f>Tabela13[[#This Row],[Tensão (Pa)]]/1000000</f>
        <v>0.27887131618213168</v>
      </c>
    </row>
    <row r="34" spans="1:6" x14ac:dyDescent="0.3">
      <c r="A34" s="1">
        <v>11.967000000000001</v>
      </c>
      <c r="B34" s="1">
        <v>0.98985999999999996</v>
      </c>
      <c r="C34" s="1">
        <f>Tabela13[[#This Row],[Alongamento (mm/mm)]]/$I$2</f>
        <v>1.9797200000000001E-2</v>
      </c>
      <c r="D34" s="1">
        <v>13.438000000000001</v>
      </c>
      <c r="E34" s="1">
        <f>Tabela13[[#This Row],[Força (N)]]/$I$5</f>
        <v>278871.3161821317</v>
      </c>
      <c r="F34" s="1">
        <f>Tabela13[[#This Row],[Tensão (Pa)]]/1000000</f>
        <v>0.27887131618213168</v>
      </c>
    </row>
    <row r="35" spans="1:6" x14ac:dyDescent="0.3">
      <c r="A35" s="1">
        <v>12.067</v>
      </c>
      <c r="B35" s="1">
        <v>0.99822999999999995</v>
      </c>
      <c r="C35" s="1">
        <f>Tabela13[[#This Row],[Alongamento (mm/mm)]]/$I$2</f>
        <v>1.9964599999999999E-2</v>
      </c>
      <c r="D35" s="1">
        <v>13.438000000000001</v>
      </c>
      <c r="E35" s="1">
        <f>Tabela13[[#This Row],[Força (N)]]/$I$5</f>
        <v>278871.3161821317</v>
      </c>
      <c r="F35" s="1">
        <f>Tabela13[[#This Row],[Tensão (Pa)]]/1000000</f>
        <v>0.27887131618213168</v>
      </c>
    </row>
    <row r="36" spans="1:6" x14ac:dyDescent="0.3">
      <c r="A36" s="1">
        <v>12.167</v>
      </c>
      <c r="B36" s="1">
        <v>1.0065</v>
      </c>
      <c r="C36" s="1">
        <f>Tabela13[[#This Row],[Alongamento (mm/mm)]]/$I$2</f>
        <v>2.0129999999999999E-2</v>
      </c>
      <c r="D36" s="1">
        <v>13.268000000000001</v>
      </c>
      <c r="E36" s="1">
        <f>Tabela13[[#This Row],[Força (N)]]/$I$5</f>
        <v>275343.40103471675</v>
      </c>
      <c r="F36" s="1">
        <f>Tabela13[[#This Row],[Tensão (Pa)]]/1000000</f>
        <v>0.27534340103471677</v>
      </c>
    </row>
    <row r="37" spans="1:6" x14ac:dyDescent="0.3">
      <c r="A37" s="1">
        <v>12.266999999999999</v>
      </c>
      <c r="B37" s="1">
        <v>1.0147999999999999</v>
      </c>
      <c r="C37" s="1">
        <f>Tabela13[[#This Row],[Alongamento (mm/mm)]]/$I$2</f>
        <v>2.0295999999999998E-2</v>
      </c>
      <c r="D37" s="1">
        <v>13.438000000000001</v>
      </c>
      <c r="E37" s="1">
        <f>Tabela13[[#This Row],[Força (N)]]/$I$5</f>
        <v>278871.3161821317</v>
      </c>
      <c r="F37" s="1">
        <f>Tabela13[[#This Row],[Tensão (Pa)]]/1000000</f>
        <v>0.27887131618213168</v>
      </c>
    </row>
    <row r="38" spans="1:6" x14ac:dyDescent="0.3">
      <c r="A38" s="1">
        <v>12.367000000000001</v>
      </c>
      <c r="B38" s="1">
        <v>1.0232000000000001</v>
      </c>
      <c r="C38" s="1">
        <f>Tabela13[[#This Row],[Alongamento (mm/mm)]]/$I$2</f>
        <v>2.0464000000000003E-2</v>
      </c>
      <c r="D38" s="1">
        <v>13.608000000000001</v>
      </c>
      <c r="E38" s="1">
        <f>Tabela13[[#This Row],[Força (N)]]/$I$5</f>
        <v>282399.23132954666</v>
      </c>
      <c r="F38" s="1">
        <f>Tabela13[[#This Row],[Tensão (Pa)]]/1000000</f>
        <v>0.28239923132954664</v>
      </c>
    </row>
    <row r="39" spans="1:6" x14ac:dyDescent="0.3">
      <c r="A39" s="1">
        <v>12.467000000000001</v>
      </c>
      <c r="B39" s="1">
        <v>1.0315000000000001</v>
      </c>
      <c r="C39" s="1">
        <f>Tabela13[[#This Row],[Alongamento (mm/mm)]]/$I$2</f>
        <v>2.0630000000000003E-2</v>
      </c>
      <c r="D39" s="1">
        <v>13.268000000000001</v>
      </c>
      <c r="E39" s="1">
        <f>Tabela13[[#This Row],[Força (N)]]/$I$5</f>
        <v>275343.40103471675</v>
      </c>
      <c r="F39" s="1">
        <f>Tabela13[[#This Row],[Tensão (Pa)]]/1000000</f>
        <v>0.27534340103471677</v>
      </c>
    </row>
    <row r="40" spans="1:6" x14ac:dyDescent="0.3">
      <c r="A40" s="1">
        <v>12.567</v>
      </c>
      <c r="B40" s="1">
        <v>1.0397000000000001</v>
      </c>
      <c r="C40" s="1">
        <f>Tabela13[[#This Row],[Alongamento (mm/mm)]]/$I$2</f>
        <v>2.0794E-2</v>
      </c>
      <c r="D40" s="1">
        <v>13.098000000000001</v>
      </c>
      <c r="E40" s="1">
        <f>Tabela13[[#This Row],[Força (N)]]/$I$5</f>
        <v>271815.48588730179</v>
      </c>
      <c r="F40" s="1">
        <f>Tabela13[[#This Row],[Tensão (Pa)]]/1000000</f>
        <v>0.27181548588730181</v>
      </c>
    </row>
    <row r="41" spans="1:6" x14ac:dyDescent="0.3">
      <c r="A41" s="1">
        <v>12.667</v>
      </c>
      <c r="B41" s="1">
        <v>1.0481</v>
      </c>
      <c r="C41" s="1">
        <f>Tabela13[[#This Row],[Alongamento (mm/mm)]]/$I$2</f>
        <v>2.0962000000000001E-2</v>
      </c>
      <c r="D41" s="1">
        <v>13.098000000000001</v>
      </c>
      <c r="E41" s="1">
        <f>Tabela13[[#This Row],[Força (N)]]/$I$5</f>
        <v>271815.48588730179</v>
      </c>
      <c r="F41" s="1">
        <f>Tabela13[[#This Row],[Tensão (Pa)]]/1000000</f>
        <v>0.27181548588730181</v>
      </c>
    </row>
    <row r="42" spans="1:6" x14ac:dyDescent="0.3">
      <c r="A42" s="1">
        <v>12.766999999999999</v>
      </c>
      <c r="B42" s="1">
        <v>1.0564</v>
      </c>
      <c r="C42" s="1">
        <f>Tabela13[[#This Row],[Alongamento (mm/mm)]]/$I$2</f>
        <v>2.1128000000000001E-2</v>
      </c>
      <c r="D42" s="1">
        <v>13.098000000000001</v>
      </c>
      <c r="E42" s="1">
        <f>Tabela13[[#This Row],[Força (N)]]/$I$5</f>
        <v>271815.48588730179</v>
      </c>
      <c r="F42" s="1">
        <f>Tabela13[[#This Row],[Tensão (Pa)]]/1000000</f>
        <v>0.27181548588730181</v>
      </c>
    </row>
    <row r="43" spans="1:6" x14ac:dyDescent="0.3">
      <c r="A43" s="1">
        <v>12.867000000000001</v>
      </c>
      <c r="B43" s="1">
        <v>1.0649</v>
      </c>
      <c r="C43" s="1">
        <f>Tabela13[[#This Row],[Alongamento (mm/mm)]]/$I$2</f>
        <v>2.1297999999999997E-2</v>
      </c>
      <c r="D43" s="1">
        <v>13.098000000000001</v>
      </c>
      <c r="E43" s="1">
        <f>Tabela13[[#This Row],[Força (N)]]/$I$5</f>
        <v>271815.48588730179</v>
      </c>
      <c r="F43" s="1">
        <f>Tabela13[[#This Row],[Tensão (Pa)]]/1000000</f>
        <v>0.27181548588730181</v>
      </c>
    </row>
    <row r="44" spans="1:6" x14ac:dyDescent="0.3">
      <c r="A44" s="1">
        <v>12.967000000000001</v>
      </c>
      <c r="B44" s="1">
        <v>1.0731999999999999</v>
      </c>
      <c r="C44" s="1">
        <f>Tabela13[[#This Row],[Alongamento (mm/mm)]]/$I$2</f>
        <v>2.1463999999999997E-2</v>
      </c>
      <c r="D44" s="1">
        <v>13.268000000000001</v>
      </c>
      <c r="E44" s="1">
        <f>Tabela13[[#This Row],[Força (N)]]/$I$5</f>
        <v>275343.40103471675</v>
      </c>
      <c r="F44" s="1">
        <f>Tabela13[[#This Row],[Tensão (Pa)]]/1000000</f>
        <v>0.27534340103471677</v>
      </c>
    </row>
    <row r="45" spans="1:6" x14ac:dyDescent="0.3">
      <c r="A45" s="1">
        <v>13.083</v>
      </c>
      <c r="B45" s="1">
        <v>1.0829</v>
      </c>
      <c r="C45" s="1">
        <f>Tabela13[[#This Row],[Alongamento (mm/mm)]]/$I$2</f>
        <v>2.1658E-2</v>
      </c>
      <c r="D45" s="1">
        <v>13.438000000000001</v>
      </c>
      <c r="E45" s="1">
        <f>Tabela13[[#This Row],[Força (N)]]/$I$5</f>
        <v>278871.3161821317</v>
      </c>
      <c r="F45" s="1">
        <f>Tabela13[[#This Row],[Tensão (Pa)]]/1000000</f>
        <v>0.27887131618213168</v>
      </c>
    </row>
    <row r="46" spans="1:6" x14ac:dyDescent="0.3">
      <c r="A46" s="1">
        <v>13.2</v>
      </c>
      <c r="B46" s="1">
        <v>1.0926</v>
      </c>
      <c r="C46" s="1">
        <f>Tabela13[[#This Row],[Alongamento (mm/mm)]]/$I$2</f>
        <v>2.1852E-2</v>
      </c>
      <c r="D46" s="1">
        <v>13.778</v>
      </c>
      <c r="E46" s="1">
        <f>Tabela13[[#This Row],[Força (N)]]/$I$5</f>
        <v>285927.14647696167</v>
      </c>
      <c r="F46" s="1">
        <f>Tabela13[[#This Row],[Tensão (Pa)]]/1000000</f>
        <v>0.28592714647696166</v>
      </c>
    </row>
    <row r="47" spans="1:6" x14ac:dyDescent="0.3">
      <c r="A47" s="1">
        <v>13.317</v>
      </c>
      <c r="B47" s="1">
        <v>1.1023000000000001</v>
      </c>
      <c r="C47" s="1">
        <f>Tabela13[[#This Row],[Alongamento (mm/mm)]]/$I$2</f>
        <v>2.2046E-2</v>
      </c>
      <c r="D47" s="1">
        <v>14.288</v>
      </c>
      <c r="E47" s="1">
        <f>Tabela13[[#This Row],[Força (N)]]/$I$5</f>
        <v>296510.8919192066</v>
      </c>
      <c r="F47" s="1">
        <f>Tabela13[[#This Row],[Tensão (Pa)]]/1000000</f>
        <v>0.2965108919192066</v>
      </c>
    </row>
    <row r="48" spans="1:6" x14ac:dyDescent="0.3">
      <c r="A48" s="1">
        <v>13.433</v>
      </c>
      <c r="B48" s="1">
        <v>1.1120000000000001</v>
      </c>
      <c r="C48" s="1">
        <f>Tabela13[[#This Row],[Alongamento (mm/mm)]]/$I$2</f>
        <v>2.2240000000000003E-2</v>
      </c>
      <c r="D48" s="1">
        <v>14.628</v>
      </c>
      <c r="E48" s="1">
        <f>Tabela13[[#This Row],[Força (N)]]/$I$5</f>
        <v>303566.7222140365</v>
      </c>
      <c r="F48" s="1">
        <f>Tabela13[[#This Row],[Tensão (Pa)]]/1000000</f>
        <v>0.30356672221403652</v>
      </c>
    </row>
    <row r="49" spans="1:6" x14ac:dyDescent="0.3">
      <c r="A49" s="1">
        <v>13.55</v>
      </c>
      <c r="B49" s="1">
        <v>1.1217999999999999</v>
      </c>
      <c r="C49" s="1">
        <f>Tabela13[[#This Row],[Alongamento (mm/mm)]]/$I$2</f>
        <v>2.2435999999999998E-2</v>
      </c>
      <c r="D49" s="1">
        <v>14.798999999999999</v>
      </c>
      <c r="E49" s="1">
        <f>Tabela13[[#This Row],[Força (N)]]/$I$5</f>
        <v>307115.38980349508</v>
      </c>
      <c r="F49" s="1">
        <f>Tabela13[[#This Row],[Tensão (Pa)]]/1000000</f>
        <v>0.30711538980349506</v>
      </c>
    </row>
    <row r="50" spans="1:6" x14ac:dyDescent="0.3">
      <c r="A50" s="1">
        <v>13.667</v>
      </c>
      <c r="B50" s="1">
        <v>1.1315</v>
      </c>
      <c r="C50" s="1">
        <f>Tabela13[[#This Row],[Alongamento (mm/mm)]]/$I$2</f>
        <v>2.2629999999999997E-2</v>
      </c>
      <c r="D50" s="1">
        <v>14.968999999999999</v>
      </c>
      <c r="E50" s="1">
        <f>Tabela13[[#This Row],[Força (N)]]/$I$5</f>
        <v>310643.30495091004</v>
      </c>
      <c r="F50" s="1">
        <f>Tabela13[[#This Row],[Tensão (Pa)]]/1000000</f>
        <v>0.31064330495091003</v>
      </c>
    </row>
    <row r="51" spans="1:6" x14ac:dyDescent="0.3">
      <c r="A51" s="1">
        <v>13.782999999999999</v>
      </c>
      <c r="B51" s="1">
        <v>1.1412</v>
      </c>
      <c r="C51" s="1">
        <f>Tabela13[[#This Row],[Alongamento (mm/mm)]]/$I$2</f>
        <v>2.2824000000000001E-2</v>
      </c>
      <c r="D51" s="1">
        <v>14.968999999999999</v>
      </c>
      <c r="E51" s="1">
        <f>Tabela13[[#This Row],[Força (N)]]/$I$5</f>
        <v>310643.30495091004</v>
      </c>
      <c r="F51" s="1">
        <f>Tabela13[[#This Row],[Tensão (Pa)]]/1000000</f>
        <v>0.31064330495091003</v>
      </c>
    </row>
    <row r="52" spans="1:6" x14ac:dyDescent="0.3">
      <c r="A52" s="1">
        <v>13.9</v>
      </c>
      <c r="B52" s="1">
        <v>1.1509</v>
      </c>
      <c r="C52" s="1">
        <f>Tabela13[[#This Row],[Alongamento (mm/mm)]]/$I$2</f>
        <v>2.3018E-2</v>
      </c>
      <c r="D52" s="1">
        <v>15.138999999999999</v>
      </c>
      <c r="E52" s="1">
        <f>Tabela13[[#This Row],[Força (N)]]/$I$5</f>
        <v>314171.22009832505</v>
      </c>
      <c r="F52" s="1">
        <f>Tabela13[[#This Row],[Tensão (Pa)]]/1000000</f>
        <v>0.31417122009832504</v>
      </c>
    </row>
    <row r="53" spans="1:6" x14ac:dyDescent="0.3">
      <c r="A53" s="1">
        <v>14.016999999999999</v>
      </c>
      <c r="B53" s="1">
        <v>1.1607000000000001</v>
      </c>
      <c r="C53" s="1">
        <f>Tabela13[[#This Row],[Alongamento (mm/mm)]]/$I$2</f>
        <v>2.3214000000000002E-2</v>
      </c>
      <c r="D53" s="1">
        <v>15.138999999999999</v>
      </c>
      <c r="E53" s="1">
        <f>Tabela13[[#This Row],[Força (N)]]/$I$5</f>
        <v>314171.22009832505</v>
      </c>
      <c r="F53" s="1">
        <f>Tabela13[[#This Row],[Tensão (Pa)]]/1000000</f>
        <v>0.31417122009832504</v>
      </c>
    </row>
    <row r="54" spans="1:6" x14ac:dyDescent="0.3">
      <c r="A54" s="1">
        <v>14.132999999999999</v>
      </c>
      <c r="B54" s="1">
        <v>1.1704000000000001</v>
      </c>
      <c r="C54" s="1">
        <f>Tabela13[[#This Row],[Alongamento (mm/mm)]]/$I$2</f>
        <v>2.3408000000000002E-2</v>
      </c>
      <c r="D54" s="1">
        <v>15.308999999999999</v>
      </c>
      <c r="E54" s="1">
        <f>Tabela13[[#This Row],[Força (N)]]/$I$5</f>
        <v>317699.13524574001</v>
      </c>
      <c r="F54" s="1">
        <f>Tabela13[[#This Row],[Tensão (Pa)]]/1000000</f>
        <v>0.31769913524574001</v>
      </c>
    </row>
    <row r="55" spans="1:6" x14ac:dyDescent="0.3">
      <c r="A55" s="1">
        <v>14.25</v>
      </c>
      <c r="B55" s="1">
        <v>1.1800999999999999</v>
      </c>
      <c r="C55" s="1">
        <f>Tabela13[[#This Row],[Alongamento (mm/mm)]]/$I$2</f>
        <v>2.3601999999999998E-2</v>
      </c>
      <c r="D55" s="1">
        <v>15.308999999999999</v>
      </c>
      <c r="E55" s="1">
        <f>Tabela13[[#This Row],[Força (N)]]/$I$5</f>
        <v>317699.13524574001</v>
      </c>
      <c r="F55" s="1">
        <f>Tabela13[[#This Row],[Tensão (Pa)]]/1000000</f>
        <v>0.31769913524574001</v>
      </c>
    </row>
    <row r="56" spans="1:6" x14ac:dyDescent="0.3">
      <c r="A56" s="1">
        <v>14.367000000000001</v>
      </c>
      <c r="B56" s="1">
        <v>1.1898</v>
      </c>
      <c r="C56" s="1">
        <f>Tabela13[[#This Row],[Alongamento (mm/mm)]]/$I$2</f>
        <v>2.3795999999999998E-2</v>
      </c>
      <c r="D56" s="1">
        <v>15.308999999999999</v>
      </c>
      <c r="E56" s="1">
        <f>Tabela13[[#This Row],[Força (N)]]/$I$5</f>
        <v>317699.13524574001</v>
      </c>
      <c r="F56" s="1">
        <f>Tabela13[[#This Row],[Tensão (Pa)]]/1000000</f>
        <v>0.31769913524574001</v>
      </c>
    </row>
    <row r="57" spans="1:6" x14ac:dyDescent="0.3">
      <c r="A57" s="1">
        <v>14.483000000000001</v>
      </c>
      <c r="B57" s="1">
        <v>1.1996</v>
      </c>
      <c r="C57" s="1">
        <f>Tabela13[[#This Row],[Alongamento (mm/mm)]]/$I$2</f>
        <v>2.3991999999999999E-2</v>
      </c>
      <c r="D57" s="1">
        <v>15.308999999999999</v>
      </c>
      <c r="E57" s="1">
        <f>Tabela13[[#This Row],[Força (N)]]/$I$5</f>
        <v>317699.13524574001</v>
      </c>
      <c r="F57" s="1">
        <f>Tabela13[[#This Row],[Tensão (Pa)]]/1000000</f>
        <v>0.31769913524574001</v>
      </c>
    </row>
    <row r="58" spans="1:6" x14ac:dyDescent="0.3">
      <c r="A58" s="1">
        <v>14.6</v>
      </c>
      <c r="B58" s="1">
        <v>1.2093</v>
      </c>
      <c r="C58" s="1">
        <f>Tabela13[[#This Row],[Alongamento (mm/mm)]]/$I$2</f>
        <v>2.4185999999999999E-2</v>
      </c>
      <c r="D58" s="1">
        <v>15.478999999999999</v>
      </c>
      <c r="E58" s="1">
        <f>Tabela13[[#This Row],[Força (N)]]/$I$5</f>
        <v>321227.05039315496</v>
      </c>
      <c r="F58" s="1">
        <f>Tabela13[[#This Row],[Tensão (Pa)]]/1000000</f>
        <v>0.32122705039315497</v>
      </c>
    </row>
    <row r="59" spans="1:6" x14ac:dyDescent="0.3">
      <c r="A59" s="1">
        <v>14.717000000000001</v>
      </c>
      <c r="B59" s="1">
        <v>1.2191000000000001</v>
      </c>
      <c r="C59" s="1">
        <f>Tabela13[[#This Row],[Alongamento (mm/mm)]]/$I$2</f>
        <v>2.4382000000000001E-2</v>
      </c>
      <c r="D59" s="1">
        <v>15.648999999999999</v>
      </c>
      <c r="E59" s="1">
        <f>Tabela13[[#This Row],[Força (N)]]/$I$5</f>
        <v>324754.96554056992</v>
      </c>
      <c r="F59" s="1">
        <f>Tabela13[[#This Row],[Tensão (Pa)]]/1000000</f>
        <v>0.32475496554056993</v>
      </c>
    </row>
    <row r="60" spans="1:6" x14ac:dyDescent="0.3">
      <c r="A60" s="1">
        <v>14.833</v>
      </c>
      <c r="B60" s="1">
        <v>1.2286999999999999</v>
      </c>
      <c r="C60" s="1">
        <f>Tabela13[[#This Row],[Alongamento (mm/mm)]]/$I$2</f>
        <v>2.4573999999999999E-2</v>
      </c>
      <c r="D60" s="1">
        <v>15.648999999999999</v>
      </c>
      <c r="E60" s="1">
        <f>Tabela13[[#This Row],[Força (N)]]/$I$5</f>
        <v>324754.96554056992</v>
      </c>
      <c r="F60" s="1">
        <f>Tabela13[[#This Row],[Tensão (Pa)]]/1000000</f>
        <v>0.32475496554056993</v>
      </c>
    </row>
    <row r="61" spans="1:6" x14ac:dyDescent="0.3">
      <c r="A61" s="1">
        <v>14.95</v>
      </c>
      <c r="B61" s="1">
        <v>1.2383999999999999</v>
      </c>
      <c r="C61" s="1">
        <f>Tabela13[[#This Row],[Alongamento (mm/mm)]]/$I$2</f>
        <v>2.4767999999999998E-2</v>
      </c>
      <c r="D61" s="1">
        <v>15.648999999999999</v>
      </c>
      <c r="E61" s="1">
        <f>Tabela13[[#This Row],[Força (N)]]/$I$5</f>
        <v>324754.96554056992</v>
      </c>
      <c r="F61" s="1">
        <f>Tabela13[[#This Row],[Tensão (Pa)]]/1000000</f>
        <v>0.32475496554056993</v>
      </c>
    </row>
    <row r="62" spans="1:6" x14ac:dyDescent="0.3">
      <c r="A62" s="1">
        <v>15.067</v>
      </c>
      <c r="B62" s="1">
        <v>1.2481</v>
      </c>
      <c r="C62" s="1">
        <f>Tabela13[[#This Row],[Alongamento (mm/mm)]]/$I$2</f>
        <v>2.4961999999999998E-2</v>
      </c>
      <c r="D62" s="1">
        <v>15.648999999999999</v>
      </c>
      <c r="E62" s="1">
        <f>Tabela13[[#This Row],[Força (N)]]/$I$5</f>
        <v>324754.96554056992</v>
      </c>
      <c r="F62" s="1">
        <f>Tabela13[[#This Row],[Tensão (Pa)]]/1000000</f>
        <v>0.32475496554056993</v>
      </c>
    </row>
    <row r="63" spans="1:6" x14ac:dyDescent="0.3">
      <c r="A63" s="1">
        <v>15.183</v>
      </c>
      <c r="B63" s="1">
        <v>1.2579</v>
      </c>
      <c r="C63" s="1">
        <f>Tabela13[[#This Row],[Alongamento (mm/mm)]]/$I$2</f>
        <v>2.5158E-2</v>
      </c>
      <c r="D63" s="1">
        <v>15.478999999999999</v>
      </c>
      <c r="E63" s="1">
        <f>Tabela13[[#This Row],[Força (N)]]/$I$5</f>
        <v>321227.05039315496</v>
      </c>
      <c r="F63" s="1">
        <f>Tabela13[[#This Row],[Tensão (Pa)]]/1000000</f>
        <v>0.32122705039315497</v>
      </c>
    </row>
    <row r="64" spans="1:6" x14ac:dyDescent="0.3">
      <c r="A64" s="1">
        <v>15.317</v>
      </c>
      <c r="B64" s="1">
        <v>1.2689999999999999</v>
      </c>
      <c r="C64" s="1">
        <f>Tabela13[[#This Row],[Alongamento (mm/mm)]]/$I$2</f>
        <v>2.538E-2</v>
      </c>
      <c r="D64" s="1">
        <v>15.478999999999999</v>
      </c>
      <c r="E64" s="1">
        <f>Tabela13[[#This Row],[Força (N)]]/$I$5</f>
        <v>321227.05039315496</v>
      </c>
      <c r="F64" s="1">
        <f>Tabela13[[#This Row],[Tensão (Pa)]]/1000000</f>
        <v>0.32122705039315497</v>
      </c>
    </row>
    <row r="65" spans="1:6" x14ac:dyDescent="0.3">
      <c r="A65" s="1">
        <v>15.45</v>
      </c>
      <c r="B65" s="1">
        <v>1.2801</v>
      </c>
      <c r="C65" s="1">
        <f>Tabela13[[#This Row],[Alongamento (mm/mm)]]/$I$2</f>
        <v>2.5602E-2</v>
      </c>
      <c r="D65" s="1">
        <v>15.478999999999999</v>
      </c>
      <c r="E65" s="1">
        <f>Tabela13[[#This Row],[Força (N)]]/$I$5</f>
        <v>321227.05039315496</v>
      </c>
      <c r="F65" s="1">
        <f>Tabela13[[#This Row],[Tensão (Pa)]]/1000000</f>
        <v>0.32122705039315497</v>
      </c>
    </row>
    <row r="66" spans="1:6" x14ac:dyDescent="0.3">
      <c r="A66" s="1">
        <v>15.583</v>
      </c>
      <c r="B66" s="1">
        <v>1.2912999999999999</v>
      </c>
      <c r="C66" s="1">
        <f>Tabela13[[#This Row],[Alongamento (mm/mm)]]/$I$2</f>
        <v>2.5825999999999998E-2</v>
      </c>
      <c r="D66" s="1">
        <v>15.478999999999999</v>
      </c>
      <c r="E66" s="1">
        <f>Tabela13[[#This Row],[Força (N)]]/$I$5</f>
        <v>321227.05039315496</v>
      </c>
      <c r="F66" s="1">
        <f>Tabela13[[#This Row],[Tensão (Pa)]]/1000000</f>
        <v>0.32122705039315497</v>
      </c>
    </row>
    <row r="67" spans="1:6" x14ac:dyDescent="0.3">
      <c r="A67" s="1">
        <v>15.717000000000001</v>
      </c>
      <c r="B67" s="1">
        <v>1.3023</v>
      </c>
      <c r="C67" s="1">
        <f>Tabela13[[#This Row],[Alongamento (mm/mm)]]/$I$2</f>
        <v>2.6046E-2</v>
      </c>
      <c r="D67" s="1">
        <v>15.648999999999999</v>
      </c>
      <c r="E67" s="1">
        <f>Tabela13[[#This Row],[Força (N)]]/$I$5</f>
        <v>324754.96554056992</v>
      </c>
      <c r="F67" s="1">
        <f>Tabela13[[#This Row],[Tensão (Pa)]]/1000000</f>
        <v>0.32475496554056993</v>
      </c>
    </row>
    <row r="68" spans="1:6" x14ac:dyDescent="0.3">
      <c r="A68" s="1">
        <v>15.85</v>
      </c>
      <c r="B68" s="1">
        <v>1.3133999999999999</v>
      </c>
      <c r="C68" s="1">
        <f>Tabela13[[#This Row],[Alongamento (mm/mm)]]/$I$2</f>
        <v>2.6268E-2</v>
      </c>
      <c r="D68" s="1">
        <v>15.478999999999999</v>
      </c>
      <c r="E68" s="1">
        <f>Tabela13[[#This Row],[Força (N)]]/$I$5</f>
        <v>321227.05039315496</v>
      </c>
      <c r="F68" s="1">
        <f>Tabela13[[#This Row],[Tensão (Pa)]]/1000000</f>
        <v>0.32122705039315497</v>
      </c>
    </row>
    <row r="69" spans="1:6" x14ac:dyDescent="0.3">
      <c r="A69" s="1">
        <v>15.983000000000001</v>
      </c>
      <c r="B69" s="1">
        <v>1.3245</v>
      </c>
      <c r="C69" s="1">
        <f>Tabela13[[#This Row],[Alongamento (mm/mm)]]/$I$2</f>
        <v>2.649E-2</v>
      </c>
      <c r="D69" s="1">
        <v>15.308999999999999</v>
      </c>
      <c r="E69" s="1">
        <f>Tabela13[[#This Row],[Força (N)]]/$I$5</f>
        <v>317699.13524574001</v>
      </c>
      <c r="F69" s="1">
        <f>Tabela13[[#This Row],[Tensão (Pa)]]/1000000</f>
        <v>0.31769913524574001</v>
      </c>
    </row>
    <row r="70" spans="1:6" x14ac:dyDescent="0.3">
      <c r="A70" s="1">
        <v>16.117000000000001</v>
      </c>
      <c r="B70" s="1">
        <v>1.3357000000000001</v>
      </c>
      <c r="C70" s="1">
        <f>Tabela13[[#This Row],[Alongamento (mm/mm)]]/$I$2</f>
        <v>2.6714000000000002E-2</v>
      </c>
      <c r="D70" s="1">
        <v>15.478999999999999</v>
      </c>
      <c r="E70" s="1">
        <f>Tabela13[[#This Row],[Força (N)]]/$I$5</f>
        <v>321227.05039315496</v>
      </c>
      <c r="F70" s="1">
        <f>Tabela13[[#This Row],[Tensão (Pa)]]/1000000</f>
        <v>0.32122705039315497</v>
      </c>
    </row>
    <row r="71" spans="1:6" x14ac:dyDescent="0.3">
      <c r="A71" s="1">
        <v>16.25</v>
      </c>
      <c r="B71" s="1">
        <v>1.3468</v>
      </c>
      <c r="C71" s="1">
        <f>Tabela13[[#This Row],[Alongamento (mm/mm)]]/$I$2</f>
        <v>2.6936000000000002E-2</v>
      </c>
      <c r="D71" s="1">
        <v>15.819000000000001</v>
      </c>
      <c r="E71" s="1">
        <f>Tabela13[[#This Row],[Força (N)]]/$I$5</f>
        <v>328282.88068798493</v>
      </c>
      <c r="F71" s="1">
        <f>Tabela13[[#This Row],[Tensão (Pa)]]/1000000</f>
        <v>0.32828288068798495</v>
      </c>
    </row>
    <row r="72" spans="1:6" x14ac:dyDescent="0.3">
      <c r="A72" s="1">
        <v>16.382999999999999</v>
      </c>
      <c r="B72" s="1">
        <v>1.3579000000000001</v>
      </c>
      <c r="C72" s="1">
        <f>Tabela13[[#This Row],[Alongamento (mm/mm)]]/$I$2</f>
        <v>2.7158000000000002E-2</v>
      </c>
      <c r="D72" s="1">
        <v>16.158999999999999</v>
      </c>
      <c r="E72" s="1">
        <f>Tabela13[[#This Row],[Força (N)]]/$I$5</f>
        <v>335338.71098281484</v>
      </c>
      <c r="F72" s="1">
        <f>Tabela13[[#This Row],[Tensão (Pa)]]/1000000</f>
        <v>0.33533871098281481</v>
      </c>
    </row>
    <row r="73" spans="1:6" x14ac:dyDescent="0.3">
      <c r="A73" s="1">
        <v>16.516999999999999</v>
      </c>
      <c r="B73" s="1">
        <v>1.3691</v>
      </c>
      <c r="C73" s="1">
        <f>Tabela13[[#This Row],[Alongamento (mm/mm)]]/$I$2</f>
        <v>2.7382E-2</v>
      </c>
      <c r="D73" s="1">
        <v>16.329000000000001</v>
      </c>
      <c r="E73" s="1">
        <f>Tabela13[[#This Row],[Força (N)]]/$I$5</f>
        <v>338866.62613022985</v>
      </c>
      <c r="F73" s="1">
        <f>Tabela13[[#This Row],[Tensão (Pa)]]/1000000</f>
        <v>0.33886662613022983</v>
      </c>
    </row>
    <row r="74" spans="1:6" x14ac:dyDescent="0.3">
      <c r="A74" s="1">
        <v>16.649999999999999</v>
      </c>
      <c r="B74" s="1">
        <v>1.3801000000000001</v>
      </c>
      <c r="C74" s="1">
        <f>Tabela13[[#This Row],[Alongamento (mm/mm)]]/$I$2</f>
        <v>2.7602000000000002E-2</v>
      </c>
      <c r="D74" s="1">
        <v>16.329000000000001</v>
      </c>
      <c r="E74" s="1">
        <f>Tabela13[[#This Row],[Força (N)]]/$I$5</f>
        <v>338866.62613022985</v>
      </c>
      <c r="F74" s="1">
        <f>Tabela13[[#This Row],[Tensão (Pa)]]/1000000</f>
        <v>0.33886662613022983</v>
      </c>
    </row>
    <row r="75" spans="1:6" x14ac:dyDescent="0.3">
      <c r="A75" s="1">
        <v>16.783000000000001</v>
      </c>
      <c r="B75" s="1">
        <v>1.3912</v>
      </c>
      <c r="C75" s="1">
        <f>Tabela13[[#This Row],[Alongamento (mm/mm)]]/$I$2</f>
        <v>2.7824000000000002E-2</v>
      </c>
      <c r="D75" s="1">
        <v>16.158999999999999</v>
      </c>
      <c r="E75" s="1">
        <f>Tabela13[[#This Row],[Força (N)]]/$I$5</f>
        <v>335338.71098281484</v>
      </c>
      <c r="F75" s="1">
        <f>Tabela13[[#This Row],[Tensão (Pa)]]/1000000</f>
        <v>0.33533871098281481</v>
      </c>
    </row>
    <row r="76" spans="1:6" x14ac:dyDescent="0.3">
      <c r="A76" s="1">
        <v>16.917000000000002</v>
      </c>
      <c r="B76" s="1">
        <v>1.4023000000000001</v>
      </c>
      <c r="C76" s="1">
        <f>Tabela13[[#This Row],[Alongamento (mm/mm)]]/$I$2</f>
        <v>2.8046000000000001E-2</v>
      </c>
      <c r="D76" s="1">
        <v>16.158999999999999</v>
      </c>
      <c r="E76" s="1">
        <f>Tabela13[[#This Row],[Força (N)]]/$I$5</f>
        <v>335338.71098281484</v>
      </c>
      <c r="F76" s="1">
        <f>Tabela13[[#This Row],[Tensão (Pa)]]/1000000</f>
        <v>0.33533871098281481</v>
      </c>
    </row>
    <row r="77" spans="1:6" x14ac:dyDescent="0.3">
      <c r="A77" s="1">
        <v>17.05</v>
      </c>
      <c r="B77" s="1">
        <v>1.4134</v>
      </c>
      <c r="C77" s="1">
        <f>Tabela13[[#This Row],[Alongamento (mm/mm)]]/$I$2</f>
        <v>2.8268000000000001E-2</v>
      </c>
      <c r="D77" s="1">
        <v>16.158999999999999</v>
      </c>
      <c r="E77" s="1">
        <f>Tabela13[[#This Row],[Força (N)]]/$I$5</f>
        <v>335338.71098281484</v>
      </c>
      <c r="F77" s="1">
        <f>Tabela13[[#This Row],[Tensão (Pa)]]/1000000</f>
        <v>0.33533871098281481</v>
      </c>
    </row>
    <row r="78" spans="1:6" x14ac:dyDescent="0.3">
      <c r="A78" s="1">
        <v>17.183</v>
      </c>
      <c r="B78" s="1">
        <v>1.4246000000000001</v>
      </c>
      <c r="C78" s="1">
        <f>Tabela13[[#This Row],[Alongamento (mm/mm)]]/$I$2</f>
        <v>2.8492000000000003E-2</v>
      </c>
      <c r="D78" s="1">
        <v>15.989000000000001</v>
      </c>
      <c r="E78" s="1">
        <f>Tabela13[[#This Row],[Força (N)]]/$I$5</f>
        <v>331810.79583539988</v>
      </c>
      <c r="F78" s="1">
        <f>Tabela13[[#This Row],[Tensão (Pa)]]/1000000</f>
        <v>0.33181079583539991</v>
      </c>
    </row>
    <row r="79" spans="1:6" x14ac:dyDescent="0.3">
      <c r="A79" s="1">
        <v>17.317</v>
      </c>
      <c r="B79" s="1">
        <v>1.4357</v>
      </c>
      <c r="C79" s="1">
        <f>Tabela13[[#This Row],[Alongamento (mm/mm)]]/$I$2</f>
        <v>2.8714E-2</v>
      </c>
      <c r="D79" s="1">
        <v>15.819000000000001</v>
      </c>
      <c r="E79" s="1">
        <f>Tabela13[[#This Row],[Força (N)]]/$I$5</f>
        <v>328282.88068798493</v>
      </c>
      <c r="F79" s="1">
        <f>Tabela13[[#This Row],[Tensão (Pa)]]/1000000</f>
        <v>0.32828288068798495</v>
      </c>
    </row>
    <row r="80" spans="1:6" x14ac:dyDescent="0.3">
      <c r="A80" s="1">
        <v>17.45</v>
      </c>
      <c r="B80" s="1">
        <v>1.4469000000000001</v>
      </c>
      <c r="C80" s="1">
        <f>Tabela13[[#This Row],[Alongamento (mm/mm)]]/$I$2</f>
        <v>2.8938000000000002E-2</v>
      </c>
      <c r="D80" s="1">
        <v>15.819000000000001</v>
      </c>
      <c r="E80" s="1">
        <f>Tabela13[[#This Row],[Força (N)]]/$I$5</f>
        <v>328282.88068798493</v>
      </c>
      <c r="F80" s="1">
        <f>Tabela13[[#This Row],[Tensão (Pa)]]/1000000</f>
        <v>0.32828288068798495</v>
      </c>
    </row>
    <row r="81" spans="1:6" x14ac:dyDescent="0.3">
      <c r="A81" s="1">
        <v>17.600000000000001</v>
      </c>
      <c r="B81" s="1">
        <v>1.4592000000000001</v>
      </c>
      <c r="C81" s="1">
        <f>Tabela13[[#This Row],[Alongamento (mm/mm)]]/$I$2</f>
        <v>2.9184000000000002E-2</v>
      </c>
      <c r="D81" s="1">
        <v>15.989000000000001</v>
      </c>
      <c r="E81" s="1">
        <f>Tabela13[[#This Row],[Força (N)]]/$I$5</f>
        <v>331810.79583539988</v>
      </c>
      <c r="F81" s="1">
        <f>Tabela13[[#This Row],[Tensão (Pa)]]/1000000</f>
        <v>0.33181079583539991</v>
      </c>
    </row>
    <row r="82" spans="1:6" x14ac:dyDescent="0.3">
      <c r="A82" s="1">
        <v>17.75</v>
      </c>
      <c r="B82" s="1">
        <v>1.4718</v>
      </c>
      <c r="C82" s="1">
        <f>Tabela13[[#This Row],[Alongamento (mm/mm)]]/$I$2</f>
        <v>2.9436E-2</v>
      </c>
      <c r="D82" s="1">
        <v>15.989000000000001</v>
      </c>
      <c r="E82" s="1">
        <f>Tabela13[[#This Row],[Força (N)]]/$I$5</f>
        <v>331810.79583539988</v>
      </c>
      <c r="F82" s="1">
        <f>Tabela13[[#This Row],[Tensão (Pa)]]/1000000</f>
        <v>0.33181079583539991</v>
      </c>
    </row>
    <row r="83" spans="1:6" x14ac:dyDescent="0.3">
      <c r="A83" s="1">
        <v>17.899999999999999</v>
      </c>
      <c r="B83" s="1">
        <v>1.4843</v>
      </c>
      <c r="C83" s="1">
        <f>Tabela13[[#This Row],[Alongamento (mm/mm)]]/$I$2</f>
        <v>2.9686000000000001E-2</v>
      </c>
      <c r="D83" s="1">
        <v>15.819000000000001</v>
      </c>
      <c r="E83" s="1">
        <f>Tabela13[[#This Row],[Força (N)]]/$I$5</f>
        <v>328282.88068798493</v>
      </c>
      <c r="F83" s="1">
        <f>Tabela13[[#This Row],[Tensão (Pa)]]/1000000</f>
        <v>0.32828288068798495</v>
      </c>
    </row>
    <row r="84" spans="1:6" x14ac:dyDescent="0.3">
      <c r="A84" s="1">
        <v>18.05</v>
      </c>
      <c r="B84" s="1">
        <v>1.4967999999999999</v>
      </c>
      <c r="C84" s="1">
        <f>Tabela13[[#This Row],[Alongamento (mm/mm)]]/$I$2</f>
        <v>2.9935999999999997E-2</v>
      </c>
      <c r="D84" s="1">
        <v>16.158999999999999</v>
      </c>
      <c r="E84" s="1">
        <f>Tabela13[[#This Row],[Força (N)]]/$I$5</f>
        <v>335338.71098281484</v>
      </c>
      <c r="F84" s="1">
        <f>Tabela13[[#This Row],[Tensão (Pa)]]/1000000</f>
        <v>0.33533871098281481</v>
      </c>
    </row>
    <row r="85" spans="1:6" x14ac:dyDescent="0.3">
      <c r="A85" s="1">
        <v>18.2</v>
      </c>
      <c r="B85" s="1">
        <v>1.5093000000000001</v>
      </c>
      <c r="C85" s="1">
        <f>Tabela13[[#This Row],[Alongamento (mm/mm)]]/$I$2</f>
        <v>3.0186000000000001E-2</v>
      </c>
      <c r="D85" s="1">
        <v>16.329000000000001</v>
      </c>
      <c r="E85" s="1">
        <f>Tabela13[[#This Row],[Força (N)]]/$I$5</f>
        <v>338866.62613022985</v>
      </c>
      <c r="F85" s="1">
        <f>Tabela13[[#This Row],[Tensão (Pa)]]/1000000</f>
        <v>0.33886662613022983</v>
      </c>
    </row>
    <row r="86" spans="1:6" x14ac:dyDescent="0.3">
      <c r="A86" s="1">
        <v>18.350000000000001</v>
      </c>
      <c r="B86" s="1">
        <v>1.5218</v>
      </c>
      <c r="C86" s="1">
        <f>Tabela13[[#This Row],[Alongamento (mm/mm)]]/$I$2</f>
        <v>3.0436000000000001E-2</v>
      </c>
      <c r="D86" s="1">
        <v>16.5</v>
      </c>
      <c r="E86" s="1">
        <f>Tabela13[[#This Row],[Força (N)]]/$I$5</f>
        <v>342415.29371968843</v>
      </c>
      <c r="F86" s="1">
        <f>Tabela13[[#This Row],[Tensão (Pa)]]/1000000</f>
        <v>0.34241529371968843</v>
      </c>
    </row>
    <row r="87" spans="1:6" x14ac:dyDescent="0.3">
      <c r="A87" s="1">
        <v>18.5</v>
      </c>
      <c r="B87" s="1">
        <v>1.5343</v>
      </c>
      <c r="C87" s="1">
        <f>Tabela13[[#This Row],[Alongamento (mm/mm)]]/$I$2</f>
        <v>3.0686000000000001E-2</v>
      </c>
      <c r="D87" s="1">
        <v>16.670000000000002</v>
      </c>
      <c r="E87" s="1">
        <f>Tabela13[[#This Row],[Força (N)]]/$I$5</f>
        <v>345943.20886710344</v>
      </c>
      <c r="F87" s="1">
        <f>Tabela13[[#This Row],[Tensão (Pa)]]/1000000</f>
        <v>0.34594320886710345</v>
      </c>
    </row>
    <row r="88" spans="1:6" x14ac:dyDescent="0.3">
      <c r="A88" s="1">
        <v>18.649999999999999</v>
      </c>
      <c r="B88" s="1">
        <v>1.5467</v>
      </c>
      <c r="C88" s="1">
        <f>Tabela13[[#This Row],[Alongamento (mm/mm)]]/$I$2</f>
        <v>3.0934E-2</v>
      </c>
      <c r="D88" s="1">
        <v>16.84</v>
      </c>
      <c r="E88" s="1">
        <f>Tabela13[[#This Row],[Força (N)]]/$I$5</f>
        <v>349471.1240145184</v>
      </c>
      <c r="F88" s="1">
        <f>Tabela13[[#This Row],[Tensão (Pa)]]/1000000</f>
        <v>0.34947112401451841</v>
      </c>
    </row>
    <row r="89" spans="1:6" x14ac:dyDescent="0.3">
      <c r="A89" s="1">
        <v>18.8</v>
      </c>
      <c r="B89" s="1">
        <v>1.5592999999999999</v>
      </c>
      <c r="C89" s="1">
        <f>Tabela13[[#This Row],[Alongamento (mm/mm)]]/$I$2</f>
        <v>3.1185999999999998E-2</v>
      </c>
      <c r="D89" s="1">
        <v>17.010000000000002</v>
      </c>
      <c r="E89" s="1">
        <f>Tabela13[[#This Row],[Força (N)]]/$I$5</f>
        <v>352999.03916193335</v>
      </c>
      <c r="F89" s="1">
        <f>Tabela13[[#This Row],[Tensão (Pa)]]/1000000</f>
        <v>0.35299903916193337</v>
      </c>
    </row>
    <row r="90" spans="1:6" x14ac:dyDescent="0.3">
      <c r="A90" s="1">
        <v>18.95</v>
      </c>
      <c r="B90" s="1">
        <v>1.5717000000000001</v>
      </c>
      <c r="C90" s="1">
        <f>Tabela13[[#This Row],[Alongamento (mm/mm)]]/$I$2</f>
        <v>3.1434000000000004E-2</v>
      </c>
      <c r="D90" s="1">
        <v>17.350000000000001</v>
      </c>
      <c r="E90" s="1">
        <f>Tabela13[[#This Row],[Força (N)]]/$I$5</f>
        <v>360054.86945676332</v>
      </c>
      <c r="F90" s="1">
        <f>Tabela13[[#This Row],[Tensão (Pa)]]/1000000</f>
        <v>0.36005486945676329</v>
      </c>
    </row>
    <row r="91" spans="1:6" x14ac:dyDescent="0.3">
      <c r="A91" s="1">
        <v>19.05</v>
      </c>
      <c r="B91" s="1">
        <v>1.5801000000000001</v>
      </c>
      <c r="C91" s="1">
        <f>Tabela13[[#This Row],[Alongamento (mm/mm)]]/$I$2</f>
        <v>3.1601999999999998E-2</v>
      </c>
      <c r="D91" s="1">
        <v>18.03</v>
      </c>
      <c r="E91" s="1">
        <f>Tabela13[[#This Row],[Força (N)]]/$I$5</f>
        <v>374166.5300464232</v>
      </c>
      <c r="F91" s="1">
        <f>Tabela13[[#This Row],[Tensão (Pa)]]/1000000</f>
        <v>0.3741665300464232</v>
      </c>
    </row>
    <row r="92" spans="1:6" x14ac:dyDescent="0.3">
      <c r="A92" s="1">
        <v>19.183</v>
      </c>
      <c r="B92" s="1">
        <v>1.5912999999999999</v>
      </c>
      <c r="C92" s="1">
        <f>Tabela13[[#This Row],[Alongamento (mm/mm)]]/$I$2</f>
        <v>3.1826E-2</v>
      </c>
      <c r="D92" s="1">
        <v>18.710999999999999</v>
      </c>
      <c r="E92" s="1">
        <f>Tabela13[[#This Row],[Força (N)]]/$I$5</f>
        <v>388298.94307812664</v>
      </c>
      <c r="F92" s="1">
        <f>Tabela13[[#This Row],[Tensão (Pa)]]/1000000</f>
        <v>0.38829894307812662</v>
      </c>
    </row>
    <row r="93" spans="1:6" x14ac:dyDescent="0.3">
      <c r="A93" s="1">
        <v>19.332999999999998</v>
      </c>
      <c r="B93" s="1">
        <v>1.6036999999999999</v>
      </c>
      <c r="C93" s="1">
        <f>Tabela13[[#This Row],[Alongamento (mm/mm)]]/$I$2</f>
        <v>3.2073999999999998E-2</v>
      </c>
      <c r="D93" s="1">
        <v>19.390999999999998</v>
      </c>
      <c r="E93" s="1">
        <f>Tabela13[[#This Row],[Força (N)]]/$I$5</f>
        <v>402410.60366778652</v>
      </c>
      <c r="F93" s="1">
        <f>Tabela13[[#This Row],[Tensão (Pa)]]/1000000</f>
        <v>0.40241060366778653</v>
      </c>
    </row>
    <row r="94" spans="1:6" x14ac:dyDescent="0.3">
      <c r="A94" s="1">
        <v>19.483000000000001</v>
      </c>
      <c r="B94" s="1">
        <v>1.6162000000000001</v>
      </c>
      <c r="C94" s="1">
        <f>Tabela13[[#This Row],[Alongamento (mm/mm)]]/$I$2</f>
        <v>3.2323999999999999E-2</v>
      </c>
      <c r="D94" s="1">
        <v>19.902000000000001</v>
      </c>
      <c r="E94" s="1">
        <f>Tabela13[[#This Row],[Força (N)]]/$I$5</f>
        <v>413015.10155207512</v>
      </c>
      <c r="F94" s="1">
        <f>Tabela13[[#This Row],[Tensão (Pa)]]/1000000</f>
        <v>0.4130151015520751</v>
      </c>
    </row>
    <row r="95" spans="1:6" x14ac:dyDescent="0.3">
      <c r="A95" s="1">
        <v>19.649999999999999</v>
      </c>
      <c r="B95" s="1">
        <v>1.6301000000000001</v>
      </c>
      <c r="C95" s="1">
        <f>Tabela13[[#This Row],[Alongamento (mm/mm)]]/$I$2</f>
        <v>3.2601999999999999E-2</v>
      </c>
      <c r="D95" s="1">
        <v>20.242000000000001</v>
      </c>
      <c r="E95" s="1">
        <f>Tabela13[[#This Row],[Força (N)]]/$I$5</f>
        <v>420070.93184690503</v>
      </c>
      <c r="F95" s="1">
        <f>Tabela13[[#This Row],[Tensão (Pa)]]/1000000</f>
        <v>0.42007093184690503</v>
      </c>
    </row>
    <row r="96" spans="1:6" x14ac:dyDescent="0.3">
      <c r="A96" s="1">
        <v>19.817</v>
      </c>
      <c r="B96" s="1">
        <v>1.6440999999999999</v>
      </c>
      <c r="C96" s="1">
        <f>Tabela13[[#This Row],[Alongamento (mm/mm)]]/$I$2</f>
        <v>3.2881999999999995E-2</v>
      </c>
      <c r="D96" s="1">
        <v>20.751999999999999</v>
      </c>
      <c r="E96" s="1">
        <f>Tabela13[[#This Row],[Força (N)]]/$I$5</f>
        <v>430654.67728914996</v>
      </c>
      <c r="F96" s="1">
        <f>Tabela13[[#This Row],[Tensão (Pa)]]/1000000</f>
        <v>0.43065467728914997</v>
      </c>
    </row>
    <row r="97" spans="1:6" x14ac:dyDescent="0.3">
      <c r="A97" s="1">
        <v>19.983000000000001</v>
      </c>
      <c r="B97" s="1">
        <v>1.6578999999999999</v>
      </c>
      <c r="C97" s="1">
        <f>Tabela13[[#This Row],[Alongamento (mm/mm)]]/$I$2</f>
        <v>3.3158E-2</v>
      </c>
      <c r="D97" s="1">
        <v>20.922000000000001</v>
      </c>
      <c r="E97" s="1">
        <f>Tabela13[[#This Row],[Força (N)]]/$I$5</f>
        <v>434182.59243656497</v>
      </c>
      <c r="F97" s="1">
        <f>Tabela13[[#This Row],[Tensão (Pa)]]/1000000</f>
        <v>0.43418259243656498</v>
      </c>
    </row>
    <row r="98" spans="1:6" x14ac:dyDescent="0.3">
      <c r="A98" s="1">
        <v>20.149999999999999</v>
      </c>
      <c r="B98" s="1">
        <v>1.6718</v>
      </c>
      <c r="C98" s="1">
        <f>Tabela13[[#This Row],[Alongamento (mm/mm)]]/$I$2</f>
        <v>3.3436E-2</v>
      </c>
      <c r="D98" s="1">
        <v>21.091999999999999</v>
      </c>
      <c r="E98" s="1">
        <f>Tabela13[[#This Row],[Força (N)]]/$I$5</f>
        <v>437710.50758397987</v>
      </c>
      <c r="F98" s="1">
        <f>Tabela13[[#This Row],[Tensão (Pa)]]/1000000</f>
        <v>0.43771050758397989</v>
      </c>
    </row>
    <row r="99" spans="1:6" x14ac:dyDescent="0.3">
      <c r="A99" s="1">
        <v>20.317</v>
      </c>
      <c r="B99" s="1">
        <v>1.6857</v>
      </c>
      <c r="C99" s="1">
        <f>Tabela13[[#This Row],[Alongamento (mm/mm)]]/$I$2</f>
        <v>3.3714000000000001E-2</v>
      </c>
      <c r="D99" s="1">
        <v>21.431999999999999</v>
      </c>
      <c r="E99" s="1">
        <f>Tabela13[[#This Row],[Força (N)]]/$I$5</f>
        <v>444766.33787880983</v>
      </c>
      <c r="F99" s="1">
        <f>Tabela13[[#This Row],[Tensão (Pa)]]/1000000</f>
        <v>0.44476633787880981</v>
      </c>
    </row>
    <row r="100" spans="1:6" x14ac:dyDescent="0.3">
      <c r="A100" s="1">
        <v>20.483000000000001</v>
      </c>
      <c r="B100" s="1">
        <v>1.6995</v>
      </c>
      <c r="C100" s="1">
        <f>Tabela13[[#This Row],[Alongamento (mm/mm)]]/$I$2</f>
        <v>3.3989999999999999E-2</v>
      </c>
      <c r="D100" s="1">
        <v>21.773</v>
      </c>
      <c r="E100" s="1">
        <f>Tabela13[[#This Row],[Força (N)]]/$I$5</f>
        <v>451842.92061568343</v>
      </c>
      <c r="F100" s="1">
        <f>Tabela13[[#This Row],[Tensão (Pa)]]/1000000</f>
        <v>0.45184292061568343</v>
      </c>
    </row>
    <row r="101" spans="1:6" x14ac:dyDescent="0.3">
      <c r="A101" s="1">
        <v>20.65</v>
      </c>
      <c r="B101" s="1">
        <v>1.7134</v>
      </c>
      <c r="C101" s="1">
        <f>Tabela13[[#This Row],[Alongamento (mm/mm)]]/$I$2</f>
        <v>3.4268E-2</v>
      </c>
      <c r="D101" s="1">
        <v>22.283000000000001</v>
      </c>
      <c r="E101" s="1">
        <f>Tabela13[[#This Row],[Força (N)]]/$I$5</f>
        <v>462426.66605792835</v>
      </c>
      <c r="F101" s="1">
        <f>Tabela13[[#This Row],[Tensão (Pa)]]/1000000</f>
        <v>0.46242666605792837</v>
      </c>
    </row>
    <row r="102" spans="1:6" x14ac:dyDescent="0.3">
      <c r="A102" s="1">
        <v>20.817</v>
      </c>
      <c r="B102" s="1">
        <v>1.7273000000000001</v>
      </c>
      <c r="C102" s="1">
        <f>Tabela13[[#This Row],[Alongamento (mm/mm)]]/$I$2</f>
        <v>3.4546E-2</v>
      </c>
      <c r="D102" s="1">
        <v>22.623000000000001</v>
      </c>
      <c r="E102" s="1">
        <f>Tabela13[[#This Row],[Força (N)]]/$I$5</f>
        <v>469482.49635275826</v>
      </c>
      <c r="F102" s="1">
        <f>Tabela13[[#This Row],[Tensão (Pa)]]/1000000</f>
        <v>0.46948249635275824</v>
      </c>
    </row>
    <row r="103" spans="1:6" x14ac:dyDescent="0.3">
      <c r="A103" s="1">
        <v>20.983000000000001</v>
      </c>
      <c r="B103" s="1">
        <v>1.7413000000000001</v>
      </c>
      <c r="C103" s="1">
        <f>Tabela13[[#This Row],[Alongamento (mm/mm)]]/$I$2</f>
        <v>3.4826000000000003E-2</v>
      </c>
      <c r="D103" s="1">
        <v>22.792999999999999</v>
      </c>
      <c r="E103" s="1">
        <f>Tabela13[[#This Row],[Força (N)]]/$I$5</f>
        <v>473010.41150017321</v>
      </c>
      <c r="F103" s="1">
        <f>Tabela13[[#This Row],[Tensão (Pa)]]/1000000</f>
        <v>0.4730104115001732</v>
      </c>
    </row>
    <row r="104" spans="1:6" x14ac:dyDescent="0.3">
      <c r="A104" s="1">
        <v>21.15</v>
      </c>
      <c r="B104" s="1">
        <v>1.7552000000000001</v>
      </c>
      <c r="C104" s="1">
        <f>Tabela13[[#This Row],[Alongamento (mm/mm)]]/$I$2</f>
        <v>3.5104000000000003E-2</v>
      </c>
      <c r="D104" s="1">
        <v>23.132999999999999</v>
      </c>
      <c r="E104" s="1">
        <f>Tabela13[[#This Row],[Força (N)]]/$I$5</f>
        <v>480066.24179500318</v>
      </c>
      <c r="F104" s="1">
        <f>Tabela13[[#This Row],[Tensão (Pa)]]/1000000</f>
        <v>0.48006624179500318</v>
      </c>
    </row>
    <row r="105" spans="1:6" x14ac:dyDescent="0.3">
      <c r="A105" s="1">
        <v>21.317</v>
      </c>
      <c r="B105" s="1">
        <v>1.7688999999999999</v>
      </c>
      <c r="C105" s="1">
        <f>Tabela13[[#This Row],[Alongamento (mm/mm)]]/$I$2</f>
        <v>3.5378E-2</v>
      </c>
      <c r="D105" s="1">
        <v>23.643999999999998</v>
      </c>
      <c r="E105" s="1">
        <f>Tabela13[[#This Row],[Força (N)]]/$I$5</f>
        <v>490670.73967929167</v>
      </c>
      <c r="F105" s="1">
        <f>Tabela13[[#This Row],[Tensão (Pa)]]/1000000</f>
        <v>0.49067073967929165</v>
      </c>
    </row>
    <row r="106" spans="1:6" x14ac:dyDescent="0.3">
      <c r="A106" s="1">
        <v>21.483000000000001</v>
      </c>
      <c r="B106" s="1">
        <v>1.7828999999999999</v>
      </c>
      <c r="C106" s="1">
        <f>Tabela13[[#This Row],[Alongamento (mm/mm)]]/$I$2</f>
        <v>3.5657999999999995E-2</v>
      </c>
      <c r="D106" s="1">
        <v>23.814</v>
      </c>
      <c r="E106" s="1">
        <f>Tabela13[[#This Row],[Força (N)]]/$I$5</f>
        <v>494198.65482670668</v>
      </c>
      <c r="F106" s="1">
        <f>Tabela13[[#This Row],[Tensão (Pa)]]/1000000</f>
        <v>0.49419865482670666</v>
      </c>
    </row>
    <row r="107" spans="1:6" x14ac:dyDescent="0.3">
      <c r="A107" s="1">
        <v>21.65</v>
      </c>
      <c r="B107" s="1">
        <v>1.7968999999999999</v>
      </c>
      <c r="C107" s="1">
        <f>Tabela13[[#This Row],[Alongamento (mm/mm)]]/$I$2</f>
        <v>3.5937999999999998E-2</v>
      </c>
      <c r="D107" s="1">
        <v>23.984000000000002</v>
      </c>
      <c r="E107" s="1">
        <f>Tabela13[[#This Row],[Força (N)]]/$I$5</f>
        <v>497726.5699741217</v>
      </c>
      <c r="F107" s="1">
        <f>Tabela13[[#This Row],[Tensão (Pa)]]/1000000</f>
        <v>0.49772656997412168</v>
      </c>
    </row>
    <row r="108" spans="1:6" x14ac:dyDescent="0.3">
      <c r="A108" s="1">
        <v>21.832999999999998</v>
      </c>
      <c r="B108" s="1">
        <v>1.8121</v>
      </c>
      <c r="C108" s="1">
        <f>Tabela13[[#This Row],[Alongamento (mm/mm)]]/$I$2</f>
        <v>3.6242000000000003E-2</v>
      </c>
      <c r="D108" s="1">
        <v>24.494</v>
      </c>
      <c r="E108" s="1">
        <f>Tabela13[[#This Row],[Força (N)]]/$I$5</f>
        <v>508310.31541636656</v>
      </c>
      <c r="F108" s="1">
        <f>Tabela13[[#This Row],[Tensão (Pa)]]/1000000</f>
        <v>0.50831031541636651</v>
      </c>
    </row>
    <row r="109" spans="1:6" x14ac:dyDescent="0.3">
      <c r="A109" s="1">
        <v>22.016999999999999</v>
      </c>
      <c r="B109" s="1">
        <v>1.8273999999999999</v>
      </c>
      <c r="C109" s="1">
        <f>Tabela13[[#This Row],[Alongamento (mm/mm)]]/$I$2</f>
        <v>3.6547999999999997E-2</v>
      </c>
      <c r="D109" s="1">
        <v>25.004999999999999</v>
      </c>
      <c r="E109" s="1">
        <f>Tabela13[[#This Row],[Força (N)]]/$I$5</f>
        <v>518914.81330065511</v>
      </c>
      <c r="F109" s="1">
        <f>Tabela13[[#This Row],[Tensão (Pa)]]/1000000</f>
        <v>0.51891481330065514</v>
      </c>
    </row>
    <row r="110" spans="1:6" x14ac:dyDescent="0.3">
      <c r="A110" s="1">
        <v>22.2</v>
      </c>
      <c r="B110" s="1">
        <v>1.8426</v>
      </c>
      <c r="C110" s="1">
        <f>Tabela13[[#This Row],[Alongamento (mm/mm)]]/$I$2</f>
        <v>3.6852000000000003E-2</v>
      </c>
      <c r="D110" s="1">
        <v>25.515000000000001</v>
      </c>
      <c r="E110" s="1">
        <f>Tabela13[[#This Row],[Força (N)]]/$I$5</f>
        <v>529498.55874290003</v>
      </c>
      <c r="F110" s="1">
        <f>Tabela13[[#This Row],[Tensão (Pa)]]/1000000</f>
        <v>0.52949855874290008</v>
      </c>
    </row>
    <row r="111" spans="1:6" x14ac:dyDescent="0.3">
      <c r="A111" s="1">
        <v>22.382999999999999</v>
      </c>
      <c r="B111" s="1">
        <v>1.8579000000000001</v>
      </c>
      <c r="C111" s="1">
        <f>Tabela13[[#This Row],[Alongamento (mm/mm)]]/$I$2</f>
        <v>3.7158000000000004E-2</v>
      </c>
      <c r="D111" s="1">
        <v>26.024999999999999</v>
      </c>
      <c r="E111" s="1">
        <f>Tabela13[[#This Row],[Força (N)]]/$I$5</f>
        <v>540082.30418514495</v>
      </c>
      <c r="F111" s="1">
        <f>Tabela13[[#This Row],[Tensão (Pa)]]/1000000</f>
        <v>0.54008230418514491</v>
      </c>
    </row>
    <row r="112" spans="1:6" x14ac:dyDescent="0.3">
      <c r="A112" s="1">
        <v>22.567</v>
      </c>
      <c r="B112" s="1">
        <v>1.8732</v>
      </c>
      <c r="C112" s="1">
        <f>Tabela13[[#This Row],[Alongamento (mm/mm)]]/$I$2</f>
        <v>3.7463999999999997E-2</v>
      </c>
      <c r="D112" s="1">
        <v>26.535</v>
      </c>
      <c r="E112" s="1">
        <f>Tabela13[[#This Row],[Força (N)]]/$I$5</f>
        <v>550666.04962738988</v>
      </c>
      <c r="F112" s="1">
        <f>Tabela13[[#This Row],[Tensão (Pa)]]/1000000</f>
        <v>0.55066604962738985</v>
      </c>
    </row>
    <row r="113" spans="1:6" x14ac:dyDescent="0.3">
      <c r="A113" s="1">
        <v>22.75</v>
      </c>
      <c r="B113" s="1">
        <v>1.8884000000000001</v>
      </c>
      <c r="C113" s="1">
        <f>Tabela13[[#This Row],[Alongamento (mm/mm)]]/$I$2</f>
        <v>3.7768000000000003E-2</v>
      </c>
      <c r="D113" s="1">
        <v>27.045999999999999</v>
      </c>
      <c r="E113" s="1">
        <f>Tabela13[[#This Row],[Força (N)]]/$I$5</f>
        <v>561270.54751167842</v>
      </c>
      <c r="F113" s="1">
        <f>Tabela13[[#This Row],[Tensão (Pa)]]/1000000</f>
        <v>0.56127054751167837</v>
      </c>
    </row>
    <row r="114" spans="1:6" x14ac:dyDescent="0.3">
      <c r="A114" s="1">
        <v>22.917000000000002</v>
      </c>
      <c r="B114" s="1">
        <v>1.9024000000000001</v>
      </c>
      <c r="C114" s="1">
        <f>Tabela13[[#This Row],[Alongamento (mm/mm)]]/$I$2</f>
        <v>3.8047999999999998E-2</v>
      </c>
      <c r="D114" s="1">
        <v>27.725999999999999</v>
      </c>
      <c r="E114" s="1">
        <f>Tabela13[[#This Row],[Força (N)]]/$I$5</f>
        <v>575382.20810133824</v>
      </c>
      <c r="F114" s="1">
        <f>Tabela13[[#This Row],[Tensão (Pa)]]/1000000</f>
        <v>0.57538220810133822</v>
      </c>
    </row>
    <row r="115" spans="1:6" x14ac:dyDescent="0.3">
      <c r="A115" s="1">
        <v>23.1</v>
      </c>
      <c r="B115" s="1">
        <v>1.9176</v>
      </c>
      <c r="C115" s="1">
        <f>Tabela13[[#This Row],[Alongamento (mm/mm)]]/$I$2</f>
        <v>3.8351999999999997E-2</v>
      </c>
      <c r="D115" s="1">
        <v>28.065999999999999</v>
      </c>
      <c r="E115" s="1">
        <f>Tabela13[[#This Row],[Força (N)]]/$I$5</f>
        <v>582438.03839616815</v>
      </c>
      <c r="F115" s="1">
        <f>Tabela13[[#This Row],[Tensão (Pa)]]/1000000</f>
        <v>0.58243803839616815</v>
      </c>
    </row>
    <row r="116" spans="1:6" x14ac:dyDescent="0.3">
      <c r="A116" s="1">
        <v>23.283000000000001</v>
      </c>
      <c r="B116" s="1">
        <v>1.9329000000000001</v>
      </c>
      <c r="C116" s="1">
        <f>Tabela13[[#This Row],[Alongamento (mm/mm)]]/$I$2</f>
        <v>3.8657999999999998E-2</v>
      </c>
      <c r="D116" s="1">
        <v>28.747</v>
      </c>
      <c r="E116" s="1">
        <f>Tabela13[[#This Row],[Força (N)]]/$I$5</f>
        <v>596570.45142787171</v>
      </c>
      <c r="F116" s="1">
        <f>Tabela13[[#This Row],[Tensão (Pa)]]/1000000</f>
        <v>0.59657045142787168</v>
      </c>
    </row>
    <row r="117" spans="1:6" x14ac:dyDescent="0.3">
      <c r="A117" s="1">
        <v>23.466999999999999</v>
      </c>
      <c r="B117" s="1">
        <v>1.9481999999999999</v>
      </c>
      <c r="C117" s="1">
        <f>Tabela13[[#This Row],[Alongamento (mm/mm)]]/$I$2</f>
        <v>3.8963999999999999E-2</v>
      </c>
      <c r="D117" s="1">
        <v>29.257000000000001</v>
      </c>
      <c r="E117" s="1">
        <f>Tabela13[[#This Row],[Força (N)]]/$I$5</f>
        <v>607154.19687011663</v>
      </c>
      <c r="F117" s="1">
        <f>Tabela13[[#This Row],[Tensão (Pa)]]/1000000</f>
        <v>0.60715419687011662</v>
      </c>
    </row>
    <row r="118" spans="1:6" x14ac:dyDescent="0.3">
      <c r="A118" s="1">
        <v>23.65</v>
      </c>
      <c r="B118" s="1">
        <v>1.9634</v>
      </c>
      <c r="C118" s="1">
        <f>Tabela13[[#This Row],[Alongamento (mm/mm)]]/$I$2</f>
        <v>3.9267999999999997E-2</v>
      </c>
      <c r="D118" s="1">
        <v>29.766999999999999</v>
      </c>
      <c r="E118" s="1">
        <f>Tabela13[[#This Row],[Força (N)]]/$I$5</f>
        <v>617737.94231236156</v>
      </c>
      <c r="F118" s="1">
        <f>Tabela13[[#This Row],[Tensão (Pa)]]/1000000</f>
        <v>0.61773794231236157</v>
      </c>
    </row>
    <row r="119" spans="1:6" x14ac:dyDescent="0.3">
      <c r="A119" s="1">
        <v>23.832999999999998</v>
      </c>
      <c r="B119" s="1">
        <v>1.9786999999999999</v>
      </c>
      <c r="C119" s="1">
        <f>Tabela13[[#This Row],[Alongamento (mm/mm)]]/$I$2</f>
        <v>3.9573999999999998E-2</v>
      </c>
      <c r="D119" s="1">
        <v>30.106999999999999</v>
      </c>
      <c r="E119" s="1">
        <f>Tabela13[[#This Row],[Força (N)]]/$I$5</f>
        <v>624793.77260719147</v>
      </c>
      <c r="F119" s="1">
        <f>Tabela13[[#This Row],[Tensão (Pa)]]/1000000</f>
        <v>0.62479377260719149</v>
      </c>
    </row>
    <row r="120" spans="1:6" x14ac:dyDescent="0.3">
      <c r="A120" s="1">
        <v>24.033000000000001</v>
      </c>
      <c r="B120" s="1">
        <v>1.9953000000000001</v>
      </c>
      <c r="C120" s="1">
        <f>Tabela13[[#This Row],[Alongamento (mm/mm)]]/$I$2</f>
        <v>3.9906000000000004E-2</v>
      </c>
      <c r="D120" s="1">
        <v>30.617999999999999</v>
      </c>
      <c r="E120" s="1">
        <f>Tabela13[[#This Row],[Força (N)]]/$I$5</f>
        <v>635398.27049148001</v>
      </c>
      <c r="F120" s="1">
        <f>Tabela13[[#This Row],[Tensão (Pa)]]/1000000</f>
        <v>0.63539827049148001</v>
      </c>
    </row>
    <row r="121" spans="1:6" x14ac:dyDescent="0.3">
      <c r="A121" s="1">
        <v>24.233000000000001</v>
      </c>
      <c r="B121" s="1">
        <v>2.012</v>
      </c>
      <c r="C121" s="1">
        <f>Tabela13[[#This Row],[Alongamento (mm/mm)]]/$I$2</f>
        <v>4.0239999999999998E-2</v>
      </c>
      <c r="D121" s="1">
        <v>31.128</v>
      </c>
      <c r="E121" s="1">
        <f>Tabela13[[#This Row],[Força (N)]]/$I$5</f>
        <v>645982.01593372494</v>
      </c>
      <c r="F121" s="1">
        <f>Tabela13[[#This Row],[Tensão (Pa)]]/1000000</f>
        <v>0.64598201593372495</v>
      </c>
    </row>
    <row r="122" spans="1:6" x14ac:dyDescent="0.3">
      <c r="A122" s="1">
        <v>24.433</v>
      </c>
      <c r="B122" s="1">
        <v>2.0287999999999999</v>
      </c>
      <c r="C122" s="1">
        <f>Tabela13[[#This Row],[Alongamento (mm/mm)]]/$I$2</f>
        <v>4.0576000000000001E-2</v>
      </c>
      <c r="D122" s="1">
        <v>31.638000000000002</v>
      </c>
      <c r="E122" s="1">
        <f>Tabela13[[#This Row],[Força (N)]]/$I$5</f>
        <v>656565.76137596986</v>
      </c>
      <c r="F122" s="1">
        <f>Tabela13[[#This Row],[Tensão (Pa)]]/1000000</f>
        <v>0.65656576137596989</v>
      </c>
    </row>
    <row r="123" spans="1:6" x14ac:dyDescent="0.3">
      <c r="A123" s="1">
        <v>24.617000000000001</v>
      </c>
      <c r="B123" s="1">
        <v>2.044</v>
      </c>
      <c r="C123" s="1">
        <f>Tabela13[[#This Row],[Alongamento (mm/mm)]]/$I$2</f>
        <v>4.088E-2</v>
      </c>
      <c r="D123" s="1">
        <v>32.319000000000003</v>
      </c>
      <c r="E123" s="1">
        <f>Tabela13[[#This Row],[Força (N)]]/$I$5</f>
        <v>670698.17440767342</v>
      </c>
      <c r="F123" s="1">
        <f>Tabela13[[#This Row],[Tensão (Pa)]]/1000000</f>
        <v>0.67069817440767343</v>
      </c>
    </row>
    <row r="124" spans="1:6" x14ac:dyDescent="0.3">
      <c r="A124" s="1">
        <v>24.817</v>
      </c>
      <c r="B124" s="1">
        <v>2.0607000000000002</v>
      </c>
      <c r="C124" s="1">
        <f>Tabela13[[#This Row],[Alongamento (mm/mm)]]/$I$2</f>
        <v>4.1214000000000001E-2</v>
      </c>
      <c r="D124" s="1">
        <v>32.999000000000002</v>
      </c>
      <c r="E124" s="1">
        <f>Tabela13[[#This Row],[Força (N)]]/$I$5</f>
        <v>684809.83499733324</v>
      </c>
      <c r="F124" s="1">
        <f>Tabela13[[#This Row],[Tensão (Pa)]]/1000000</f>
        <v>0.68480983499733328</v>
      </c>
    </row>
    <row r="125" spans="1:6" x14ac:dyDescent="0.3">
      <c r="A125" s="1">
        <v>25.016999999999999</v>
      </c>
      <c r="B125" s="1">
        <v>2.0773000000000001</v>
      </c>
      <c r="C125" s="1">
        <f>Tabela13[[#This Row],[Alongamento (mm/mm)]]/$I$2</f>
        <v>4.1546E-2</v>
      </c>
      <c r="D125" s="1">
        <v>33.509</v>
      </c>
      <c r="E125" s="1">
        <f>Tabela13[[#This Row],[Força (N)]]/$I$5</f>
        <v>695393.58043957816</v>
      </c>
      <c r="F125" s="1">
        <f>Tabela13[[#This Row],[Tensão (Pa)]]/1000000</f>
        <v>0.69539358043957811</v>
      </c>
    </row>
    <row r="126" spans="1:6" x14ac:dyDescent="0.3">
      <c r="A126" s="1">
        <v>25.167000000000002</v>
      </c>
      <c r="B126" s="1">
        <v>2.0897999999999999</v>
      </c>
      <c r="C126" s="1">
        <f>Tabela13[[#This Row],[Alongamento (mm/mm)]]/$I$2</f>
        <v>4.1796E-2</v>
      </c>
      <c r="D126" s="1">
        <v>34.19</v>
      </c>
      <c r="E126" s="1">
        <f>Tabela13[[#This Row],[Força (N)]]/$I$5</f>
        <v>709525.9934712816</v>
      </c>
      <c r="F126" s="1">
        <f>Tabela13[[#This Row],[Tensão (Pa)]]/1000000</f>
        <v>0.70952599347128165</v>
      </c>
    </row>
    <row r="127" spans="1:6" x14ac:dyDescent="0.3">
      <c r="A127" s="1">
        <v>25.367000000000001</v>
      </c>
      <c r="B127" s="1">
        <v>2.1065999999999998</v>
      </c>
      <c r="C127" s="1">
        <f>Tabela13[[#This Row],[Alongamento (mm/mm)]]/$I$2</f>
        <v>4.2131999999999996E-2</v>
      </c>
      <c r="D127" s="1">
        <v>34.700000000000003</v>
      </c>
      <c r="E127" s="1">
        <f>Tabela13[[#This Row],[Força (N)]]/$I$5</f>
        <v>720109.73891352664</v>
      </c>
      <c r="F127" s="1">
        <f>Tabela13[[#This Row],[Tensão (Pa)]]/1000000</f>
        <v>0.72010973891352659</v>
      </c>
    </row>
    <row r="128" spans="1:6" x14ac:dyDescent="0.3">
      <c r="A128" s="1">
        <v>25.55</v>
      </c>
      <c r="B128" s="1">
        <v>2.1217999999999999</v>
      </c>
      <c r="C128" s="1">
        <f>Tabela13[[#This Row],[Alongamento (mm/mm)]]/$I$2</f>
        <v>4.2436000000000001E-2</v>
      </c>
      <c r="D128" s="1">
        <v>35.381</v>
      </c>
      <c r="E128" s="1">
        <f>Tabela13[[#This Row],[Força (N)]]/$I$5</f>
        <v>734242.15194523009</v>
      </c>
      <c r="F128" s="1">
        <f>Tabela13[[#This Row],[Tensão (Pa)]]/1000000</f>
        <v>0.73424215194523013</v>
      </c>
    </row>
    <row r="129" spans="1:6" x14ac:dyDescent="0.3">
      <c r="A129" s="1">
        <v>25.75</v>
      </c>
      <c r="B129" s="1">
        <v>2.1385000000000001</v>
      </c>
      <c r="C129" s="1">
        <f>Tabela13[[#This Row],[Alongamento (mm/mm)]]/$I$2</f>
        <v>4.2770000000000002E-2</v>
      </c>
      <c r="D129" s="1">
        <v>35.890999999999998</v>
      </c>
      <c r="E129" s="1">
        <f>Tabela13[[#This Row],[Força (N)]]/$I$5</f>
        <v>744825.89738747501</v>
      </c>
      <c r="F129" s="1">
        <f>Tabela13[[#This Row],[Tensão (Pa)]]/1000000</f>
        <v>0.74482589738747496</v>
      </c>
    </row>
    <row r="130" spans="1:6" x14ac:dyDescent="0.3">
      <c r="A130" s="1">
        <v>25.95</v>
      </c>
      <c r="B130" s="1">
        <v>2.1551</v>
      </c>
      <c r="C130" s="1">
        <f>Tabela13[[#This Row],[Alongamento (mm/mm)]]/$I$2</f>
        <v>4.3102000000000001E-2</v>
      </c>
      <c r="D130" s="1">
        <v>36.570999999999998</v>
      </c>
      <c r="E130" s="1">
        <f>Tabela13[[#This Row],[Força (N)]]/$I$5</f>
        <v>758937.55797713483</v>
      </c>
      <c r="F130" s="1">
        <f>Tabela13[[#This Row],[Tensão (Pa)]]/1000000</f>
        <v>0.7589375579771348</v>
      </c>
    </row>
    <row r="131" spans="1:6" x14ac:dyDescent="0.3">
      <c r="A131" s="1">
        <v>26.132999999999999</v>
      </c>
      <c r="B131" s="1">
        <v>2.1703999999999999</v>
      </c>
      <c r="C131" s="1">
        <f>Tabela13[[#This Row],[Alongamento (mm/mm)]]/$I$2</f>
        <v>4.3407999999999995E-2</v>
      </c>
      <c r="D131" s="1">
        <v>37.252000000000002</v>
      </c>
      <c r="E131" s="1">
        <f>Tabela13[[#This Row],[Força (N)]]/$I$5</f>
        <v>773069.97100883839</v>
      </c>
      <c r="F131" s="1">
        <f>Tabela13[[#This Row],[Tensão (Pa)]]/1000000</f>
        <v>0.77306997100883834</v>
      </c>
    </row>
    <row r="132" spans="1:6" x14ac:dyDescent="0.3">
      <c r="A132" s="1">
        <v>26.317</v>
      </c>
      <c r="B132" s="1">
        <v>2.1857000000000002</v>
      </c>
      <c r="C132" s="1">
        <f>Tabela13[[#This Row],[Alongamento (mm/mm)]]/$I$2</f>
        <v>4.3714000000000003E-2</v>
      </c>
      <c r="D132" s="1">
        <v>37.932000000000002</v>
      </c>
      <c r="E132" s="1">
        <f>Tabela13[[#This Row],[Força (N)]]/$I$5</f>
        <v>787181.63159849832</v>
      </c>
      <c r="F132" s="1">
        <f>Tabela13[[#This Row],[Tensão (Pa)]]/1000000</f>
        <v>0.7871816315984983</v>
      </c>
    </row>
    <row r="133" spans="1:6" x14ac:dyDescent="0.3">
      <c r="A133" s="1">
        <v>26.483000000000001</v>
      </c>
      <c r="B133" s="1">
        <v>2.1996000000000002</v>
      </c>
      <c r="C133" s="1">
        <f>Tabela13[[#This Row],[Alongamento (mm/mm)]]/$I$2</f>
        <v>4.3992000000000003E-2</v>
      </c>
      <c r="D133" s="1">
        <v>38.612000000000002</v>
      </c>
      <c r="E133" s="1">
        <f>Tabela13[[#This Row],[Força (N)]]/$I$5</f>
        <v>801293.29218815814</v>
      </c>
      <c r="F133" s="1">
        <f>Tabela13[[#This Row],[Tensão (Pa)]]/1000000</f>
        <v>0.80129329218815815</v>
      </c>
    </row>
    <row r="134" spans="1:6" x14ac:dyDescent="0.3">
      <c r="A134" s="1">
        <v>26.65</v>
      </c>
      <c r="B134" s="1">
        <v>2.2134</v>
      </c>
      <c r="C134" s="1">
        <f>Tabela13[[#This Row],[Alongamento (mm/mm)]]/$I$2</f>
        <v>4.4268000000000002E-2</v>
      </c>
      <c r="D134" s="1">
        <v>39.292999999999999</v>
      </c>
      <c r="E134" s="1">
        <f>Tabela13[[#This Row],[Força (N)]]/$I$5</f>
        <v>815425.7052198617</v>
      </c>
      <c r="F134" s="1">
        <f>Tabela13[[#This Row],[Tensão (Pa)]]/1000000</f>
        <v>0.81542570521986169</v>
      </c>
    </row>
    <row r="135" spans="1:6" x14ac:dyDescent="0.3">
      <c r="A135" s="1">
        <v>26.817</v>
      </c>
      <c r="B135" s="1">
        <v>2.2273000000000001</v>
      </c>
      <c r="C135" s="1">
        <f>Tabela13[[#This Row],[Alongamento (mm/mm)]]/$I$2</f>
        <v>4.4546000000000002E-2</v>
      </c>
      <c r="D135" s="1">
        <v>39.972999999999999</v>
      </c>
      <c r="E135" s="1">
        <f>Tabela13[[#This Row],[Força (N)]]/$I$5</f>
        <v>829537.36580952152</v>
      </c>
      <c r="F135" s="1">
        <f>Tabela13[[#This Row],[Tensão (Pa)]]/1000000</f>
        <v>0.82953736580952153</v>
      </c>
    </row>
    <row r="136" spans="1:6" x14ac:dyDescent="0.3">
      <c r="A136" s="1">
        <v>26.983000000000001</v>
      </c>
      <c r="B136" s="1">
        <v>2.2412000000000001</v>
      </c>
      <c r="C136" s="1">
        <f>Tabela13[[#This Row],[Alongamento (mm/mm)]]/$I$2</f>
        <v>4.4824000000000003E-2</v>
      </c>
      <c r="D136" s="1">
        <v>40.654000000000003</v>
      </c>
      <c r="E136" s="1">
        <f>Tabela13[[#This Row],[Força (N)]]/$I$5</f>
        <v>843669.77884122508</v>
      </c>
      <c r="F136" s="1">
        <f>Tabela13[[#This Row],[Tensão (Pa)]]/1000000</f>
        <v>0.84366977884122507</v>
      </c>
    </row>
    <row r="137" spans="1:6" x14ac:dyDescent="0.3">
      <c r="A137" s="1">
        <v>27.167000000000002</v>
      </c>
      <c r="B137" s="1">
        <v>2.2565</v>
      </c>
      <c r="C137" s="1">
        <f>Tabela13[[#This Row],[Alongamento (mm/mm)]]/$I$2</f>
        <v>4.5129999999999997E-2</v>
      </c>
      <c r="D137" s="1">
        <v>41.334000000000003</v>
      </c>
      <c r="E137" s="1">
        <f>Tabela13[[#This Row],[Força (N)]]/$I$5</f>
        <v>857781.43943088502</v>
      </c>
      <c r="F137" s="1">
        <f>Tabela13[[#This Row],[Tensão (Pa)]]/1000000</f>
        <v>0.85778143943088503</v>
      </c>
    </row>
    <row r="138" spans="1:6" x14ac:dyDescent="0.3">
      <c r="A138" s="1">
        <v>27.317</v>
      </c>
      <c r="B138" s="1">
        <v>2.2690000000000001</v>
      </c>
      <c r="C138" s="1">
        <f>Tabela13[[#This Row],[Alongamento (mm/mm)]]/$I$2</f>
        <v>4.5380000000000004E-2</v>
      </c>
      <c r="D138" s="1">
        <v>42.014000000000003</v>
      </c>
      <c r="E138" s="1">
        <f>Tabela13[[#This Row],[Força (N)]]/$I$5</f>
        <v>871893.10002054484</v>
      </c>
      <c r="F138" s="1">
        <f>Tabela13[[#This Row],[Tensão (Pa)]]/1000000</f>
        <v>0.87189310002054488</v>
      </c>
    </row>
    <row r="139" spans="1:6" x14ac:dyDescent="0.3">
      <c r="A139" s="1">
        <v>27.483000000000001</v>
      </c>
      <c r="B139" s="1">
        <v>2.2829000000000002</v>
      </c>
      <c r="C139" s="1">
        <f>Tabela13[[#This Row],[Alongamento (mm/mm)]]/$I$2</f>
        <v>4.5658000000000004E-2</v>
      </c>
      <c r="D139" s="1">
        <v>42.695</v>
      </c>
      <c r="E139" s="1">
        <f>Tabela13[[#This Row],[Força (N)]]/$I$5</f>
        <v>886025.5130522484</v>
      </c>
      <c r="F139" s="1">
        <f>Tabela13[[#This Row],[Tensão (Pa)]]/1000000</f>
        <v>0.88602551305224841</v>
      </c>
    </row>
    <row r="140" spans="1:6" x14ac:dyDescent="0.3">
      <c r="A140" s="1">
        <v>27.667000000000002</v>
      </c>
      <c r="B140" s="1">
        <v>2.2982</v>
      </c>
      <c r="C140" s="1">
        <f>Tabela13[[#This Row],[Alongamento (mm/mm)]]/$I$2</f>
        <v>4.5963999999999998E-2</v>
      </c>
      <c r="D140" s="1">
        <v>43.375</v>
      </c>
      <c r="E140" s="1">
        <f>Tabela13[[#This Row],[Força (N)]]/$I$5</f>
        <v>900137.17364190822</v>
      </c>
      <c r="F140" s="1">
        <f>Tabela13[[#This Row],[Tensão (Pa)]]/1000000</f>
        <v>0.90013717364190826</v>
      </c>
    </row>
    <row r="141" spans="1:6" x14ac:dyDescent="0.3">
      <c r="A141" s="1">
        <v>27.832999999999998</v>
      </c>
      <c r="B141" s="1">
        <v>2.3119999999999998</v>
      </c>
      <c r="C141" s="1">
        <f>Tabela13[[#This Row],[Alongamento (mm/mm)]]/$I$2</f>
        <v>4.6239999999999996E-2</v>
      </c>
      <c r="D141" s="1">
        <v>44.055999999999997</v>
      </c>
      <c r="E141" s="1">
        <f>Tabela13[[#This Row],[Força (N)]]/$I$5</f>
        <v>914269.58667361166</v>
      </c>
      <c r="F141" s="1">
        <f>Tabela13[[#This Row],[Tensão (Pa)]]/1000000</f>
        <v>0.91426958667361169</v>
      </c>
    </row>
    <row r="142" spans="1:6" x14ac:dyDescent="0.3">
      <c r="A142" s="1">
        <v>28</v>
      </c>
      <c r="B142" s="1">
        <v>2.3260000000000001</v>
      </c>
      <c r="C142" s="1">
        <f>Tabela13[[#This Row],[Alongamento (mm/mm)]]/$I$2</f>
        <v>4.6519999999999999E-2</v>
      </c>
      <c r="D142" s="1">
        <v>44.735999999999997</v>
      </c>
      <c r="E142" s="1">
        <f>Tabela13[[#This Row],[Força (N)]]/$I$5</f>
        <v>928381.24726327159</v>
      </c>
      <c r="F142" s="1">
        <f>Tabela13[[#This Row],[Tensão (Pa)]]/1000000</f>
        <v>0.92838124726327165</v>
      </c>
    </row>
    <row r="143" spans="1:6" x14ac:dyDescent="0.3">
      <c r="A143" s="1">
        <v>28.15</v>
      </c>
      <c r="B143" s="1">
        <v>2.3384999999999998</v>
      </c>
      <c r="C143" s="1">
        <f>Tabela13[[#This Row],[Alongamento (mm/mm)]]/$I$2</f>
        <v>4.6769999999999999E-2</v>
      </c>
      <c r="D143" s="1">
        <v>45.415999999999997</v>
      </c>
      <c r="E143" s="1">
        <f>Tabela13[[#This Row],[Força (N)]]/$I$5</f>
        <v>942492.90785293141</v>
      </c>
      <c r="F143" s="1">
        <f>Tabela13[[#This Row],[Tensão (Pa)]]/1000000</f>
        <v>0.94249290785293138</v>
      </c>
    </row>
    <row r="144" spans="1:6" x14ac:dyDescent="0.3">
      <c r="A144" s="1">
        <v>28.3</v>
      </c>
      <c r="B144" s="1">
        <v>2.3509000000000002</v>
      </c>
      <c r="C144" s="1">
        <f>Tabela13[[#This Row],[Alongamento (mm/mm)]]/$I$2</f>
        <v>4.7018000000000004E-2</v>
      </c>
      <c r="D144" s="1">
        <v>46.097000000000001</v>
      </c>
      <c r="E144" s="1">
        <f>Tabela13[[#This Row],[Força (N)]]/$I$5</f>
        <v>956625.32088463497</v>
      </c>
      <c r="F144" s="1">
        <f>Tabela13[[#This Row],[Tensão (Pa)]]/1000000</f>
        <v>0.95662532088463492</v>
      </c>
    </row>
    <row r="145" spans="1:6" x14ac:dyDescent="0.3">
      <c r="A145" s="1">
        <v>28.466999999999999</v>
      </c>
      <c r="B145" s="1">
        <v>2.3647999999999998</v>
      </c>
      <c r="C145" s="1">
        <f>Tabela13[[#This Row],[Alongamento (mm/mm)]]/$I$2</f>
        <v>4.7295999999999998E-2</v>
      </c>
      <c r="D145" s="1">
        <v>46.777000000000001</v>
      </c>
      <c r="E145" s="1">
        <f>Tabela13[[#This Row],[Força (N)]]/$I$5</f>
        <v>970736.98147429491</v>
      </c>
      <c r="F145" s="1">
        <f>Tabela13[[#This Row],[Tensão (Pa)]]/1000000</f>
        <v>0.97073698147429488</v>
      </c>
    </row>
    <row r="146" spans="1:6" x14ac:dyDescent="0.3">
      <c r="A146" s="1">
        <v>28.617000000000001</v>
      </c>
      <c r="B146" s="1">
        <v>2.3774000000000002</v>
      </c>
      <c r="C146" s="1">
        <f>Tabela13[[#This Row],[Alongamento (mm/mm)]]/$I$2</f>
        <v>4.7548000000000007E-2</v>
      </c>
      <c r="D146" s="1">
        <v>47.457999999999998</v>
      </c>
      <c r="E146" s="1">
        <f>Tabela13[[#This Row],[Força (N)]]/$I$5</f>
        <v>984869.39450599835</v>
      </c>
      <c r="F146" s="1">
        <f>Tabela13[[#This Row],[Tensão (Pa)]]/1000000</f>
        <v>0.98486939450599831</v>
      </c>
    </row>
    <row r="147" spans="1:6" x14ac:dyDescent="0.3">
      <c r="A147" s="1">
        <v>28.766999999999999</v>
      </c>
      <c r="B147" s="1">
        <v>2.3896999999999999</v>
      </c>
      <c r="C147" s="1">
        <f>Tabela13[[#This Row],[Alongamento (mm/mm)]]/$I$2</f>
        <v>4.7793999999999996E-2</v>
      </c>
      <c r="D147" s="1">
        <v>48.137999999999998</v>
      </c>
      <c r="E147" s="1">
        <f>Tabela13[[#This Row],[Força (N)]]/$I$5</f>
        <v>998981.05509565829</v>
      </c>
      <c r="F147" s="1">
        <f>Tabela13[[#This Row],[Tensão (Pa)]]/1000000</f>
        <v>0.99898105509565827</v>
      </c>
    </row>
    <row r="148" spans="1:6" x14ac:dyDescent="0.3">
      <c r="A148" s="1">
        <v>28.933</v>
      </c>
      <c r="B148" s="1">
        <v>2.4037000000000002</v>
      </c>
      <c r="C148" s="1">
        <f>Tabela13[[#This Row],[Alongamento (mm/mm)]]/$I$2</f>
        <v>4.8074000000000006E-2</v>
      </c>
      <c r="D148" s="1">
        <v>48.817999999999998</v>
      </c>
      <c r="E148" s="1">
        <f>Tabela13[[#This Row],[Força (N)]]/$I$5</f>
        <v>1013092.7156853181</v>
      </c>
      <c r="F148" s="1">
        <f>Tabela13[[#This Row],[Tensão (Pa)]]/1000000</f>
        <v>1.013092715685318</v>
      </c>
    </row>
    <row r="149" spans="1:6" x14ac:dyDescent="0.3">
      <c r="A149" s="1">
        <v>29.067</v>
      </c>
      <c r="B149" s="1">
        <v>2.4148999999999998</v>
      </c>
      <c r="C149" s="1">
        <f>Tabela13[[#This Row],[Alongamento (mm/mm)]]/$I$2</f>
        <v>4.8297999999999994E-2</v>
      </c>
      <c r="D149" s="1">
        <v>49.499000000000002</v>
      </c>
      <c r="E149" s="1">
        <f>Tabela13[[#This Row],[Força (N)]]/$I$5</f>
        <v>1027225.1287170217</v>
      </c>
      <c r="F149" s="1">
        <f>Tabela13[[#This Row],[Tensão (Pa)]]/1000000</f>
        <v>1.0272251287170218</v>
      </c>
    </row>
    <row r="150" spans="1:6" x14ac:dyDescent="0.3">
      <c r="A150" s="1">
        <v>29.216999999999999</v>
      </c>
      <c r="B150" s="1">
        <v>2.4272999999999998</v>
      </c>
      <c r="C150" s="1">
        <f>Tabela13[[#This Row],[Alongamento (mm/mm)]]/$I$2</f>
        <v>4.8545999999999999E-2</v>
      </c>
      <c r="D150" s="1">
        <v>50.179000000000002</v>
      </c>
      <c r="E150" s="1">
        <f>Tabela13[[#This Row],[Força (N)]]/$I$5</f>
        <v>1041336.7893066816</v>
      </c>
      <c r="F150" s="1">
        <f>Tabela13[[#This Row],[Tensão (Pa)]]/1000000</f>
        <v>1.0413367893066816</v>
      </c>
    </row>
    <row r="151" spans="1:6" x14ac:dyDescent="0.3">
      <c r="A151" s="1">
        <v>29.35</v>
      </c>
      <c r="B151" s="1">
        <v>2.4384999999999999</v>
      </c>
      <c r="C151" s="1">
        <f>Tabela13[[#This Row],[Alongamento (mm/mm)]]/$I$2</f>
        <v>4.8770000000000001E-2</v>
      </c>
      <c r="D151" s="1">
        <v>50.86</v>
      </c>
      <c r="E151" s="1">
        <f>Tabela13[[#This Row],[Força (N)]]/$I$5</f>
        <v>1055469.2023383852</v>
      </c>
      <c r="F151" s="1">
        <f>Tabela13[[#This Row],[Tensão (Pa)]]/1000000</f>
        <v>1.0554692023383851</v>
      </c>
    </row>
    <row r="152" spans="1:6" x14ac:dyDescent="0.3">
      <c r="A152" s="1">
        <v>29.483000000000001</v>
      </c>
      <c r="B152" s="1">
        <v>2.4496000000000002</v>
      </c>
      <c r="C152" s="1">
        <f>Tabela13[[#This Row],[Alongamento (mm/mm)]]/$I$2</f>
        <v>4.8992000000000008E-2</v>
      </c>
      <c r="D152" s="1">
        <v>51.54</v>
      </c>
      <c r="E152" s="1">
        <f>Tabela13[[#This Row],[Força (N)]]/$I$5</f>
        <v>1069580.862928045</v>
      </c>
      <c r="F152" s="1">
        <f>Tabela13[[#This Row],[Tensão (Pa)]]/1000000</f>
        <v>1.069580862928045</v>
      </c>
    </row>
    <row r="153" spans="1:6" x14ac:dyDescent="0.3">
      <c r="A153" s="1">
        <v>29.632999999999999</v>
      </c>
      <c r="B153" s="1">
        <v>2.4620000000000002</v>
      </c>
      <c r="C153" s="1">
        <f>Tabela13[[#This Row],[Alongamento (mm/mm)]]/$I$2</f>
        <v>4.9240000000000006E-2</v>
      </c>
      <c r="D153" s="1">
        <v>52.22</v>
      </c>
      <c r="E153" s="1">
        <f>Tabela13[[#This Row],[Força (N)]]/$I$5</f>
        <v>1083692.5235177048</v>
      </c>
      <c r="F153" s="1">
        <f>Tabela13[[#This Row],[Tensão (Pa)]]/1000000</f>
        <v>1.0836925235177048</v>
      </c>
    </row>
    <row r="154" spans="1:6" x14ac:dyDescent="0.3">
      <c r="A154" s="1">
        <v>29.766999999999999</v>
      </c>
      <c r="B154" s="1">
        <v>2.4731999999999998</v>
      </c>
      <c r="C154" s="1">
        <f>Tabela13[[#This Row],[Alongamento (mm/mm)]]/$I$2</f>
        <v>4.9463999999999994E-2</v>
      </c>
      <c r="D154" s="1">
        <v>52.901000000000003</v>
      </c>
      <c r="E154" s="1">
        <f>Tabela13[[#This Row],[Força (N)]]/$I$5</f>
        <v>1097824.9365494084</v>
      </c>
      <c r="F154" s="1">
        <f>Tabela13[[#This Row],[Tensão (Pa)]]/1000000</f>
        <v>1.0978249365494084</v>
      </c>
    </row>
    <row r="155" spans="1:6" x14ac:dyDescent="0.3">
      <c r="A155" s="1">
        <v>29.882999999999999</v>
      </c>
      <c r="B155" s="1">
        <v>2.4828000000000001</v>
      </c>
      <c r="C155" s="1">
        <f>Tabela13[[#This Row],[Alongamento (mm/mm)]]/$I$2</f>
        <v>4.9656000000000006E-2</v>
      </c>
      <c r="D155" s="1">
        <v>53.581000000000003</v>
      </c>
      <c r="E155" s="1">
        <f>Tabela13[[#This Row],[Força (N)]]/$I$5</f>
        <v>1111936.5971390682</v>
      </c>
      <c r="F155" s="1">
        <f>Tabela13[[#This Row],[Tensão (Pa)]]/1000000</f>
        <v>1.1119365971390682</v>
      </c>
    </row>
    <row r="156" spans="1:6" x14ac:dyDescent="0.3">
      <c r="A156" s="1">
        <v>30</v>
      </c>
      <c r="B156" s="1">
        <v>2.4927000000000001</v>
      </c>
      <c r="C156" s="1">
        <f>Tabela13[[#This Row],[Alongamento (mm/mm)]]/$I$2</f>
        <v>4.9854000000000002E-2</v>
      </c>
      <c r="D156" s="1">
        <v>54.262</v>
      </c>
      <c r="E156" s="1">
        <f>Tabela13[[#This Row],[Força (N)]]/$I$5</f>
        <v>1126069.0101707717</v>
      </c>
      <c r="F156" s="1">
        <f>Tabela13[[#This Row],[Tensão (Pa)]]/1000000</f>
        <v>1.1260690101707718</v>
      </c>
    </row>
    <row r="157" spans="1:6" x14ac:dyDescent="0.3">
      <c r="A157" s="1">
        <v>30.132999999999999</v>
      </c>
      <c r="B157" s="1">
        <v>2.5036999999999998</v>
      </c>
      <c r="C157" s="1">
        <f>Tabela13[[#This Row],[Alongamento (mm/mm)]]/$I$2</f>
        <v>5.0073999999999994E-2</v>
      </c>
      <c r="D157" s="1">
        <v>54.942</v>
      </c>
      <c r="E157" s="1">
        <f>Tabela13[[#This Row],[Força (N)]]/$I$5</f>
        <v>1140180.6707604316</v>
      </c>
      <c r="F157" s="1">
        <f>Tabela13[[#This Row],[Tensão (Pa)]]/1000000</f>
        <v>1.1401806707604316</v>
      </c>
    </row>
    <row r="158" spans="1:6" x14ac:dyDescent="0.3">
      <c r="A158" s="1">
        <v>30.25</v>
      </c>
      <c r="B158" s="1">
        <v>2.5133999999999999</v>
      </c>
      <c r="C158" s="1">
        <f>Tabela13[[#This Row],[Alongamento (mm/mm)]]/$I$2</f>
        <v>5.0268E-2</v>
      </c>
      <c r="D158" s="1">
        <v>55.622</v>
      </c>
      <c r="E158" s="1">
        <f>Tabela13[[#This Row],[Força (N)]]/$I$5</f>
        <v>1154292.3313500916</v>
      </c>
      <c r="F158" s="1">
        <f>Tabela13[[#This Row],[Tensão (Pa)]]/1000000</f>
        <v>1.1542923313500917</v>
      </c>
    </row>
    <row r="159" spans="1:6" x14ac:dyDescent="0.3">
      <c r="A159" s="1">
        <v>30.35</v>
      </c>
      <c r="B159" s="1">
        <v>2.5219</v>
      </c>
      <c r="C159" s="1">
        <f>Tabela13[[#This Row],[Alongamento (mm/mm)]]/$I$2</f>
        <v>5.0438000000000004E-2</v>
      </c>
      <c r="D159" s="1">
        <v>56.302999999999997</v>
      </c>
      <c r="E159" s="1">
        <f>Tabela13[[#This Row],[Força (N)]]/$I$5</f>
        <v>1168424.7443817949</v>
      </c>
      <c r="F159" s="1">
        <f>Tabela13[[#This Row],[Tensão (Pa)]]/1000000</f>
        <v>1.168424744381795</v>
      </c>
    </row>
    <row r="160" spans="1:6" x14ac:dyDescent="0.3">
      <c r="A160" s="1">
        <v>30.45</v>
      </c>
      <c r="B160" s="1">
        <v>2.5301</v>
      </c>
      <c r="C160" s="1">
        <f>Tabela13[[#This Row],[Alongamento (mm/mm)]]/$I$2</f>
        <v>5.0602000000000001E-2</v>
      </c>
      <c r="D160" s="1">
        <v>56.982999999999997</v>
      </c>
      <c r="E160" s="1">
        <f>Tabela13[[#This Row],[Força (N)]]/$I$5</f>
        <v>1182536.4049714548</v>
      </c>
      <c r="F160" s="1">
        <f>Tabela13[[#This Row],[Tensão (Pa)]]/1000000</f>
        <v>1.1825364049714548</v>
      </c>
    </row>
    <row r="161" spans="1:6" x14ac:dyDescent="0.3">
      <c r="A161" s="1">
        <v>30.567</v>
      </c>
      <c r="B161" s="1">
        <v>2.5398000000000001</v>
      </c>
      <c r="C161" s="1">
        <f>Tabela13[[#This Row],[Alongamento (mm/mm)]]/$I$2</f>
        <v>5.0796000000000001E-2</v>
      </c>
      <c r="D161" s="1">
        <v>57.662999999999997</v>
      </c>
      <c r="E161" s="1">
        <f>Tabela13[[#This Row],[Força (N)]]/$I$5</f>
        <v>1196648.0655611148</v>
      </c>
      <c r="F161" s="1">
        <f>Tabela13[[#This Row],[Tensão (Pa)]]/1000000</f>
        <v>1.1966480655611149</v>
      </c>
    </row>
    <row r="162" spans="1:6" x14ac:dyDescent="0.3">
      <c r="A162" s="1">
        <v>30.667000000000002</v>
      </c>
      <c r="B162" s="1">
        <v>2.5482</v>
      </c>
      <c r="C162" s="1">
        <f>Tabela13[[#This Row],[Alongamento (mm/mm)]]/$I$2</f>
        <v>5.0964000000000002E-2</v>
      </c>
      <c r="D162" s="1">
        <v>58.344000000000001</v>
      </c>
      <c r="E162" s="1">
        <f>Tabela13[[#This Row],[Força (N)]]/$I$5</f>
        <v>1210780.4785928184</v>
      </c>
      <c r="F162" s="1">
        <f>Tabela13[[#This Row],[Tensão (Pa)]]/1000000</f>
        <v>1.2107804785928185</v>
      </c>
    </row>
    <row r="163" spans="1:6" x14ac:dyDescent="0.3">
      <c r="A163" s="1">
        <v>30.783000000000001</v>
      </c>
      <c r="B163" s="1">
        <v>2.5579000000000001</v>
      </c>
      <c r="C163" s="1">
        <f>Tabela13[[#This Row],[Alongamento (mm/mm)]]/$I$2</f>
        <v>5.1158000000000002E-2</v>
      </c>
      <c r="D163" s="1">
        <v>59.024000000000001</v>
      </c>
      <c r="E163" s="1">
        <f>Tabela13[[#This Row],[Força (N)]]/$I$5</f>
        <v>1224892.1391824782</v>
      </c>
      <c r="F163" s="1">
        <f>Tabela13[[#This Row],[Tensão (Pa)]]/1000000</f>
        <v>1.2248921391824781</v>
      </c>
    </row>
    <row r="164" spans="1:6" x14ac:dyDescent="0.3">
      <c r="A164" s="1">
        <v>30.882999999999999</v>
      </c>
      <c r="B164" s="1">
        <v>2.5663</v>
      </c>
      <c r="C164" s="1">
        <f>Tabela13[[#This Row],[Alongamento (mm/mm)]]/$I$2</f>
        <v>5.1326000000000004E-2</v>
      </c>
      <c r="D164" s="1">
        <v>59.704999999999998</v>
      </c>
      <c r="E164" s="1">
        <f>Tabela13[[#This Row],[Força (N)]]/$I$5</f>
        <v>1239024.5522141817</v>
      </c>
      <c r="F164" s="1">
        <f>Tabela13[[#This Row],[Tensão (Pa)]]/1000000</f>
        <v>1.2390245522141818</v>
      </c>
    </row>
    <row r="165" spans="1:6" x14ac:dyDescent="0.3">
      <c r="A165" s="1">
        <v>30.983000000000001</v>
      </c>
      <c r="B165" s="1">
        <v>2.5745</v>
      </c>
      <c r="C165" s="1">
        <f>Tabela13[[#This Row],[Alongamento (mm/mm)]]/$I$2</f>
        <v>5.1490000000000001E-2</v>
      </c>
      <c r="D165" s="1">
        <v>60.384999999999998</v>
      </c>
      <c r="E165" s="1">
        <f>Tabela13[[#This Row],[Força (N)]]/$I$5</f>
        <v>1253136.2128038416</v>
      </c>
      <c r="F165" s="1">
        <f>Tabela13[[#This Row],[Tensão (Pa)]]/1000000</f>
        <v>1.2531362128038415</v>
      </c>
    </row>
    <row r="166" spans="1:6" x14ac:dyDescent="0.3">
      <c r="A166" s="1">
        <v>31.1</v>
      </c>
      <c r="B166" s="1">
        <v>2.5842999999999998</v>
      </c>
      <c r="C166" s="1">
        <f>Tabela13[[#This Row],[Alongamento (mm/mm)]]/$I$2</f>
        <v>5.1685999999999996E-2</v>
      </c>
      <c r="D166" s="1">
        <v>61.064999999999998</v>
      </c>
      <c r="E166" s="1">
        <f>Tabela13[[#This Row],[Força (N)]]/$I$5</f>
        <v>1267247.8733935014</v>
      </c>
      <c r="F166" s="1">
        <f>Tabela13[[#This Row],[Tensão (Pa)]]/1000000</f>
        <v>1.2672478733935013</v>
      </c>
    </row>
    <row r="167" spans="1:6" x14ac:dyDescent="0.3">
      <c r="A167" s="1">
        <v>31.2</v>
      </c>
      <c r="B167" s="1">
        <v>2.5926</v>
      </c>
      <c r="C167" s="1">
        <f>Tabela13[[#This Row],[Alongamento (mm/mm)]]/$I$2</f>
        <v>5.1852000000000002E-2</v>
      </c>
      <c r="D167" s="1">
        <v>61.746000000000002</v>
      </c>
      <c r="E167" s="1">
        <f>Tabela13[[#This Row],[Força (N)]]/$I$5</f>
        <v>1281380.2864252049</v>
      </c>
      <c r="F167" s="1">
        <f>Tabela13[[#This Row],[Tensão (Pa)]]/1000000</f>
        <v>1.2813802864252049</v>
      </c>
    </row>
    <row r="168" spans="1:6" x14ac:dyDescent="0.3">
      <c r="A168" s="1">
        <v>31.317</v>
      </c>
      <c r="B168" s="1">
        <v>2.6023999999999998</v>
      </c>
      <c r="C168" s="1">
        <f>Tabela13[[#This Row],[Alongamento (mm/mm)]]/$I$2</f>
        <v>5.2047999999999997E-2</v>
      </c>
      <c r="D168" s="1">
        <v>62.426000000000002</v>
      </c>
      <c r="E168" s="1">
        <f>Tabela13[[#This Row],[Força (N)]]/$I$5</f>
        <v>1295491.9470148648</v>
      </c>
      <c r="F168" s="1">
        <f>Tabela13[[#This Row],[Tensão (Pa)]]/1000000</f>
        <v>1.2954919470148647</v>
      </c>
    </row>
    <row r="169" spans="1:6" x14ac:dyDescent="0.3">
      <c r="A169" s="1">
        <v>31.417000000000002</v>
      </c>
      <c r="B169" s="1">
        <v>2.6107</v>
      </c>
      <c r="C169" s="1">
        <f>Tabela13[[#This Row],[Alongamento (mm/mm)]]/$I$2</f>
        <v>5.2214000000000003E-2</v>
      </c>
      <c r="D169" s="1">
        <v>63.106999999999999</v>
      </c>
      <c r="E169" s="1">
        <f>Tabela13[[#This Row],[Força (N)]]/$I$5</f>
        <v>1309624.3600465683</v>
      </c>
      <c r="F169" s="1">
        <f>Tabela13[[#This Row],[Tensão (Pa)]]/1000000</f>
        <v>1.3096243600465682</v>
      </c>
    </row>
    <row r="170" spans="1:6" x14ac:dyDescent="0.3">
      <c r="A170" s="1">
        <v>31.516999999999999</v>
      </c>
      <c r="B170" s="1">
        <v>2.6190000000000002</v>
      </c>
      <c r="C170" s="1">
        <f>Tabela13[[#This Row],[Alongamento (mm/mm)]]/$I$2</f>
        <v>5.2380000000000003E-2</v>
      </c>
      <c r="D170" s="1">
        <v>63.786999999999999</v>
      </c>
      <c r="E170" s="1">
        <f>Tabela13[[#This Row],[Força (N)]]/$I$5</f>
        <v>1323736.0206362281</v>
      </c>
      <c r="F170" s="1">
        <f>Tabela13[[#This Row],[Tensão (Pa)]]/1000000</f>
        <v>1.3237360206362281</v>
      </c>
    </row>
    <row r="171" spans="1:6" x14ac:dyDescent="0.3">
      <c r="A171" s="1">
        <v>31.617000000000001</v>
      </c>
      <c r="B171" s="1">
        <v>2.6273</v>
      </c>
      <c r="C171" s="1">
        <f>Tabela13[[#This Row],[Alongamento (mm/mm)]]/$I$2</f>
        <v>5.2546000000000002E-2</v>
      </c>
      <c r="D171" s="1">
        <v>64.466999999999999</v>
      </c>
      <c r="E171" s="1">
        <f>Tabela13[[#This Row],[Força (N)]]/$I$5</f>
        <v>1337847.6812258882</v>
      </c>
      <c r="F171" s="1">
        <f>Tabela13[[#This Row],[Tensão (Pa)]]/1000000</f>
        <v>1.3378476812258882</v>
      </c>
    </row>
    <row r="172" spans="1:6" x14ac:dyDescent="0.3">
      <c r="A172" s="1">
        <v>31.716999999999999</v>
      </c>
      <c r="B172" s="1">
        <v>2.6356999999999999</v>
      </c>
      <c r="C172" s="1">
        <f>Tabela13[[#This Row],[Alongamento (mm/mm)]]/$I$2</f>
        <v>5.2713999999999997E-2</v>
      </c>
      <c r="D172" s="1">
        <v>65.147999999999996</v>
      </c>
      <c r="E172" s="1">
        <f>Tabela13[[#This Row],[Força (N)]]/$I$5</f>
        <v>1351980.0942575915</v>
      </c>
      <c r="F172" s="1">
        <f>Tabela13[[#This Row],[Tensão (Pa)]]/1000000</f>
        <v>1.3519800942575915</v>
      </c>
    </row>
    <row r="173" spans="1:6" x14ac:dyDescent="0.3">
      <c r="A173" s="1">
        <v>31.817</v>
      </c>
      <c r="B173" s="1">
        <v>2.6440000000000001</v>
      </c>
      <c r="C173" s="1">
        <f>Tabela13[[#This Row],[Alongamento (mm/mm)]]/$I$2</f>
        <v>5.2880000000000003E-2</v>
      </c>
      <c r="D173" s="1">
        <v>65.828000000000003</v>
      </c>
      <c r="E173" s="1">
        <f>Tabela13[[#This Row],[Força (N)]]/$I$5</f>
        <v>1366091.7548472516</v>
      </c>
      <c r="F173" s="1">
        <f>Tabela13[[#This Row],[Tensão (Pa)]]/1000000</f>
        <v>1.3660917548472515</v>
      </c>
    </row>
    <row r="174" spans="1:6" x14ac:dyDescent="0.3">
      <c r="A174" s="1">
        <v>31.917000000000002</v>
      </c>
      <c r="B174" s="1">
        <v>2.6522999999999999</v>
      </c>
      <c r="C174" s="1">
        <f>Tabela13[[#This Row],[Alongamento (mm/mm)]]/$I$2</f>
        <v>5.3045999999999996E-2</v>
      </c>
      <c r="D174" s="1">
        <v>66.509</v>
      </c>
      <c r="E174" s="1">
        <f>Tabela13[[#This Row],[Força (N)]]/$I$5</f>
        <v>1380224.1678789551</v>
      </c>
      <c r="F174" s="1">
        <f>Tabela13[[#This Row],[Tensão (Pa)]]/1000000</f>
        <v>1.3802241678789551</v>
      </c>
    </row>
    <row r="175" spans="1:6" x14ac:dyDescent="0.3">
      <c r="A175" s="1">
        <v>32.017000000000003</v>
      </c>
      <c r="B175" s="1">
        <v>2.6606999999999998</v>
      </c>
      <c r="C175" s="1">
        <f>Tabela13[[#This Row],[Alongamento (mm/mm)]]/$I$2</f>
        <v>5.3213999999999997E-2</v>
      </c>
      <c r="D175" s="1">
        <v>67.188999999999993</v>
      </c>
      <c r="E175" s="1">
        <f>Tabela13[[#This Row],[Força (N)]]/$I$5</f>
        <v>1394335.8284686147</v>
      </c>
      <c r="F175" s="1">
        <f>Tabela13[[#This Row],[Tensão (Pa)]]/1000000</f>
        <v>1.3943358284686147</v>
      </c>
    </row>
    <row r="176" spans="1:6" x14ac:dyDescent="0.3">
      <c r="A176" s="1">
        <v>32.116999999999997</v>
      </c>
      <c r="B176" s="1">
        <v>2.6688999999999998</v>
      </c>
      <c r="C176" s="1">
        <f>Tabela13[[#This Row],[Alongamento (mm/mm)]]/$I$2</f>
        <v>5.3377999999999995E-2</v>
      </c>
      <c r="D176" s="1">
        <v>67.869</v>
      </c>
      <c r="E176" s="1">
        <f>Tabela13[[#This Row],[Força (N)]]/$I$5</f>
        <v>1408447.4890582748</v>
      </c>
      <c r="F176" s="1">
        <f>Tabela13[[#This Row],[Tensão (Pa)]]/1000000</f>
        <v>1.4084474890582748</v>
      </c>
    </row>
    <row r="177" spans="1:6" x14ac:dyDescent="0.3">
      <c r="A177" s="1">
        <v>32.200000000000003</v>
      </c>
      <c r="B177" s="1">
        <v>2.6760000000000002</v>
      </c>
      <c r="C177" s="1">
        <f>Tabela13[[#This Row],[Alongamento (mm/mm)]]/$I$2</f>
        <v>5.3520000000000005E-2</v>
      </c>
      <c r="D177" s="1">
        <v>68.55</v>
      </c>
      <c r="E177" s="1">
        <f>Tabela13[[#This Row],[Força (N)]]/$I$5</f>
        <v>1422579.9020899783</v>
      </c>
      <c r="F177" s="1">
        <f>Tabela13[[#This Row],[Tensão (Pa)]]/1000000</f>
        <v>1.4225799020899783</v>
      </c>
    </row>
    <row r="178" spans="1:6" x14ac:dyDescent="0.3">
      <c r="A178" s="1">
        <v>32.299999999999997</v>
      </c>
      <c r="B178" s="1">
        <v>2.6842999999999999</v>
      </c>
      <c r="C178" s="1">
        <f>Tabela13[[#This Row],[Alongamento (mm/mm)]]/$I$2</f>
        <v>5.3685999999999998E-2</v>
      </c>
      <c r="D178" s="1">
        <v>69.23</v>
      </c>
      <c r="E178" s="1">
        <f>Tabela13[[#This Row],[Força (N)]]/$I$5</f>
        <v>1436691.5626796382</v>
      </c>
      <c r="F178" s="1">
        <f>Tabela13[[#This Row],[Tensão (Pa)]]/1000000</f>
        <v>1.4366915626796382</v>
      </c>
    </row>
    <row r="179" spans="1:6" x14ac:dyDescent="0.3">
      <c r="A179" s="1">
        <v>32.4</v>
      </c>
      <c r="B179" s="1">
        <v>2.6926000000000001</v>
      </c>
      <c r="C179" s="1">
        <f>Tabela13[[#This Row],[Alongamento (mm/mm)]]/$I$2</f>
        <v>5.3852000000000004E-2</v>
      </c>
      <c r="D179" s="1">
        <v>69.911000000000001</v>
      </c>
      <c r="E179" s="1">
        <f>Tabela13[[#This Row],[Força (N)]]/$I$5</f>
        <v>1450823.9757113417</v>
      </c>
      <c r="F179" s="1">
        <f>Tabela13[[#This Row],[Tensão (Pa)]]/1000000</f>
        <v>1.4508239757113417</v>
      </c>
    </row>
    <row r="180" spans="1:6" x14ac:dyDescent="0.3">
      <c r="A180" s="1">
        <v>32.482999999999997</v>
      </c>
      <c r="B180" s="1">
        <v>2.6995</v>
      </c>
      <c r="C180" s="1">
        <f>Tabela13[[#This Row],[Alongamento (mm/mm)]]/$I$2</f>
        <v>5.3990000000000003E-2</v>
      </c>
      <c r="D180" s="1">
        <v>70.590999999999994</v>
      </c>
      <c r="E180" s="1">
        <f>Tabela13[[#This Row],[Força (N)]]/$I$5</f>
        <v>1464935.6363010015</v>
      </c>
      <c r="F180" s="1">
        <f>Tabela13[[#This Row],[Tensão (Pa)]]/1000000</f>
        <v>1.4649356363010015</v>
      </c>
    </row>
    <row r="181" spans="1:6" x14ac:dyDescent="0.3">
      <c r="A181" s="1">
        <v>32.567</v>
      </c>
      <c r="B181" s="1">
        <v>2.7065000000000001</v>
      </c>
      <c r="C181" s="1">
        <f>Tabela13[[#This Row],[Alongamento (mm/mm)]]/$I$2</f>
        <v>5.4130000000000005E-2</v>
      </c>
      <c r="D181" s="1">
        <v>71.271000000000001</v>
      </c>
      <c r="E181" s="1">
        <f>Tabela13[[#This Row],[Força (N)]]/$I$5</f>
        <v>1479047.2968906616</v>
      </c>
      <c r="F181" s="1">
        <f>Tabela13[[#This Row],[Tensão (Pa)]]/1000000</f>
        <v>1.4790472968906616</v>
      </c>
    </row>
    <row r="182" spans="1:6" x14ac:dyDescent="0.3">
      <c r="A182" s="1">
        <v>32.667000000000002</v>
      </c>
      <c r="B182" s="1">
        <v>2.7147999999999999</v>
      </c>
      <c r="C182" s="1">
        <f>Tabela13[[#This Row],[Alongamento (mm/mm)]]/$I$2</f>
        <v>5.4295999999999997E-2</v>
      </c>
      <c r="D182" s="1">
        <v>71.951999999999998</v>
      </c>
      <c r="E182" s="1">
        <f>Tabela13[[#This Row],[Força (N)]]/$I$5</f>
        <v>1493179.7099223649</v>
      </c>
      <c r="F182" s="1">
        <f>Tabela13[[#This Row],[Tensão (Pa)]]/1000000</f>
        <v>1.4931797099223649</v>
      </c>
    </row>
    <row r="183" spans="1:6" x14ac:dyDescent="0.3">
      <c r="A183" s="1">
        <v>32.75</v>
      </c>
      <c r="B183" s="1">
        <v>2.7218</v>
      </c>
      <c r="C183" s="1">
        <f>Tabela13[[#This Row],[Alongamento (mm/mm)]]/$I$2</f>
        <v>5.4435999999999998E-2</v>
      </c>
      <c r="D183" s="1">
        <v>72.632000000000005</v>
      </c>
      <c r="E183" s="1">
        <f>Tabela13[[#This Row],[Força (N)]]/$I$5</f>
        <v>1507291.370512025</v>
      </c>
      <c r="F183" s="1">
        <f>Tabela13[[#This Row],[Tensão (Pa)]]/1000000</f>
        <v>1.507291370512025</v>
      </c>
    </row>
    <row r="184" spans="1:6" x14ac:dyDescent="0.3">
      <c r="A184" s="1">
        <v>32.832999999999998</v>
      </c>
      <c r="B184" s="1">
        <v>2.7286999999999999</v>
      </c>
      <c r="C184" s="1">
        <f>Tabela13[[#This Row],[Alongamento (mm/mm)]]/$I$2</f>
        <v>5.4573999999999998E-2</v>
      </c>
      <c r="D184" s="1">
        <v>73.313000000000002</v>
      </c>
      <c r="E184" s="1">
        <f>Tabela13[[#This Row],[Força (N)]]/$I$5</f>
        <v>1521423.7835437283</v>
      </c>
      <c r="F184" s="1">
        <f>Tabela13[[#This Row],[Tensão (Pa)]]/1000000</f>
        <v>1.5214237835437283</v>
      </c>
    </row>
    <row r="185" spans="1:6" x14ac:dyDescent="0.3">
      <c r="A185" s="1">
        <v>32.917000000000002</v>
      </c>
      <c r="B185" s="1">
        <v>2.7355999999999998</v>
      </c>
      <c r="C185" s="1">
        <f>Tabela13[[#This Row],[Alongamento (mm/mm)]]/$I$2</f>
        <v>5.4711999999999997E-2</v>
      </c>
      <c r="D185" s="1">
        <v>73.992999999999995</v>
      </c>
      <c r="E185" s="1">
        <f>Tabela13[[#This Row],[Força (N)]]/$I$5</f>
        <v>1535535.4441333881</v>
      </c>
      <c r="F185" s="1">
        <f>Tabela13[[#This Row],[Tensão (Pa)]]/1000000</f>
        <v>1.5355354441333882</v>
      </c>
    </row>
    <row r="186" spans="1:6" x14ac:dyDescent="0.3">
      <c r="A186" s="1">
        <v>33</v>
      </c>
      <c r="B186" s="1">
        <v>2.7425999999999999</v>
      </c>
      <c r="C186" s="1">
        <f>Tabela13[[#This Row],[Alongamento (mm/mm)]]/$I$2</f>
        <v>5.4851999999999998E-2</v>
      </c>
      <c r="D186" s="1">
        <v>74.673000000000002</v>
      </c>
      <c r="E186" s="1">
        <f>Tabela13[[#This Row],[Força (N)]]/$I$5</f>
        <v>1549647.1047230482</v>
      </c>
      <c r="F186" s="1">
        <f>Tabela13[[#This Row],[Tensão (Pa)]]/1000000</f>
        <v>1.5496471047230482</v>
      </c>
    </row>
    <row r="187" spans="1:6" x14ac:dyDescent="0.3">
      <c r="A187" s="1">
        <v>33.082999999999998</v>
      </c>
      <c r="B187" s="1">
        <v>2.7496999999999998</v>
      </c>
      <c r="C187" s="1">
        <f>Tabela13[[#This Row],[Alongamento (mm/mm)]]/$I$2</f>
        <v>5.4993999999999994E-2</v>
      </c>
      <c r="D187" s="1">
        <v>75.353999999999999</v>
      </c>
      <c r="E187" s="1">
        <f>Tabela13[[#This Row],[Força (N)]]/$I$5</f>
        <v>1563779.5177547517</v>
      </c>
      <c r="F187" s="1">
        <f>Tabela13[[#This Row],[Tensão (Pa)]]/1000000</f>
        <v>1.5637795177547518</v>
      </c>
    </row>
    <row r="188" spans="1:6" x14ac:dyDescent="0.3">
      <c r="A188" s="1">
        <v>33.183</v>
      </c>
      <c r="B188" s="1">
        <v>2.758</v>
      </c>
      <c r="C188" s="1">
        <f>Tabela13[[#This Row],[Alongamento (mm/mm)]]/$I$2</f>
        <v>5.5160000000000001E-2</v>
      </c>
      <c r="D188" s="1">
        <v>76.034000000000006</v>
      </c>
      <c r="E188" s="1">
        <f>Tabela13[[#This Row],[Força (N)]]/$I$5</f>
        <v>1577891.1783444115</v>
      </c>
      <c r="F188" s="1">
        <f>Tabela13[[#This Row],[Tensão (Pa)]]/1000000</f>
        <v>1.5778911783444116</v>
      </c>
    </row>
    <row r="189" spans="1:6" x14ac:dyDescent="0.3">
      <c r="A189" s="1">
        <v>33.267000000000003</v>
      </c>
      <c r="B189" s="1">
        <v>2.7648000000000001</v>
      </c>
      <c r="C189" s="1">
        <f>Tabela13[[#This Row],[Alongamento (mm/mm)]]/$I$2</f>
        <v>5.5296000000000005E-2</v>
      </c>
      <c r="D189" s="1">
        <v>76.715000000000003</v>
      </c>
      <c r="E189" s="1">
        <f>Tabela13[[#This Row],[Força (N)]]/$I$5</f>
        <v>1592023.5913761151</v>
      </c>
      <c r="F189" s="1">
        <f>Tabela13[[#This Row],[Tensão (Pa)]]/1000000</f>
        <v>1.5920235913761152</v>
      </c>
    </row>
    <row r="190" spans="1:6" x14ac:dyDescent="0.3">
      <c r="A190" s="1">
        <v>33.35</v>
      </c>
      <c r="B190" s="1">
        <v>2.7717000000000001</v>
      </c>
      <c r="C190" s="1">
        <f>Tabela13[[#This Row],[Alongamento (mm/mm)]]/$I$2</f>
        <v>5.5434000000000004E-2</v>
      </c>
      <c r="D190" s="1">
        <v>77.394999999999996</v>
      </c>
      <c r="E190" s="1">
        <f>Tabela13[[#This Row],[Força (N)]]/$I$5</f>
        <v>1606135.2519657749</v>
      </c>
      <c r="F190" s="1">
        <f>Tabela13[[#This Row],[Tensão (Pa)]]/1000000</f>
        <v>1.606135251965775</v>
      </c>
    </row>
    <row r="191" spans="1:6" x14ac:dyDescent="0.3">
      <c r="A191" s="1">
        <v>33.450000000000003</v>
      </c>
      <c r="B191" s="1">
        <v>2.7801</v>
      </c>
      <c r="C191" s="1">
        <f>Tabela13[[#This Row],[Alongamento (mm/mm)]]/$I$2</f>
        <v>5.5601999999999999E-2</v>
      </c>
      <c r="D191" s="1">
        <v>78.075000000000003</v>
      </c>
      <c r="E191" s="1">
        <f>Tabela13[[#This Row],[Força (N)]]/$I$5</f>
        <v>1620246.9125554347</v>
      </c>
      <c r="F191" s="1">
        <f>Tabela13[[#This Row],[Tensão (Pa)]]/1000000</f>
        <v>1.6202469125554348</v>
      </c>
    </row>
    <row r="192" spans="1:6" x14ac:dyDescent="0.3">
      <c r="A192" s="1">
        <v>33.533000000000001</v>
      </c>
      <c r="B192" s="1">
        <v>2.7869999999999999</v>
      </c>
      <c r="C192" s="1">
        <f>Tabela13[[#This Row],[Alongamento (mm/mm)]]/$I$2</f>
        <v>5.5739999999999998E-2</v>
      </c>
      <c r="D192" s="1">
        <v>78.756</v>
      </c>
      <c r="E192" s="1">
        <f>Tabela13[[#This Row],[Força (N)]]/$I$5</f>
        <v>1634379.3255871383</v>
      </c>
      <c r="F192" s="1">
        <f>Tabela13[[#This Row],[Tensão (Pa)]]/1000000</f>
        <v>1.6343793255871384</v>
      </c>
    </row>
    <row r="193" spans="1:6" x14ac:dyDescent="0.3">
      <c r="A193" s="1">
        <v>33.616999999999997</v>
      </c>
      <c r="B193" s="1">
        <v>2.794</v>
      </c>
      <c r="C193" s="1">
        <f>Tabela13[[#This Row],[Alongamento (mm/mm)]]/$I$2</f>
        <v>5.5879999999999999E-2</v>
      </c>
      <c r="D193" s="1">
        <v>79.436000000000007</v>
      </c>
      <c r="E193" s="1">
        <f>Tabela13[[#This Row],[Força (N)]]/$I$5</f>
        <v>1648490.9861767984</v>
      </c>
      <c r="F193" s="1">
        <f>Tabela13[[#This Row],[Tensão (Pa)]]/1000000</f>
        <v>1.6484909861767985</v>
      </c>
    </row>
    <row r="194" spans="1:6" x14ac:dyDescent="0.3">
      <c r="A194" s="1">
        <v>33.700000000000003</v>
      </c>
      <c r="B194" s="1">
        <v>2.8010000000000002</v>
      </c>
      <c r="C194" s="1">
        <f>Tabela13[[#This Row],[Alongamento (mm/mm)]]/$I$2</f>
        <v>5.602E-2</v>
      </c>
      <c r="D194" s="1">
        <v>80.117000000000004</v>
      </c>
      <c r="E194" s="1">
        <f>Tabela13[[#This Row],[Força (N)]]/$I$5</f>
        <v>1662623.3992085017</v>
      </c>
      <c r="F194" s="1">
        <f>Tabela13[[#This Row],[Tensão (Pa)]]/1000000</f>
        <v>1.6626233992085018</v>
      </c>
    </row>
    <row r="195" spans="1:6" x14ac:dyDescent="0.3">
      <c r="A195" s="1">
        <v>33.799999999999997</v>
      </c>
      <c r="B195" s="1">
        <v>2.8092000000000001</v>
      </c>
      <c r="C195" s="1">
        <f>Tabela13[[#This Row],[Alongamento (mm/mm)]]/$I$2</f>
        <v>5.6184000000000005E-2</v>
      </c>
      <c r="D195" s="1">
        <v>80.796999999999997</v>
      </c>
      <c r="E195" s="1">
        <f>Tabela13[[#This Row],[Força (N)]]/$I$5</f>
        <v>1676735.0597981615</v>
      </c>
      <c r="F195" s="1">
        <f>Tabela13[[#This Row],[Tensão (Pa)]]/1000000</f>
        <v>1.6767350597981614</v>
      </c>
    </row>
    <row r="196" spans="1:6" x14ac:dyDescent="0.3">
      <c r="A196" s="1">
        <v>33.883000000000003</v>
      </c>
      <c r="B196" s="1">
        <v>2.8161999999999998</v>
      </c>
      <c r="C196" s="1">
        <f>Tabela13[[#This Row],[Alongamento (mm/mm)]]/$I$2</f>
        <v>5.6323999999999999E-2</v>
      </c>
      <c r="D196" s="1">
        <v>81.477000000000004</v>
      </c>
      <c r="E196" s="1">
        <f>Tabela13[[#This Row],[Força (N)]]/$I$5</f>
        <v>1690846.7203878216</v>
      </c>
      <c r="F196" s="1">
        <f>Tabela13[[#This Row],[Tensão (Pa)]]/1000000</f>
        <v>1.6908467203878215</v>
      </c>
    </row>
    <row r="197" spans="1:6" x14ac:dyDescent="0.3">
      <c r="A197" s="1">
        <v>33.966999999999999</v>
      </c>
      <c r="B197" s="1">
        <v>2.8231000000000002</v>
      </c>
      <c r="C197" s="1">
        <f>Tabela13[[#This Row],[Alongamento (mm/mm)]]/$I$2</f>
        <v>5.6462000000000005E-2</v>
      </c>
      <c r="D197" s="1">
        <v>82.158000000000001</v>
      </c>
      <c r="E197" s="1">
        <f>Tabela13[[#This Row],[Força (N)]]/$I$5</f>
        <v>1704979.1334195251</v>
      </c>
      <c r="F197" s="1">
        <f>Tabela13[[#This Row],[Tensão (Pa)]]/1000000</f>
        <v>1.704979133419525</v>
      </c>
    </row>
    <row r="198" spans="1:6" x14ac:dyDescent="0.3">
      <c r="A198" s="1">
        <v>34.049999999999997</v>
      </c>
      <c r="B198" s="1">
        <v>2.8300999999999998</v>
      </c>
      <c r="C198" s="1">
        <f>Tabela13[[#This Row],[Alongamento (mm/mm)]]/$I$2</f>
        <v>5.6602E-2</v>
      </c>
      <c r="D198" s="1">
        <v>82.837999999999994</v>
      </c>
      <c r="E198" s="1">
        <f>Tabela13[[#This Row],[Força (N)]]/$I$5</f>
        <v>1719090.7940091847</v>
      </c>
      <c r="F198" s="1">
        <f>Tabela13[[#This Row],[Tensão (Pa)]]/1000000</f>
        <v>1.7190907940091846</v>
      </c>
    </row>
    <row r="199" spans="1:6" x14ac:dyDescent="0.3">
      <c r="A199" s="1">
        <v>34.133000000000003</v>
      </c>
      <c r="B199" s="1">
        <v>2.8371</v>
      </c>
      <c r="C199" s="1">
        <f>Tabela13[[#This Row],[Alongamento (mm/mm)]]/$I$2</f>
        <v>5.6742000000000001E-2</v>
      </c>
      <c r="D199" s="1">
        <v>83.519000000000005</v>
      </c>
      <c r="E199" s="1">
        <f>Tabela13[[#This Row],[Força (N)]]/$I$5</f>
        <v>1733223.2070408885</v>
      </c>
      <c r="F199" s="1">
        <f>Tabela13[[#This Row],[Tensão (Pa)]]/1000000</f>
        <v>1.7332232070408884</v>
      </c>
    </row>
    <row r="200" spans="1:6" x14ac:dyDescent="0.3">
      <c r="A200" s="1">
        <v>34.216999999999999</v>
      </c>
      <c r="B200" s="1">
        <v>2.8439999999999999</v>
      </c>
      <c r="C200" s="1">
        <f>Tabela13[[#This Row],[Alongamento (mm/mm)]]/$I$2</f>
        <v>5.688E-2</v>
      </c>
      <c r="D200" s="1">
        <v>84.198999999999998</v>
      </c>
      <c r="E200" s="1">
        <f>Tabela13[[#This Row],[Força (N)]]/$I$5</f>
        <v>1747334.8676305483</v>
      </c>
      <c r="F200" s="1">
        <f>Tabela13[[#This Row],[Tensão (Pa)]]/1000000</f>
        <v>1.7473348676305482</v>
      </c>
    </row>
    <row r="201" spans="1:6" x14ac:dyDescent="0.3">
      <c r="A201" s="1">
        <v>34.299999999999997</v>
      </c>
      <c r="B201" s="1">
        <v>2.851</v>
      </c>
      <c r="C201" s="1">
        <f>Tabela13[[#This Row],[Alongamento (mm/mm)]]/$I$2</f>
        <v>5.7020000000000001E-2</v>
      </c>
      <c r="D201" s="1">
        <v>84.879000000000005</v>
      </c>
      <c r="E201" s="1">
        <f>Tabela13[[#This Row],[Força (N)]]/$I$5</f>
        <v>1761446.5282202081</v>
      </c>
      <c r="F201" s="1">
        <f>Tabela13[[#This Row],[Tensão (Pa)]]/1000000</f>
        <v>1.7614465282202081</v>
      </c>
    </row>
    <row r="202" spans="1:6" x14ac:dyDescent="0.3">
      <c r="A202" s="1">
        <v>34.366999999999997</v>
      </c>
      <c r="B202" s="1">
        <v>2.8565</v>
      </c>
      <c r="C202" s="1">
        <f>Tabela13[[#This Row],[Alongamento (mm/mm)]]/$I$2</f>
        <v>5.713E-2</v>
      </c>
      <c r="D202" s="1">
        <v>85.56</v>
      </c>
      <c r="E202" s="1">
        <f>Tabela13[[#This Row],[Força (N)]]/$I$5</f>
        <v>1775578.9412519117</v>
      </c>
      <c r="F202" s="1">
        <f>Tabela13[[#This Row],[Tensão (Pa)]]/1000000</f>
        <v>1.7755789412519116</v>
      </c>
    </row>
    <row r="203" spans="1:6" x14ac:dyDescent="0.3">
      <c r="A203" s="1">
        <v>34.433</v>
      </c>
      <c r="B203" s="1">
        <v>2.8620999999999999</v>
      </c>
      <c r="C203" s="1">
        <f>Tabela13[[#This Row],[Alongamento (mm/mm)]]/$I$2</f>
        <v>5.7241999999999994E-2</v>
      </c>
      <c r="D203" s="1">
        <v>86.24</v>
      </c>
      <c r="E203" s="1">
        <f>Tabela13[[#This Row],[Força (N)]]/$I$5</f>
        <v>1789690.6018415715</v>
      </c>
      <c r="F203" s="1">
        <f>Tabela13[[#This Row],[Tensão (Pa)]]/1000000</f>
        <v>1.7896906018415715</v>
      </c>
    </row>
    <row r="204" spans="1:6" x14ac:dyDescent="0.3">
      <c r="A204" s="1">
        <v>34.517000000000003</v>
      </c>
      <c r="B204" s="1">
        <v>2.8691</v>
      </c>
      <c r="C204" s="1">
        <f>Tabela13[[#This Row],[Alongamento (mm/mm)]]/$I$2</f>
        <v>5.7382000000000002E-2</v>
      </c>
      <c r="D204" s="1">
        <v>86.92</v>
      </c>
      <c r="E204" s="1">
        <f>Tabela13[[#This Row],[Força (N)]]/$I$5</f>
        <v>1803802.2624312316</v>
      </c>
      <c r="F204" s="1">
        <f>Tabela13[[#This Row],[Tensão (Pa)]]/1000000</f>
        <v>1.8038022624312315</v>
      </c>
    </row>
    <row r="205" spans="1:6" x14ac:dyDescent="0.3">
      <c r="A205" s="1">
        <v>34.582999999999998</v>
      </c>
      <c r="B205" s="1">
        <v>2.8746</v>
      </c>
      <c r="C205" s="1">
        <f>Tabela13[[#This Row],[Alongamento (mm/mm)]]/$I$2</f>
        <v>5.7492000000000001E-2</v>
      </c>
      <c r="D205" s="1">
        <v>87.600999999999999</v>
      </c>
      <c r="E205" s="1">
        <f>Tabela13[[#This Row],[Força (N)]]/$I$5</f>
        <v>1817934.6754629349</v>
      </c>
      <c r="F205" s="1">
        <f>Tabela13[[#This Row],[Tensão (Pa)]]/1000000</f>
        <v>1.8179346754629349</v>
      </c>
    </row>
    <row r="206" spans="1:6" x14ac:dyDescent="0.3">
      <c r="A206" s="1">
        <v>34.65</v>
      </c>
      <c r="B206" s="1">
        <v>2.8801000000000001</v>
      </c>
      <c r="C206" s="1">
        <f>Tabela13[[#This Row],[Alongamento (mm/mm)]]/$I$2</f>
        <v>5.7602E-2</v>
      </c>
      <c r="D206" s="1">
        <v>88.281000000000006</v>
      </c>
      <c r="E206" s="1">
        <f>Tabela13[[#This Row],[Força (N)]]/$I$5</f>
        <v>1832046.3360525949</v>
      </c>
      <c r="F206" s="1">
        <f>Tabela13[[#This Row],[Tensão (Pa)]]/1000000</f>
        <v>1.8320463360525949</v>
      </c>
    </row>
    <row r="207" spans="1:6" x14ac:dyDescent="0.3">
      <c r="A207" s="1">
        <v>34.716999999999999</v>
      </c>
      <c r="B207" s="1">
        <v>2.8856000000000002</v>
      </c>
      <c r="C207" s="1">
        <f>Tabela13[[#This Row],[Alongamento (mm/mm)]]/$I$2</f>
        <v>5.7712000000000006E-2</v>
      </c>
      <c r="D207" s="1">
        <v>88.962000000000003</v>
      </c>
      <c r="E207" s="1">
        <f>Tabela13[[#This Row],[Força (N)]]/$I$5</f>
        <v>1846178.7490842983</v>
      </c>
      <c r="F207" s="1">
        <f>Tabela13[[#This Row],[Tensão (Pa)]]/1000000</f>
        <v>1.8461787490842982</v>
      </c>
    </row>
    <row r="208" spans="1:6" x14ac:dyDescent="0.3">
      <c r="A208" s="1">
        <v>34.783000000000001</v>
      </c>
      <c r="B208" s="1">
        <v>2.8912</v>
      </c>
      <c r="C208" s="1">
        <f>Tabela13[[#This Row],[Alongamento (mm/mm)]]/$I$2</f>
        <v>5.7824E-2</v>
      </c>
      <c r="D208" s="1">
        <v>89.641999999999996</v>
      </c>
      <c r="E208" s="1">
        <f>Tabela13[[#This Row],[Força (N)]]/$I$5</f>
        <v>1860290.4096739581</v>
      </c>
      <c r="F208" s="1">
        <f>Tabela13[[#This Row],[Tensão (Pa)]]/1000000</f>
        <v>1.8602904096739581</v>
      </c>
    </row>
    <row r="209" spans="1:6" x14ac:dyDescent="0.3">
      <c r="A209" s="1">
        <v>34.85</v>
      </c>
      <c r="B209" s="1">
        <v>2.8967999999999998</v>
      </c>
      <c r="C209" s="1">
        <f>Tabela13[[#This Row],[Alongamento (mm/mm)]]/$I$2</f>
        <v>5.7935999999999994E-2</v>
      </c>
      <c r="D209" s="1">
        <v>90.322000000000003</v>
      </c>
      <c r="E209" s="1">
        <f>Tabela13[[#This Row],[Força (N)]]/$I$5</f>
        <v>1874402.0702636181</v>
      </c>
      <c r="F209" s="1">
        <f>Tabela13[[#This Row],[Tensão (Pa)]]/1000000</f>
        <v>1.8744020702636182</v>
      </c>
    </row>
    <row r="210" spans="1:6" x14ac:dyDescent="0.3">
      <c r="A210" s="1">
        <v>34.917000000000002</v>
      </c>
      <c r="B210" s="1">
        <v>2.9022999999999999</v>
      </c>
      <c r="C210" s="1">
        <f>Tabela13[[#This Row],[Alongamento (mm/mm)]]/$I$2</f>
        <v>5.8046E-2</v>
      </c>
      <c r="D210" s="1">
        <v>91.003</v>
      </c>
      <c r="E210" s="1">
        <f>Tabela13[[#This Row],[Força (N)]]/$I$5</f>
        <v>1888534.4832953217</v>
      </c>
      <c r="F210" s="1">
        <f>Tabela13[[#This Row],[Tensão (Pa)]]/1000000</f>
        <v>1.8885344832953217</v>
      </c>
    </row>
    <row r="211" spans="1:6" x14ac:dyDescent="0.3">
      <c r="A211" s="1">
        <v>34.966999999999999</v>
      </c>
      <c r="B211" s="1">
        <v>2.9064999999999999</v>
      </c>
      <c r="C211" s="1">
        <f>Tabela13[[#This Row],[Alongamento (mm/mm)]]/$I$2</f>
        <v>5.8129999999999994E-2</v>
      </c>
      <c r="D211" s="1">
        <v>91.683000000000007</v>
      </c>
      <c r="E211" s="1">
        <f>Tabela13[[#This Row],[Força (N)]]/$I$5</f>
        <v>1902646.1438849815</v>
      </c>
      <c r="F211" s="1">
        <f>Tabela13[[#This Row],[Tensão (Pa)]]/1000000</f>
        <v>1.9026461438849815</v>
      </c>
    </row>
    <row r="212" spans="1:6" x14ac:dyDescent="0.3">
      <c r="A212" s="1">
        <v>35.033000000000001</v>
      </c>
      <c r="B212" s="1">
        <v>2.9121000000000001</v>
      </c>
      <c r="C212" s="1">
        <f>Tabela13[[#This Row],[Alongamento (mm/mm)]]/$I$2</f>
        <v>5.8242000000000002E-2</v>
      </c>
      <c r="D212" s="1">
        <v>92.364000000000004</v>
      </c>
      <c r="E212" s="1">
        <f>Tabela13[[#This Row],[Força (N)]]/$I$5</f>
        <v>1916778.5569166851</v>
      </c>
      <c r="F212" s="1">
        <f>Tabela13[[#This Row],[Tensão (Pa)]]/1000000</f>
        <v>1.9167785569166851</v>
      </c>
    </row>
    <row r="213" spans="1:6" x14ac:dyDescent="0.3">
      <c r="A213" s="1">
        <v>35.1</v>
      </c>
      <c r="B213" s="1">
        <v>2.9176000000000002</v>
      </c>
      <c r="C213" s="1">
        <f>Tabela13[[#This Row],[Alongamento (mm/mm)]]/$I$2</f>
        <v>5.8352000000000001E-2</v>
      </c>
      <c r="D213" s="1">
        <v>93.043999999999997</v>
      </c>
      <c r="E213" s="1">
        <f>Tabela13[[#This Row],[Força (N)]]/$I$5</f>
        <v>1930890.2175063449</v>
      </c>
      <c r="F213" s="1">
        <f>Tabela13[[#This Row],[Tensão (Pa)]]/1000000</f>
        <v>1.9308902175063449</v>
      </c>
    </row>
    <row r="214" spans="1:6" x14ac:dyDescent="0.3">
      <c r="A214" s="1">
        <v>35.15</v>
      </c>
      <c r="B214" s="1">
        <v>2.9217</v>
      </c>
      <c r="C214" s="1">
        <f>Tabela13[[#This Row],[Alongamento (mm/mm)]]/$I$2</f>
        <v>5.8434E-2</v>
      </c>
      <c r="D214" s="1">
        <v>93.724000000000004</v>
      </c>
      <c r="E214" s="1">
        <f>Tabela13[[#This Row],[Força (N)]]/$I$5</f>
        <v>1945001.8780960047</v>
      </c>
      <c r="F214" s="1">
        <f>Tabela13[[#This Row],[Tensão (Pa)]]/1000000</f>
        <v>1.9450018780960048</v>
      </c>
    </row>
    <row r="215" spans="1:6" x14ac:dyDescent="0.3">
      <c r="A215" s="1">
        <v>35.216999999999999</v>
      </c>
      <c r="B215" s="1">
        <v>2.9272999999999998</v>
      </c>
      <c r="C215" s="1">
        <f>Tabela13[[#This Row],[Alongamento (mm/mm)]]/$I$2</f>
        <v>5.8545999999999994E-2</v>
      </c>
      <c r="D215" s="1">
        <v>94.405000000000001</v>
      </c>
      <c r="E215" s="1">
        <f>Tabela13[[#This Row],[Força (N)]]/$I$5</f>
        <v>1959134.2911277083</v>
      </c>
      <c r="F215" s="1">
        <f>Tabela13[[#This Row],[Tensão (Pa)]]/1000000</f>
        <v>1.9591342911277083</v>
      </c>
    </row>
    <row r="216" spans="1:6" x14ac:dyDescent="0.3">
      <c r="A216" s="1">
        <v>35.283000000000001</v>
      </c>
      <c r="B216" s="1">
        <v>2.9327999999999999</v>
      </c>
      <c r="C216" s="1">
        <f>Tabela13[[#This Row],[Alongamento (mm/mm)]]/$I$2</f>
        <v>5.8656E-2</v>
      </c>
      <c r="D216" s="1">
        <v>95.084999999999994</v>
      </c>
      <c r="E216" s="1">
        <f>Tabela13[[#This Row],[Força (N)]]/$I$5</f>
        <v>1973245.9517173681</v>
      </c>
      <c r="F216" s="1">
        <f>Tabela13[[#This Row],[Tensão (Pa)]]/1000000</f>
        <v>1.9732459517173682</v>
      </c>
    </row>
    <row r="217" spans="1:6" x14ac:dyDescent="0.3">
      <c r="A217" s="1">
        <v>35.332999999999998</v>
      </c>
      <c r="B217" s="1">
        <v>2.9371</v>
      </c>
      <c r="C217" s="1">
        <f>Tabela13[[#This Row],[Alongamento (mm/mm)]]/$I$2</f>
        <v>5.8742000000000003E-2</v>
      </c>
      <c r="D217" s="1">
        <v>95.766000000000005</v>
      </c>
      <c r="E217" s="1">
        <f>Tabela13[[#This Row],[Força (N)]]/$I$5</f>
        <v>1987378.3647490717</v>
      </c>
      <c r="F217" s="1">
        <f>Tabela13[[#This Row],[Tensão (Pa)]]/1000000</f>
        <v>1.9873783647490717</v>
      </c>
    </row>
    <row r="218" spans="1:6" x14ac:dyDescent="0.3">
      <c r="A218" s="1">
        <v>35.4</v>
      </c>
      <c r="B218" s="1">
        <v>2.9426000000000001</v>
      </c>
      <c r="C218" s="1">
        <f>Tabela13[[#This Row],[Alongamento (mm/mm)]]/$I$2</f>
        <v>5.8852000000000002E-2</v>
      </c>
      <c r="D218" s="1">
        <v>96.445999999999998</v>
      </c>
      <c r="E218" s="1">
        <f>Tabela13[[#This Row],[Força (N)]]/$I$5</f>
        <v>2001490.0253387315</v>
      </c>
      <c r="F218" s="1">
        <f>Tabela13[[#This Row],[Tensão (Pa)]]/1000000</f>
        <v>2.0014900253387315</v>
      </c>
    </row>
    <row r="219" spans="1:6" x14ac:dyDescent="0.3">
      <c r="A219" s="1">
        <v>35.466999999999999</v>
      </c>
      <c r="B219" s="1">
        <v>2.9481000000000002</v>
      </c>
      <c r="C219" s="1">
        <f>Tabela13[[#This Row],[Alongamento (mm/mm)]]/$I$2</f>
        <v>5.8962000000000001E-2</v>
      </c>
      <c r="D219" s="1">
        <v>97.126000000000005</v>
      </c>
      <c r="E219" s="1">
        <f>Tabela13[[#This Row],[Força (N)]]/$I$5</f>
        <v>2015601.6859283915</v>
      </c>
      <c r="F219" s="1">
        <f>Tabela13[[#This Row],[Tensão (Pa)]]/1000000</f>
        <v>2.0156016859283916</v>
      </c>
    </row>
    <row r="220" spans="1:6" x14ac:dyDescent="0.3">
      <c r="A220" s="1">
        <v>35.517000000000003</v>
      </c>
      <c r="B220" s="1">
        <v>2.9523999999999999</v>
      </c>
      <c r="C220" s="1">
        <f>Tabela13[[#This Row],[Alongamento (mm/mm)]]/$I$2</f>
        <v>5.9047999999999996E-2</v>
      </c>
      <c r="D220" s="1">
        <v>97.807000000000002</v>
      </c>
      <c r="E220" s="1">
        <f>Tabela13[[#This Row],[Força (N)]]/$I$5</f>
        <v>2029734.0989600949</v>
      </c>
      <c r="F220" s="1">
        <f>Tabela13[[#This Row],[Tensão (Pa)]]/1000000</f>
        <v>2.0297340989600947</v>
      </c>
    </row>
    <row r="221" spans="1:6" x14ac:dyDescent="0.3">
      <c r="A221" s="1">
        <v>35.582999999999998</v>
      </c>
      <c r="B221" s="1">
        <v>2.9578000000000002</v>
      </c>
      <c r="C221" s="1">
        <f>Tabela13[[#This Row],[Alongamento (mm/mm)]]/$I$2</f>
        <v>5.9156000000000007E-2</v>
      </c>
      <c r="D221" s="1">
        <v>98.486999999999995</v>
      </c>
      <c r="E221" s="1">
        <f>Tabela13[[#This Row],[Força (N)]]/$I$5</f>
        <v>2043845.7595497547</v>
      </c>
      <c r="F221" s="1">
        <f>Tabela13[[#This Row],[Tensão (Pa)]]/1000000</f>
        <v>2.0438457595497548</v>
      </c>
    </row>
    <row r="222" spans="1:6" x14ac:dyDescent="0.3">
      <c r="A222" s="1">
        <v>35.633000000000003</v>
      </c>
      <c r="B222" s="1">
        <v>2.9620000000000002</v>
      </c>
      <c r="C222" s="1">
        <f>Tabela13[[#This Row],[Alongamento (mm/mm)]]/$I$2</f>
        <v>5.9240000000000001E-2</v>
      </c>
      <c r="D222" s="1">
        <v>99.168000000000006</v>
      </c>
      <c r="E222" s="1">
        <f>Tabela13[[#This Row],[Força (N)]]/$I$5</f>
        <v>2057978.1725814585</v>
      </c>
      <c r="F222" s="1">
        <f>Tabela13[[#This Row],[Tensão (Pa)]]/1000000</f>
        <v>2.0579781725814583</v>
      </c>
    </row>
    <row r="223" spans="1:6" x14ac:dyDescent="0.3">
      <c r="A223" s="1">
        <v>35.700000000000003</v>
      </c>
      <c r="B223" s="1">
        <v>2.9676</v>
      </c>
      <c r="C223" s="1">
        <f>Tabela13[[#This Row],[Alongamento (mm/mm)]]/$I$2</f>
        <v>5.9352000000000002E-2</v>
      </c>
      <c r="D223" s="1">
        <v>99.847999999999999</v>
      </c>
      <c r="E223" s="1">
        <f>Tabela13[[#This Row],[Força (N)]]/$I$5</f>
        <v>2072089.8331711183</v>
      </c>
      <c r="F223" s="1">
        <f>Tabela13[[#This Row],[Tensão (Pa)]]/1000000</f>
        <v>2.0720898331711184</v>
      </c>
    </row>
    <row r="224" spans="1:6" x14ac:dyDescent="0.3">
      <c r="A224" s="1">
        <v>35.767000000000003</v>
      </c>
      <c r="B224" s="1">
        <v>2.9731000000000001</v>
      </c>
      <c r="C224" s="1">
        <f>Tabela13[[#This Row],[Alongamento (mm/mm)]]/$I$2</f>
        <v>5.9462000000000001E-2</v>
      </c>
      <c r="D224" s="1">
        <v>100.53</v>
      </c>
      <c r="E224" s="1">
        <f>Tabela13[[#This Row],[Força (N)]]/$I$5</f>
        <v>2086242.9986448654</v>
      </c>
      <c r="F224" s="1">
        <f>Tabela13[[#This Row],[Tensão (Pa)]]/1000000</f>
        <v>2.0862429986448654</v>
      </c>
    </row>
    <row r="225" spans="1:6" x14ac:dyDescent="0.3">
      <c r="A225" s="1">
        <v>35.817</v>
      </c>
      <c r="B225" s="1">
        <v>2.9773999999999998</v>
      </c>
      <c r="C225" s="1">
        <f>Tabela13[[#This Row],[Alongamento (mm/mm)]]/$I$2</f>
        <v>5.9547999999999997E-2</v>
      </c>
      <c r="D225" s="1">
        <v>101.21</v>
      </c>
      <c r="E225" s="1">
        <f>Tabela13[[#This Row],[Força (N)]]/$I$5</f>
        <v>2100354.6592345252</v>
      </c>
      <c r="F225" s="1">
        <f>Tabela13[[#This Row],[Tensão (Pa)]]/1000000</f>
        <v>2.100354659234525</v>
      </c>
    </row>
    <row r="226" spans="1:6" x14ac:dyDescent="0.3">
      <c r="A226" s="1">
        <v>35.866999999999997</v>
      </c>
      <c r="B226" s="1">
        <v>2.9815999999999998</v>
      </c>
      <c r="C226" s="1">
        <f>Tabela13[[#This Row],[Alongamento (mm/mm)]]/$I$2</f>
        <v>5.9631999999999998E-2</v>
      </c>
      <c r="D226" s="1">
        <v>101.89</v>
      </c>
      <c r="E226" s="1">
        <f>Tabela13[[#This Row],[Força (N)]]/$I$5</f>
        <v>2114466.3198241852</v>
      </c>
      <c r="F226" s="1">
        <f>Tabela13[[#This Row],[Tensão (Pa)]]/1000000</f>
        <v>2.1144663198241851</v>
      </c>
    </row>
    <row r="227" spans="1:6" x14ac:dyDescent="0.3">
      <c r="A227" s="1">
        <v>35.933</v>
      </c>
      <c r="B227" s="1">
        <v>2.9870999999999999</v>
      </c>
      <c r="C227" s="1">
        <f>Tabela13[[#This Row],[Alongamento (mm/mm)]]/$I$2</f>
        <v>5.9741999999999996E-2</v>
      </c>
      <c r="D227" s="1">
        <v>102.57</v>
      </c>
      <c r="E227" s="1">
        <f>Tabela13[[#This Row],[Força (N)]]/$I$5</f>
        <v>2128577.9804138448</v>
      </c>
      <c r="F227" s="1">
        <f>Tabela13[[#This Row],[Tensão (Pa)]]/1000000</f>
        <v>2.1285779804138447</v>
      </c>
    </row>
    <row r="228" spans="1:6" x14ac:dyDescent="0.3">
      <c r="A228" s="1">
        <v>35.982999999999997</v>
      </c>
      <c r="B228" s="1">
        <v>2.9912999999999998</v>
      </c>
      <c r="C228" s="1">
        <f>Tabela13[[#This Row],[Alongamento (mm/mm)]]/$I$2</f>
        <v>5.9825999999999997E-2</v>
      </c>
      <c r="D228" s="1">
        <v>103.25</v>
      </c>
      <c r="E228" s="1">
        <f>Tabela13[[#This Row],[Força (N)]]/$I$5</f>
        <v>2142689.6410035049</v>
      </c>
      <c r="F228" s="1">
        <f>Tabela13[[#This Row],[Tensão (Pa)]]/1000000</f>
        <v>2.1426896410035048</v>
      </c>
    </row>
    <row r="229" spans="1:6" x14ac:dyDescent="0.3">
      <c r="A229" s="1">
        <v>36.049999999999997</v>
      </c>
      <c r="B229" s="1">
        <v>2.9967999999999999</v>
      </c>
      <c r="C229" s="1">
        <f>Tabela13[[#This Row],[Alongamento (mm/mm)]]/$I$2</f>
        <v>5.9935999999999996E-2</v>
      </c>
      <c r="D229" s="1">
        <v>103.93</v>
      </c>
      <c r="E229" s="1">
        <f>Tabela13[[#This Row],[Força (N)]]/$I$5</f>
        <v>2156801.3015931649</v>
      </c>
      <c r="F229" s="1">
        <f>Tabela13[[#This Row],[Tensão (Pa)]]/1000000</f>
        <v>2.1568013015931649</v>
      </c>
    </row>
    <row r="230" spans="1:6" x14ac:dyDescent="0.3">
      <c r="A230" s="1">
        <v>36.1</v>
      </c>
      <c r="B230" s="1">
        <v>3.0009000000000001</v>
      </c>
      <c r="C230" s="1">
        <f>Tabela13[[#This Row],[Alongamento (mm/mm)]]/$I$2</f>
        <v>6.0018000000000002E-2</v>
      </c>
      <c r="D230" s="1">
        <v>104.61</v>
      </c>
      <c r="E230" s="1">
        <f>Tabela13[[#This Row],[Força (N)]]/$I$5</f>
        <v>2170912.9621828245</v>
      </c>
      <c r="F230" s="1">
        <f>Tabela13[[#This Row],[Tensão (Pa)]]/1000000</f>
        <v>2.1709129621828245</v>
      </c>
    </row>
    <row r="231" spans="1:6" x14ac:dyDescent="0.3">
      <c r="A231" s="1">
        <v>36.167000000000002</v>
      </c>
      <c r="B231" s="1">
        <v>3.0065</v>
      </c>
      <c r="C231" s="1">
        <f>Tabela13[[#This Row],[Alongamento (mm/mm)]]/$I$2</f>
        <v>6.0129999999999996E-2</v>
      </c>
      <c r="D231" s="1">
        <v>105.29</v>
      </c>
      <c r="E231" s="1">
        <f>Tabela13[[#This Row],[Força (N)]]/$I$5</f>
        <v>2185024.6227724846</v>
      </c>
      <c r="F231" s="1">
        <f>Tabela13[[#This Row],[Tensão (Pa)]]/1000000</f>
        <v>2.1850246227724845</v>
      </c>
    </row>
    <row r="232" spans="1:6" x14ac:dyDescent="0.3">
      <c r="A232" s="1">
        <v>36.216999999999999</v>
      </c>
      <c r="B232" s="1">
        <v>3.0106000000000002</v>
      </c>
      <c r="C232" s="1">
        <f>Tabela13[[#This Row],[Alongamento (mm/mm)]]/$I$2</f>
        <v>6.0212000000000002E-2</v>
      </c>
      <c r="D232" s="1">
        <v>105.97</v>
      </c>
      <c r="E232" s="1">
        <f>Tabela13[[#This Row],[Força (N)]]/$I$5</f>
        <v>2199136.2833621446</v>
      </c>
      <c r="F232" s="1">
        <f>Tabela13[[#This Row],[Tensão (Pa)]]/1000000</f>
        <v>2.1991362833621446</v>
      </c>
    </row>
    <row r="233" spans="1:6" x14ac:dyDescent="0.3">
      <c r="A233" s="1">
        <v>36.283000000000001</v>
      </c>
      <c r="B233" s="1">
        <v>3.0162</v>
      </c>
      <c r="C233" s="1">
        <f>Tabela13[[#This Row],[Alongamento (mm/mm)]]/$I$2</f>
        <v>6.0324000000000003E-2</v>
      </c>
      <c r="D233" s="1">
        <v>106.65</v>
      </c>
      <c r="E233" s="1">
        <f>Tabela13[[#This Row],[Força (N)]]/$I$5</f>
        <v>2213247.9439518042</v>
      </c>
      <c r="F233" s="1">
        <f>Tabela13[[#This Row],[Tensão (Pa)]]/1000000</f>
        <v>2.2132479439518042</v>
      </c>
    </row>
    <row r="234" spans="1:6" x14ac:dyDescent="0.3">
      <c r="A234" s="1">
        <v>36.332999999999998</v>
      </c>
      <c r="B234" s="1">
        <v>3.0204</v>
      </c>
      <c r="C234" s="1">
        <f>Tabela13[[#This Row],[Alongamento (mm/mm)]]/$I$2</f>
        <v>6.0407999999999996E-2</v>
      </c>
      <c r="D234" s="1">
        <v>107.33</v>
      </c>
      <c r="E234" s="1">
        <f>Tabela13[[#This Row],[Força (N)]]/$I$5</f>
        <v>2227359.6045414642</v>
      </c>
      <c r="F234" s="1">
        <f>Tabela13[[#This Row],[Tensão (Pa)]]/1000000</f>
        <v>2.2273596045414643</v>
      </c>
    </row>
    <row r="235" spans="1:6" x14ac:dyDescent="0.3">
      <c r="A235" s="1">
        <v>36.4</v>
      </c>
      <c r="B235" s="1">
        <v>3.0259999999999998</v>
      </c>
      <c r="C235" s="1">
        <f>Tabela13[[#This Row],[Alongamento (mm/mm)]]/$I$2</f>
        <v>6.0519999999999997E-2</v>
      </c>
      <c r="D235" s="1">
        <v>108.18</v>
      </c>
      <c r="E235" s="1">
        <f>Tabela13[[#This Row],[Força (N)]]/$I$5</f>
        <v>2244999.1802785392</v>
      </c>
      <c r="F235" s="1">
        <f>Tabela13[[#This Row],[Tensão (Pa)]]/1000000</f>
        <v>2.2449991802785392</v>
      </c>
    </row>
    <row r="236" spans="1:6" x14ac:dyDescent="0.3">
      <c r="A236" s="1">
        <v>36.466999999999999</v>
      </c>
      <c r="B236" s="1">
        <v>3.0316000000000001</v>
      </c>
      <c r="C236" s="1">
        <f>Tabela13[[#This Row],[Alongamento (mm/mm)]]/$I$2</f>
        <v>6.0631999999999998E-2</v>
      </c>
      <c r="D236" s="1">
        <v>108.86</v>
      </c>
      <c r="E236" s="1">
        <f>Tabela13[[#This Row],[Força (N)]]/$I$5</f>
        <v>2259110.8408681988</v>
      </c>
      <c r="F236" s="1">
        <f>Tabela13[[#This Row],[Tensão (Pa)]]/1000000</f>
        <v>2.2591108408681988</v>
      </c>
    </row>
    <row r="237" spans="1:6" x14ac:dyDescent="0.3">
      <c r="A237" s="1">
        <v>36.517000000000003</v>
      </c>
      <c r="B237" s="1">
        <v>3.0356000000000001</v>
      </c>
      <c r="C237" s="1">
        <f>Tabela13[[#This Row],[Alongamento (mm/mm)]]/$I$2</f>
        <v>6.0712000000000002E-2</v>
      </c>
      <c r="D237" s="1">
        <v>109.54</v>
      </c>
      <c r="E237" s="1">
        <f>Tabela13[[#This Row],[Força (N)]]/$I$5</f>
        <v>2273222.5014578588</v>
      </c>
      <c r="F237" s="1">
        <f>Tabela13[[#This Row],[Tensão (Pa)]]/1000000</f>
        <v>2.2732225014578589</v>
      </c>
    </row>
    <row r="238" spans="1:6" x14ac:dyDescent="0.3">
      <c r="A238" s="1">
        <v>36.582999999999998</v>
      </c>
      <c r="B238" s="1">
        <v>3.0411000000000001</v>
      </c>
      <c r="C238" s="1">
        <f>Tabela13[[#This Row],[Alongamento (mm/mm)]]/$I$2</f>
        <v>6.0822000000000001E-2</v>
      </c>
      <c r="D238" s="1">
        <v>110.22</v>
      </c>
      <c r="E238" s="1">
        <f>Tabela13[[#This Row],[Força (N)]]/$I$5</f>
        <v>2287334.1620475189</v>
      </c>
      <c r="F238" s="1">
        <f>Tabela13[[#This Row],[Tensão (Pa)]]/1000000</f>
        <v>2.2873341620475189</v>
      </c>
    </row>
    <row r="239" spans="1:6" x14ac:dyDescent="0.3">
      <c r="A239" s="1">
        <v>36.633000000000003</v>
      </c>
      <c r="B239" s="1">
        <v>3.0453999999999999</v>
      </c>
      <c r="C239" s="1">
        <f>Tabela13[[#This Row],[Alongamento (mm/mm)]]/$I$2</f>
        <v>6.0907999999999997E-2</v>
      </c>
      <c r="D239" s="1">
        <v>110.9</v>
      </c>
      <c r="E239" s="1">
        <f>Tabela13[[#This Row],[Força (N)]]/$I$5</f>
        <v>2301445.8226371789</v>
      </c>
      <c r="F239" s="1">
        <f>Tabela13[[#This Row],[Tensão (Pa)]]/1000000</f>
        <v>2.301445822637179</v>
      </c>
    </row>
    <row r="240" spans="1:6" x14ac:dyDescent="0.3">
      <c r="A240" s="1">
        <v>36.700000000000003</v>
      </c>
      <c r="B240" s="1">
        <v>3.0508999999999999</v>
      </c>
      <c r="C240" s="1">
        <f>Tabela13[[#This Row],[Alongamento (mm/mm)]]/$I$2</f>
        <v>6.1017999999999996E-2</v>
      </c>
      <c r="D240" s="1">
        <v>111.58</v>
      </c>
      <c r="E240" s="1">
        <f>Tabela13[[#This Row],[Força (N)]]/$I$5</f>
        <v>2315557.4832268385</v>
      </c>
      <c r="F240" s="1">
        <f>Tabela13[[#This Row],[Tensão (Pa)]]/1000000</f>
        <v>2.3155574832268386</v>
      </c>
    </row>
    <row r="241" spans="1:6" x14ac:dyDescent="0.3">
      <c r="A241" s="1">
        <v>36.75</v>
      </c>
      <c r="B241" s="1">
        <v>3.0550999999999999</v>
      </c>
      <c r="C241" s="1">
        <f>Tabela13[[#This Row],[Alongamento (mm/mm)]]/$I$2</f>
        <v>6.1101999999999997E-2</v>
      </c>
      <c r="D241" s="1">
        <v>112.27</v>
      </c>
      <c r="E241" s="1">
        <f>Tabela13[[#This Row],[Força (N)]]/$I$5</f>
        <v>2329876.6682369346</v>
      </c>
      <c r="F241" s="1">
        <f>Tabela13[[#This Row],[Tensão (Pa)]]/1000000</f>
        <v>2.3298766682369347</v>
      </c>
    </row>
    <row r="242" spans="1:6" x14ac:dyDescent="0.3">
      <c r="A242" s="1">
        <v>36.817</v>
      </c>
      <c r="B242" s="1">
        <v>3.0607000000000002</v>
      </c>
      <c r="C242" s="1">
        <f>Tabela13[[#This Row],[Alongamento (mm/mm)]]/$I$2</f>
        <v>6.1214000000000005E-2</v>
      </c>
      <c r="D242" s="1">
        <v>112.95</v>
      </c>
      <c r="E242" s="1">
        <f>Tabela13[[#This Row],[Força (N)]]/$I$5</f>
        <v>2343988.3288265946</v>
      </c>
      <c r="F242" s="1">
        <f>Tabela13[[#This Row],[Tensão (Pa)]]/1000000</f>
        <v>2.3439883288265948</v>
      </c>
    </row>
    <row r="243" spans="1:6" x14ac:dyDescent="0.3">
      <c r="A243" s="1">
        <v>36.866999999999997</v>
      </c>
      <c r="B243" s="1">
        <v>3.0649000000000002</v>
      </c>
      <c r="C243" s="1">
        <f>Tabela13[[#This Row],[Alongamento (mm/mm)]]/$I$2</f>
        <v>6.1298000000000005E-2</v>
      </c>
      <c r="D243" s="1">
        <v>113.63</v>
      </c>
      <c r="E243" s="1">
        <f>Tabela13[[#This Row],[Força (N)]]/$I$5</f>
        <v>2358099.9894162542</v>
      </c>
      <c r="F243" s="1">
        <f>Tabela13[[#This Row],[Tensão (Pa)]]/1000000</f>
        <v>2.3580999894162544</v>
      </c>
    </row>
    <row r="244" spans="1:6" x14ac:dyDescent="0.3">
      <c r="A244" s="1">
        <v>36.933</v>
      </c>
      <c r="B244" s="1">
        <v>3.0703999999999998</v>
      </c>
      <c r="C244" s="1">
        <f>Tabela13[[#This Row],[Alongamento (mm/mm)]]/$I$2</f>
        <v>6.1407999999999997E-2</v>
      </c>
      <c r="D244" s="1">
        <v>114.48</v>
      </c>
      <c r="E244" s="1">
        <f>Tabela13[[#This Row],[Força (N)]]/$I$5</f>
        <v>2375739.5651533292</v>
      </c>
      <c r="F244" s="1">
        <f>Tabela13[[#This Row],[Tensão (Pa)]]/1000000</f>
        <v>2.3757395651533293</v>
      </c>
    </row>
    <row r="245" spans="1:6" x14ac:dyDescent="0.3">
      <c r="A245" s="1">
        <v>37</v>
      </c>
      <c r="B245" s="1">
        <v>3.0760000000000001</v>
      </c>
      <c r="C245" s="1">
        <f>Tabela13[[#This Row],[Alongamento (mm/mm)]]/$I$2</f>
        <v>6.1519999999999998E-2</v>
      </c>
      <c r="D245" s="1">
        <v>115.16</v>
      </c>
      <c r="E245" s="1">
        <f>Tabela13[[#This Row],[Força (N)]]/$I$5</f>
        <v>2389851.2257429892</v>
      </c>
      <c r="F245" s="1">
        <f>Tabela13[[#This Row],[Tensão (Pa)]]/1000000</f>
        <v>2.3898512257429894</v>
      </c>
    </row>
    <row r="246" spans="1:6" x14ac:dyDescent="0.3">
      <c r="A246" s="1">
        <v>37.049999999999997</v>
      </c>
      <c r="B246" s="1">
        <v>3.0800999999999998</v>
      </c>
      <c r="C246" s="1">
        <f>Tabela13[[#This Row],[Alongamento (mm/mm)]]/$I$2</f>
        <v>6.1601999999999997E-2</v>
      </c>
      <c r="D246" s="1">
        <v>115.84</v>
      </c>
      <c r="E246" s="1">
        <f>Tabela13[[#This Row],[Força (N)]]/$I$5</f>
        <v>2403962.8863326488</v>
      </c>
      <c r="F246" s="1">
        <f>Tabela13[[#This Row],[Tensão (Pa)]]/1000000</f>
        <v>2.403962886332649</v>
      </c>
    </row>
    <row r="247" spans="1:6" x14ac:dyDescent="0.3">
      <c r="A247" s="1">
        <v>37.116999999999997</v>
      </c>
      <c r="B247" s="1">
        <v>3.0857000000000001</v>
      </c>
      <c r="C247" s="1">
        <f>Tabela13[[#This Row],[Alongamento (mm/mm)]]/$I$2</f>
        <v>6.1714000000000005E-2</v>
      </c>
      <c r="D247" s="1">
        <v>116.52</v>
      </c>
      <c r="E247" s="1">
        <f>Tabela13[[#This Row],[Força (N)]]/$I$5</f>
        <v>2418074.5469223089</v>
      </c>
      <c r="F247" s="1">
        <f>Tabela13[[#This Row],[Tensão (Pa)]]/1000000</f>
        <v>2.4180745469223091</v>
      </c>
    </row>
    <row r="248" spans="1:6" x14ac:dyDescent="0.3">
      <c r="A248" s="1">
        <v>37.167000000000002</v>
      </c>
      <c r="B248" s="1">
        <v>3.0897999999999999</v>
      </c>
      <c r="C248" s="1">
        <f>Tabela13[[#This Row],[Alongamento (mm/mm)]]/$I$2</f>
        <v>6.1795999999999997E-2</v>
      </c>
      <c r="D248" s="1">
        <v>117.2</v>
      </c>
      <c r="E248" s="1">
        <f>Tabela13[[#This Row],[Força (N)]]/$I$5</f>
        <v>2432186.2075119689</v>
      </c>
      <c r="F248" s="1">
        <f>Tabela13[[#This Row],[Tensão (Pa)]]/1000000</f>
        <v>2.4321862075119691</v>
      </c>
    </row>
    <row r="249" spans="1:6" x14ac:dyDescent="0.3">
      <c r="A249" s="1">
        <v>37.216999999999999</v>
      </c>
      <c r="B249" s="1">
        <v>3.0939999999999999</v>
      </c>
      <c r="C249" s="1">
        <f>Tabela13[[#This Row],[Alongamento (mm/mm)]]/$I$2</f>
        <v>6.1879999999999998E-2</v>
      </c>
      <c r="D249" s="1">
        <v>117.88</v>
      </c>
      <c r="E249" s="1">
        <f>Tabela13[[#This Row],[Força (N)]]/$I$5</f>
        <v>2446297.8681016285</v>
      </c>
      <c r="F249" s="1">
        <f>Tabela13[[#This Row],[Tensão (Pa)]]/1000000</f>
        <v>2.4462978681016283</v>
      </c>
    </row>
    <row r="250" spans="1:6" x14ac:dyDescent="0.3">
      <c r="A250" s="1">
        <v>37.283000000000001</v>
      </c>
      <c r="B250" s="1">
        <v>3.0996000000000001</v>
      </c>
      <c r="C250" s="1">
        <f>Tabela13[[#This Row],[Alongamento (mm/mm)]]/$I$2</f>
        <v>6.1992000000000005E-2</v>
      </c>
      <c r="D250" s="1">
        <v>118.56</v>
      </c>
      <c r="E250" s="1">
        <f>Tabela13[[#This Row],[Força (N)]]/$I$5</f>
        <v>2460409.5286912885</v>
      </c>
      <c r="F250" s="1">
        <f>Tabela13[[#This Row],[Tensão (Pa)]]/1000000</f>
        <v>2.4604095286912884</v>
      </c>
    </row>
    <row r="251" spans="1:6" x14ac:dyDescent="0.3">
      <c r="A251" s="1">
        <v>37.332999999999998</v>
      </c>
      <c r="B251" s="1">
        <v>3.1036999999999999</v>
      </c>
      <c r="C251" s="1">
        <f>Tabela13[[#This Row],[Alongamento (mm/mm)]]/$I$2</f>
        <v>6.2073999999999997E-2</v>
      </c>
      <c r="D251" s="1">
        <v>119.24</v>
      </c>
      <c r="E251" s="1">
        <f>Tabela13[[#This Row],[Força (N)]]/$I$5</f>
        <v>2474521.1892809481</v>
      </c>
      <c r="F251" s="1">
        <f>Tabela13[[#This Row],[Tensão (Pa)]]/1000000</f>
        <v>2.474521189280948</v>
      </c>
    </row>
    <row r="252" spans="1:6" x14ac:dyDescent="0.3">
      <c r="A252" s="1">
        <v>37.4</v>
      </c>
      <c r="B252" s="1">
        <v>3.1093000000000002</v>
      </c>
      <c r="C252" s="1">
        <f>Tabela13[[#This Row],[Alongamento (mm/mm)]]/$I$2</f>
        <v>6.2186000000000005E-2</v>
      </c>
      <c r="D252" s="1">
        <v>119.92</v>
      </c>
      <c r="E252" s="1">
        <f>Tabela13[[#This Row],[Força (N)]]/$I$5</f>
        <v>2488632.8498706082</v>
      </c>
      <c r="F252" s="1">
        <f>Tabela13[[#This Row],[Tensão (Pa)]]/1000000</f>
        <v>2.4886328498706081</v>
      </c>
    </row>
    <row r="253" spans="1:6" x14ac:dyDescent="0.3">
      <c r="A253" s="1">
        <v>37.450000000000003</v>
      </c>
      <c r="B253" s="1">
        <v>3.1133999999999999</v>
      </c>
      <c r="C253" s="1">
        <f>Tabela13[[#This Row],[Alongamento (mm/mm)]]/$I$2</f>
        <v>6.2267999999999997E-2</v>
      </c>
      <c r="D253" s="1">
        <v>120.6</v>
      </c>
      <c r="E253" s="1">
        <f>Tabela13[[#This Row],[Força (N)]]/$I$5</f>
        <v>2502744.5104602682</v>
      </c>
      <c r="F253" s="1">
        <f>Tabela13[[#This Row],[Tensão (Pa)]]/1000000</f>
        <v>2.5027445104602681</v>
      </c>
    </row>
    <row r="254" spans="1:6" x14ac:dyDescent="0.3">
      <c r="A254" s="1">
        <v>37.5</v>
      </c>
      <c r="B254" s="1">
        <v>3.1175999999999999</v>
      </c>
      <c r="C254" s="1">
        <f>Tabela13[[#This Row],[Alongamento (mm/mm)]]/$I$2</f>
        <v>6.2351999999999998E-2</v>
      </c>
      <c r="D254" s="1">
        <v>121.28</v>
      </c>
      <c r="E254" s="1">
        <f>Tabela13[[#This Row],[Força (N)]]/$I$5</f>
        <v>2516856.1710499283</v>
      </c>
      <c r="F254" s="1">
        <f>Tabela13[[#This Row],[Tensão (Pa)]]/1000000</f>
        <v>2.5168561710499282</v>
      </c>
    </row>
    <row r="255" spans="1:6" x14ac:dyDescent="0.3">
      <c r="A255" s="1">
        <v>37.567</v>
      </c>
      <c r="B255" s="1">
        <v>3.1232000000000002</v>
      </c>
      <c r="C255" s="1">
        <f>Tabela13[[#This Row],[Alongamento (mm/mm)]]/$I$2</f>
        <v>6.2464000000000006E-2</v>
      </c>
      <c r="D255" s="1">
        <v>121.96</v>
      </c>
      <c r="E255" s="1">
        <f>Tabela13[[#This Row],[Força (N)]]/$I$5</f>
        <v>2530967.8316395879</v>
      </c>
      <c r="F255" s="1">
        <f>Tabela13[[#This Row],[Tensão (Pa)]]/1000000</f>
        <v>2.5309678316395878</v>
      </c>
    </row>
    <row r="256" spans="1:6" x14ac:dyDescent="0.3">
      <c r="A256" s="1">
        <v>37.616999999999997</v>
      </c>
      <c r="B256" s="1">
        <v>3.1274000000000002</v>
      </c>
      <c r="C256" s="1">
        <f>Tabela13[[#This Row],[Alongamento (mm/mm)]]/$I$2</f>
        <v>6.2548000000000006E-2</v>
      </c>
      <c r="D256" s="1">
        <v>122.64</v>
      </c>
      <c r="E256" s="1">
        <f>Tabela13[[#This Row],[Força (N)]]/$I$5</f>
        <v>2545079.4922292479</v>
      </c>
      <c r="F256" s="1">
        <f>Tabela13[[#This Row],[Tensão (Pa)]]/1000000</f>
        <v>2.5450794922292479</v>
      </c>
    </row>
    <row r="257" spans="1:6" x14ac:dyDescent="0.3">
      <c r="A257" s="1">
        <v>37.667000000000002</v>
      </c>
      <c r="B257" s="1">
        <v>3.1316000000000002</v>
      </c>
      <c r="C257" s="1">
        <f>Tabela13[[#This Row],[Alongamento (mm/mm)]]/$I$2</f>
        <v>6.2632000000000007E-2</v>
      </c>
      <c r="D257" s="1">
        <v>123.32</v>
      </c>
      <c r="E257" s="1">
        <f>Tabela13[[#This Row],[Força (N)]]/$I$5</f>
        <v>2559191.1528189075</v>
      </c>
      <c r="F257" s="1">
        <f>Tabela13[[#This Row],[Tensão (Pa)]]/1000000</f>
        <v>2.5591911528189075</v>
      </c>
    </row>
    <row r="258" spans="1:6" x14ac:dyDescent="0.3">
      <c r="A258" s="1">
        <v>37.732999999999997</v>
      </c>
      <c r="B258" s="1">
        <v>3.1371000000000002</v>
      </c>
      <c r="C258" s="1">
        <f>Tabela13[[#This Row],[Alongamento (mm/mm)]]/$I$2</f>
        <v>6.2742000000000006E-2</v>
      </c>
      <c r="D258" s="1">
        <v>124</v>
      </c>
      <c r="E258" s="1">
        <f>Tabela13[[#This Row],[Força (N)]]/$I$5</f>
        <v>2573302.8134085676</v>
      </c>
      <c r="F258" s="1">
        <f>Tabela13[[#This Row],[Tensão (Pa)]]/1000000</f>
        <v>2.5733028134085676</v>
      </c>
    </row>
    <row r="259" spans="1:6" x14ac:dyDescent="0.3">
      <c r="A259" s="1">
        <v>37.783000000000001</v>
      </c>
      <c r="B259" s="1">
        <v>3.1412</v>
      </c>
      <c r="C259" s="1">
        <f>Tabela13[[#This Row],[Alongamento (mm/mm)]]/$I$2</f>
        <v>6.2824000000000005E-2</v>
      </c>
      <c r="D259" s="1">
        <v>124.68</v>
      </c>
      <c r="E259" s="1">
        <f>Tabela13[[#This Row],[Força (N)]]/$I$5</f>
        <v>2587414.4739982276</v>
      </c>
      <c r="F259" s="1">
        <f>Tabela13[[#This Row],[Tensão (Pa)]]/1000000</f>
        <v>2.5874144739982277</v>
      </c>
    </row>
    <row r="260" spans="1:6" x14ac:dyDescent="0.3">
      <c r="A260" s="1">
        <v>37.832999999999998</v>
      </c>
      <c r="B260" s="1">
        <v>3.1454</v>
      </c>
      <c r="C260" s="1">
        <f>Tabela13[[#This Row],[Alongamento (mm/mm)]]/$I$2</f>
        <v>6.2908000000000006E-2</v>
      </c>
      <c r="D260" s="1">
        <v>125.36</v>
      </c>
      <c r="E260" s="1">
        <f>Tabela13[[#This Row],[Força (N)]]/$I$5</f>
        <v>2601526.1345878872</v>
      </c>
      <c r="F260" s="1">
        <f>Tabela13[[#This Row],[Tensão (Pa)]]/1000000</f>
        <v>2.6015261345878873</v>
      </c>
    </row>
    <row r="261" spans="1:6" x14ac:dyDescent="0.3">
      <c r="A261" s="1">
        <v>37.9</v>
      </c>
      <c r="B261" s="1">
        <v>3.1509</v>
      </c>
      <c r="C261" s="1">
        <f>Tabela13[[#This Row],[Alongamento (mm/mm)]]/$I$2</f>
        <v>6.3018000000000005E-2</v>
      </c>
      <c r="D261" s="1">
        <v>126.21</v>
      </c>
      <c r="E261" s="1">
        <f>Tabela13[[#This Row],[Força (N)]]/$I$5</f>
        <v>2619165.7103249622</v>
      </c>
      <c r="F261" s="1">
        <f>Tabela13[[#This Row],[Tensão (Pa)]]/1000000</f>
        <v>2.6191657103249621</v>
      </c>
    </row>
    <row r="262" spans="1:6" x14ac:dyDescent="0.3">
      <c r="A262" s="1">
        <v>37.966999999999999</v>
      </c>
      <c r="B262" s="1">
        <v>3.1564999999999999</v>
      </c>
      <c r="C262" s="1">
        <f>Tabela13[[#This Row],[Alongamento (mm/mm)]]/$I$2</f>
        <v>6.3129999999999992E-2</v>
      </c>
      <c r="D262" s="1">
        <v>126.89</v>
      </c>
      <c r="E262" s="1">
        <f>Tabela13[[#This Row],[Força (N)]]/$I$5</f>
        <v>2633277.3709146222</v>
      </c>
      <c r="F262" s="1">
        <f>Tabela13[[#This Row],[Tensão (Pa)]]/1000000</f>
        <v>2.6332773709146222</v>
      </c>
    </row>
    <row r="263" spans="1:6" x14ac:dyDescent="0.3">
      <c r="A263" s="1">
        <v>38.017000000000003</v>
      </c>
      <c r="B263" s="1">
        <v>3.1606000000000001</v>
      </c>
      <c r="C263" s="1">
        <f>Tabela13[[#This Row],[Alongamento (mm/mm)]]/$I$2</f>
        <v>6.3212000000000004E-2</v>
      </c>
      <c r="D263" s="1">
        <v>127.57</v>
      </c>
      <c r="E263" s="1">
        <f>Tabela13[[#This Row],[Força (N)]]/$I$5</f>
        <v>2647389.0315042818</v>
      </c>
      <c r="F263" s="1">
        <f>Tabela13[[#This Row],[Tensão (Pa)]]/1000000</f>
        <v>2.6473890315042818</v>
      </c>
    </row>
    <row r="264" spans="1:6" x14ac:dyDescent="0.3">
      <c r="A264" s="1">
        <v>38.067</v>
      </c>
      <c r="B264" s="1">
        <v>3.1648000000000001</v>
      </c>
      <c r="C264" s="1">
        <f>Tabela13[[#This Row],[Alongamento (mm/mm)]]/$I$2</f>
        <v>6.3296000000000005E-2</v>
      </c>
      <c r="D264" s="1">
        <v>128.25</v>
      </c>
      <c r="E264" s="1">
        <f>Tabela13[[#This Row],[Força (N)]]/$I$5</f>
        <v>2661500.6920939418</v>
      </c>
      <c r="F264" s="1">
        <f>Tabela13[[#This Row],[Tensão (Pa)]]/1000000</f>
        <v>2.6615006920939419</v>
      </c>
    </row>
    <row r="265" spans="1:6" x14ac:dyDescent="0.3">
      <c r="A265" s="1">
        <v>38.116999999999997</v>
      </c>
      <c r="B265" s="1">
        <v>3.1690999999999998</v>
      </c>
      <c r="C265" s="1">
        <f>Tabela13[[#This Row],[Alongamento (mm/mm)]]/$I$2</f>
        <v>6.3381999999999994E-2</v>
      </c>
      <c r="D265" s="1">
        <v>128.93</v>
      </c>
      <c r="E265" s="1">
        <f>Tabela13[[#This Row],[Força (N)]]/$I$5</f>
        <v>2675612.3526836019</v>
      </c>
      <c r="F265" s="1">
        <f>Tabela13[[#This Row],[Tensão (Pa)]]/1000000</f>
        <v>2.675612352683602</v>
      </c>
    </row>
    <row r="266" spans="1:6" x14ac:dyDescent="0.3">
      <c r="A266" s="1">
        <v>38.167000000000002</v>
      </c>
      <c r="B266" s="1">
        <v>3.1732</v>
      </c>
      <c r="C266" s="1">
        <f>Tabela13[[#This Row],[Alongamento (mm/mm)]]/$I$2</f>
        <v>6.3464000000000007E-2</v>
      </c>
      <c r="D266" s="1">
        <v>129.62</v>
      </c>
      <c r="E266" s="1">
        <f>Tabela13[[#This Row],[Força (N)]]/$I$5</f>
        <v>2689931.537693698</v>
      </c>
      <c r="F266" s="1">
        <f>Tabela13[[#This Row],[Tensão (Pa)]]/1000000</f>
        <v>2.6899315376936981</v>
      </c>
    </row>
    <row r="267" spans="1:6" x14ac:dyDescent="0.3">
      <c r="A267" s="1">
        <v>38.232999999999997</v>
      </c>
      <c r="B267" s="1">
        <v>3.1787999999999998</v>
      </c>
      <c r="C267" s="1">
        <f>Tabela13[[#This Row],[Alongamento (mm/mm)]]/$I$2</f>
        <v>6.3575999999999994E-2</v>
      </c>
      <c r="D267" s="1">
        <v>130.47</v>
      </c>
      <c r="E267" s="1">
        <f>Tabela13[[#This Row],[Força (N)]]/$I$5</f>
        <v>2707571.1134307724</v>
      </c>
      <c r="F267" s="1">
        <f>Tabela13[[#This Row],[Tensão (Pa)]]/1000000</f>
        <v>2.7075711134307725</v>
      </c>
    </row>
    <row r="268" spans="1:6" x14ac:dyDescent="0.3">
      <c r="A268" s="1">
        <v>38.283000000000001</v>
      </c>
      <c r="B268" s="1">
        <v>3.1829000000000001</v>
      </c>
      <c r="C268" s="1">
        <f>Tabela13[[#This Row],[Alongamento (mm/mm)]]/$I$2</f>
        <v>6.3658000000000006E-2</v>
      </c>
      <c r="D268" s="1">
        <v>131.15</v>
      </c>
      <c r="E268" s="1">
        <f>Tabela13[[#This Row],[Força (N)]]/$I$5</f>
        <v>2721682.7740204325</v>
      </c>
      <c r="F268" s="1">
        <f>Tabela13[[#This Row],[Tensão (Pa)]]/1000000</f>
        <v>2.7216827740204326</v>
      </c>
    </row>
    <row r="269" spans="1:6" x14ac:dyDescent="0.3">
      <c r="A269" s="1">
        <v>38.366999999999997</v>
      </c>
      <c r="B269" s="1">
        <v>3.1898</v>
      </c>
      <c r="C269" s="1">
        <f>Tabela13[[#This Row],[Alongamento (mm/mm)]]/$I$2</f>
        <v>6.3796000000000005E-2</v>
      </c>
      <c r="D269" s="1">
        <v>132.16999999999999</v>
      </c>
      <c r="E269" s="1">
        <f>Tabela13[[#This Row],[Força (N)]]/$I$5</f>
        <v>2742850.2649049223</v>
      </c>
      <c r="F269" s="1">
        <f>Tabela13[[#This Row],[Tensão (Pa)]]/1000000</f>
        <v>2.7428502649049222</v>
      </c>
    </row>
    <row r="270" spans="1:6" x14ac:dyDescent="0.3">
      <c r="A270" s="1">
        <v>38.450000000000003</v>
      </c>
      <c r="B270" s="1">
        <v>3.1966999999999999</v>
      </c>
      <c r="C270" s="1">
        <f>Tabela13[[#This Row],[Alongamento (mm/mm)]]/$I$2</f>
        <v>6.3933999999999991E-2</v>
      </c>
      <c r="D270" s="1">
        <v>133.19</v>
      </c>
      <c r="E270" s="1">
        <f>Tabela13[[#This Row],[Força (N)]]/$I$5</f>
        <v>2764017.7557894122</v>
      </c>
      <c r="F270" s="1">
        <f>Tabela13[[#This Row],[Tensão (Pa)]]/1000000</f>
        <v>2.7640177557894123</v>
      </c>
    </row>
    <row r="271" spans="1:6" x14ac:dyDescent="0.3">
      <c r="A271" s="1">
        <v>38.517000000000003</v>
      </c>
      <c r="B271" s="1">
        <v>3.2023000000000001</v>
      </c>
      <c r="C271" s="1">
        <f>Tabela13[[#This Row],[Alongamento (mm/mm)]]/$I$2</f>
        <v>6.4046000000000006E-2</v>
      </c>
      <c r="D271" s="1">
        <v>134.21</v>
      </c>
      <c r="E271" s="1">
        <f>Tabela13[[#This Row],[Força (N)]]/$I$5</f>
        <v>2785185.246673902</v>
      </c>
      <c r="F271" s="1">
        <f>Tabela13[[#This Row],[Tensão (Pa)]]/1000000</f>
        <v>2.785185246673902</v>
      </c>
    </row>
    <row r="272" spans="1:6" x14ac:dyDescent="0.3">
      <c r="A272" s="1">
        <v>38.6</v>
      </c>
      <c r="B272" s="1">
        <v>3.2092999999999998</v>
      </c>
      <c r="C272" s="1">
        <f>Tabela13[[#This Row],[Alongamento (mm/mm)]]/$I$2</f>
        <v>6.4185999999999993E-2</v>
      </c>
      <c r="D272" s="1">
        <v>135.22999999999999</v>
      </c>
      <c r="E272" s="1">
        <f>Tabela13[[#This Row],[Força (N)]]/$I$5</f>
        <v>2806352.7375583919</v>
      </c>
      <c r="F272" s="1">
        <f>Tabela13[[#This Row],[Tensão (Pa)]]/1000000</f>
        <v>2.8063527375583921</v>
      </c>
    </row>
    <row r="273" spans="1:6" x14ac:dyDescent="0.3">
      <c r="A273" s="1">
        <v>38.683</v>
      </c>
      <c r="B273" s="1">
        <v>3.2162999999999999</v>
      </c>
      <c r="C273" s="1">
        <f>Tabela13[[#This Row],[Alongamento (mm/mm)]]/$I$2</f>
        <v>6.4325999999999994E-2</v>
      </c>
      <c r="D273" s="1">
        <v>136.41999999999999</v>
      </c>
      <c r="E273" s="1">
        <f>Tabela13[[#This Row],[Força (N)]]/$I$5</f>
        <v>2831048.1435902966</v>
      </c>
      <c r="F273" s="1">
        <f>Tabela13[[#This Row],[Tensão (Pa)]]/1000000</f>
        <v>2.8310481435902966</v>
      </c>
    </row>
    <row r="274" spans="1:6" x14ac:dyDescent="0.3">
      <c r="A274" s="1">
        <v>38.767000000000003</v>
      </c>
      <c r="B274" s="1">
        <v>3.2231999999999998</v>
      </c>
      <c r="C274" s="1">
        <f>Tabela13[[#This Row],[Alongamento (mm/mm)]]/$I$2</f>
        <v>6.4463999999999994E-2</v>
      </c>
      <c r="D274" s="1">
        <v>137.44</v>
      </c>
      <c r="E274" s="1">
        <f>Tabela13[[#This Row],[Força (N)]]/$I$5</f>
        <v>2852215.6344747865</v>
      </c>
      <c r="F274" s="1">
        <f>Tabela13[[#This Row],[Tensão (Pa)]]/1000000</f>
        <v>2.8522156344747867</v>
      </c>
    </row>
    <row r="275" spans="1:6" x14ac:dyDescent="0.3">
      <c r="A275" s="1">
        <v>38.832999999999998</v>
      </c>
      <c r="B275" s="1">
        <v>3.2286999999999999</v>
      </c>
      <c r="C275" s="1">
        <f>Tabela13[[#This Row],[Alongamento (mm/mm)]]/$I$2</f>
        <v>6.4573999999999993E-2</v>
      </c>
      <c r="D275" s="1">
        <v>138.46</v>
      </c>
      <c r="E275" s="1">
        <f>Tabela13[[#This Row],[Força (N)]]/$I$5</f>
        <v>2873383.1253592763</v>
      </c>
      <c r="F275" s="1">
        <f>Tabela13[[#This Row],[Tensão (Pa)]]/1000000</f>
        <v>2.8733831253592763</v>
      </c>
    </row>
    <row r="276" spans="1:6" x14ac:dyDescent="0.3">
      <c r="A276" s="1">
        <v>38.917000000000002</v>
      </c>
      <c r="B276" s="1">
        <v>3.2357</v>
      </c>
      <c r="C276" s="1">
        <f>Tabela13[[#This Row],[Alongamento (mm/mm)]]/$I$2</f>
        <v>6.4713999999999994E-2</v>
      </c>
      <c r="D276" s="1">
        <v>139.47999999999999</v>
      </c>
      <c r="E276" s="1">
        <f>Tabela13[[#This Row],[Força (N)]]/$I$5</f>
        <v>2894550.6162437662</v>
      </c>
      <c r="F276" s="1">
        <f>Tabela13[[#This Row],[Tensão (Pa)]]/1000000</f>
        <v>2.894550616243766</v>
      </c>
    </row>
    <row r="277" spans="1:6" x14ac:dyDescent="0.3">
      <c r="A277" s="1">
        <v>38.982999999999997</v>
      </c>
      <c r="B277" s="1">
        <v>3.2412000000000001</v>
      </c>
      <c r="C277" s="1">
        <f>Tabela13[[#This Row],[Alongamento (mm/mm)]]/$I$2</f>
        <v>6.4824000000000007E-2</v>
      </c>
      <c r="D277" s="1">
        <v>140.5</v>
      </c>
      <c r="E277" s="1">
        <f>Tabela13[[#This Row],[Força (N)]]/$I$5</f>
        <v>2915718.107128256</v>
      </c>
      <c r="F277" s="1">
        <f>Tabela13[[#This Row],[Tensão (Pa)]]/1000000</f>
        <v>2.9157181071282561</v>
      </c>
    </row>
    <row r="278" spans="1:6" x14ac:dyDescent="0.3">
      <c r="A278" s="1">
        <v>39.067</v>
      </c>
      <c r="B278" s="1">
        <v>3.2481</v>
      </c>
      <c r="C278" s="1">
        <f>Tabela13[[#This Row],[Alongamento (mm/mm)]]/$I$2</f>
        <v>6.4962000000000006E-2</v>
      </c>
      <c r="D278" s="1">
        <v>141.52000000000001</v>
      </c>
      <c r="E278" s="1">
        <f>Tabela13[[#This Row],[Força (N)]]/$I$5</f>
        <v>2936885.5980127458</v>
      </c>
      <c r="F278" s="1">
        <f>Tabela13[[#This Row],[Tensão (Pa)]]/1000000</f>
        <v>2.9368855980127457</v>
      </c>
    </row>
    <row r="279" spans="1:6" x14ac:dyDescent="0.3">
      <c r="A279" s="1">
        <v>39.133000000000003</v>
      </c>
      <c r="B279" s="1">
        <v>3.2538</v>
      </c>
      <c r="C279" s="1">
        <f>Tabela13[[#This Row],[Alongamento (mm/mm)]]/$I$2</f>
        <v>6.5075999999999995E-2</v>
      </c>
      <c r="D279" s="1">
        <v>142.54</v>
      </c>
      <c r="E279" s="1">
        <f>Tabela13[[#This Row],[Força (N)]]/$I$5</f>
        <v>2958053.0888972357</v>
      </c>
      <c r="F279" s="1">
        <f>Tabela13[[#This Row],[Tensão (Pa)]]/1000000</f>
        <v>2.9580530888972358</v>
      </c>
    </row>
    <row r="280" spans="1:6" x14ac:dyDescent="0.3">
      <c r="A280" s="1">
        <v>39.216999999999999</v>
      </c>
      <c r="B280" s="1">
        <v>3.2608000000000001</v>
      </c>
      <c r="C280" s="1">
        <f>Tabela13[[#This Row],[Alongamento (mm/mm)]]/$I$2</f>
        <v>6.5215999999999996E-2</v>
      </c>
      <c r="D280" s="1">
        <v>143.56</v>
      </c>
      <c r="E280" s="1">
        <f>Tabela13[[#This Row],[Força (N)]]/$I$5</f>
        <v>2979220.5797817255</v>
      </c>
      <c r="F280" s="1">
        <f>Tabela13[[#This Row],[Tensão (Pa)]]/1000000</f>
        <v>2.9792205797817255</v>
      </c>
    </row>
    <row r="281" spans="1:6" x14ac:dyDescent="0.3">
      <c r="A281" s="1">
        <v>39.283000000000001</v>
      </c>
      <c r="B281" s="1">
        <v>3.2662</v>
      </c>
      <c r="C281" s="1">
        <f>Tabela13[[#This Row],[Alongamento (mm/mm)]]/$I$2</f>
        <v>6.5323999999999993E-2</v>
      </c>
      <c r="D281" s="1">
        <v>144.58000000000001</v>
      </c>
      <c r="E281" s="1">
        <f>Tabela13[[#This Row],[Força (N)]]/$I$5</f>
        <v>3000388.0706662154</v>
      </c>
      <c r="F281" s="1">
        <f>Tabela13[[#This Row],[Tensão (Pa)]]/1000000</f>
        <v>3.0003880706662156</v>
      </c>
    </row>
    <row r="282" spans="1:6" x14ac:dyDescent="0.3">
      <c r="A282" s="1">
        <v>39.35</v>
      </c>
      <c r="B282" s="1">
        <v>3.2717999999999998</v>
      </c>
      <c r="C282" s="1">
        <f>Tabela13[[#This Row],[Alongamento (mm/mm)]]/$I$2</f>
        <v>6.5435999999999994E-2</v>
      </c>
      <c r="D282" s="1">
        <v>145.6</v>
      </c>
      <c r="E282" s="1">
        <f>Tabela13[[#This Row],[Força (N)]]/$I$5</f>
        <v>3021555.5615507052</v>
      </c>
      <c r="F282" s="1">
        <f>Tabela13[[#This Row],[Tensão (Pa)]]/1000000</f>
        <v>3.0215555615507053</v>
      </c>
    </row>
    <row r="283" spans="1:6" x14ac:dyDescent="0.3">
      <c r="A283" s="1">
        <v>39.433</v>
      </c>
      <c r="B283" s="1">
        <v>3.2787000000000002</v>
      </c>
      <c r="C283" s="1">
        <f>Tabela13[[#This Row],[Alongamento (mm/mm)]]/$I$2</f>
        <v>6.5574000000000007E-2</v>
      </c>
      <c r="D283" s="1">
        <v>146.63</v>
      </c>
      <c r="E283" s="1">
        <f>Tabela13[[#This Row],[Força (N)]]/$I$5</f>
        <v>3042930.5768556311</v>
      </c>
      <c r="F283" s="1">
        <f>Tabela13[[#This Row],[Tensão (Pa)]]/1000000</f>
        <v>3.042930576855631</v>
      </c>
    </row>
    <row r="284" spans="1:6" x14ac:dyDescent="0.3">
      <c r="A284" s="1">
        <v>39.5</v>
      </c>
      <c r="B284" s="1">
        <v>3.2841999999999998</v>
      </c>
      <c r="C284" s="1">
        <f>Tabela13[[#This Row],[Alongamento (mm/mm)]]/$I$2</f>
        <v>6.5683999999999992E-2</v>
      </c>
      <c r="D284" s="1">
        <v>147.65</v>
      </c>
      <c r="E284" s="1">
        <f>Tabela13[[#This Row],[Força (N)]]/$I$5</f>
        <v>3064098.0677401209</v>
      </c>
      <c r="F284" s="1">
        <f>Tabela13[[#This Row],[Tensão (Pa)]]/1000000</f>
        <v>3.0640980677401211</v>
      </c>
    </row>
    <row r="285" spans="1:6" x14ac:dyDescent="0.3">
      <c r="A285" s="1">
        <v>39.567</v>
      </c>
      <c r="B285" s="1">
        <v>3.2898000000000001</v>
      </c>
      <c r="C285" s="1">
        <f>Tabela13[[#This Row],[Alongamento (mm/mm)]]/$I$2</f>
        <v>6.5796000000000007E-2</v>
      </c>
      <c r="D285" s="1">
        <v>148.66999999999999</v>
      </c>
      <c r="E285" s="1">
        <f>Tabela13[[#This Row],[Força (N)]]/$I$5</f>
        <v>3085265.5586246108</v>
      </c>
      <c r="F285" s="1">
        <f>Tabela13[[#This Row],[Tensão (Pa)]]/1000000</f>
        <v>3.0852655586246107</v>
      </c>
    </row>
    <row r="286" spans="1:6" x14ac:dyDescent="0.3">
      <c r="A286" s="1">
        <v>39.65</v>
      </c>
      <c r="B286" s="1">
        <v>3.2968000000000002</v>
      </c>
      <c r="C286" s="1">
        <f>Tabela13[[#This Row],[Alongamento (mm/mm)]]/$I$2</f>
        <v>6.5936000000000008E-2</v>
      </c>
      <c r="D286" s="1">
        <v>149.86000000000001</v>
      </c>
      <c r="E286" s="1">
        <f>Tabela13[[#This Row],[Força (N)]]/$I$5</f>
        <v>3109960.964656516</v>
      </c>
      <c r="F286" s="1">
        <f>Tabela13[[#This Row],[Tensão (Pa)]]/1000000</f>
        <v>3.1099609646565161</v>
      </c>
    </row>
    <row r="287" spans="1:6" x14ac:dyDescent="0.3">
      <c r="A287" s="1">
        <v>39.732999999999997</v>
      </c>
      <c r="B287" s="1">
        <v>3.3037000000000001</v>
      </c>
      <c r="C287" s="1">
        <f>Tabela13[[#This Row],[Alongamento (mm/mm)]]/$I$2</f>
        <v>6.6074000000000008E-2</v>
      </c>
      <c r="D287" s="1">
        <v>151.05000000000001</v>
      </c>
      <c r="E287" s="1">
        <f>Tabela13[[#This Row],[Força (N)]]/$I$5</f>
        <v>3134656.3706884207</v>
      </c>
      <c r="F287" s="1">
        <f>Tabela13[[#This Row],[Tensão (Pa)]]/1000000</f>
        <v>3.1346563706884205</v>
      </c>
    </row>
    <row r="288" spans="1:6" x14ac:dyDescent="0.3">
      <c r="A288" s="1">
        <v>39.817</v>
      </c>
      <c r="B288" s="1">
        <v>3.3106</v>
      </c>
      <c r="C288" s="1">
        <f>Tabela13[[#This Row],[Alongamento (mm/mm)]]/$I$2</f>
        <v>6.6211999999999993E-2</v>
      </c>
      <c r="D288" s="1">
        <v>152.24</v>
      </c>
      <c r="E288" s="1">
        <f>Tabela13[[#This Row],[Força (N)]]/$I$5</f>
        <v>3159351.7767203255</v>
      </c>
      <c r="F288" s="1">
        <f>Tabela13[[#This Row],[Tensão (Pa)]]/1000000</f>
        <v>3.1593517767203254</v>
      </c>
    </row>
    <row r="289" spans="1:6" x14ac:dyDescent="0.3">
      <c r="A289" s="1">
        <v>39.9</v>
      </c>
      <c r="B289" s="1">
        <v>3.3176999999999999</v>
      </c>
      <c r="C289" s="1">
        <f>Tabela13[[#This Row],[Alongamento (mm/mm)]]/$I$2</f>
        <v>6.6353999999999996E-2</v>
      </c>
      <c r="D289" s="1">
        <v>153.43</v>
      </c>
      <c r="E289" s="1">
        <f>Tabela13[[#This Row],[Força (N)]]/$I$5</f>
        <v>3184047.1827522302</v>
      </c>
      <c r="F289" s="1">
        <f>Tabela13[[#This Row],[Tensão (Pa)]]/1000000</f>
        <v>3.1840471827522303</v>
      </c>
    </row>
    <row r="290" spans="1:6" x14ac:dyDescent="0.3">
      <c r="A290" s="1">
        <v>39.982999999999997</v>
      </c>
      <c r="B290" s="1">
        <v>3.3246000000000002</v>
      </c>
      <c r="C290" s="1">
        <f>Tabela13[[#This Row],[Alongamento (mm/mm)]]/$I$2</f>
        <v>6.6492000000000009E-2</v>
      </c>
      <c r="D290" s="1">
        <v>154.62</v>
      </c>
      <c r="E290" s="1">
        <f>Tabela13[[#This Row],[Força (N)]]/$I$5</f>
        <v>3208742.5887841349</v>
      </c>
      <c r="F290" s="1">
        <f>Tabela13[[#This Row],[Tensão (Pa)]]/1000000</f>
        <v>3.2087425887841348</v>
      </c>
    </row>
    <row r="291" spans="1:6" x14ac:dyDescent="0.3">
      <c r="A291" s="1">
        <v>40.049999999999997</v>
      </c>
      <c r="B291" s="1">
        <v>3.3300999999999998</v>
      </c>
      <c r="C291" s="1">
        <f>Tabela13[[#This Row],[Alongamento (mm/mm)]]/$I$2</f>
        <v>6.6601999999999995E-2</v>
      </c>
      <c r="D291" s="1">
        <v>155.63999999999999</v>
      </c>
      <c r="E291" s="1">
        <f>Tabela13[[#This Row],[Força (N)]]/$I$5</f>
        <v>3229910.0796686243</v>
      </c>
      <c r="F291" s="1">
        <f>Tabela13[[#This Row],[Tensão (Pa)]]/1000000</f>
        <v>3.2299100796686244</v>
      </c>
    </row>
    <row r="292" spans="1:6" x14ac:dyDescent="0.3">
      <c r="A292" s="1">
        <v>40.133000000000003</v>
      </c>
      <c r="B292" s="1">
        <v>3.3371</v>
      </c>
      <c r="C292" s="1">
        <f>Tabela13[[#This Row],[Alongamento (mm/mm)]]/$I$2</f>
        <v>6.6741999999999996E-2</v>
      </c>
      <c r="D292" s="1">
        <v>156.83000000000001</v>
      </c>
      <c r="E292" s="1">
        <f>Tabela13[[#This Row],[Força (N)]]/$I$5</f>
        <v>3254605.4857005295</v>
      </c>
      <c r="F292" s="1">
        <f>Tabela13[[#This Row],[Tensão (Pa)]]/1000000</f>
        <v>3.2546054857005293</v>
      </c>
    </row>
    <row r="293" spans="1:6" x14ac:dyDescent="0.3">
      <c r="A293" s="1">
        <v>40.200000000000003</v>
      </c>
      <c r="B293" s="1">
        <v>3.3426</v>
      </c>
      <c r="C293" s="1">
        <f>Tabela13[[#This Row],[Alongamento (mm/mm)]]/$I$2</f>
        <v>6.6851999999999995E-2</v>
      </c>
      <c r="D293" s="1">
        <v>157.85</v>
      </c>
      <c r="E293" s="1">
        <f>Tabela13[[#This Row],[Força (N)]]/$I$5</f>
        <v>3275772.9765850194</v>
      </c>
      <c r="F293" s="1">
        <f>Tabela13[[#This Row],[Tensão (Pa)]]/1000000</f>
        <v>3.2757729765850194</v>
      </c>
    </row>
    <row r="294" spans="1:6" x14ac:dyDescent="0.3">
      <c r="A294" s="1">
        <v>40.267000000000003</v>
      </c>
      <c r="B294" s="1">
        <v>3.3481999999999998</v>
      </c>
      <c r="C294" s="1">
        <f>Tabela13[[#This Row],[Alongamento (mm/mm)]]/$I$2</f>
        <v>6.6963999999999996E-2</v>
      </c>
      <c r="D294" s="1">
        <v>158.87</v>
      </c>
      <c r="E294" s="1">
        <f>Tabela13[[#This Row],[Força (N)]]/$I$5</f>
        <v>3296940.4674695092</v>
      </c>
      <c r="F294" s="1">
        <f>Tabela13[[#This Row],[Tensão (Pa)]]/1000000</f>
        <v>3.2969404674695091</v>
      </c>
    </row>
    <row r="295" spans="1:6" x14ac:dyDescent="0.3">
      <c r="A295" s="1">
        <v>40.332999999999998</v>
      </c>
      <c r="B295" s="1">
        <v>3.3538000000000001</v>
      </c>
      <c r="C295" s="1">
        <f>Tabela13[[#This Row],[Alongamento (mm/mm)]]/$I$2</f>
        <v>6.7075999999999997E-2</v>
      </c>
      <c r="D295" s="1">
        <v>159.88999999999999</v>
      </c>
      <c r="E295" s="1">
        <f>Tabela13[[#This Row],[Força (N)]]/$I$5</f>
        <v>3318107.9583539986</v>
      </c>
      <c r="F295" s="1">
        <f>Tabela13[[#This Row],[Tensão (Pa)]]/1000000</f>
        <v>3.3181079583539987</v>
      </c>
    </row>
    <row r="296" spans="1:6" x14ac:dyDescent="0.3">
      <c r="A296" s="1">
        <v>40.4</v>
      </c>
      <c r="B296" s="1">
        <v>3.3593000000000002</v>
      </c>
      <c r="C296" s="1">
        <f>Tabela13[[#This Row],[Alongamento (mm/mm)]]/$I$2</f>
        <v>6.718600000000001E-2</v>
      </c>
      <c r="D296" s="1">
        <v>160.91</v>
      </c>
      <c r="E296" s="1">
        <f>Tabela13[[#This Row],[Força (N)]]/$I$5</f>
        <v>3339275.4492384889</v>
      </c>
      <c r="F296" s="1">
        <f>Tabela13[[#This Row],[Tensão (Pa)]]/1000000</f>
        <v>3.3392754492384888</v>
      </c>
    </row>
    <row r="297" spans="1:6" x14ac:dyDescent="0.3">
      <c r="A297" s="1">
        <v>40.466999999999999</v>
      </c>
      <c r="B297" s="1">
        <v>3.3649</v>
      </c>
      <c r="C297" s="1">
        <f>Tabela13[[#This Row],[Alongamento (mm/mm)]]/$I$2</f>
        <v>6.7297999999999997E-2</v>
      </c>
      <c r="D297" s="1">
        <v>161.93</v>
      </c>
      <c r="E297" s="1">
        <f>Tabela13[[#This Row],[Força (N)]]/$I$5</f>
        <v>3360442.9401229788</v>
      </c>
      <c r="F297" s="1">
        <f>Tabela13[[#This Row],[Tensão (Pa)]]/1000000</f>
        <v>3.3604429401229789</v>
      </c>
    </row>
    <row r="298" spans="1:6" x14ac:dyDescent="0.3">
      <c r="A298" s="1">
        <v>40.533000000000001</v>
      </c>
      <c r="B298" s="1">
        <v>3.3704000000000001</v>
      </c>
      <c r="C298" s="1">
        <f>Tabela13[[#This Row],[Alongamento (mm/mm)]]/$I$2</f>
        <v>6.7407999999999996E-2</v>
      </c>
      <c r="D298" s="1">
        <v>163.12</v>
      </c>
      <c r="E298" s="1">
        <f>Tabela13[[#This Row],[Força (N)]]/$I$5</f>
        <v>3385138.3461548835</v>
      </c>
      <c r="F298" s="1">
        <f>Tabela13[[#This Row],[Tensão (Pa)]]/1000000</f>
        <v>3.3851383461548834</v>
      </c>
    </row>
    <row r="299" spans="1:6" x14ac:dyDescent="0.3">
      <c r="A299" s="1">
        <v>40.6</v>
      </c>
      <c r="B299" s="1">
        <v>3.3759999999999999</v>
      </c>
      <c r="C299" s="1">
        <f>Tabela13[[#This Row],[Alongamento (mm/mm)]]/$I$2</f>
        <v>6.7519999999999997E-2</v>
      </c>
      <c r="D299" s="1">
        <v>164.15</v>
      </c>
      <c r="E299" s="1">
        <f>Tabela13[[#This Row],[Força (N)]]/$I$5</f>
        <v>3406513.3614598094</v>
      </c>
      <c r="F299" s="1">
        <f>Tabela13[[#This Row],[Tensão (Pa)]]/1000000</f>
        <v>3.4065133614598095</v>
      </c>
    </row>
    <row r="300" spans="1:6" x14ac:dyDescent="0.3">
      <c r="A300" s="1">
        <v>40.667000000000002</v>
      </c>
      <c r="B300" s="1">
        <v>3.3814000000000002</v>
      </c>
      <c r="C300" s="1">
        <f>Tabela13[[#This Row],[Alongamento (mm/mm)]]/$I$2</f>
        <v>6.7628000000000008E-2</v>
      </c>
      <c r="D300" s="1">
        <v>165.17</v>
      </c>
      <c r="E300" s="1">
        <f>Tabela13[[#This Row],[Força (N)]]/$I$5</f>
        <v>3427680.8523442992</v>
      </c>
      <c r="F300" s="1">
        <f>Tabela13[[#This Row],[Tensão (Pa)]]/1000000</f>
        <v>3.4276808523442992</v>
      </c>
    </row>
    <row r="301" spans="1:6" x14ac:dyDescent="0.3">
      <c r="A301" s="1">
        <v>40.732999999999997</v>
      </c>
      <c r="B301" s="1">
        <v>3.387</v>
      </c>
      <c r="C301" s="1">
        <f>Tabela13[[#This Row],[Alongamento (mm/mm)]]/$I$2</f>
        <v>6.7739999999999995E-2</v>
      </c>
      <c r="D301" s="1">
        <v>166.19</v>
      </c>
      <c r="E301" s="1">
        <f>Tabela13[[#This Row],[Força (N)]]/$I$5</f>
        <v>3448848.343228789</v>
      </c>
      <c r="F301" s="1">
        <f>Tabela13[[#This Row],[Tensão (Pa)]]/1000000</f>
        <v>3.4488483432287889</v>
      </c>
    </row>
    <row r="302" spans="1:6" x14ac:dyDescent="0.3">
      <c r="A302" s="1">
        <v>40.799999999999997</v>
      </c>
      <c r="B302" s="1">
        <v>3.3925999999999998</v>
      </c>
      <c r="C302" s="1">
        <f>Tabela13[[#This Row],[Alongamento (mm/mm)]]/$I$2</f>
        <v>6.7851999999999996E-2</v>
      </c>
      <c r="D302" s="1">
        <v>167.38</v>
      </c>
      <c r="E302" s="1">
        <f>Tabela13[[#This Row],[Força (N)]]/$I$5</f>
        <v>3473543.7492606938</v>
      </c>
      <c r="F302" s="1">
        <f>Tabela13[[#This Row],[Tensão (Pa)]]/1000000</f>
        <v>3.4735437492606938</v>
      </c>
    </row>
    <row r="303" spans="1:6" x14ac:dyDescent="0.3">
      <c r="A303" s="1">
        <v>40.866999999999997</v>
      </c>
      <c r="B303" s="1">
        <v>3.3980999999999999</v>
      </c>
      <c r="C303" s="1">
        <f>Tabela13[[#This Row],[Alongamento (mm/mm)]]/$I$2</f>
        <v>6.7961999999999995E-2</v>
      </c>
      <c r="D303" s="1">
        <v>168.4</v>
      </c>
      <c r="E303" s="1">
        <f>Tabela13[[#This Row],[Força (N)]]/$I$5</f>
        <v>3494711.2401451836</v>
      </c>
      <c r="F303" s="1">
        <f>Tabela13[[#This Row],[Tensão (Pa)]]/1000000</f>
        <v>3.4947112401451834</v>
      </c>
    </row>
    <row r="304" spans="1:6" x14ac:dyDescent="0.3">
      <c r="A304" s="1">
        <v>40.933</v>
      </c>
      <c r="B304" s="1">
        <v>3.4037000000000002</v>
      </c>
      <c r="C304" s="1">
        <f>Tabela13[[#This Row],[Alongamento (mm/mm)]]/$I$2</f>
        <v>6.807400000000001E-2</v>
      </c>
      <c r="D304" s="1">
        <v>169.42</v>
      </c>
      <c r="E304" s="1">
        <f>Tabela13[[#This Row],[Força (N)]]/$I$5</f>
        <v>3515878.7310296735</v>
      </c>
      <c r="F304" s="1">
        <f>Tabela13[[#This Row],[Tensão (Pa)]]/1000000</f>
        <v>3.5158787310296735</v>
      </c>
    </row>
    <row r="305" spans="1:6" x14ac:dyDescent="0.3">
      <c r="A305" s="1">
        <v>41</v>
      </c>
      <c r="B305" s="1">
        <v>3.4093</v>
      </c>
      <c r="C305" s="1">
        <f>Tabela13[[#This Row],[Alongamento (mm/mm)]]/$I$2</f>
        <v>6.8185999999999997E-2</v>
      </c>
      <c r="D305" s="1">
        <v>170.61</v>
      </c>
      <c r="E305" s="1">
        <f>Tabela13[[#This Row],[Força (N)]]/$I$5</f>
        <v>3540574.1370615787</v>
      </c>
      <c r="F305" s="1">
        <f>Tabela13[[#This Row],[Tensão (Pa)]]/1000000</f>
        <v>3.5405741370615789</v>
      </c>
    </row>
    <row r="306" spans="1:6" x14ac:dyDescent="0.3">
      <c r="A306" s="1">
        <v>41.067</v>
      </c>
      <c r="B306" s="1">
        <v>3.4148999999999998</v>
      </c>
      <c r="C306" s="1">
        <f>Tabela13[[#This Row],[Alongamento (mm/mm)]]/$I$2</f>
        <v>6.8297999999999998E-2</v>
      </c>
      <c r="D306" s="1">
        <v>171.63</v>
      </c>
      <c r="E306" s="1">
        <f>Tabela13[[#This Row],[Força (N)]]/$I$5</f>
        <v>3561741.6279460681</v>
      </c>
      <c r="F306" s="1">
        <f>Tabela13[[#This Row],[Tensão (Pa)]]/1000000</f>
        <v>3.5617416279460681</v>
      </c>
    </row>
    <row r="307" spans="1:6" x14ac:dyDescent="0.3">
      <c r="A307" s="1">
        <v>41.133000000000003</v>
      </c>
      <c r="B307" s="1">
        <v>3.4203999999999999</v>
      </c>
      <c r="C307" s="1">
        <f>Tabela13[[#This Row],[Alongamento (mm/mm)]]/$I$2</f>
        <v>6.8407999999999997E-2</v>
      </c>
      <c r="D307" s="1">
        <v>172.82</v>
      </c>
      <c r="E307" s="1">
        <f>Tabela13[[#This Row],[Força (N)]]/$I$5</f>
        <v>3586437.0339779728</v>
      </c>
      <c r="F307" s="1">
        <f>Tabela13[[#This Row],[Tensão (Pa)]]/1000000</f>
        <v>3.586437033977973</v>
      </c>
    </row>
    <row r="308" spans="1:6" x14ac:dyDescent="0.3">
      <c r="A308" s="1">
        <v>41.2</v>
      </c>
      <c r="B308" s="1">
        <v>3.4260000000000002</v>
      </c>
      <c r="C308" s="1">
        <f>Tabela13[[#This Row],[Alongamento (mm/mm)]]/$I$2</f>
        <v>6.8519999999999998E-2</v>
      </c>
      <c r="D308" s="1">
        <v>173.84</v>
      </c>
      <c r="E308" s="1">
        <f>Tabela13[[#This Row],[Força (N)]]/$I$5</f>
        <v>3607604.5248624631</v>
      </c>
      <c r="F308" s="1">
        <f>Tabela13[[#This Row],[Tensão (Pa)]]/1000000</f>
        <v>3.6076045248624631</v>
      </c>
    </row>
    <row r="309" spans="1:6" x14ac:dyDescent="0.3">
      <c r="A309" s="1">
        <v>41.267000000000003</v>
      </c>
      <c r="B309" s="1">
        <v>3.4315000000000002</v>
      </c>
      <c r="C309" s="1">
        <f>Tabela13[[#This Row],[Alongamento (mm/mm)]]/$I$2</f>
        <v>6.863000000000001E-2</v>
      </c>
      <c r="D309" s="1">
        <v>174.86</v>
      </c>
      <c r="E309" s="1">
        <f>Tabela13[[#This Row],[Força (N)]]/$I$5</f>
        <v>3628772.015746953</v>
      </c>
      <c r="F309" s="1">
        <f>Tabela13[[#This Row],[Tensão (Pa)]]/1000000</f>
        <v>3.6287720157469532</v>
      </c>
    </row>
    <row r="310" spans="1:6" x14ac:dyDescent="0.3">
      <c r="A310" s="1">
        <v>41.35</v>
      </c>
      <c r="B310" s="1">
        <v>3.4384000000000001</v>
      </c>
      <c r="C310" s="1">
        <f>Tabela13[[#This Row],[Alongamento (mm/mm)]]/$I$2</f>
        <v>6.8767999999999996E-2</v>
      </c>
      <c r="D310" s="1">
        <v>176.39</v>
      </c>
      <c r="E310" s="1">
        <f>Tabela13[[#This Row],[Força (N)]]/$I$5</f>
        <v>3660523.252073687</v>
      </c>
      <c r="F310" s="1">
        <f>Tabela13[[#This Row],[Tensão (Pa)]]/1000000</f>
        <v>3.6605232520736872</v>
      </c>
    </row>
    <row r="311" spans="1:6" x14ac:dyDescent="0.3">
      <c r="A311" s="1">
        <v>41.433</v>
      </c>
      <c r="B311" s="1">
        <v>3.4453999999999998</v>
      </c>
      <c r="C311" s="1">
        <f>Tabela13[[#This Row],[Alongamento (mm/mm)]]/$I$2</f>
        <v>6.8907999999999997E-2</v>
      </c>
      <c r="D311" s="1">
        <v>177.75</v>
      </c>
      <c r="E311" s="1">
        <f>Tabela13[[#This Row],[Força (N)]]/$I$5</f>
        <v>3688746.5732530071</v>
      </c>
      <c r="F311" s="1">
        <f>Tabela13[[#This Row],[Tensão (Pa)]]/1000000</f>
        <v>3.6887465732530069</v>
      </c>
    </row>
    <row r="312" spans="1:6" x14ac:dyDescent="0.3">
      <c r="A312" s="1">
        <v>41.517000000000003</v>
      </c>
      <c r="B312" s="1">
        <v>3.4523999999999999</v>
      </c>
      <c r="C312" s="1">
        <f>Tabela13[[#This Row],[Alongamento (mm/mm)]]/$I$2</f>
        <v>6.9047999999999998E-2</v>
      </c>
      <c r="D312" s="1">
        <v>179.11</v>
      </c>
      <c r="E312" s="1">
        <f>Tabela13[[#This Row],[Força (N)]]/$I$5</f>
        <v>3716969.8944323272</v>
      </c>
      <c r="F312" s="1">
        <f>Tabela13[[#This Row],[Tensão (Pa)]]/1000000</f>
        <v>3.7169698944323271</v>
      </c>
    </row>
    <row r="313" spans="1:6" x14ac:dyDescent="0.3">
      <c r="A313" s="1">
        <v>41.6</v>
      </c>
      <c r="B313" s="1">
        <v>3.4592000000000001</v>
      </c>
      <c r="C313" s="1">
        <f>Tabela13[[#This Row],[Alongamento (mm/mm)]]/$I$2</f>
        <v>6.9183999999999996E-2</v>
      </c>
      <c r="D313" s="1">
        <v>180.64</v>
      </c>
      <c r="E313" s="1">
        <f>Tabela13[[#This Row],[Força (N)]]/$I$5</f>
        <v>3748721.1307590613</v>
      </c>
      <c r="F313" s="1">
        <f>Tabela13[[#This Row],[Tensão (Pa)]]/1000000</f>
        <v>3.7487211307590611</v>
      </c>
    </row>
    <row r="314" spans="1:6" x14ac:dyDescent="0.3">
      <c r="A314" s="1">
        <v>41.683</v>
      </c>
      <c r="B314" s="1">
        <v>3.4662000000000002</v>
      </c>
      <c r="C314" s="1">
        <f>Tabela13[[#This Row],[Alongamento (mm/mm)]]/$I$2</f>
        <v>6.9323999999999997E-2</v>
      </c>
      <c r="D314" s="1">
        <v>182.01</v>
      </c>
      <c r="E314" s="1">
        <f>Tabela13[[#This Row],[Força (N)]]/$I$5</f>
        <v>3777151.9763588174</v>
      </c>
      <c r="F314" s="1">
        <f>Tabela13[[#This Row],[Tensão (Pa)]]/1000000</f>
        <v>3.7771519763588173</v>
      </c>
    </row>
    <row r="315" spans="1:6" x14ac:dyDescent="0.3">
      <c r="A315" s="1">
        <v>41.767000000000003</v>
      </c>
      <c r="B315" s="1">
        <v>3.4731999999999998</v>
      </c>
      <c r="C315" s="1">
        <f>Tabela13[[#This Row],[Alongamento (mm/mm)]]/$I$2</f>
        <v>6.9463999999999998E-2</v>
      </c>
      <c r="D315" s="1">
        <v>183.54</v>
      </c>
      <c r="E315" s="1">
        <f>Tabela13[[#This Row],[Força (N)]]/$I$5</f>
        <v>3808903.2126855524</v>
      </c>
      <c r="F315" s="1">
        <f>Tabela13[[#This Row],[Tensão (Pa)]]/1000000</f>
        <v>3.8089032126855522</v>
      </c>
    </row>
    <row r="316" spans="1:6" x14ac:dyDescent="0.3">
      <c r="A316" s="1">
        <v>41.85</v>
      </c>
      <c r="B316" s="1">
        <v>3.4801000000000002</v>
      </c>
      <c r="C316" s="1">
        <f>Tabela13[[#This Row],[Alongamento (mm/mm)]]/$I$2</f>
        <v>6.9601999999999997E-2</v>
      </c>
      <c r="D316" s="1">
        <v>185.07</v>
      </c>
      <c r="E316" s="1">
        <f>Tabela13[[#This Row],[Força (N)]]/$I$5</f>
        <v>3840654.449012287</v>
      </c>
      <c r="F316" s="1">
        <f>Tabela13[[#This Row],[Tensão (Pa)]]/1000000</f>
        <v>3.8406544490122871</v>
      </c>
    </row>
    <row r="317" spans="1:6" x14ac:dyDescent="0.3">
      <c r="A317" s="1">
        <v>41.933</v>
      </c>
      <c r="B317" s="1">
        <v>3.4870999999999999</v>
      </c>
      <c r="C317" s="1">
        <f>Tabela13[[#This Row],[Alongamento (mm/mm)]]/$I$2</f>
        <v>6.9741999999999998E-2</v>
      </c>
      <c r="D317" s="1">
        <v>186.43</v>
      </c>
      <c r="E317" s="1">
        <f>Tabela13[[#This Row],[Força (N)]]/$I$5</f>
        <v>3868877.7701916071</v>
      </c>
      <c r="F317" s="1">
        <f>Tabela13[[#This Row],[Tensão (Pa)]]/1000000</f>
        <v>3.8688777701916073</v>
      </c>
    </row>
    <row r="318" spans="1:6" x14ac:dyDescent="0.3">
      <c r="A318" s="1">
        <v>42.017000000000003</v>
      </c>
      <c r="B318" s="1">
        <v>3.4940000000000002</v>
      </c>
      <c r="C318" s="1">
        <f>Tabela13[[#This Row],[Alongamento (mm/mm)]]/$I$2</f>
        <v>6.9879999999999998E-2</v>
      </c>
      <c r="D318" s="1">
        <v>187.96</v>
      </c>
      <c r="E318" s="1">
        <f>Tabela13[[#This Row],[Força (N)]]/$I$5</f>
        <v>3900629.0065183416</v>
      </c>
      <c r="F318" s="1">
        <f>Tabela13[[#This Row],[Tensão (Pa)]]/1000000</f>
        <v>3.9006290065183418</v>
      </c>
    </row>
    <row r="319" spans="1:6" x14ac:dyDescent="0.3">
      <c r="A319" s="1">
        <v>42.1</v>
      </c>
      <c r="B319" s="1">
        <v>3.5009000000000001</v>
      </c>
      <c r="C319" s="1">
        <f>Tabela13[[#This Row],[Alongamento (mm/mm)]]/$I$2</f>
        <v>7.0017999999999997E-2</v>
      </c>
      <c r="D319" s="1">
        <v>189.49</v>
      </c>
      <c r="E319" s="1">
        <f>Tabela13[[#This Row],[Força (N)]]/$I$5</f>
        <v>3932380.2428450766</v>
      </c>
      <c r="F319" s="1">
        <f>Tabela13[[#This Row],[Tensão (Pa)]]/1000000</f>
        <v>3.9323802428450767</v>
      </c>
    </row>
    <row r="320" spans="1:6" x14ac:dyDescent="0.3">
      <c r="A320" s="1">
        <v>42.183</v>
      </c>
      <c r="B320" s="1">
        <v>3.5078999999999998</v>
      </c>
      <c r="C320" s="1">
        <f>Tabela13[[#This Row],[Alongamento (mm/mm)]]/$I$2</f>
        <v>7.0157999999999998E-2</v>
      </c>
      <c r="D320" s="1">
        <v>191.02</v>
      </c>
      <c r="E320" s="1">
        <f>Tabela13[[#This Row],[Força (N)]]/$I$5</f>
        <v>3964131.4791718111</v>
      </c>
      <c r="F320" s="1">
        <f>Tabela13[[#This Row],[Tensão (Pa)]]/1000000</f>
        <v>3.9641314791718112</v>
      </c>
    </row>
    <row r="321" spans="1:6" x14ac:dyDescent="0.3">
      <c r="A321" s="1">
        <v>42.267000000000003</v>
      </c>
      <c r="B321" s="1">
        <v>3.5148000000000001</v>
      </c>
      <c r="C321" s="1">
        <f>Tabela13[[#This Row],[Alongamento (mm/mm)]]/$I$2</f>
        <v>7.0295999999999997E-2</v>
      </c>
      <c r="D321" s="1">
        <v>192.38</v>
      </c>
      <c r="E321" s="1">
        <f>Tabela13[[#This Row],[Força (N)]]/$I$5</f>
        <v>3992354.8003511308</v>
      </c>
      <c r="F321" s="1">
        <f>Tabela13[[#This Row],[Tensão (Pa)]]/1000000</f>
        <v>3.9923548003511309</v>
      </c>
    </row>
    <row r="322" spans="1:6" x14ac:dyDescent="0.3">
      <c r="A322" s="1">
        <v>42.35</v>
      </c>
      <c r="B322" s="1">
        <v>3.5217000000000001</v>
      </c>
      <c r="C322" s="1">
        <f>Tabela13[[#This Row],[Alongamento (mm/mm)]]/$I$2</f>
        <v>7.0433999999999997E-2</v>
      </c>
      <c r="D322" s="1">
        <v>193.91</v>
      </c>
      <c r="E322" s="1">
        <f>Tabela13[[#This Row],[Força (N)]]/$I$5</f>
        <v>4024106.0366778658</v>
      </c>
      <c r="F322" s="1">
        <f>Tabela13[[#This Row],[Tensão (Pa)]]/1000000</f>
        <v>4.0241060366778658</v>
      </c>
    </row>
    <row r="323" spans="1:6" x14ac:dyDescent="0.3">
      <c r="A323" s="1">
        <v>42.433</v>
      </c>
      <c r="B323" s="1">
        <v>3.5287000000000002</v>
      </c>
      <c r="C323" s="1">
        <f>Tabela13[[#This Row],[Alongamento (mm/mm)]]/$I$2</f>
        <v>7.0573999999999998E-2</v>
      </c>
      <c r="D323" s="1">
        <v>195.44</v>
      </c>
      <c r="E323" s="1">
        <f>Tabela13[[#This Row],[Força (N)]]/$I$5</f>
        <v>4055857.2730046003</v>
      </c>
      <c r="F323" s="1">
        <f>Tabela13[[#This Row],[Tensão (Pa)]]/1000000</f>
        <v>4.0558572730046007</v>
      </c>
    </row>
    <row r="324" spans="1:6" x14ac:dyDescent="0.3">
      <c r="A324" s="1">
        <v>42.517000000000003</v>
      </c>
      <c r="B324" s="1">
        <v>3.5356999999999998</v>
      </c>
      <c r="C324" s="1">
        <f>Tabela13[[#This Row],[Alongamento (mm/mm)]]/$I$2</f>
        <v>7.0713999999999999E-2</v>
      </c>
      <c r="D324" s="1">
        <v>196.97</v>
      </c>
      <c r="E324" s="1">
        <f>Tabela13[[#This Row],[Força (N)]]/$I$5</f>
        <v>4087608.5093313353</v>
      </c>
      <c r="F324" s="1">
        <f>Tabela13[[#This Row],[Tensão (Pa)]]/1000000</f>
        <v>4.0876085093313357</v>
      </c>
    </row>
    <row r="325" spans="1:6" x14ac:dyDescent="0.3">
      <c r="A325" s="1">
        <v>42.6</v>
      </c>
      <c r="B325" s="1">
        <v>3.5426000000000002</v>
      </c>
      <c r="C325" s="1">
        <f>Tabela13[[#This Row],[Alongamento (mm/mm)]]/$I$2</f>
        <v>7.0851999999999998E-2</v>
      </c>
      <c r="D325" s="1">
        <v>198.51</v>
      </c>
      <c r="E325" s="1">
        <f>Tabela13[[#This Row],[Força (N)]]/$I$5</f>
        <v>4119567.2700785059</v>
      </c>
      <c r="F325" s="1">
        <f>Tabela13[[#This Row],[Tensão (Pa)]]/1000000</f>
        <v>4.1195672700785062</v>
      </c>
    </row>
    <row r="326" spans="1:6" x14ac:dyDescent="0.3">
      <c r="A326" s="1">
        <v>42.683</v>
      </c>
      <c r="B326" s="1">
        <v>3.5495999999999999</v>
      </c>
      <c r="C326" s="1">
        <f>Tabela13[[#This Row],[Alongamento (mm/mm)]]/$I$2</f>
        <v>7.0992E-2</v>
      </c>
      <c r="D326" s="1">
        <v>200.04</v>
      </c>
      <c r="E326" s="1">
        <f>Tabela13[[#This Row],[Força (N)]]/$I$5</f>
        <v>4151318.5064052409</v>
      </c>
      <c r="F326" s="1">
        <f>Tabela13[[#This Row],[Tensão (Pa)]]/1000000</f>
        <v>4.1513185064052411</v>
      </c>
    </row>
    <row r="327" spans="1:6" x14ac:dyDescent="0.3">
      <c r="A327" s="1">
        <v>42.767000000000003</v>
      </c>
      <c r="B327" s="1">
        <v>3.5565000000000002</v>
      </c>
      <c r="C327" s="1">
        <f>Tabela13[[#This Row],[Alongamento (mm/mm)]]/$I$2</f>
        <v>7.1129999999999999E-2</v>
      </c>
      <c r="D327" s="1">
        <v>201.57</v>
      </c>
      <c r="E327" s="1">
        <f>Tabela13[[#This Row],[Força (N)]]/$I$5</f>
        <v>4183069.7427319754</v>
      </c>
      <c r="F327" s="1">
        <f>Tabela13[[#This Row],[Tensão (Pa)]]/1000000</f>
        <v>4.1830697427319752</v>
      </c>
    </row>
    <row r="328" spans="1:6" x14ac:dyDescent="0.3">
      <c r="A328" s="1">
        <v>42.85</v>
      </c>
      <c r="B328" s="1">
        <v>3.5634000000000001</v>
      </c>
      <c r="C328" s="1">
        <f>Tabela13[[#This Row],[Alongamento (mm/mm)]]/$I$2</f>
        <v>7.1267999999999998E-2</v>
      </c>
      <c r="D328" s="1">
        <v>203.1</v>
      </c>
      <c r="E328" s="1">
        <f>Tabela13[[#This Row],[Força (N)]]/$I$5</f>
        <v>4214820.9790587099</v>
      </c>
      <c r="F328" s="1">
        <f>Tabela13[[#This Row],[Tensão (Pa)]]/1000000</f>
        <v>4.2148209790587101</v>
      </c>
    </row>
    <row r="329" spans="1:6" x14ac:dyDescent="0.3">
      <c r="A329" s="1">
        <v>42.933</v>
      </c>
      <c r="B329" s="1">
        <v>3.5703999999999998</v>
      </c>
      <c r="C329" s="1">
        <f>Tabela13[[#This Row],[Alongamento (mm/mm)]]/$I$2</f>
        <v>7.1407999999999999E-2</v>
      </c>
      <c r="D329" s="1">
        <v>204.63</v>
      </c>
      <c r="E329" s="1">
        <f>Tabela13[[#This Row],[Força (N)]]/$I$5</f>
        <v>4246572.2153854454</v>
      </c>
      <c r="F329" s="1">
        <f>Tabela13[[#This Row],[Tensão (Pa)]]/1000000</f>
        <v>4.246572215385445</v>
      </c>
    </row>
    <row r="330" spans="1:6" x14ac:dyDescent="0.3">
      <c r="A330" s="1">
        <v>43.017000000000003</v>
      </c>
      <c r="B330" s="1">
        <v>3.5773000000000001</v>
      </c>
      <c r="C330" s="1">
        <f>Tabela13[[#This Row],[Alongamento (mm/mm)]]/$I$2</f>
        <v>7.1545999999999998E-2</v>
      </c>
      <c r="D330" s="1">
        <v>206.16</v>
      </c>
      <c r="E330" s="1">
        <f>Tabela13[[#This Row],[Força (N)]]/$I$5</f>
        <v>4278323.4517121799</v>
      </c>
      <c r="F330" s="1">
        <f>Tabela13[[#This Row],[Tensão (Pa)]]/1000000</f>
        <v>4.27832345171218</v>
      </c>
    </row>
    <row r="331" spans="1:6" x14ac:dyDescent="0.3">
      <c r="A331" s="1">
        <v>43.1</v>
      </c>
      <c r="B331" s="1">
        <v>3.5842000000000001</v>
      </c>
      <c r="C331" s="1">
        <f>Tabela13[[#This Row],[Alongamento (mm/mm)]]/$I$2</f>
        <v>7.1683999999999998E-2</v>
      </c>
      <c r="D331" s="1">
        <v>207.69</v>
      </c>
      <c r="E331" s="1">
        <f>Tabela13[[#This Row],[Força (N)]]/$I$5</f>
        <v>4310074.6880389145</v>
      </c>
      <c r="F331" s="1">
        <f>Tabela13[[#This Row],[Tensão (Pa)]]/1000000</f>
        <v>4.310074688038914</v>
      </c>
    </row>
    <row r="332" spans="1:6" x14ac:dyDescent="0.3">
      <c r="A332" s="1">
        <v>43.167000000000002</v>
      </c>
      <c r="B332" s="1">
        <v>3.5897999999999999</v>
      </c>
      <c r="C332" s="1">
        <f>Tabela13[[#This Row],[Alongamento (mm/mm)]]/$I$2</f>
        <v>7.1795999999999999E-2</v>
      </c>
      <c r="D332" s="1">
        <v>209.05</v>
      </c>
      <c r="E332" s="1">
        <f>Tabela13[[#This Row],[Força (N)]]/$I$5</f>
        <v>4338298.0092182346</v>
      </c>
      <c r="F332" s="1">
        <f>Tabela13[[#This Row],[Tensão (Pa)]]/1000000</f>
        <v>4.3382980092182342</v>
      </c>
    </row>
    <row r="333" spans="1:6" x14ac:dyDescent="0.3">
      <c r="A333" s="1">
        <v>43.25</v>
      </c>
      <c r="B333" s="1">
        <v>3.5968</v>
      </c>
      <c r="C333" s="1">
        <f>Tabela13[[#This Row],[Alongamento (mm/mm)]]/$I$2</f>
        <v>7.1936E-2</v>
      </c>
      <c r="D333" s="1">
        <v>210.58</v>
      </c>
      <c r="E333" s="1">
        <f>Tabela13[[#This Row],[Força (N)]]/$I$5</f>
        <v>4370049.2455449691</v>
      </c>
      <c r="F333" s="1">
        <f>Tabela13[[#This Row],[Tensão (Pa)]]/1000000</f>
        <v>4.3700492455449691</v>
      </c>
    </row>
    <row r="334" spans="1:6" x14ac:dyDescent="0.3">
      <c r="A334" s="1">
        <v>43.332999999999998</v>
      </c>
      <c r="B334" s="1">
        <v>3.6038000000000001</v>
      </c>
      <c r="C334" s="1">
        <f>Tabela13[[#This Row],[Alongamento (mm/mm)]]/$I$2</f>
        <v>7.2076000000000001E-2</v>
      </c>
      <c r="D334" s="1">
        <v>212.11</v>
      </c>
      <c r="E334" s="1">
        <f>Tabela13[[#This Row],[Força (N)]]/$I$5</f>
        <v>4401800.4818717036</v>
      </c>
      <c r="F334" s="1">
        <f>Tabela13[[#This Row],[Tensão (Pa)]]/1000000</f>
        <v>4.401800481871704</v>
      </c>
    </row>
    <row r="335" spans="1:6" x14ac:dyDescent="0.3">
      <c r="A335" s="1">
        <v>43.417000000000002</v>
      </c>
      <c r="B335" s="1">
        <v>3.6107</v>
      </c>
      <c r="C335" s="1">
        <f>Tabela13[[#This Row],[Alongamento (mm/mm)]]/$I$2</f>
        <v>7.2214E-2</v>
      </c>
      <c r="D335" s="1">
        <v>213.64</v>
      </c>
      <c r="E335" s="1">
        <f>Tabela13[[#This Row],[Força (N)]]/$I$5</f>
        <v>4433551.7181984382</v>
      </c>
      <c r="F335" s="1">
        <f>Tabela13[[#This Row],[Tensão (Pa)]]/1000000</f>
        <v>4.4335517181984381</v>
      </c>
    </row>
    <row r="336" spans="1:6" x14ac:dyDescent="0.3">
      <c r="A336" s="1">
        <v>43.5</v>
      </c>
      <c r="B336" s="1">
        <v>3.6175999999999999</v>
      </c>
      <c r="C336" s="1">
        <f>Tabela13[[#This Row],[Alongamento (mm/mm)]]/$I$2</f>
        <v>7.2352E-2</v>
      </c>
      <c r="D336" s="1">
        <v>215.18</v>
      </c>
      <c r="E336" s="1">
        <f>Tabela13[[#This Row],[Força (N)]]/$I$5</f>
        <v>4465510.4789456092</v>
      </c>
      <c r="F336" s="1">
        <f>Tabela13[[#This Row],[Tensão (Pa)]]/1000000</f>
        <v>4.4655104789456095</v>
      </c>
    </row>
    <row r="337" spans="1:6" x14ac:dyDescent="0.3">
      <c r="A337" s="1">
        <v>43.582999999999998</v>
      </c>
      <c r="B337" s="1">
        <v>3.6244999999999998</v>
      </c>
      <c r="C337" s="1">
        <f>Tabela13[[#This Row],[Alongamento (mm/mm)]]/$I$2</f>
        <v>7.2489999999999999E-2</v>
      </c>
      <c r="D337" s="1">
        <v>216.71</v>
      </c>
      <c r="E337" s="1">
        <f>Tabela13[[#This Row],[Força (N)]]/$I$5</f>
        <v>4497261.7152723446</v>
      </c>
      <c r="F337" s="1">
        <f>Tabela13[[#This Row],[Tensão (Pa)]]/1000000</f>
        <v>4.4972617152723444</v>
      </c>
    </row>
    <row r="338" spans="1:6" x14ac:dyDescent="0.3">
      <c r="A338" s="1">
        <v>43.65</v>
      </c>
      <c r="B338" s="1">
        <v>3.6301000000000001</v>
      </c>
      <c r="C338" s="1">
        <f>Tabela13[[#This Row],[Alongamento (mm/mm)]]/$I$2</f>
        <v>7.2602E-2</v>
      </c>
      <c r="D338" s="1">
        <v>218.07</v>
      </c>
      <c r="E338" s="1">
        <f>Tabela13[[#This Row],[Força (N)]]/$I$5</f>
        <v>4525485.0364516638</v>
      </c>
      <c r="F338" s="1">
        <f>Tabela13[[#This Row],[Tensão (Pa)]]/1000000</f>
        <v>4.5254850364516637</v>
      </c>
    </row>
    <row r="339" spans="1:6" x14ac:dyDescent="0.3">
      <c r="A339" s="1">
        <v>43.75</v>
      </c>
      <c r="B339" s="1">
        <v>3.6385000000000001</v>
      </c>
      <c r="C339" s="1">
        <f>Tabela13[[#This Row],[Alongamento (mm/mm)]]/$I$2</f>
        <v>7.2770000000000001E-2</v>
      </c>
      <c r="D339" s="1">
        <v>219.94</v>
      </c>
      <c r="E339" s="1">
        <f>Tabela13[[#This Row],[Força (N)]]/$I$5</f>
        <v>4564292.1030732291</v>
      </c>
      <c r="F339" s="1">
        <f>Tabela13[[#This Row],[Tensão (Pa)]]/1000000</f>
        <v>4.5642921030732291</v>
      </c>
    </row>
    <row r="340" spans="1:6" x14ac:dyDescent="0.3">
      <c r="A340" s="1">
        <v>43.85</v>
      </c>
      <c r="B340" s="1">
        <v>3.6467999999999998</v>
      </c>
      <c r="C340" s="1">
        <f>Tabela13[[#This Row],[Alongamento (mm/mm)]]/$I$2</f>
        <v>7.2936000000000001E-2</v>
      </c>
      <c r="D340" s="1">
        <v>221.81</v>
      </c>
      <c r="E340" s="1">
        <f>Tabela13[[#This Row],[Força (N)]]/$I$5</f>
        <v>4603099.1696947934</v>
      </c>
      <c r="F340" s="1">
        <f>Tabela13[[#This Row],[Tensão (Pa)]]/1000000</f>
        <v>4.6030991696947936</v>
      </c>
    </row>
    <row r="341" spans="1:6" x14ac:dyDescent="0.3">
      <c r="A341" s="1">
        <v>43.933</v>
      </c>
      <c r="B341" s="1">
        <v>3.6537000000000002</v>
      </c>
      <c r="C341" s="1">
        <f>Tabela13[[#This Row],[Alongamento (mm/mm)]]/$I$2</f>
        <v>7.3074E-2</v>
      </c>
      <c r="D341" s="1">
        <v>223.51</v>
      </c>
      <c r="E341" s="1">
        <f>Tabela13[[#This Row],[Força (N)]]/$I$5</f>
        <v>4638378.3211689433</v>
      </c>
      <c r="F341" s="1">
        <f>Tabela13[[#This Row],[Tensão (Pa)]]/1000000</f>
        <v>4.6383783211689433</v>
      </c>
    </row>
    <row r="342" spans="1:6" x14ac:dyDescent="0.3">
      <c r="A342" s="1">
        <v>44.017000000000003</v>
      </c>
      <c r="B342" s="1">
        <v>3.6606000000000001</v>
      </c>
      <c r="C342" s="1">
        <f>Tabela13[[#This Row],[Alongamento (mm/mm)]]/$I$2</f>
        <v>7.3211999999999999E-2</v>
      </c>
      <c r="D342" s="1">
        <v>225.21</v>
      </c>
      <c r="E342" s="1">
        <f>Tabela13[[#This Row],[Força (N)]]/$I$5</f>
        <v>4673657.4726430932</v>
      </c>
      <c r="F342" s="1">
        <f>Tabela13[[#This Row],[Tensão (Pa)]]/1000000</f>
        <v>4.6736574726430931</v>
      </c>
    </row>
    <row r="343" spans="1:6" x14ac:dyDescent="0.3">
      <c r="A343" s="1">
        <v>44.116999999999997</v>
      </c>
      <c r="B343" s="1">
        <v>3.669</v>
      </c>
      <c r="C343" s="1">
        <f>Tabela13[[#This Row],[Alongamento (mm/mm)]]/$I$2</f>
        <v>7.3380000000000001E-2</v>
      </c>
      <c r="D343" s="1">
        <v>227.08</v>
      </c>
      <c r="E343" s="1">
        <f>Tabela13[[#This Row],[Força (N)]]/$I$5</f>
        <v>4712464.5392646575</v>
      </c>
      <c r="F343" s="1">
        <f>Tabela13[[#This Row],[Tensão (Pa)]]/1000000</f>
        <v>4.7124645392646576</v>
      </c>
    </row>
    <row r="344" spans="1:6" x14ac:dyDescent="0.3">
      <c r="A344" s="1">
        <v>44.2</v>
      </c>
      <c r="B344" s="1">
        <v>3.6760000000000002</v>
      </c>
      <c r="C344" s="1">
        <f>Tabela13[[#This Row],[Alongamento (mm/mm)]]/$I$2</f>
        <v>7.3520000000000002E-2</v>
      </c>
      <c r="D344" s="1">
        <v>228.78</v>
      </c>
      <c r="E344" s="1">
        <f>Tabela13[[#This Row],[Força (N)]]/$I$5</f>
        <v>4747743.6907388074</v>
      </c>
      <c r="F344" s="1">
        <f>Tabela13[[#This Row],[Tensão (Pa)]]/1000000</f>
        <v>4.7477436907388073</v>
      </c>
    </row>
    <row r="345" spans="1:6" x14ac:dyDescent="0.3">
      <c r="A345" s="1">
        <v>44.283000000000001</v>
      </c>
      <c r="B345" s="1">
        <v>3.6829000000000001</v>
      </c>
      <c r="C345" s="1">
        <f>Tabela13[[#This Row],[Alongamento (mm/mm)]]/$I$2</f>
        <v>7.3658000000000001E-2</v>
      </c>
      <c r="D345" s="1">
        <v>230.48</v>
      </c>
      <c r="E345" s="1">
        <f>Tabela13[[#This Row],[Força (N)]]/$I$5</f>
        <v>4783022.8422129564</v>
      </c>
      <c r="F345" s="1">
        <f>Tabela13[[#This Row],[Tensão (Pa)]]/1000000</f>
        <v>4.7830228422129561</v>
      </c>
    </row>
    <row r="346" spans="1:6" x14ac:dyDescent="0.3">
      <c r="A346" s="1">
        <v>44.366999999999997</v>
      </c>
      <c r="B346" s="1">
        <v>3.6899000000000002</v>
      </c>
      <c r="C346" s="1">
        <f>Tabela13[[#This Row],[Alongamento (mm/mm)]]/$I$2</f>
        <v>7.3798000000000002E-2</v>
      </c>
      <c r="D346" s="1">
        <v>232.18</v>
      </c>
      <c r="E346" s="1">
        <f>Tabela13[[#This Row],[Força (N)]]/$I$5</f>
        <v>4818301.9936871072</v>
      </c>
      <c r="F346" s="1">
        <f>Tabela13[[#This Row],[Tensão (Pa)]]/1000000</f>
        <v>4.8183019936871077</v>
      </c>
    </row>
    <row r="347" spans="1:6" x14ac:dyDescent="0.3">
      <c r="A347" s="1">
        <v>44.466999999999999</v>
      </c>
      <c r="B347" s="1">
        <v>3.6981000000000002</v>
      </c>
      <c r="C347" s="1">
        <f>Tabela13[[#This Row],[Alongamento (mm/mm)]]/$I$2</f>
        <v>7.3962E-2</v>
      </c>
      <c r="D347" s="1">
        <v>234.06</v>
      </c>
      <c r="E347" s="1">
        <f>Tabela13[[#This Row],[Força (N)]]/$I$5</f>
        <v>4857316.5847291071</v>
      </c>
      <c r="F347" s="1">
        <f>Tabela13[[#This Row],[Tensão (Pa)]]/1000000</f>
        <v>4.8573165847291069</v>
      </c>
    </row>
    <row r="348" spans="1:6" x14ac:dyDescent="0.3">
      <c r="A348" s="1">
        <v>44.55</v>
      </c>
      <c r="B348" s="1">
        <v>3.7050999999999998</v>
      </c>
      <c r="C348" s="1">
        <f>Tabela13[[#This Row],[Alongamento (mm/mm)]]/$I$2</f>
        <v>7.4102000000000001E-2</v>
      </c>
      <c r="D348" s="1">
        <v>235.76</v>
      </c>
      <c r="E348" s="1">
        <f>Tabela13[[#This Row],[Força (N)]]/$I$5</f>
        <v>4892595.736203257</v>
      </c>
      <c r="F348" s="1">
        <f>Tabela13[[#This Row],[Tensão (Pa)]]/1000000</f>
        <v>4.8925957362032566</v>
      </c>
    </row>
    <row r="349" spans="1:6" x14ac:dyDescent="0.3">
      <c r="A349" s="1">
        <v>44.633000000000003</v>
      </c>
      <c r="B349" s="1">
        <v>3.7121</v>
      </c>
      <c r="C349" s="1">
        <f>Tabela13[[#This Row],[Alongamento (mm/mm)]]/$I$2</f>
        <v>7.4242000000000002E-2</v>
      </c>
      <c r="D349" s="1">
        <v>237.46</v>
      </c>
      <c r="E349" s="1">
        <f>Tabela13[[#This Row],[Força (N)]]/$I$5</f>
        <v>4927874.8876774069</v>
      </c>
      <c r="F349" s="1">
        <f>Tabela13[[#This Row],[Tensão (Pa)]]/1000000</f>
        <v>4.9278748876774072</v>
      </c>
    </row>
    <row r="350" spans="1:6" x14ac:dyDescent="0.3">
      <c r="A350" s="1">
        <v>44.716999999999999</v>
      </c>
      <c r="B350" s="1">
        <v>3.7189999999999999</v>
      </c>
      <c r="C350" s="1">
        <f>Tabela13[[#This Row],[Alongamento (mm/mm)]]/$I$2</f>
        <v>7.4380000000000002E-2</v>
      </c>
      <c r="D350" s="1">
        <v>239.16</v>
      </c>
      <c r="E350" s="1">
        <f>Tabela13[[#This Row],[Força (N)]]/$I$5</f>
        <v>4963154.0391515568</v>
      </c>
      <c r="F350" s="1">
        <f>Tabela13[[#This Row],[Tensão (Pa)]]/1000000</f>
        <v>4.963154039151557</v>
      </c>
    </row>
    <row r="351" spans="1:6" x14ac:dyDescent="0.3">
      <c r="A351" s="1">
        <v>44.8</v>
      </c>
      <c r="B351" s="1">
        <v>3.726</v>
      </c>
      <c r="C351" s="1">
        <f>Tabela13[[#This Row],[Alongamento (mm/mm)]]/$I$2</f>
        <v>7.4520000000000003E-2</v>
      </c>
      <c r="D351" s="1">
        <v>240.86</v>
      </c>
      <c r="E351" s="1">
        <f>Tabela13[[#This Row],[Força (N)]]/$I$5</f>
        <v>4998433.1906257067</v>
      </c>
      <c r="F351" s="1">
        <f>Tabela13[[#This Row],[Tensão (Pa)]]/1000000</f>
        <v>4.9984331906257067</v>
      </c>
    </row>
    <row r="352" spans="1:6" x14ac:dyDescent="0.3">
      <c r="A352" s="1">
        <v>44.883000000000003</v>
      </c>
      <c r="B352" s="1">
        <v>3.7328999999999999</v>
      </c>
      <c r="C352" s="1">
        <f>Tabela13[[#This Row],[Alongamento (mm/mm)]]/$I$2</f>
        <v>7.4658000000000002E-2</v>
      </c>
      <c r="D352" s="1">
        <v>242.56</v>
      </c>
      <c r="E352" s="1">
        <f>Tabela13[[#This Row],[Força (N)]]/$I$5</f>
        <v>5033712.3420998566</v>
      </c>
      <c r="F352" s="1">
        <f>Tabela13[[#This Row],[Tensão (Pa)]]/1000000</f>
        <v>5.0337123420998564</v>
      </c>
    </row>
    <row r="353" spans="1:6" x14ac:dyDescent="0.3">
      <c r="A353" s="1">
        <v>44.966999999999999</v>
      </c>
      <c r="B353" s="1">
        <v>3.7397999999999998</v>
      </c>
      <c r="C353" s="1">
        <f>Tabela13[[#This Row],[Alongamento (mm/mm)]]/$I$2</f>
        <v>7.4796000000000001E-2</v>
      </c>
      <c r="D353" s="1">
        <v>244.26</v>
      </c>
      <c r="E353" s="1">
        <f>Tabela13[[#This Row],[Força (N)]]/$I$5</f>
        <v>5068991.4935740056</v>
      </c>
      <c r="F353" s="1">
        <f>Tabela13[[#This Row],[Tensão (Pa)]]/1000000</f>
        <v>5.0689914935740052</v>
      </c>
    </row>
    <row r="354" spans="1:6" x14ac:dyDescent="0.3">
      <c r="A354" s="1">
        <v>45.05</v>
      </c>
      <c r="B354" s="1">
        <v>3.7467999999999999</v>
      </c>
      <c r="C354" s="1">
        <f>Tabela13[[#This Row],[Alongamento (mm/mm)]]/$I$2</f>
        <v>7.4936000000000003E-2</v>
      </c>
      <c r="D354" s="1">
        <v>245.96</v>
      </c>
      <c r="E354" s="1">
        <f>Tabela13[[#This Row],[Força (N)]]/$I$5</f>
        <v>5104270.6450481554</v>
      </c>
      <c r="F354" s="1">
        <f>Tabela13[[#This Row],[Tensão (Pa)]]/1000000</f>
        <v>5.1042706450481559</v>
      </c>
    </row>
    <row r="355" spans="1:6" x14ac:dyDescent="0.3">
      <c r="A355" s="1">
        <v>45.133000000000003</v>
      </c>
      <c r="B355" s="1">
        <v>3.7536999999999998</v>
      </c>
      <c r="C355" s="1">
        <f>Tabela13[[#This Row],[Alongamento (mm/mm)]]/$I$2</f>
        <v>7.5074000000000002E-2</v>
      </c>
      <c r="D355" s="1">
        <v>247.66</v>
      </c>
      <c r="E355" s="1">
        <f>Tabela13[[#This Row],[Força (N)]]/$I$5</f>
        <v>5139549.7965223053</v>
      </c>
      <c r="F355" s="1">
        <f>Tabela13[[#This Row],[Tensão (Pa)]]/1000000</f>
        <v>5.1395497965223056</v>
      </c>
    </row>
    <row r="356" spans="1:6" x14ac:dyDescent="0.3">
      <c r="A356" s="1">
        <v>45.216999999999999</v>
      </c>
      <c r="B356" s="1">
        <v>3.7606999999999999</v>
      </c>
      <c r="C356" s="1">
        <f>Tabela13[[#This Row],[Alongamento (mm/mm)]]/$I$2</f>
        <v>7.5214000000000003E-2</v>
      </c>
      <c r="D356" s="1">
        <v>249.36</v>
      </c>
      <c r="E356" s="1">
        <f>Tabela13[[#This Row],[Força (N)]]/$I$5</f>
        <v>5174828.9479964552</v>
      </c>
      <c r="F356" s="1">
        <f>Tabela13[[#This Row],[Tensão (Pa)]]/1000000</f>
        <v>5.1748289479964553</v>
      </c>
    </row>
    <row r="357" spans="1:6" x14ac:dyDescent="0.3">
      <c r="A357" s="1">
        <v>45.3</v>
      </c>
      <c r="B357" s="1">
        <v>3.7675999999999998</v>
      </c>
      <c r="C357" s="1">
        <f>Tabela13[[#This Row],[Alongamento (mm/mm)]]/$I$2</f>
        <v>7.5352000000000002E-2</v>
      </c>
      <c r="D357" s="1">
        <v>251.07</v>
      </c>
      <c r="E357" s="1">
        <f>Tabela13[[#This Row],[Força (N)]]/$I$5</f>
        <v>5210315.6238910407</v>
      </c>
      <c r="F357" s="1">
        <f>Tabela13[[#This Row],[Tensão (Pa)]]/1000000</f>
        <v>5.2103156238910406</v>
      </c>
    </row>
    <row r="358" spans="1:6" x14ac:dyDescent="0.3">
      <c r="A358" s="1">
        <v>45.383000000000003</v>
      </c>
      <c r="B358" s="1">
        <v>3.7746</v>
      </c>
      <c r="C358" s="1">
        <f>Tabela13[[#This Row],[Alongamento (mm/mm)]]/$I$2</f>
        <v>7.5492000000000004E-2</v>
      </c>
      <c r="D358" s="1">
        <v>252.94</v>
      </c>
      <c r="E358" s="1">
        <f>Tabela13[[#This Row],[Força (N)]]/$I$5</f>
        <v>5249122.6905126059</v>
      </c>
      <c r="F358" s="1">
        <f>Tabela13[[#This Row],[Tensão (Pa)]]/1000000</f>
        <v>5.249122690512606</v>
      </c>
    </row>
    <row r="359" spans="1:6" x14ac:dyDescent="0.3">
      <c r="A359" s="1">
        <v>45.466999999999999</v>
      </c>
      <c r="B359" s="1">
        <v>3.7814999999999999</v>
      </c>
      <c r="C359" s="1">
        <f>Tabela13[[#This Row],[Alongamento (mm/mm)]]/$I$2</f>
        <v>7.5630000000000003E-2</v>
      </c>
      <c r="D359" s="1">
        <v>254.64</v>
      </c>
      <c r="E359" s="1">
        <f>Tabela13[[#This Row],[Força (N)]]/$I$5</f>
        <v>5284401.8419867549</v>
      </c>
      <c r="F359" s="1">
        <f>Tabela13[[#This Row],[Tensão (Pa)]]/1000000</f>
        <v>5.2844018419867549</v>
      </c>
    </row>
    <row r="360" spans="1:6" x14ac:dyDescent="0.3">
      <c r="A360" s="1">
        <v>45.55</v>
      </c>
      <c r="B360" s="1">
        <v>3.7885</v>
      </c>
      <c r="C360" s="1">
        <f>Tabela13[[#This Row],[Alongamento (mm/mm)]]/$I$2</f>
        <v>7.5770000000000004E-2</v>
      </c>
      <c r="D360" s="1">
        <v>256.33999999999997</v>
      </c>
      <c r="E360" s="1">
        <f>Tabela13[[#This Row],[Força (N)]]/$I$5</f>
        <v>5319680.9934609048</v>
      </c>
      <c r="F360" s="1">
        <f>Tabela13[[#This Row],[Tensão (Pa)]]/1000000</f>
        <v>5.3196809934609046</v>
      </c>
    </row>
    <row r="361" spans="1:6" x14ac:dyDescent="0.3">
      <c r="A361" s="1">
        <v>45.633000000000003</v>
      </c>
      <c r="B361" s="1">
        <v>3.7953999999999999</v>
      </c>
      <c r="C361" s="1">
        <f>Tabela13[[#This Row],[Alongamento (mm/mm)]]/$I$2</f>
        <v>7.5908000000000003E-2</v>
      </c>
      <c r="D361" s="1">
        <v>258.04000000000002</v>
      </c>
      <c r="E361" s="1">
        <f>Tabela13[[#This Row],[Força (N)]]/$I$5</f>
        <v>5354960.1449350547</v>
      </c>
      <c r="F361" s="1">
        <f>Tabela13[[#This Row],[Tensão (Pa)]]/1000000</f>
        <v>5.3549601449350543</v>
      </c>
    </row>
    <row r="362" spans="1:6" x14ac:dyDescent="0.3">
      <c r="A362" s="1">
        <v>45.716999999999999</v>
      </c>
      <c r="B362" s="1">
        <v>3.8022999999999998</v>
      </c>
      <c r="C362" s="1">
        <f>Tabela13[[#This Row],[Alongamento (mm/mm)]]/$I$2</f>
        <v>7.6046000000000002E-2</v>
      </c>
      <c r="D362" s="1">
        <v>259.74</v>
      </c>
      <c r="E362" s="1">
        <f>Tabela13[[#This Row],[Força (N)]]/$I$5</f>
        <v>5390239.2964092046</v>
      </c>
      <c r="F362" s="1">
        <f>Tabela13[[#This Row],[Tensão (Pa)]]/1000000</f>
        <v>5.390239296409205</v>
      </c>
    </row>
    <row r="363" spans="1:6" x14ac:dyDescent="0.3">
      <c r="A363" s="1">
        <v>45.8</v>
      </c>
      <c r="B363" s="1">
        <v>3.8092000000000001</v>
      </c>
      <c r="C363" s="1">
        <f>Tabela13[[#This Row],[Alongamento (mm/mm)]]/$I$2</f>
        <v>7.6184000000000002E-2</v>
      </c>
      <c r="D363" s="1">
        <v>261.61</v>
      </c>
      <c r="E363" s="1">
        <f>Tabela13[[#This Row],[Força (N)]]/$I$5</f>
        <v>5429046.3630307689</v>
      </c>
      <c r="F363" s="1">
        <f>Tabela13[[#This Row],[Tensão (Pa)]]/1000000</f>
        <v>5.4290463630307686</v>
      </c>
    </row>
    <row r="364" spans="1:6" x14ac:dyDescent="0.3">
      <c r="A364" s="1">
        <v>45.9</v>
      </c>
      <c r="B364" s="1">
        <v>3.8176000000000001</v>
      </c>
      <c r="C364" s="1">
        <f>Tabela13[[#This Row],[Alongamento (mm/mm)]]/$I$2</f>
        <v>7.6352000000000003E-2</v>
      </c>
      <c r="D364" s="1">
        <v>263.82</v>
      </c>
      <c r="E364" s="1">
        <f>Tabela13[[#This Row],[Força (N)]]/$I$5</f>
        <v>5474909.259947164</v>
      </c>
      <c r="F364" s="1">
        <f>Tabela13[[#This Row],[Tensão (Pa)]]/1000000</f>
        <v>5.4749092599471636</v>
      </c>
    </row>
    <row r="365" spans="1:6" x14ac:dyDescent="0.3">
      <c r="A365" s="1">
        <v>46</v>
      </c>
      <c r="B365" s="1">
        <v>3.8260000000000001</v>
      </c>
      <c r="C365" s="1">
        <f>Tabela13[[#This Row],[Alongamento (mm/mm)]]/$I$2</f>
        <v>7.6520000000000005E-2</v>
      </c>
      <c r="D365" s="1">
        <v>265.86</v>
      </c>
      <c r="E365" s="1">
        <f>Tabela13[[#This Row],[Força (N)]]/$I$5</f>
        <v>5517244.2417161437</v>
      </c>
      <c r="F365" s="1">
        <f>Tabela13[[#This Row],[Tensão (Pa)]]/1000000</f>
        <v>5.5172442417161438</v>
      </c>
    </row>
    <row r="366" spans="1:6" x14ac:dyDescent="0.3">
      <c r="A366" s="1">
        <v>46.1</v>
      </c>
      <c r="B366" s="1">
        <v>3.8342999999999998</v>
      </c>
      <c r="C366" s="1">
        <f>Tabela13[[#This Row],[Alongamento (mm/mm)]]/$I$2</f>
        <v>7.668599999999999E-2</v>
      </c>
      <c r="D366" s="1">
        <v>268.08</v>
      </c>
      <c r="E366" s="1">
        <f>Tabela13[[#This Row],[Força (N)]]/$I$5</f>
        <v>5563314.6630529743</v>
      </c>
      <c r="F366" s="1">
        <f>Tabela13[[#This Row],[Tensão (Pa)]]/1000000</f>
        <v>5.5633146630529744</v>
      </c>
    </row>
    <row r="367" spans="1:6" x14ac:dyDescent="0.3">
      <c r="A367" s="1">
        <v>46.2</v>
      </c>
      <c r="B367" s="1">
        <v>3.8426</v>
      </c>
      <c r="C367" s="1">
        <f>Tabela13[[#This Row],[Alongamento (mm/mm)]]/$I$2</f>
        <v>7.6852000000000004E-2</v>
      </c>
      <c r="D367" s="1">
        <v>270.29000000000002</v>
      </c>
      <c r="E367" s="1">
        <f>Tabela13[[#This Row],[Força (N)]]/$I$5</f>
        <v>5609177.5599693693</v>
      </c>
      <c r="F367" s="1">
        <f>Tabela13[[#This Row],[Tensão (Pa)]]/1000000</f>
        <v>5.6091775599693694</v>
      </c>
    </row>
    <row r="368" spans="1:6" x14ac:dyDescent="0.3">
      <c r="A368" s="1">
        <v>46.3</v>
      </c>
      <c r="B368" s="1">
        <v>3.8509000000000002</v>
      </c>
      <c r="C368" s="1">
        <f>Tabela13[[#This Row],[Alongamento (mm/mm)]]/$I$2</f>
        <v>7.7018000000000003E-2</v>
      </c>
      <c r="D368" s="1">
        <v>272.5</v>
      </c>
      <c r="E368" s="1">
        <f>Tabela13[[#This Row],[Força (N)]]/$I$5</f>
        <v>5655040.4568857634</v>
      </c>
      <c r="F368" s="1">
        <f>Tabela13[[#This Row],[Tensão (Pa)]]/1000000</f>
        <v>5.6550404568857635</v>
      </c>
    </row>
    <row r="369" spans="1:6" x14ac:dyDescent="0.3">
      <c r="A369" s="1">
        <v>46.4</v>
      </c>
      <c r="B369" s="1">
        <v>3.8593000000000002</v>
      </c>
      <c r="C369" s="1">
        <f>Tabela13[[#This Row],[Alongamento (mm/mm)]]/$I$2</f>
        <v>7.7186000000000005E-2</v>
      </c>
      <c r="D369" s="1">
        <v>274.70999999999998</v>
      </c>
      <c r="E369" s="1">
        <f>Tabela13[[#This Row],[Força (N)]]/$I$5</f>
        <v>5700903.3538021576</v>
      </c>
      <c r="F369" s="1">
        <f>Tabela13[[#This Row],[Tensão (Pa)]]/1000000</f>
        <v>5.7009033538021576</v>
      </c>
    </row>
    <row r="370" spans="1:6" x14ac:dyDescent="0.3">
      <c r="A370" s="1">
        <v>46.482999999999997</v>
      </c>
      <c r="B370" s="1">
        <v>3.8662999999999998</v>
      </c>
      <c r="C370" s="1">
        <f>Tabela13[[#This Row],[Alongamento (mm/mm)]]/$I$2</f>
        <v>7.7325999999999992E-2</v>
      </c>
      <c r="D370" s="1">
        <v>276.75</v>
      </c>
      <c r="E370" s="1">
        <f>Tabela13[[#This Row],[Força (N)]]/$I$5</f>
        <v>5743238.3355711382</v>
      </c>
      <c r="F370" s="1">
        <f>Tabela13[[#This Row],[Tensão (Pa)]]/1000000</f>
        <v>5.7432383355711378</v>
      </c>
    </row>
    <row r="371" spans="1:6" x14ac:dyDescent="0.3">
      <c r="A371" s="1">
        <v>46.582999999999998</v>
      </c>
      <c r="B371" s="1">
        <v>3.8746</v>
      </c>
      <c r="C371" s="1">
        <f>Tabela13[[#This Row],[Alongamento (mm/mm)]]/$I$2</f>
        <v>7.7492000000000005E-2</v>
      </c>
      <c r="D371" s="1">
        <v>278.95999999999998</v>
      </c>
      <c r="E371" s="1">
        <f>Tabela13[[#This Row],[Força (N)]]/$I$5</f>
        <v>5789101.2324875323</v>
      </c>
      <c r="F371" s="1">
        <f>Tabela13[[#This Row],[Tensão (Pa)]]/1000000</f>
        <v>5.7891012324875319</v>
      </c>
    </row>
    <row r="372" spans="1:6" x14ac:dyDescent="0.3">
      <c r="A372" s="1">
        <v>46.683</v>
      </c>
      <c r="B372" s="1">
        <v>3.8828</v>
      </c>
      <c r="C372" s="1">
        <f>Tabela13[[#This Row],[Alongamento (mm/mm)]]/$I$2</f>
        <v>7.7656000000000003E-2</v>
      </c>
      <c r="D372" s="1">
        <v>281.17</v>
      </c>
      <c r="E372" s="1">
        <f>Tabela13[[#This Row],[Força (N)]]/$I$5</f>
        <v>5834964.1294039274</v>
      </c>
      <c r="F372" s="1">
        <f>Tabela13[[#This Row],[Tensão (Pa)]]/1000000</f>
        <v>5.8349641294039269</v>
      </c>
    </row>
    <row r="373" spans="1:6" x14ac:dyDescent="0.3">
      <c r="A373" s="1">
        <v>46.767000000000003</v>
      </c>
      <c r="B373" s="1">
        <v>3.8898000000000001</v>
      </c>
      <c r="C373" s="1">
        <f>Tabela13[[#This Row],[Alongamento (mm/mm)]]/$I$2</f>
        <v>7.7796000000000004E-2</v>
      </c>
      <c r="D373" s="1">
        <v>283.20999999999998</v>
      </c>
      <c r="E373" s="1">
        <f>Tabela13[[#This Row],[Força (N)]]/$I$5</f>
        <v>5877299.1111729061</v>
      </c>
      <c r="F373" s="1">
        <f>Tabela13[[#This Row],[Tensão (Pa)]]/1000000</f>
        <v>5.8772991111729063</v>
      </c>
    </row>
    <row r="374" spans="1:6" x14ac:dyDescent="0.3">
      <c r="A374" s="1">
        <v>46.85</v>
      </c>
      <c r="B374" s="1">
        <v>3.8967999999999998</v>
      </c>
      <c r="C374" s="1">
        <f>Tabela13[[#This Row],[Alongamento (mm/mm)]]/$I$2</f>
        <v>7.7935999999999991E-2</v>
      </c>
      <c r="D374" s="1">
        <v>285.26</v>
      </c>
      <c r="E374" s="1">
        <f>Tabela13[[#This Row],[Força (N)]]/$I$5</f>
        <v>5919841.6173623223</v>
      </c>
      <c r="F374" s="1">
        <f>Tabela13[[#This Row],[Tensão (Pa)]]/1000000</f>
        <v>5.9198416173623221</v>
      </c>
    </row>
    <row r="375" spans="1:6" x14ac:dyDescent="0.3">
      <c r="A375" s="1">
        <v>46.95</v>
      </c>
      <c r="B375" s="1">
        <v>3.9051</v>
      </c>
      <c r="C375" s="1">
        <f>Tabela13[[#This Row],[Alongamento (mm/mm)]]/$I$2</f>
        <v>7.8102000000000005E-2</v>
      </c>
      <c r="D375" s="1">
        <v>287.64</v>
      </c>
      <c r="E375" s="1">
        <f>Tabela13[[#This Row],[Força (N)]]/$I$5</f>
        <v>5969232.4294261318</v>
      </c>
      <c r="F375" s="1">
        <f>Tabela13[[#This Row],[Tensão (Pa)]]/1000000</f>
        <v>5.9692324294261319</v>
      </c>
    </row>
    <row r="376" spans="1:6" x14ac:dyDescent="0.3">
      <c r="A376" s="1">
        <v>47.033000000000001</v>
      </c>
      <c r="B376" s="1">
        <v>3.9121999999999999</v>
      </c>
      <c r="C376" s="1">
        <f>Tabela13[[#This Row],[Alongamento (mm/mm)]]/$I$2</f>
        <v>7.8243999999999994E-2</v>
      </c>
      <c r="D376" s="1">
        <v>289.68</v>
      </c>
      <c r="E376" s="1">
        <f>Tabela13[[#This Row],[Força (N)]]/$I$5</f>
        <v>6011567.4111951115</v>
      </c>
      <c r="F376" s="1">
        <f>Tabela13[[#This Row],[Tensão (Pa)]]/1000000</f>
        <v>6.0115674111951112</v>
      </c>
    </row>
    <row r="377" spans="1:6" x14ac:dyDescent="0.3">
      <c r="A377" s="1">
        <v>47.133000000000003</v>
      </c>
      <c r="B377" s="1">
        <v>3.9203000000000001</v>
      </c>
      <c r="C377" s="1">
        <f>Tabela13[[#This Row],[Alongamento (mm/mm)]]/$I$2</f>
        <v>7.8406000000000003E-2</v>
      </c>
      <c r="D377" s="1">
        <v>292.06</v>
      </c>
      <c r="E377" s="1">
        <f>Tabela13[[#This Row],[Força (N)]]/$I$5</f>
        <v>6060958.2232589219</v>
      </c>
      <c r="F377" s="1">
        <f>Tabela13[[#This Row],[Tensão (Pa)]]/1000000</f>
        <v>6.0609582232589219</v>
      </c>
    </row>
    <row r="378" spans="1:6" x14ac:dyDescent="0.3">
      <c r="A378" s="1">
        <v>47.216999999999999</v>
      </c>
      <c r="B378" s="1">
        <v>3.9272999999999998</v>
      </c>
      <c r="C378" s="1">
        <f>Tabela13[[#This Row],[Alongamento (mm/mm)]]/$I$2</f>
        <v>7.8545999999999991E-2</v>
      </c>
      <c r="D378" s="1">
        <v>294.10000000000002</v>
      </c>
      <c r="E378" s="1">
        <f>Tabela13[[#This Row],[Força (N)]]/$I$5</f>
        <v>6103293.2050279016</v>
      </c>
      <c r="F378" s="1">
        <f>Tabela13[[#This Row],[Tensão (Pa)]]/1000000</f>
        <v>6.1032932050279012</v>
      </c>
    </row>
    <row r="379" spans="1:6" x14ac:dyDescent="0.3">
      <c r="A379" s="1">
        <v>47.3</v>
      </c>
      <c r="B379" s="1">
        <v>3.9342999999999999</v>
      </c>
      <c r="C379" s="1">
        <f>Tabela13[[#This Row],[Alongamento (mm/mm)]]/$I$2</f>
        <v>7.8685999999999992E-2</v>
      </c>
      <c r="D379" s="1">
        <v>296.14</v>
      </c>
      <c r="E379" s="1">
        <f>Tabela13[[#This Row],[Força (N)]]/$I$5</f>
        <v>6145628.1867968803</v>
      </c>
      <c r="F379" s="1">
        <f>Tabela13[[#This Row],[Tensão (Pa)]]/1000000</f>
        <v>6.1456281867968805</v>
      </c>
    </row>
    <row r="380" spans="1:6" x14ac:dyDescent="0.3">
      <c r="A380" s="1">
        <v>47.4</v>
      </c>
      <c r="B380" s="1">
        <v>3.9426000000000001</v>
      </c>
      <c r="C380" s="1">
        <f>Tabela13[[#This Row],[Alongamento (mm/mm)]]/$I$2</f>
        <v>7.8852000000000005E-2</v>
      </c>
      <c r="D380" s="1">
        <v>298.52</v>
      </c>
      <c r="E380" s="1">
        <f>Tabela13[[#This Row],[Força (N)]]/$I$5</f>
        <v>6195018.9988606898</v>
      </c>
      <c r="F380" s="1">
        <f>Tabela13[[#This Row],[Tensão (Pa)]]/1000000</f>
        <v>6.1950189988606894</v>
      </c>
    </row>
    <row r="381" spans="1:6" x14ac:dyDescent="0.3">
      <c r="A381" s="1">
        <v>47.482999999999997</v>
      </c>
      <c r="B381" s="1">
        <v>3.9496000000000002</v>
      </c>
      <c r="C381" s="1">
        <f>Tabela13[[#This Row],[Alongamento (mm/mm)]]/$I$2</f>
        <v>7.8992000000000007E-2</v>
      </c>
      <c r="D381" s="1">
        <v>300.56</v>
      </c>
      <c r="E381" s="1">
        <f>Tabela13[[#This Row],[Força (N)]]/$I$5</f>
        <v>6237353.9806296704</v>
      </c>
      <c r="F381" s="1">
        <f>Tabela13[[#This Row],[Tensão (Pa)]]/1000000</f>
        <v>6.2373539806296705</v>
      </c>
    </row>
    <row r="382" spans="1:6" x14ac:dyDescent="0.3">
      <c r="A382" s="1">
        <v>47.567</v>
      </c>
      <c r="B382" s="1">
        <v>3.9565000000000001</v>
      </c>
      <c r="C382" s="1">
        <f>Tabela13[[#This Row],[Alongamento (mm/mm)]]/$I$2</f>
        <v>7.9130000000000006E-2</v>
      </c>
      <c r="D382" s="1">
        <v>302.61</v>
      </c>
      <c r="E382" s="1">
        <f>Tabela13[[#This Row],[Força (N)]]/$I$5</f>
        <v>6279896.4868190857</v>
      </c>
      <c r="F382" s="1">
        <f>Tabela13[[#This Row],[Tensão (Pa)]]/1000000</f>
        <v>6.2798964868190854</v>
      </c>
    </row>
    <row r="383" spans="1:6" x14ac:dyDescent="0.3">
      <c r="A383" s="1">
        <v>47.65</v>
      </c>
      <c r="B383" s="1">
        <v>3.9634</v>
      </c>
      <c r="C383" s="1">
        <f>Tabela13[[#This Row],[Alongamento (mm/mm)]]/$I$2</f>
        <v>7.9268000000000005E-2</v>
      </c>
      <c r="D383" s="1">
        <v>304.64999999999998</v>
      </c>
      <c r="E383" s="1">
        <f>Tabela13[[#This Row],[Força (N)]]/$I$5</f>
        <v>6322231.4685880654</v>
      </c>
      <c r="F383" s="1">
        <f>Tabela13[[#This Row],[Tensão (Pa)]]/1000000</f>
        <v>6.3222314685880656</v>
      </c>
    </row>
    <row r="384" spans="1:6" x14ac:dyDescent="0.3">
      <c r="A384" s="1">
        <v>47.732999999999997</v>
      </c>
      <c r="B384" s="1">
        <v>3.9704000000000002</v>
      </c>
      <c r="C384" s="1">
        <f>Tabela13[[#This Row],[Alongamento (mm/mm)]]/$I$2</f>
        <v>7.9408000000000006E-2</v>
      </c>
      <c r="D384" s="1">
        <v>306.69</v>
      </c>
      <c r="E384" s="1">
        <f>Tabela13[[#This Row],[Força (N)]]/$I$5</f>
        <v>6364566.450357045</v>
      </c>
      <c r="F384" s="1">
        <f>Tabela13[[#This Row],[Tensão (Pa)]]/1000000</f>
        <v>6.3645664503570449</v>
      </c>
    </row>
    <row r="385" spans="1:6" x14ac:dyDescent="0.3">
      <c r="A385" s="1">
        <v>47.832999999999998</v>
      </c>
      <c r="B385" s="1">
        <v>3.9788000000000001</v>
      </c>
      <c r="C385" s="1">
        <f>Tabela13[[#This Row],[Alongamento (mm/mm)]]/$I$2</f>
        <v>7.9576000000000008E-2</v>
      </c>
      <c r="D385" s="1">
        <v>309.24</v>
      </c>
      <c r="E385" s="1">
        <f>Tabela13[[#This Row],[Força (N)]]/$I$5</f>
        <v>6417485.1775682699</v>
      </c>
      <c r="F385" s="1">
        <f>Tabela13[[#This Row],[Tensão (Pa)]]/1000000</f>
        <v>6.4174851775682695</v>
      </c>
    </row>
    <row r="386" spans="1:6" x14ac:dyDescent="0.3">
      <c r="A386" s="1">
        <v>47.933</v>
      </c>
      <c r="B386" s="1">
        <v>3.9870000000000001</v>
      </c>
      <c r="C386" s="1">
        <f>Tabela13[[#This Row],[Alongamento (mm/mm)]]/$I$2</f>
        <v>7.9740000000000005E-2</v>
      </c>
      <c r="D386" s="1">
        <v>311.62</v>
      </c>
      <c r="E386" s="1">
        <f>Tabela13[[#This Row],[Força (N)]]/$I$5</f>
        <v>6466875.9896320794</v>
      </c>
      <c r="F386" s="1">
        <f>Tabela13[[#This Row],[Tensão (Pa)]]/1000000</f>
        <v>6.4668759896320793</v>
      </c>
    </row>
    <row r="387" spans="1:6" x14ac:dyDescent="0.3">
      <c r="A387" s="1">
        <v>48.033000000000001</v>
      </c>
      <c r="B387" s="1">
        <v>3.9954000000000001</v>
      </c>
      <c r="C387" s="1">
        <f>Tabela13[[#This Row],[Alongamento (mm/mm)]]/$I$2</f>
        <v>7.9908000000000007E-2</v>
      </c>
      <c r="D387" s="1">
        <v>314.17</v>
      </c>
      <c r="E387" s="1">
        <f>Tabela13[[#This Row],[Força (N)]]/$I$5</f>
        <v>6519794.7168433042</v>
      </c>
      <c r="F387" s="1">
        <f>Tabela13[[#This Row],[Tensão (Pa)]]/1000000</f>
        <v>6.5197947168433039</v>
      </c>
    </row>
    <row r="388" spans="1:6" x14ac:dyDescent="0.3">
      <c r="A388" s="1">
        <v>48.133000000000003</v>
      </c>
      <c r="B388" s="1">
        <v>4.0037000000000003</v>
      </c>
      <c r="C388" s="1">
        <f>Tabela13[[#This Row],[Alongamento (mm/mm)]]/$I$2</f>
        <v>8.0074000000000006E-2</v>
      </c>
      <c r="D388" s="1">
        <v>316.55</v>
      </c>
      <c r="E388" s="1">
        <f>Tabela13[[#This Row],[Força (N)]]/$I$5</f>
        <v>6569185.5289071137</v>
      </c>
      <c r="F388" s="1">
        <f>Tabela13[[#This Row],[Tensão (Pa)]]/1000000</f>
        <v>6.5691855289071137</v>
      </c>
    </row>
    <row r="389" spans="1:6" x14ac:dyDescent="0.3">
      <c r="A389" s="1">
        <v>48.232999999999997</v>
      </c>
      <c r="B389" s="1">
        <v>4.0121000000000002</v>
      </c>
      <c r="C389" s="1">
        <f>Tabela13[[#This Row],[Alongamento (mm/mm)]]/$I$2</f>
        <v>8.0242000000000008E-2</v>
      </c>
      <c r="D389" s="1">
        <v>318.94</v>
      </c>
      <c r="E389" s="1">
        <f>Tabela13[[#This Row],[Força (N)]]/$I$5</f>
        <v>6618783.8653913597</v>
      </c>
      <c r="F389" s="1">
        <f>Tabela13[[#This Row],[Tensão (Pa)]]/1000000</f>
        <v>6.61878386539136</v>
      </c>
    </row>
    <row r="390" spans="1:6" x14ac:dyDescent="0.3">
      <c r="A390" s="1">
        <v>48.332999999999998</v>
      </c>
      <c r="B390" s="1">
        <v>4.0204000000000004</v>
      </c>
      <c r="C390" s="1">
        <f>Tabela13[[#This Row],[Alongamento (mm/mm)]]/$I$2</f>
        <v>8.0408000000000007E-2</v>
      </c>
      <c r="D390" s="1">
        <v>321.49</v>
      </c>
      <c r="E390" s="1">
        <f>Tabela13[[#This Row],[Força (N)]]/$I$5</f>
        <v>6671702.5926025836</v>
      </c>
      <c r="F390" s="1">
        <f>Tabela13[[#This Row],[Tensão (Pa)]]/1000000</f>
        <v>6.6717025926025837</v>
      </c>
    </row>
    <row r="391" spans="1:6" x14ac:dyDescent="0.3">
      <c r="A391" s="1">
        <v>48.433</v>
      </c>
      <c r="B391" s="1">
        <v>4.0286999999999997</v>
      </c>
      <c r="C391" s="1">
        <f>Tabela13[[#This Row],[Alongamento (mm/mm)]]/$I$2</f>
        <v>8.0573999999999993E-2</v>
      </c>
      <c r="D391" s="1">
        <v>324.04000000000002</v>
      </c>
      <c r="E391" s="1">
        <f>Tabela13[[#This Row],[Força (N)]]/$I$5</f>
        <v>6724621.3198138084</v>
      </c>
      <c r="F391" s="1">
        <f>Tabela13[[#This Row],[Tensão (Pa)]]/1000000</f>
        <v>6.7246213198138083</v>
      </c>
    </row>
    <row r="392" spans="1:6" x14ac:dyDescent="0.3">
      <c r="A392" s="1">
        <v>48.533000000000001</v>
      </c>
      <c r="B392" s="1">
        <v>4.0369999999999999</v>
      </c>
      <c r="C392" s="1">
        <f>Tabela13[[#This Row],[Alongamento (mm/mm)]]/$I$2</f>
        <v>8.0739999999999992E-2</v>
      </c>
      <c r="D392" s="1">
        <v>326.58999999999997</v>
      </c>
      <c r="E392" s="1">
        <f>Tabela13[[#This Row],[Força (N)]]/$I$5</f>
        <v>6777540.0470250323</v>
      </c>
      <c r="F392" s="1">
        <f>Tabela13[[#This Row],[Tensão (Pa)]]/1000000</f>
        <v>6.777540047025032</v>
      </c>
    </row>
    <row r="393" spans="1:6" x14ac:dyDescent="0.3">
      <c r="A393" s="1">
        <v>48.633000000000003</v>
      </c>
      <c r="B393" s="1">
        <v>4.0453999999999999</v>
      </c>
      <c r="C393" s="1">
        <f>Tabela13[[#This Row],[Alongamento (mm/mm)]]/$I$2</f>
        <v>8.0907999999999994E-2</v>
      </c>
      <c r="D393" s="1">
        <v>329.14</v>
      </c>
      <c r="E393" s="1">
        <f>Tabela13[[#This Row],[Força (N)]]/$I$5</f>
        <v>6830458.7742362572</v>
      </c>
      <c r="F393" s="1">
        <f>Tabela13[[#This Row],[Tensão (Pa)]]/1000000</f>
        <v>6.8304587742362575</v>
      </c>
    </row>
    <row r="394" spans="1:6" x14ac:dyDescent="0.3">
      <c r="A394" s="1">
        <v>48.732999999999997</v>
      </c>
      <c r="B394" s="1">
        <v>4.0537000000000001</v>
      </c>
      <c r="C394" s="1">
        <f>Tabela13[[#This Row],[Alongamento (mm/mm)]]/$I$2</f>
        <v>8.1074000000000007E-2</v>
      </c>
      <c r="D394" s="1">
        <v>331.69</v>
      </c>
      <c r="E394" s="1">
        <f>Tabela13[[#This Row],[Força (N)]]/$I$5</f>
        <v>6883377.501447482</v>
      </c>
      <c r="F394" s="1">
        <f>Tabela13[[#This Row],[Tensão (Pa)]]/1000000</f>
        <v>6.8833775014474821</v>
      </c>
    </row>
    <row r="395" spans="1:6" x14ac:dyDescent="0.3">
      <c r="A395" s="1">
        <v>48.832999999999998</v>
      </c>
      <c r="B395" s="1">
        <v>4.0621</v>
      </c>
      <c r="C395" s="1">
        <f>Tabela13[[#This Row],[Alongamento (mm/mm)]]/$I$2</f>
        <v>8.1241999999999995E-2</v>
      </c>
      <c r="D395" s="1">
        <v>334.24</v>
      </c>
      <c r="E395" s="1">
        <f>Tabela13[[#This Row],[Força (N)]]/$I$5</f>
        <v>6936296.2286587069</v>
      </c>
      <c r="F395" s="1">
        <f>Tabela13[[#This Row],[Tensão (Pa)]]/1000000</f>
        <v>6.9362962286587067</v>
      </c>
    </row>
    <row r="396" spans="1:6" x14ac:dyDescent="0.3">
      <c r="A396" s="1">
        <v>48.933</v>
      </c>
      <c r="B396" s="1">
        <v>4.0704000000000002</v>
      </c>
      <c r="C396" s="1">
        <f>Tabela13[[#This Row],[Alongamento (mm/mm)]]/$I$2</f>
        <v>8.1408000000000008E-2</v>
      </c>
      <c r="D396" s="1">
        <v>336.63</v>
      </c>
      <c r="E396" s="1">
        <f>Tabela13[[#This Row],[Força (N)]]/$I$5</f>
        <v>6985894.5651429528</v>
      </c>
      <c r="F396" s="1">
        <f>Tabela13[[#This Row],[Tensão (Pa)]]/1000000</f>
        <v>6.9858945651429529</v>
      </c>
    </row>
    <row r="397" spans="1:6" x14ac:dyDescent="0.3">
      <c r="A397" s="1">
        <v>49.033000000000001</v>
      </c>
      <c r="B397" s="1">
        <v>4.0787000000000004</v>
      </c>
      <c r="C397" s="1">
        <f>Tabela13[[#This Row],[Alongamento (mm/mm)]]/$I$2</f>
        <v>8.1574000000000008E-2</v>
      </c>
      <c r="D397" s="1">
        <v>339.18</v>
      </c>
      <c r="E397" s="1">
        <f>Tabela13[[#This Row],[Força (N)]]/$I$5</f>
        <v>7038813.2923541768</v>
      </c>
      <c r="F397" s="1">
        <f>Tabela13[[#This Row],[Tensão (Pa)]]/1000000</f>
        <v>7.0388132923541766</v>
      </c>
    </row>
    <row r="398" spans="1:6" x14ac:dyDescent="0.3">
      <c r="A398" s="1">
        <v>49.133000000000003</v>
      </c>
      <c r="B398" s="1">
        <v>4.0869999999999997</v>
      </c>
      <c r="C398" s="1">
        <f>Tabela13[[#This Row],[Alongamento (mm/mm)]]/$I$2</f>
        <v>8.1739999999999993E-2</v>
      </c>
      <c r="D398" s="1">
        <v>341.73</v>
      </c>
      <c r="E398" s="1">
        <f>Tabela13[[#This Row],[Força (N)]]/$I$5</f>
        <v>7091732.0195654016</v>
      </c>
      <c r="F398" s="1">
        <f>Tabela13[[#This Row],[Tensão (Pa)]]/1000000</f>
        <v>7.0917320195654012</v>
      </c>
    </row>
    <row r="399" spans="1:6" x14ac:dyDescent="0.3">
      <c r="A399" s="1">
        <v>49.232999999999997</v>
      </c>
      <c r="B399" s="1">
        <v>4.0953999999999997</v>
      </c>
      <c r="C399" s="1">
        <f>Tabela13[[#This Row],[Alongamento (mm/mm)]]/$I$2</f>
        <v>8.1907999999999995E-2</v>
      </c>
      <c r="D399" s="1">
        <v>344.28</v>
      </c>
      <c r="E399" s="1">
        <f>Tabela13[[#This Row],[Força (N)]]/$I$5</f>
        <v>7144650.7467766255</v>
      </c>
      <c r="F399" s="1">
        <f>Tabela13[[#This Row],[Tensão (Pa)]]/1000000</f>
        <v>7.1446507467766258</v>
      </c>
    </row>
    <row r="400" spans="1:6" x14ac:dyDescent="0.3">
      <c r="A400" s="1">
        <v>49.332999999999998</v>
      </c>
      <c r="B400" s="1">
        <v>4.1037999999999997</v>
      </c>
      <c r="C400" s="1">
        <f>Tabela13[[#This Row],[Alongamento (mm/mm)]]/$I$2</f>
        <v>8.2075999999999996E-2</v>
      </c>
      <c r="D400" s="1">
        <v>346.83</v>
      </c>
      <c r="E400" s="1">
        <f>Tabela13[[#This Row],[Força (N)]]/$I$5</f>
        <v>7197569.4739878504</v>
      </c>
      <c r="F400" s="1">
        <f>Tabela13[[#This Row],[Tensão (Pa)]]/1000000</f>
        <v>7.1975694739878504</v>
      </c>
    </row>
    <row r="401" spans="1:6" x14ac:dyDescent="0.3">
      <c r="A401" s="1">
        <v>49.433</v>
      </c>
      <c r="B401" s="1">
        <v>4.1120000000000001</v>
      </c>
      <c r="C401" s="1">
        <f>Tabela13[[#This Row],[Alongamento (mm/mm)]]/$I$2</f>
        <v>8.2240000000000008E-2</v>
      </c>
      <c r="D401" s="1">
        <v>349.38</v>
      </c>
      <c r="E401" s="1">
        <f>Tabela13[[#This Row],[Força (N)]]/$I$5</f>
        <v>7250488.2011990752</v>
      </c>
      <c r="F401" s="1">
        <f>Tabela13[[#This Row],[Tensão (Pa)]]/1000000</f>
        <v>7.250488201199075</v>
      </c>
    </row>
    <row r="402" spans="1:6" x14ac:dyDescent="0.3">
      <c r="A402" s="1">
        <v>49.55</v>
      </c>
      <c r="B402" s="1">
        <v>4.1216999999999997</v>
      </c>
      <c r="C402" s="1">
        <f>Tabela13[[#This Row],[Alongamento (mm/mm)]]/$I$2</f>
        <v>8.2433999999999993E-2</v>
      </c>
      <c r="D402" s="1">
        <v>352.27</v>
      </c>
      <c r="E402" s="1">
        <f>Tabela13[[#This Row],[Força (N)]]/$I$5</f>
        <v>7310462.7587051298</v>
      </c>
      <c r="F402" s="1">
        <f>Tabela13[[#This Row],[Tensão (Pa)]]/1000000</f>
        <v>7.3104627587051301</v>
      </c>
    </row>
    <row r="403" spans="1:6" x14ac:dyDescent="0.3">
      <c r="A403" s="1">
        <v>49.667000000000002</v>
      </c>
      <c r="B403" s="1">
        <v>4.1315</v>
      </c>
      <c r="C403" s="1">
        <f>Tabela13[[#This Row],[Alongamento (mm/mm)]]/$I$2</f>
        <v>8.2629999999999995E-2</v>
      </c>
      <c r="D403" s="1">
        <v>355.34</v>
      </c>
      <c r="E403" s="1">
        <f>Tabela13[[#This Row],[Força (N)]]/$I$5</f>
        <v>7374172.7557790354</v>
      </c>
      <c r="F403" s="1">
        <f>Tabela13[[#This Row],[Tensão (Pa)]]/1000000</f>
        <v>7.3741727557790355</v>
      </c>
    </row>
    <row r="404" spans="1:6" x14ac:dyDescent="0.3">
      <c r="A404" s="1">
        <v>49.783000000000001</v>
      </c>
      <c r="B404" s="1">
        <v>4.1412000000000004</v>
      </c>
      <c r="C404" s="1">
        <f>Tabela13[[#This Row],[Alongamento (mm/mm)]]/$I$2</f>
        <v>8.2824000000000009E-2</v>
      </c>
      <c r="D404" s="1">
        <v>358.23</v>
      </c>
      <c r="E404" s="1">
        <f>Tabela13[[#This Row],[Força (N)]]/$I$5</f>
        <v>7434147.31328509</v>
      </c>
      <c r="F404" s="1">
        <f>Tabela13[[#This Row],[Tensão (Pa)]]/1000000</f>
        <v>7.4341473132850897</v>
      </c>
    </row>
    <row r="405" spans="1:6" x14ac:dyDescent="0.3">
      <c r="A405" s="1">
        <v>49.883000000000003</v>
      </c>
      <c r="B405" s="1">
        <v>4.1494999999999997</v>
      </c>
      <c r="C405" s="1">
        <f>Tabela13[[#This Row],[Alongamento (mm/mm)]]/$I$2</f>
        <v>8.2989999999999994E-2</v>
      </c>
      <c r="D405" s="1">
        <v>360.95</v>
      </c>
      <c r="E405" s="1">
        <f>Tabela13[[#This Row],[Força (N)]]/$I$5</f>
        <v>7490593.9556437293</v>
      </c>
      <c r="F405" s="1">
        <f>Tabela13[[#This Row],[Tensão (Pa)]]/1000000</f>
        <v>7.4905939556437291</v>
      </c>
    </row>
    <row r="406" spans="1:6" x14ac:dyDescent="0.3">
      <c r="A406" s="1">
        <v>50</v>
      </c>
      <c r="B406" s="1">
        <v>4.1592000000000002</v>
      </c>
      <c r="C406" s="1">
        <f>Tabela13[[#This Row],[Alongamento (mm/mm)]]/$I$2</f>
        <v>8.3184000000000008E-2</v>
      </c>
      <c r="D406" s="1">
        <v>363.84</v>
      </c>
      <c r="E406" s="1">
        <f>Tabela13[[#This Row],[Força (N)]]/$I$5</f>
        <v>7550568.5131497839</v>
      </c>
      <c r="F406" s="1">
        <f>Tabela13[[#This Row],[Tensão (Pa)]]/1000000</f>
        <v>7.5505685131497842</v>
      </c>
    </row>
    <row r="407" spans="1:6" x14ac:dyDescent="0.3">
      <c r="A407" s="1">
        <v>50.116999999999997</v>
      </c>
      <c r="B407" s="1">
        <v>4.1689999999999996</v>
      </c>
      <c r="C407" s="1">
        <f>Tabela13[[#This Row],[Alongamento (mm/mm)]]/$I$2</f>
        <v>8.3379999999999996E-2</v>
      </c>
      <c r="D407" s="1">
        <v>366.9</v>
      </c>
      <c r="E407" s="1">
        <f>Tabela13[[#This Row],[Força (N)]]/$I$5</f>
        <v>7614070.985803253</v>
      </c>
      <c r="F407" s="1">
        <f>Tabela13[[#This Row],[Tensão (Pa)]]/1000000</f>
        <v>7.6140709858032531</v>
      </c>
    </row>
    <row r="408" spans="1:6" x14ac:dyDescent="0.3">
      <c r="A408" s="1">
        <v>50.232999999999997</v>
      </c>
      <c r="B408" s="1">
        <v>4.1787000000000001</v>
      </c>
      <c r="C408" s="1">
        <f>Tabela13[[#This Row],[Alongamento (mm/mm)]]/$I$2</f>
        <v>8.3573999999999996E-2</v>
      </c>
      <c r="D408" s="1">
        <v>369.79</v>
      </c>
      <c r="E408" s="1">
        <f>Tabela13[[#This Row],[Força (N)]]/$I$5</f>
        <v>7674045.5433093086</v>
      </c>
      <c r="F408" s="1">
        <f>Tabela13[[#This Row],[Tensão (Pa)]]/1000000</f>
        <v>7.6740455433093082</v>
      </c>
    </row>
    <row r="409" spans="1:6" x14ac:dyDescent="0.3">
      <c r="A409" s="1">
        <v>50.35</v>
      </c>
      <c r="B409" s="1">
        <v>4.1883999999999997</v>
      </c>
      <c r="C409" s="1">
        <f>Tabela13[[#This Row],[Alongamento (mm/mm)]]/$I$2</f>
        <v>8.3767999999999995E-2</v>
      </c>
      <c r="D409" s="1">
        <v>372.86</v>
      </c>
      <c r="E409" s="1">
        <f>Tabela13[[#This Row],[Força (N)]]/$I$5</f>
        <v>7737755.5403832141</v>
      </c>
      <c r="F409" s="1">
        <f>Tabela13[[#This Row],[Tensão (Pa)]]/1000000</f>
        <v>7.7377555403832146</v>
      </c>
    </row>
    <row r="410" spans="1:6" x14ac:dyDescent="0.3">
      <c r="A410" s="1">
        <v>50.466999999999999</v>
      </c>
      <c r="B410" s="1">
        <v>4.1981999999999999</v>
      </c>
      <c r="C410" s="1">
        <f>Tabela13[[#This Row],[Alongamento (mm/mm)]]/$I$2</f>
        <v>8.3963999999999997E-2</v>
      </c>
      <c r="D410" s="1">
        <v>375.92</v>
      </c>
      <c r="E410" s="1">
        <f>Tabela13[[#This Row],[Força (N)]]/$I$5</f>
        <v>7801258.0130366832</v>
      </c>
      <c r="F410" s="1">
        <f>Tabela13[[#This Row],[Tensão (Pa)]]/1000000</f>
        <v>7.8012580130366835</v>
      </c>
    </row>
    <row r="411" spans="1:6" x14ac:dyDescent="0.3">
      <c r="A411" s="1">
        <v>50.567</v>
      </c>
      <c r="B411" s="1">
        <v>4.2065000000000001</v>
      </c>
      <c r="C411" s="1">
        <f>Tabela13[[#This Row],[Alongamento (mm/mm)]]/$I$2</f>
        <v>8.4129999999999996E-2</v>
      </c>
      <c r="D411" s="1">
        <v>378.64</v>
      </c>
      <c r="E411" s="1">
        <f>Tabela13[[#This Row],[Força (N)]]/$I$5</f>
        <v>7857704.6553953225</v>
      </c>
      <c r="F411" s="1">
        <f>Tabela13[[#This Row],[Tensão (Pa)]]/1000000</f>
        <v>7.857704655395322</v>
      </c>
    </row>
    <row r="412" spans="1:6" x14ac:dyDescent="0.3">
      <c r="A412" s="1">
        <v>50.683</v>
      </c>
      <c r="B412" s="1">
        <v>4.2163000000000004</v>
      </c>
      <c r="C412" s="1">
        <f>Tabela13[[#This Row],[Alongamento (mm/mm)]]/$I$2</f>
        <v>8.4326000000000012E-2</v>
      </c>
      <c r="D412" s="1">
        <v>381.7</v>
      </c>
      <c r="E412" s="1">
        <f>Tabela13[[#This Row],[Força (N)]]/$I$5</f>
        <v>7921207.1280487925</v>
      </c>
      <c r="F412" s="1">
        <f>Tabela13[[#This Row],[Tensão (Pa)]]/1000000</f>
        <v>7.9212071280487928</v>
      </c>
    </row>
    <row r="413" spans="1:6" x14ac:dyDescent="0.3">
      <c r="A413" s="1">
        <v>50.8</v>
      </c>
      <c r="B413" s="1">
        <v>4.2259000000000002</v>
      </c>
      <c r="C413" s="1">
        <f>Tabela13[[#This Row],[Alongamento (mm/mm)]]/$I$2</f>
        <v>8.451800000000001E-2</v>
      </c>
      <c r="D413" s="1">
        <v>384.76</v>
      </c>
      <c r="E413" s="1">
        <f>Tabela13[[#This Row],[Força (N)]]/$I$5</f>
        <v>7984709.6007022616</v>
      </c>
      <c r="F413" s="1">
        <f>Tabela13[[#This Row],[Tensão (Pa)]]/1000000</f>
        <v>7.9847096007022618</v>
      </c>
    </row>
    <row r="414" spans="1:6" x14ac:dyDescent="0.3">
      <c r="A414" s="1">
        <v>50.9</v>
      </c>
      <c r="B414" s="1">
        <v>4.2342000000000004</v>
      </c>
      <c r="C414" s="1">
        <f>Tabela13[[#This Row],[Alongamento (mm/mm)]]/$I$2</f>
        <v>8.4684000000000009E-2</v>
      </c>
      <c r="D414" s="1">
        <v>387.49</v>
      </c>
      <c r="E414" s="1">
        <f>Tabela13[[#This Row],[Força (N)]]/$I$5</f>
        <v>8041363.7674813373</v>
      </c>
      <c r="F414" s="1">
        <f>Tabela13[[#This Row],[Tensão (Pa)]]/1000000</f>
        <v>8.0413637674813376</v>
      </c>
    </row>
    <row r="415" spans="1:6" x14ac:dyDescent="0.3">
      <c r="A415" s="1">
        <v>51.017000000000003</v>
      </c>
      <c r="B415" s="1">
        <v>4.2439999999999998</v>
      </c>
      <c r="C415" s="1">
        <f>Tabela13[[#This Row],[Alongamento (mm/mm)]]/$I$2</f>
        <v>8.4879999999999997E-2</v>
      </c>
      <c r="D415" s="1">
        <v>390.55</v>
      </c>
      <c r="E415" s="1">
        <f>Tabela13[[#This Row],[Força (N)]]/$I$5</f>
        <v>8104866.2401348073</v>
      </c>
      <c r="F415" s="1">
        <f>Tabela13[[#This Row],[Tensão (Pa)]]/1000000</f>
        <v>8.1048662401348075</v>
      </c>
    </row>
    <row r="416" spans="1:6" x14ac:dyDescent="0.3">
      <c r="A416" s="1">
        <v>51.116999999999997</v>
      </c>
      <c r="B416" s="1">
        <v>4.2523999999999997</v>
      </c>
      <c r="C416" s="1">
        <f>Tabela13[[#This Row],[Alongamento (mm/mm)]]/$I$2</f>
        <v>8.5047999999999999E-2</v>
      </c>
      <c r="D416" s="1">
        <v>393.27</v>
      </c>
      <c r="E416" s="1">
        <f>Tabela13[[#This Row],[Força (N)]]/$I$5</f>
        <v>8161312.8824934466</v>
      </c>
      <c r="F416" s="1">
        <f>Tabela13[[#This Row],[Tensão (Pa)]]/1000000</f>
        <v>8.161312882493446</v>
      </c>
    </row>
    <row r="417" spans="1:6" x14ac:dyDescent="0.3">
      <c r="A417" s="1">
        <v>51.232999999999997</v>
      </c>
      <c r="B417" s="1">
        <v>4.2621000000000002</v>
      </c>
      <c r="C417" s="1">
        <f>Tabela13[[#This Row],[Alongamento (mm/mm)]]/$I$2</f>
        <v>8.5241999999999998E-2</v>
      </c>
      <c r="D417" s="1">
        <v>396.33</v>
      </c>
      <c r="E417" s="1">
        <f>Tabela13[[#This Row],[Força (N)]]/$I$5</f>
        <v>8224815.3551469157</v>
      </c>
      <c r="F417" s="1">
        <f>Tabela13[[#This Row],[Tensão (Pa)]]/1000000</f>
        <v>8.2248153551469159</v>
      </c>
    </row>
    <row r="418" spans="1:6" x14ac:dyDescent="0.3">
      <c r="A418" s="1">
        <v>51.35</v>
      </c>
      <c r="B418" s="1">
        <v>4.2717000000000001</v>
      </c>
      <c r="C418" s="1">
        <f>Tabela13[[#This Row],[Alongamento (mm/mm)]]/$I$2</f>
        <v>8.5433999999999996E-2</v>
      </c>
      <c r="D418" s="1">
        <v>399.39</v>
      </c>
      <c r="E418" s="1">
        <f>Tabela13[[#This Row],[Força (N)]]/$I$5</f>
        <v>8288317.8278003857</v>
      </c>
      <c r="F418" s="1">
        <f>Tabela13[[#This Row],[Tensão (Pa)]]/1000000</f>
        <v>8.2883178278003857</v>
      </c>
    </row>
    <row r="419" spans="1:6" x14ac:dyDescent="0.3">
      <c r="A419" s="1">
        <v>51.466999999999999</v>
      </c>
      <c r="B419" s="1">
        <v>4.2815000000000003</v>
      </c>
      <c r="C419" s="1">
        <f>Tabela13[[#This Row],[Alongamento (mm/mm)]]/$I$2</f>
        <v>8.5630000000000012E-2</v>
      </c>
      <c r="D419" s="1">
        <v>402.62</v>
      </c>
      <c r="E419" s="1">
        <f>Tabela13[[#This Row],[Força (N)]]/$I$5</f>
        <v>8355348.2156012701</v>
      </c>
      <c r="F419" s="1">
        <f>Tabela13[[#This Row],[Tensão (Pa)]]/1000000</f>
        <v>8.3553482156012695</v>
      </c>
    </row>
    <row r="420" spans="1:6" x14ac:dyDescent="0.3">
      <c r="A420" s="1">
        <v>51.582999999999998</v>
      </c>
      <c r="B420" s="1">
        <v>4.2912999999999997</v>
      </c>
      <c r="C420" s="1">
        <f>Tabela13[[#This Row],[Alongamento (mm/mm)]]/$I$2</f>
        <v>8.5826E-2</v>
      </c>
      <c r="D420" s="1">
        <v>405.69</v>
      </c>
      <c r="E420" s="1">
        <f>Tabela13[[#This Row],[Força (N)]]/$I$5</f>
        <v>8419058.2126751766</v>
      </c>
      <c r="F420" s="1">
        <f>Tabela13[[#This Row],[Tensão (Pa)]]/1000000</f>
        <v>8.4190582126751767</v>
      </c>
    </row>
    <row r="421" spans="1:6" x14ac:dyDescent="0.3">
      <c r="A421" s="1">
        <v>51.7</v>
      </c>
      <c r="B421" s="1">
        <v>4.3010000000000002</v>
      </c>
      <c r="C421" s="1">
        <f>Tabela13[[#This Row],[Alongamento (mm/mm)]]/$I$2</f>
        <v>8.6019999999999999E-2</v>
      </c>
      <c r="D421" s="1">
        <v>408.92</v>
      </c>
      <c r="E421" s="1">
        <f>Tabela13[[#This Row],[Força (N)]]/$I$5</f>
        <v>8486088.6004760601</v>
      </c>
      <c r="F421" s="1">
        <f>Tabela13[[#This Row],[Tensão (Pa)]]/1000000</f>
        <v>8.4860886004760605</v>
      </c>
    </row>
    <row r="422" spans="1:6" x14ac:dyDescent="0.3">
      <c r="A422" s="1">
        <v>51.817</v>
      </c>
      <c r="B422" s="1">
        <v>4.3106999999999998</v>
      </c>
      <c r="C422" s="1">
        <f>Tabela13[[#This Row],[Alongamento (mm/mm)]]/$I$2</f>
        <v>8.6213999999999999E-2</v>
      </c>
      <c r="D422" s="1">
        <v>412.15</v>
      </c>
      <c r="E422" s="1">
        <f>Tabela13[[#This Row],[Força (N)]]/$I$5</f>
        <v>8553118.9882769436</v>
      </c>
      <c r="F422" s="1">
        <f>Tabela13[[#This Row],[Tensão (Pa)]]/1000000</f>
        <v>8.5531189882769443</v>
      </c>
    </row>
    <row r="423" spans="1:6" x14ac:dyDescent="0.3">
      <c r="A423" s="1">
        <v>51.933</v>
      </c>
      <c r="B423" s="1">
        <v>4.3204000000000002</v>
      </c>
      <c r="C423" s="1">
        <f>Tabela13[[#This Row],[Alongamento (mm/mm)]]/$I$2</f>
        <v>8.6407999999999999E-2</v>
      </c>
      <c r="D423" s="1">
        <v>415.55</v>
      </c>
      <c r="E423" s="1">
        <f>Tabela13[[#This Row],[Força (N)]]/$I$5</f>
        <v>8623677.2912252434</v>
      </c>
      <c r="F423" s="1">
        <f>Tabela13[[#This Row],[Tensão (Pa)]]/1000000</f>
        <v>8.6236772912252437</v>
      </c>
    </row>
    <row r="424" spans="1:6" x14ac:dyDescent="0.3">
      <c r="A424" s="1">
        <v>52.05</v>
      </c>
      <c r="B424" s="1">
        <v>4.3301999999999996</v>
      </c>
      <c r="C424" s="1">
        <f>Tabela13[[#This Row],[Alongamento (mm/mm)]]/$I$2</f>
        <v>8.6603999999999987E-2</v>
      </c>
      <c r="D424" s="1">
        <v>418.78</v>
      </c>
      <c r="E424" s="1">
        <f>Tabela13[[#This Row],[Força (N)]]/$I$5</f>
        <v>8690707.6790261287</v>
      </c>
      <c r="F424" s="1">
        <f>Tabela13[[#This Row],[Tensão (Pa)]]/1000000</f>
        <v>8.6907076790261293</v>
      </c>
    </row>
    <row r="425" spans="1:6" x14ac:dyDescent="0.3">
      <c r="A425" s="1">
        <v>52.167000000000002</v>
      </c>
      <c r="B425" s="1">
        <v>4.3399000000000001</v>
      </c>
      <c r="C425" s="1">
        <f>Tabela13[[#This Row],[Alongamento (mm/mm)]]/$I$2</f>
        <v>8.6798E-2</v>
      </c>
      <c r="D425" s="1">
        <v>422.19</v>
      </c>
      <c r="E425" s="1">
        <f>Tabela13[[#This Row],[Força (N)]]/$I$5</f>
        <v>8761473.506394865</v>
      </c>
      <c r="F425" s="1">
        <f>Tabela13[[#This Row],[Tensão (Pa)]]/1000000</f>
        <v>8.7614735063948643</v>
      </c>
    </row>
    <row r="426" spans="1:6" x14ac:dyDescent="0.3">
      <c r="A426" s="1">
        <v>52.283000000000001</v>
      </c>
      <c r="B426" s="1">
        <v>4.3494999999999999</v>
      </c>
      <c r="C426" s="1">
        <f>Tabela13[[#This Row],[Alongamento (mm/mm)]]/$I$2</f>
        <v>8.6989999999999998E-2</v>
      </c>
      <c r="D426" s="1">
        <v>425.42</v>
      </c>
      <c r="E426" s="1">
        <f>Tabela13[[#This Row],[Força (N)]]/$I$5</f>
        <v>8828503.8941957485</v>
      </c>
      <c r="F426" s="1">
        <f>Tabela13[[#This Row],[Tensão (Pa)]]/1000000</f>
        <v>8.8285038941957481</v>
      </c>
    </row>
    <row r="427" spans="1:6" x14ac:dyDescent="0.3">
      <c r="A427" s="1">
        <v>52.4</v>
      </c>
      <c r="B427" s="1">
        <v>4.3592000000000004</v>
      </c>
      <c r="C427" s="1">
        <f>Tabela13[[#This Row],[Alongamento (mm/mm)]]/$I$2</f>
        <v>8.7184000000000011E-2</v>
      </c>
      <c r="D427" s="1">
        <v>428.82</v>
      </c>
      <c r="E427" s="1">
        <f>Tabela13[[#This Row],[Força (N)]]/$I$5</f>
        <v>8899062.1971440483</v>
      </c>
      <c r="F427" s="1">
        <f>Tabela13[[#This Row],[Tensão (Pa)]]/1000000</f>
        <v>8.8990621971440476</v>
      </c>
    </row>
    <row r="428" spans="1:6" x14ac:dyDescent="0.3">
      <c r="A428" s="1">
        <v>52.517000000000003</v>
      </c>
      <c r="B428" s="1">
        <v>4.3689999999999998</v>
      </c>
      <c r="C428" s="1">
        <f>Tabela13[[#This Row],[Alongamento (mm/mm)]]/$I$2</f>
        <v>8.7379999999999999E-2</v>
      </c>
      <c r="D428" s="1">
        <v>432.05</v>
      </c>
      <c r="E428" s="1">
        <f>Tabela13[[#This Row],[Força (N)]]/$I$5</f>
        <v>8966092.5849449318</v>
      </c>
      <c r="F428" s="1">
        <f>Tabela13[[#This Row],[Tensão (Pa)]]/1000000</f>
        <v>8.9660925849449313</v>
      </c>
    </row>
    <row r="429" spans="1:6" x14ac:dyDescent="0.3">
      <c r="A429" s="1">
        <v>52.633000000000003</v>
      </c>
      <c r="B429" s="1">
        <v>4.3788</v>
      </c>
      <c r="C429" s="1">
        <f>Tabela13[[#This Row],[Alongamento (mm/mm)]]/$I$2</f>
        <v>8.7576000000000001E-2</v>
      </c>
      <c r="D429" s="1">
        <v>435.45</v>
      </c>
      <c r="E429" s="1">
        <f>Tabela13[[#This Row],[Força (N)]]/$I$5</f>
        <v>9036650.8878932316</v>
      </c>
      <c r="F429" s="1">
        <f>Tabela13[[#This Row],[Tensão (Pa)]]/1000000</f>
        <v>9.0366508878932308</v>
      </c>
    </row>
    <row r="430" spans="1:6" x14ac:dyDescent="0.3">
      <c r="A430" s="1">
        <v>52.75</v>
      </c>
      <c r="B430" s="1">
        <v>4.3884999999999996</v>
      </c>
      <c r="C430" s="1">
        <f>Tabela13[[#This Row],[Alongamento (mm/mm)]]/$I$2</f>
        <v>8.7769999999999987E-2</v>
      </c>
      <c r="D430" s="1">
        <v>438.85</v>
      </c>
      <c r="E430" s="1">
        <f>Tabela13[[#This Row],[Força (N)]]/$I$5</f>
        <v>9107209.1908415314</v>
      </c>
      <c r="F430" s="1">
        <f>Tabela13[[#This Row],[Tensão (Pa)]]/1000000</f>
        <v>9.107209190841532</v>
      </c>
    </row>
    <row r="431" spans="1:6" x14ac:dyDescent="0.3">
      <c r="A431" s="1">
        <v>52.866999999999997</v>
      </c>
      <c r="B431" s="1">
        <v>4.3981000000000003</v>
      </c>
      <c r="C431" s="1">
        <f>Tabela13[[#This Row],[Alongamento (mm/mm)]]/$I$2</f>
        <v>8.7962000000000012E-2</v>
      </c>
      <c r="D431" s="1">
        <v>442.43</v>
      </c>
      <c r="E431" s="1">
        <f>Tabela13[[#This Row],[Força (N)]]/$I$5</f>
        <v>9181502.9333576821</v>
      </c>
      <c r="F431" s="1">
        <f>Tabela13[[#This Row],[Tensão (Pa)]]/1000000</f>
        <v>9.1815029333576827</v>
      </c>
    </row>
    <row r="432" spans="1:6" x14ac:dyDescent="0.3">
      <c r="A432" s="1">
        <v>52.982999999999997</v>
      </c>
      <c r="B432" s="1">
        <v>4.4078999999999997</v>
      </c>
      <c r="C432" s="1">
        <f>Tabela13[[#This Row],[Alongamento (mm/mm)]]/$I$2</f>
        <v>8.8158E-2</v>
      </c>
      <c r="D432" s="1">
        <v>445.83</v>
      </c>
      <c r="E432" s="1">
        <f>Tabela13[[#This Row],[Força (N)]]/$I$5</f>
        <v>9252061.2363059819</v>
      </c>
      <c r="F432" s="1">
        <f>Tabela13[[#This Row],[Tensão (Pa)]]/1000000</f>
        <v>9.2520612363059822</v>
      </c>
    </row>
    <row r="433" spans="1:6" x14ac:dyDescent="0.3">
      <c r="A433" s="1">
        <v>53.1</v>
      </c>
      <c r="B433" s="1">
        <v>4.4176000000000002</v>
      </c>
      <c r="C433" s="1">
        <f>Tabela13[[#This Row],[Alongamento (mm/mm)]]/$I$2</f>
        <v>8.8352E-2</v>
      </c>
      <c r="D433" s="1">
        <v>449.4</v>
      </c>
      <c r="E433" s="1">
        <f>Tabela13[[#This Row],[Força (N)]]/$I$5</f>
        <v>9326147.4544016961</v>
      </c>
      <c r="F433" s="1">
        <f>Tabela13[[#This Row],[Tensão (Pa)]]/1000000</f>
        <v>9.3261474544016956</v>
      </c>
    </row>
    <row r="434" spans="1:6" x14ac:dyDescent="0.3">
      <c r="A434" s="1">
        <v>53.216999999999999</v>
      </c>
      <c r="B434" s="1">
        <v>4.4272999999999998</v>
      </c>
      <c r="C434" s="1">
        <f>Tabela13[[#This Row],[Alongamento (mm/mm)]]/$I$2</f>
        <v>8.8546E-2</v>
      </c>
      <c r="D434" s="1">
        <v>452.8</v>
      </c>
      <c r="E434" s="1">
        <f>Tabela13[[#This Row],[Força (N)]]/$I$5</f>
        <v>9396705.7573499959</v>
      </c>
      <c r="F434" s="1">
        <f>Tabela13[[#This Row],[Tensão (Pa)]]/1000000</f>
        <v>9.396705757349995</v>
      </c>
    </row>
    <row r="435" spans="1:6" x14ac:dyDescent="0.3">
      <c r="A435" s="1">
        <v>53.332999999999998</v>
      </c>
      <c r="B435" s="1">
        <v>4.4370000000000003</v>
      </c>
      <c r="C435" s="1">
        <f>Tabela13[[#This Row],[Alongamento (mm/mm)]]/$I$2</f>
        <v>8.8739999999999999E-2</v>
      </c>
      <c r="D435" s="1">
        <v>456.55</v>
      </c>
      <c r="E435" s="1">
        <f>Tabela13[[#This Row],[Força (N)]]/$I$5</f>
        <v>9474527.415013561</v>
      </c>
      <c r="F435" s="1">
        <f>Tabela13[[#This Row],[Tensão (Pa)]]/1000000</f>
        <v>9.4745274150135614</v>
      </c>
    </row>
    <row r="436" spans="1:6" x14ac:dyDescent="0.3">
      <c r="A436" s="1">
        <v>53.45</v>
      </c>
      <c r="B436" s="1">
        <v>4.4467999999999996</v>
      </c>
      <c r="C436" s="1">
        <f>Tabela13[[#This Row],[Alongamento (mm/mm)]]/$I$2</f>
        <v>8.8935999999999987E-2</v>
      </c>
      <c r="D436" s="1">
        <v>460.12</v>
      </c>
      <c r="E436" s="1">
        <f>Tabela13[[#This Row],[Força (N)]]/$I$5</f>
        <v>9548613.6331092753</v>
      </c>
      <c r="F436" s="1">
        <f>Tabela13[[#This Row],[Tensão (Pa)]]/1000000</f>
        <v>9.5486136331092748</v>
      </c>
    </row>
    <row r="437" spans="1:6" x14ac:dyDescent="0.3">
      <c r="A437" s="1">
        <v>53.567</v>
      </c>
      <c r="B437" s="1">
        <v>4.4565000000000001</v>
      </c>
      <c r="C437" s="1">
        <f>Tabela13[[#This Row],[Alongamento (mm/mm)]]/$I$2</f>
        <v>8.9130000000000001E-2</v>
      </c>
      <c r="D437" s="1">
        <v>463.69</v>
      </c>
      <c r="E437" s="1">
        <f>Tabela13[[#This Row],[Força (N)]]/$I$5</f>
        <v>9622699.8512049895</v>
      </c>
      <c r="F437" s="1">
        <f>Tabela13[[#This Row],[Tensão (Pa)]]/1000000</f>
        <v>9.6226998512049899</v>
      </c>
    </row>
    <row r="438" spans="1:6" x14ac:dyDescent="0.3">
      <c r="A438" s="1">
        <v>53.683</v>
      </c>
      <c r="B438" s="1">
        <v>4.4661999999999997</v>
      </c>
      <c r="C438" s="1">
        <f>Tabela13[[#This Row],[Alongamento (mm/mm)]]/$I$2</f>
        <v>8.9324000000000001E-2</v>
      </c>
      <c r="D438" s="1">
        <v>467.26</v>
      </c>
      <c r="E438" s="1">
        <f>Tabela13[[#This Row],[Força (N)]]/$I$5</f>
        <v>9696786.0693007037</v>
      </c>
      <c r="F438" s="1">
        <f>Tabela13[[#This Row],[Tensão (Pa)]]/1000000</f>
        <v>9.6967860693007033</v>
      </c>
    </row>
    <row r="439" spans="1:6" x14ac:dyDescent="0.3">
      <c r="A439" s="1">
        <v>53.8</v>
      </c>
      <c r="B439" s="1">
        <v>4.476</v>
      </c>
      <c r="C439" s="1">
        <f>Tabela13[[#This Row],[Alongamento (mm/mm)]]/$I$2</f>
        <v>8.9520000000000002E-2</v>
      </c>
      <c r="D439" s="1">
        <v>470.83</v>
      </c>
      <c r="E439" s="1">
        <f>Tabela13[[#This Row],[Força (N)]]/$I$5</f>
        <v>9770872.2873964179</v>
      </c>
      <c r="F439" s="1">
        <f>Tabela13[[#This Row],[Tensão (Pa)]]/1000000</f>
        <v>9.7708722873964184</v>
      </c>
    </row>
    <row r="440" spans="1:6" x14ac:dyDescent="0.3">
      <c r="A440" s="1">
        <v>53.917000000000002</v>
      </c>
      <c r="B440" s="1">
        <v>4.4856999999999996</v>
      </c>
      <c r="C440" s="1">
        <f>Tabela13[[#This Row],[Alongamento (mm/mm)]]/$I$2</f>
        <v>8.9713999999999988E-2</v>
      </c>
      <c r="D440" s="1">
        <v>474.58</v>
      </c>
      <c r="E440" s="1">
        <f>Tabela13[[#This Row],[Força (N)]]/$I$5</f>
        <v>9848693.9450599831</v>
      </c>
      <c r="F440" s="1">
        <f>Tabela13[[#This Row],[Tensão (Pa)]]/1000000</f>
        <v>9.8486939450599831</v>
      </c>
    </row>
    <row r="441" spans="1:6" x14ac:dyDescent="0.3">
      <c r="A441" s="1">
        <v>54.033000000000001</v>
      </c>
      <c r="B441" s="1">
        <v>4.4954000000000001</v>
      </c>
      <c r="C441" s="1">
        <f>Tabela13[[#This Row],[Alongamento (mm/mm)]]/$I$2</f>
        <v>8.9908000000000002E-2</v>
      </c>
      <c r="D441" s="1">
        <v>478.15</v>
      </c>
      <c r="E441" s="1">
        <f>Tabela13[[#This Row],[Força (N)]]/$I$5</f>
        <v>9922780.1631556973</v>
      </c>
      <c r="F441" s="1">
        <f>Tabela13[[#This Row],[Tensão (Pa)]]/1000000</f>
        <v>9.9227801631556964</v>
      </c>
    </row>
    <row r="442" spans="1:6" x14ac:dyDescent="0.3">
      <c r="A442" s="1">
        <v>54.15</v>
      </c>
      <c r="B442" s="1">
        <v>4.5050999999999997</v>
      </c>
      <c r="C442" s="1">
        <f>Tabela13[[#This Row],[Alongamento (mm/mm)]]/$I$2</f>
        <v>9.0101999999999988E-2</v>
      </c>
      <c r="D442" s="1">
        <v>481.89</v>
      </c>
      <c r="E442" s="1">
        <f>Tabela13[[#This Row],[Força (N)]]/$I$5</f>
        <v>10000394.296398828</v>
      </c>
      <c r="F442" s="1">
        <f>Tabela13[[#This Row],[Tensão (Pa)]]/1000000</f>
        <v>10.000394296398827</v>
      </c>
    </row>
    <row r="443" spans="1:6" x14ac:dyDescent="0.3">
      <c r="A443" s="1">
        <v>54.267000000000003</v>
      </c>
      <c r="B443" s="1">
        <v>4.5148000000000001</v>
      </c>
      <c r="C443" s="1">
        <f>Tabela13[[#This Row],[Alongamento (mm/mm)]]/$I$2</f>
        <v>9.0296000000000001E-2</v>
      </c>
      <c r="D443" s="1">
        <v>485.63</v>
      </c>
      <c r="E443" s="1">
        <f>Tabela13[[#This Row],[Força (N)]]/$I$5</f>
        <v>10078008.429641956</v>
      </c>
      <c r="F443" s="1">
        <f>Tabela13[[#This Row],[Tensão (Pa)]]/1000000</f>
        <v>10.078008429641956</v>
      </c>
    </row>
    <row r="444" spans="1:6" x14ac:dyDescent="0.3">
      <c r="A444" s="1">
        <v>54.383000000000003</v>
      </c>
      <c r="B444" s="1">
        <v>4.5246000000000004</v>
      </c>
      <c r="C444" s="1">
        <f>Tabela13[[#This Row],[Alongamento (mm/mm)]]/$I$2</f>
        <v>9.0492000000000003E-2</v>
      </c>
      <c r="D444" s="1">
        <v>489.37</v>
      </c>
      <c r="E444" s="1">
        <f>Tabela13[[#This Row],[Força (N)]]/$I$5</f>
        <v>10155622.562885087</v>
      </c>
      <c r="F444" s="1">
        <f>Tabela13[[#This Row],[Tensão (Pa)]]/1000000</f>
        <v>10.155622562885087</v>
      </c>
    </row>
    <row r="445" spans="1:6" x14ac:dyDescent="0.3">
      <c r="A445" s="1">
        <v>54.517000000000003</v>
      </c>
      <c r="B445" s="1">
        <v>4.5355999999999996</v>
      </c>
      <c r="C445" s="1">
        <f>Tabela13[[#This Row],[Alongamento (mm/mm)]]/$I$2</f>
        <v>9.0711999999999987E-2</v>
      </c>
      <c r="D445" s="1">
        <v>493.46</v>
      </c>
      <c r="E445" s="1">
        <f>Tabela13[[#This Row],[Força (N)]]/$I$5</f>
        <v>10240500.050843481</v>
      </c>
      <c r="F445" s="1">
        <f>Tabela13[[#This Row],[Tensão (Pa)]]/1000000</f>
        <v>10.240500050843481</v>
      </c>
    </row>
    <row r="446" spans="1:6" x14ac:dyDescent="0.3">
      <c r="A446" s="1">
        <v>54.633000000000003</v>
      </c>
      <c r="B446" s="1">
        <v>4.5453000000000001</v>
      </c>
      <c r="C446" s="1">
        <f>Tabela13[[#This Row],[Alongamento (mm/mm)]]/$I$2</f>
        <v>9.0906000000000001E-2</v>
      </c>
      <c r="D446" s="1">
        <v>497.2</v>
      </c>
      <c r="E446" s="1">
        <f>Tabela13[[#This Row],[Força (N)]]/$I$5</f>
        <v>10318114.184086611</v>
      </c>
      <c r="F446" s="1">
        <f>Tabela13[[#This Row],[Tensão (Pa)]]/1000000</f>
        <v>10.318114184086612</v>
      </c>
    </row>
    <row r="447" spans="1:6" x14ac:dyDescent="0.3">
      <c r="A447" s="1">
        <v>54.767000000000003</v>
      </c>
      <c r="B447" s="1">
        <v>4.5564999999999998</v>
      </c>
      <c r="C447" s="1">
        <f>Tabela13[[#This Row],[Alongamento (mm/mm)]]/$I$2</f>
        <v>9.1129999999999989E-2</v>
      </c>
      <c r="D447" s="1">
        <v>501.45</v>
      </c>
      <c r="E447" s="1">
        <f>Tabela13[[#This Row],[Força (N)]]/$I$5</f>
        <v>10406312.062771985</v>
      </c>
      <c r="F447" s="1">
        <f>Tabela13[[#This Row],[Tensão (Pa)]]/1000000</f>
        <v>10.406312062771985</v>
      </c>
    </row>
    <row r="448" spans="1:6" x14ac:dyDescent="0.3">
      <c r="A448" s="1">
        <v>54.9</v>
      </c>
      <c r="B448" s="1">
        <v>4.5677000000000003</v>
      </c>
      <c r="C448" s="1">
        <f>Tabela13[[#This Row],[Alongamento (mm/mm)]]/$I$2</f>
        <v>9.1354000000000005E-2</v>
      </c>
      <c r="D448" s="1">
        <v>505.53</v>
      </c>
      <c r="E448" s="1">
        <f>Tabela13[[#This Row],[Força (N)]]/$I$5</f>
        <v>10490982.026309945</v>
      </c>
      <c r="F448" s="1">
        <f>Tabela13[[#This Row],[Tensão (Pa)]]/1000000</f>
        <v>10.490982026309945</v>
      </c>
    </row>
    <row r="449" spans="1:6" x14ac:dyDescent="0.3">
      <c r="A449" s="1">
        <v>55.017000000000003</v>
      </c>
      <c r="B449" s="1">
        <v>4.5772000000000004</v>
      </c>
      <c r="C449" s="1">
        <f>Tabela13[[#This Row],[Alongamento (mm/mm)]]/$I$2</f>
        <v>9.1544000000000014E-2</v>
      </c>
      <c r="D449" s="1">
        <v>509.28</v>
      </c>
      <c r="E449" s="1">
        <f>Tabela13[[#This Row],[Força (N)]]/$I$5</f>
        <v>10568803.68397351</v>
      </c>
      <c r="F449" s="1">
        <f>Tabela13[[#This Row],[Tensão (Pa)]]/1000000</f>
        <v>10.56880368397351</v>
      </c>
    </row>
    <row r="450" spans="1:6" x14ac:dyDescent="0.3">
      <c r="A450" s="1">
        <v>55.133000000000003</v>
      </c>
      <c r="B450" s="1">
        <v>4.5869999999999997</v>
      </c>
      <c r="C450" s="1">
        <f>Tabela13[[#This Row],[Alongamento (mm/mm)]]/$I$2</f>
        <v>9.1739999999999988E-2</v>
      </c>
      <c r="D450" s="1">
        <v>513.02</v>
      </c>
      <c r="E450" s="1">
        <f>Tabela13[[#This Row],[Força (N)]]/$I$5</f>
        <v>10646417.81721664</v>
      </c>
      <c r="F450" s="1">
        <f>Tabela13[[#This Row],[Tensão (Pa)]]/1000000</f>
        <v>10.646417817216641</v>
      </c>
    </row>
    <row r="451" spans="1:6" x14ac:dyDescent="0.3">
      <c r="A451" s="1">
        <v>55.25</v>
      </c>
      <c r="B451" s="1">
        <v>4.5968</v>
      </c>
      <c r="C451" s="1">
        <f>Tabela13[[#This Row],[Alongamento (mm/mm)]]/$I$2</f>
        <v>9.1936000000000004E-2</v>
      </c>
      <c r="D451" s="1">
        <v>516.76</v>
      </c>
      <c r="E451" s="1">
        <f>Tabela13[[#This Row],[Força (N)]]/$I$5</f>
        <v>10724031.950459769</v>
      </c>
      <c r="F451" s="1">
        <f>Tabela13[[#This Row],[Tensão (Pa)]]/1000000</f>
        <v>10.72403195045977</v>
      </c>
    </row>
    <row r="452" spans="1:6" x14ac:dyDescent="0.3">
      <c r="A452" s="1">
        <v>55.366999999999997</v>
      </c>
      <c r="B452" s="1">
        <v>4.6064999999999996</v>
      </c>
      <c r="C452" s="1">
        <f>Tabela13[[#This Row],[Alongamento (mm/mm)]]/$I$2</f>
        <v>9.212999999999999E-2</v>
      </c>
      <c r="D452" s="1">
        <v>520.5</v>
      </c>
      <c r="E452" s="1">
        <f>Tabela13[[#This Row],[Força (N)]]/$I$5</f>
        <v>10801646.0837029</v>
      </c>
      <c r="F452" s="1">
        <f>Tabela13[[#This Row],[Tensão (Pa)]]/1000000</f>
        <v>10.801646083702899</v>
      </c>
    </row>
    <row r="453" spans="1:6" x14ac:dyDescent="0.3">
      <c r="A453" s="1">
        <v>55.482999999999997</v>
      </c>
      <c r="B453" s="1">
        <v>4.6162000000000001</v>
      </c>
      <c r="C453" s="1">
        <f>Tabela13[[#This Row],[Alongamento (mm/mm)]]/$I$2</f>
        <v>9.2324000000000003E-2</v>
      </c>
      <c r="D453" s="1">
        <v>524.41</v>
      </c>
      <c r="E453" s="1">
        <f>Tabela13[[#This Row],[Força (N)]]/$I$5</f>
        <v>10882788.132093443</v>
      </c>
      <c r="F453" s="1">
        <f>Tabela13[[#This Row],[Tensão (Pa)]]/1000000</f>
        <v>10.882788132093443</v>
      </c>
    </row>
    <row r="454" spans="1:6" x14ac:dyDescent="0.3">
      <c r="A454" s="1">
        <v>55.616999999999997</v>
      </c>
      <c r="B454" s="1">
        <v>4.6273</v>
      </c>
      <c r="C454" s="1">
        <f>Tabela13[[#This Row],[Alongamento (mm/mm)]]/$I$2</f>
        <v>9.2546000000000003E-2</v>
      </c>
      <c r="D454" s="1">
        <v>528.66999999999996</v>
      </c>
      <c r="E454" s="1">
        <f>Tabela13[[#This Row],[Força (N)]]/$I$5</f>
        <v>10971193.535199253</v>
      </c>
      <c r="F454" s="1">
        <f>Tabela13[[#This Row],[Tensão (Pa)]]/1000000</f>
        <v>10.971193535199253</v>
      </c>
    </row>
    <row r="455" spans="1:6" x14ac:dyDescent="0.3">
      <c r="A455" s="1">
        <v>55.75</v>
      </c>
      <c r="B455" s="1">
        <v>4.6383999999999999</v>
      </c>
      <c r="C455" s="1">
        <f>Tabela13[[#This Row],[Alongamento (mm/mm)]]/$I$2</f>
        <v>9.2768000000000003E-2</v>
      </c>
      <c r="D455" s="1">
        <v>533.09</v>
      </c>
      <c r="E455" s="1">
        <f>Tabela13[[#This Row],[Força (N)]]/$I$5</f>
        <v>11062919.329032043</v>
      </c>
      <c r="F455" s="1">
        <f>Tabela13[[#This Row],[Tensão (Pa)]]/1000000</f>
        <v>11.062919329032043</v>
      </c>
    </row>
    <row r="456" spans="1:6" x14ac:dyDescent="0.3">
      <c r="A456" s="1">
        <v>55.883000000000003</v>
      </c>
      <c r="B456" s="1">
        <v>4.6494999999999997</v>
      </c>
      <c r="C456" s="1">
        <f>Tabela13[[#This Row],[Alongamento (mm/mm)]]/$I$2</f>
        <v>9.2989999999999989E-2</v>
      </c>
      <c r="D456" s="1">
        <v>537.51</v>
      </c>
      <c r="E456" s="1">
        <f>Tabela13[[#This Row],[Força (N)]]/$I$5</f>
        <v>11154645.122864831</v>
      </c>
      <c r="F456" s="1">
        <f>Tabela13[[#This Row],[Tensão (Pa)]]/1000000</f>
        <v>11.154645122864832</v>
      </c>
    </row>
    <row r="457" spans="1:6" x14ac:dyDescent="0.3">
      <c r="A457" s="1">
        <v>56.017000000000003</v>
      </c>
      <c r="B457" s="1">
        <v>4.6607000000000003</v>
      </c>
      <c r="C457" s="1">
        <f>Tabela13[[#This Row],[Alongamento (mm/mm)]]/$I$2</f>
        <v>9.3214000000000005E-2</v>
      </c>
      <c r="D457" s="1">
        <v>541.92999999999995</v>
      </c>
      <c r="E457" s="1">
        <f>Tabela13[[#This Row],[Força (N)]]/$I$5</f>
        <v>11246370.916697619</v>
      </c>
      <c r="F457" s="1">
        <f>Tabela13[[#This Row],[Tensão (Pa)]]/1000000</f>
        <v>11.24637091669762</v>
      </c>
    </row>
    <row r="458" spans="1:6" x14ac:dyDescent="0.3">
      <c r="A458" s="1">
        <v>56.15</v>
      </c>
      <c r="B458" s="1">
        <v>4.6718000000000002</v>
      </c>
      <c r="C458" s="1">
        <f>Tabela13[[#This Row],[Alongamento (mm/mm)]]/$I$2</f>
        <v>9.3436000000000005E-2</v>
      </c>
      <c r="D458" s="1">
        <v>546.36</v>
      </c>
      <c r="E458" s="1">
        <f>Tabela13[[#This Row],[Força (N)]]/$I$5</f>
        <v>11338304.234950846</v>
      </c>
      <c r="F458" s="1">
        <f>Tabela13[[#This Row],[Tensão (Pa)]]/1000000</f>
        <v>11.338304234950845</v>
      </c>
    </row>
    <row r="459" spans="1:6" x14ac:dyDescent="0.3">
      <c r="A459" s="1">
        <v>56.283000000000001</v>
      </c>
      <c r="B459" s="1">
        <v>4.6829999999999998</v>
      </c>
      <c r="C459" s="1">
        <f>Tabela13[[#This Row],[Alongamento (mm/mm)]]/$I$2</f>
        <v>9.3659999999999993E-2</v>
      </c>
      <c r="D459" s="1">
        <v>550.78</v>
      </c>
      <c r="E459" s="1">
        <f>Tabela13[[#This Row],[Força (N)]]/$I$5</f>
        <v>11430030.028783636</v>
      </c>
      <c r="F459" s="1">
        <f>Tabela13[[#This Row],[Tensão (Pa)]]/1000000</f>
        <v>11.430030028783635</v>
      </c>
    </row>
    <row r="460" spans="1:6" x14ac:dyDescent="0.3">
      <c r="A460" s="1">
        <v>56.417000000000002</v>
      </c>
      <c r="B460" s="1">
        <v>4.694</v>
      </c>
      <c r="C460" s="1">
        <f>Tabela13[[#This Row],[Alongamento (mm/mm)]]/$I$2</f>
        <v>9.3880000000000005E-2</v>
      </c>
      <c r="D460" s="1">
        <v>555.20000000000005</v>
      </c>
      <c r="E460" s="1">
        <f>Tabela13[[#This Row],[Força (N)]]/$I$5</f>
        <v>11521755.822616426</v>
      </c>
      <c r="F460" s="1">
        <f>Tabela13[[#This Row],[Tensão (Pa)]]/1000000</f>
        <v>11.521755822616425</v>
      </c>
    </row>
    <row r="461" spans="1:6" x14ac:dyDescent="0.3">
      <c r="A461" s="1">
        <v>56.55</v>
      </c>
      <c r="B461" s="1">
        <v>4.7050999999999998</v>
      </c>
      <c r="C461" s="1">
        <f>Tabela13[[#This Row],[Alongamento (mm/mm)]]/$I$2</f>
        <v>9.4101999999999991E-2</v>
      </c>
      <c r="D461" s="1">
        <v>559.79999999999995</v>
      </c>
      <c r="E461" s="1">
        <f>Tabela13[[#This Row],[Força (N)]]/$I$5</f>
        <v>11617217.056017065</v>
      </c>
      <c r="F461" s="1">
        <f>Tabela13[[#This Row],[Tensão (Pa)]]/1000000</f>
        <v>11.617217056017065</v>
      </c>
    </row>
    <row r="462" spans="1:6" x14ac:dyDescent="0.3">
      <c r="A462" s="1">
        <v>56.683</v>
      </c>
      <c r="B462" s="1">
        <v>4.7161999999999997</v>
      </c>
      <c r="C462" s="1">
        <f>Tabela13[[#This Row],[Alongamento (mm/mm)]]/$I$2</f>
        <v>9.4323999999999991E-2</v>
      </c>
      <c r="D462" s="1">
        <v>564.22</v>
      </c>
      <c r="E462" s="1">
        <f>Tabela13[[#This Row],[Força (N)]]/$I$5</f>
        <v>11708942.849849856</v>
      </c>
      <c r="F462" s="1">
        <f>Tabela13[[#This Row],[Tensão (Pa)]]/1000000</f>
        <v>11.708942849849855</v>
      </c>
    </row>
    <row r="463" spans="1:6" x14ac:dyDescent="0.3">
      <c r="A463" s="1">
        <v>56.8</v>
      </c>
      <c r="B463" s="1">
        <v>4.726</v>
      </c>
      <c r="C463" s="1">
        <f>Tabela13[[#This Row],[Alongamento (mm/mm)]]/$I$2</f>
        <v>9.4519999999999993E-2</v>
      </c>
      <c r="D463" s="1">
        <v>568.29999999999995</v>
      </c>
      <c r="E463" s="1">
        <f>Tabela13[[#This Row],[Força (N)]]/$I$5</f>
        <v>11793612.813387813</v>
      </c>
      <c r="F463" s="1">
        <f>Tabela13[[#This Row],[Tensão (Pa)]]/1000000</f>
        <v>11.793612813387814</v>
      </c>
    </row>
    <row r="464" spans="1:6" x14ac:dyDescent="0.3">
      <c r="A464" s="1">
        <v>56.933</v>
      </c>
      <c r="B464" s="1">
        <v>4.7370000000000001</v>
      </c>
      <c r="C464" s="1">
        <f>Tabela13[[#This Row],[Alongamento (mm/mm)]]/$I$2</f>
        <v>9.4740000000000005E-2</v>
      </c>
      <c r="D464" s="1">
        <v>572.72</v>
      </c>
      <c r="E464" s="1">
        <f>Tabela13[[#This Row],[Força (N)]]/$I$5</f>
        <v>11885338.607220603</v>
      </c>
      <c r="F464" s="1">
        <f>Tabela13[[#This Row],[Tensão (Pa)]]/1000000</f>
        <v>11.885338607220604</v>
      </c>
    </row>
    <row r="465" spans="1:6" x14ac:dyDescent="0.3">
      <c r="A465" s="1">
        <v>57.067</v>
      </c>
      <c r="B465" s="1">
        <v>4.7481999999999998</v>
      </c>
      <c r="C465" s="1">
        <f>Tabela13[[#This Row],[Alongamento (mm/mm)]]/$I$2</f>
        <v>9.4963999999999993E-2</v>
      </c>
      <c r="D465" s="1">
        <v>577.32000000000005</v>
      </c>
      <c r="E465" s="1">
        <f>Tabela13[[#This Row],[Força (N)]]/$I$5</f>
        <v>11980799.840621244</v>
      </c>
      <c r="F465" s="1">
        <f>Tabela13[[#This Row],[Tensão (Pa)]]/1000000</f>
        <v>11.980799840621245</v>
      </c>
    </row>
    <row r="466" spans="1:6" x14ac:dyDescent="0.3">
      <c r="A466" s="1">
        <v>57.2</v>
      </c>
      <c r="B466" s="1">
        <v>4.7594000000000003</v>
      </c>
      <c r="C466" s="1">
        <f>Tabela13[[#This Row],[Alongamento (mm/mm)]]/$I$2</f>
        <v>9.5188000000000009E-2</v>
      </c>
      <c r="D466" s="1">
        <v>581.91</v>
      </c>
      <c r="E466" s="1">
        <f>Tabela13[[#This Row],[Força (N)]]/$I$5</f>
        <v>12076053.549601447</v>
      </c>
      <c r="F466" s="1">
        <f>Tabela13[[#This Row],[Tensão (Pa)]]/1000000</f>
        <v>12.076053549601447</v>
      </c>
    </row>
    <row r="467" spans="1:6" x14ac:dyDescent="0.3">
      <c r="A467" s="1">
        <v>57.332999999999998</v>
      </c>
      <c r="B467" s="1">
        <v>4.7702999999999998</v>
      </c>
      <c r="C467" s="1">
        <f>Tabela13[[#This Row],[Alongamento (mm/mm)]]/$I$2</f>
        <v>9.5405999999999991E-2</v>
      </c>
      <c r="D467" s="1">
        <v>586.5</v>
      </c>
      <c r="E467" s="1">
        <f>Tabela13[[#This Row],[Força (N)]]/$I$5</f>
        <v>12171307.258581653</v>
      </c>
      <c r="F467" s="1">
        <f>Tabela13[[#This Row],[Tensão (Pa)]]/1000000</f>
        <v>12.171307258581653</v>
      </c>
    </row>
    <row r="468" spans="1:6" x14ac:dyDescent="0.3">
      <c r="A468" s="1">
        <v>57.466999999999999</v>
      </c>
      <c r="B468" s="1">
        <v>4.7815000000000003</v>
      </c>
      <c r="C468" s="1">
        <f>Tabela13[[#This Row],[Alongamento (mm/mm)]]/$I$2</f>
        <v>9.5630000000000007E-2</v>
      </c>
      <c r="D468" s="1">
        <v>591.09</v>
      </c>
      <c r="E468" s="1">
        <f>Tabela13[[#This Row],[Força (N)]]/$I$5</f>
        <v>12266560.967561858</v>
      </c>
      <c r="F468" s="1">
        <f>Tabela13[[#This Row],[Tensão (Pa)]]/1000000</f>
        <v>12.266560967561858</v>
      </c>
    </row>
    <row r="469" spans="1:6" x14ac:dyDescent="0.3">
      <c r="A469" s="1">
        <v>57.6</v>
      </c>
      <c r="B469" s="1">
        <v>4.7926000000000002</v>
      </c>
      <c r="C469" s="1">
        <f>Tabela13[[#This Row],[Alongamento (mm/mm)]]/$I$2</f>
        <v>9.5852000000000007E-2</v>
      </c>
      <c r="D469" s="1">
        <v>595.69000000000005</v>
      </c>
      <c r="E469" s="1">
        <f>Tabela13[[#This Row],[Força (N)]]/$I$5</f>
        <v>12362022.200962499</v>
      </c>
      <c r="F469" s="1">
        <f>Tabela13[[#This Row],[Tensão (Pa)]]/1000000</f>
        <v>12.3620222009625</v>
      </c>
    </row>
    <row r="470" spans="1:6" x14ac:dyDescent="0.3">
      <c r="A470" s="1">
        <v>57.732999999999997</v>
      </c>
      <c r="B470" s="1">
        <v>4.8037000000000001</v>
      </c>
      <c r="C470" s="1">
        <f>Tabela13[[#This Row],[Alongamento (mm/mm)]]/$I$2</f>
        <v>9.6074000000000007E-2</v>
      </c>
      <c r="D470" s="1">
        <v>600.28</v>
      </c>
      <c r="E470" s="1">
        <f>Tabela13[[#This Row],[Força (N)]]/$I$5</f>
        <v>12457275.909942701</v>
      </c>
      <c r="F470" s="1">
        <f>Tabela13[[#This Row],[Tensão (Pa)]]/1000000</f>
        <v>12.457275909942702</v>
      </c>
    </row>
    <row r="471" spans="1:6" x14ac:dyDescent="0.3">
      <c r="A471" s="1">
        <v>57.866999999999997</v>
      </c>
      <c r="B471" s="1">
        <v>4.8148</v>
      </c>
      <c r="C471" s="1">
        <f>Tabela13[[#This Row],[Alongamento (mm/mm)]]/$I$2</f>
        <v>9.6295999999999993E-2</v>
      </c>
      <c r="D471" s="1">
        <v>604.87</v>
      </c>
      <c r="E471" s="1">
        <f>Tabela13[[#This Row],[Força (N)]]/$I$5</f>
        <v>12552529.618922906</v>
      </c>
      <c r="F471" s="1">
        <f>Tabela13[[#This Row],[Tensão (Pa)]]/1000000</f>
        <v>12.552529618922906</v>
      </c>
    </row>
    <row r="472" spans="1:6" x14ac:dyDescent="0.3">
      <c r="A472" s="1">
        <v>58</v>
      </c>
      <c r="B472" s="1">
        <v>4.8258999999999999</v>
      </c>
      <c r="C472" s="1">
        <f>Tabela13[[#This Row],[Alongamento (mm/mm)]]/$I$2</f>
        <v>9.6517999999999993E-2</v>
      </c>
      <c r="D472" s="1">
        <v>609.63</v>
      </c>
      <c r="E472" s="1">
        <f>Tabela13[[#This Row],[Força (N)]]/$I$5</f>
        <v>12651311.243050525</v>
      </c>
      <c r="F472" s="1">
        <f>Tabela13[[#This Row],[Tensão (Pa)]]/1000000</f>
        <v>12.651311243050525</v>
      </c>
    </row>
    <row r="473" spans="1:6" x14ac:dyDescent="0.3">
      <c r="A473" s="1">
        <v>58.133000000000003</v>
      </c>
      <c r="B473" s="1">
        <v>4.8371000000000004</v>
      </c>
      <c r="C473" s="1">
        <f>Tabela13[[#This Row],[Alongamento (mm/mm)]]/$I$2</f>
        <v>9.6742000000000009E-2</v>
      </c>
      <c r="D473" s="1">
        <v>614.4</v>
      </c>
      <c r="E473" s="1">
        <f>Tabela13[[#This Row],[Força (N)]]/$I$5</f>
        <v>12750300.39159858</v>
      </c>
      <c r="F473" s="1">
        <f>Tabela13[[#This Row],[Tensão (Pa)]]/1000000</f>
        <v>12.75030039159858</v>
      </c>
    </row>
    <row r="474" spans="1:6" x14ac:dyDescent="0.3">
      <c r="A474" s="1">
        <v>58.267000000000003</v>
      </c>
      <c r="B474" s="1">
        <v>4.8482000000000003</v>
      </c>
      <c r="C474" s="1">
        <f>Tabela13[[#This Row],[Alongamento (mm/mm)]]/$I$2</f>
        <v>9.6964000000000009E-2</v>
      </c>
      <c r="D474" s="1">
        <v>619.16</v>
      </c>
      <c r="E474" s="1">
        <f>Tabela13[[#This Row],[Força (N)]]/$I$5</f>
        <v>12849082.015726199</v>
      </c>
      <c r="F474" s="1">
        <f>Tabela13[[#This Row],[Tensão (Pa)]]/1000000</f>
        <v>12.8490820157262</v>
      </c>
    </row>
    <row r="475" spans="1:6" x14ac:dyDescent="0.3">
      <c r="A475" s="1">
        <v>58.4</v>
      </c>
      <c r="B475" s="1">
        <v>4.8593000000000002</v>
      </c>
      <c r="C475" s="1">
        <f>Tabela13[[#This Row],[Alongamento (mm/mm)]]/$I$2</f>
        <v>9.7186000000000008E-2</v>
      </c>
      <c r="D475" s="1">
        <v>624.09</v>
      </c>
      <c r="E475" s="1">
        <f>Tabela13[[#This Row],[Força (N)]]/$I$5</f>
        <v>12951391.555001235</v>
      </c>
      <c r="F475" s="1">
        <f>Tabela13[[#This Row],[Tensão (Pa)]]/1000000</f>
        <v>12.951391555001235</v>
      </c>
    </row>
    <row r="476" spans="1:6" x14ac:dyDescent="0.3">
      <c r="A476" s="1">
        <v>58.533000000000001</v>
      </c>
      <c r="B476" s="1">
        <v>4.8704000000000001</v>
      </c>
      <c r="C476" s="1">
        <f>Tabela13[[#This Row],[Alongamento (mm/mm)]]/$I$2</f>
        <v>9.7407999999999995E-2</v>
      </c>
      <c r="D476" s="1">
        <v>629.37</v>
      </c>
      <c r="E476" s="1">
        <f>Tabela13[[#This Row],[Força (N)]]/$I$5</f>
        <v>13060964.448991533</v>
      </c>
      <c r="F476" s="1">
        <f>Tabela13[[#This Row],[Tensão (Pa)]]/1000000</f>
        <v>13.060964448991534</v>
      </c>
    </row>
    <row r="477" spans="1:6" x14ac:dyDescent="0.3">
      <c r="A477" s="1">
        <v>58.667000000000002</v>
      </c>
      <c r="B477" s="1">
        <v>4.8815</v>
      </c>
      <c r="C477" s="1">
        <f>Tabela13[[#This Row],[Alongamento (mm/mm)]]/$I$2</f>
        <v>9.7629999999999995E-2</v>
      </c>
      <c r="D477" s="1">
        <v>634.13</v>
      </c>
      <c r="E477" s="1">
        <f>Tabela13[[#This Row],[Força (N)]]/$I$5</f>
        <v>13159746.073119152</v>
      </c>
      <c r="F477" s="1">
        <f>Tabela13[[#This Row],[Tensão (Pa)]]/1000000</f>
        <v>13.159746073119152</v>
      </c>
    </row>
    <row r="478" spans="1:6" x14ac:dyDescent="0.3">
      <c r="A478" s="1">
        <v>58.8</v>
      </c>
      <c r="B478" s="1">
        <v>4.8925999999999998</v>
      </c>
      <c r="C478" s="1">
        <f>Tabela13[[#This Row],[Alongamento (mm/mm)]]/$I$2</f>
        <v>9.7851999999999995E-2</v>
      </c>
      <c r="D478" s="1">
        <v>639.05999999999995</v>
      </c>
      <c r="E478" s="1">
        <f>Tabela13[[#This Row],[Força (N)]]/$I$5</f>
        <v>13262055.612394186</v>
      </c>
      <c r="F478" s="1">
        <f>Tabela13[[#This Row],[Tensão (Pa)]]/1000000</f>
        <v>13.262055612394185</v>
      </c>
    </row>
    <row r="479" spans="1:6" x14ac:dyDescent="0.3">
      <c r="A479" s="1">
        <v>58.933</v>
      </c>
      <c r="B479" s="1">
        <v>4.9036999999999997</v>
      </c>
      <c r="C479" s="1">
        <f>Tabela13[[#This Row],[Alongamento (mm/mm)]]/$I$2</f>
        <v>9.8073999999999995E-2</v>
      </c>
      <c r="D479" s="1">
        <v>644.16</v>
      </c>
      <c r="E479" s="1">
        <f>Tabela13[[#This Row],[Força (N)]]/$I$5</f>
        <v>13367893.066816635</v>
      </c>
      <c r="F479" s="1">
        <f>Tabela13[[#This Row],[Tensão (Pa)]]/1000000</f>
        <v>13.367893066816636</v>
      </c>
    </row>
    <row r="480" spans="1:6" x14ac:dyDescent="0.3">
      <c r="A480" s="1">
        <v>59.067</v>
      </c>
      <c r="B480" s="1">
        <v>4.9149000000000003</v>
      </c>
      <c r="C480" s="1">
        <f>Tabela13[[#This Row],[Alongamento (mm/mm)]]/$I$2</f>
        <v>9.829800000000001E-2</v>
      </c>
      <c r="D480" s="1">
        <v>649.1</v>
      </c>
      <c r="E480" s="1">
        <f>Tabela13[[#This Row],[Força (N)]]/$I$5</f>
        <v>13470410.130512107</v>
      </c>
      <c r="F480" s="1">
        <f>Tabela13[[#This Row],[Tensão (Pa)]]/1000000</f>
        <v>13.470410130512107</v>
      </c>
    </row>
    <row r="481" spans="1:6" x14ac:dyDescent="0.3">
      <c r="A481" s="1">
        <v>59.2</v>
      </c>
      <c r="B481" s="1">
        <v>4.9259000000000004</v>
      </c>
      <c r="C481" s="1">
        <f>Tabela13[[#This Row],[Alongamento (mm/mm)]]/$I$2</f>
        <v>9.8518000000000008E-2</v>
      </c>
      <c r="D481" s="1">
        <v>653.86</v>
      </c>
      <c r="E481" s="1">
        <f>Tabela13[[#This Row],[Força (N)]]/$I$5</f>
        <v>13569191.754639726</v>
      </c>
      <c r="F481" s="1">
        <f>Tabela13[[#This Row],[Tensão (Pa)]]/1000000</f>
        <v>13.569191754639727</v>
      </c>
    </row>
    <row r="482" spans="1:6" x14ac:dyDescent="0.3">
      <c r="A482" s="1">
        <v>59.35</v>
      </c>
      <c r="B482" s="1">
        <v>4.9383999999999997</v>
      </c>
      <c r="C482" s="1">
        <f>Tabela13[[#This Row],[Alongamento (mm/mm)]]/$I$2</f>
        <v>9.8767999999999995E-2</v>
      </c>
      <c r="D482" s="1">
        <v>659.47</v>
      </c>
      <c r="E482" s="1">
        <f>Tabela13[[#This Row],[Força (N)]]/$I$5</f>
        <v>13685612.954504421</v>
      </c>
      <c r="F482" s="1">
        <f>Tabela13[[#This Row],[Tensão (Pa)]]/1000000</f>
        <v>13.685612954504421</v>
      </c>
    </row>
    <row r="483" spans="1:6" x14ac:dyDescent="0.3">
      <c r="A483" s="1">
        <v>59.482999999999997</v>
      </c>
      <c r="B483" s="1">
        <v>4.9494999999999996</v>
      </c>
      <c r="C483" s="1">
        <f>Tabela13[[#This Row],[Alongamento (mm/mm)]]/$I$2</f>
        <v>9.8989999999999995E-2</v>
      </c>
      <c r="D483" s="1">
        <v>664.58</v>
      </c>
      <c r="E483" s="1">
        <f>Tabela13[[#This Row],[Força (N)]]/$I$5</f>
        <v>13791657.933347305</v>
      </c>
      <c r="F483" s="1">
        <f>Tabela13[[#This Row],[Tensão (Pa)]]/1000000</f>
        <v>13.791657933347306</v>
      </c>
    </row>
    <row r="484" spans="1:6" x14ac:dyDescent="0.3">
      <c r="A484" s="1">
        <v>59.633000000000003</v>
      </c>
      <c r="B484" s="1">
        <v>4.9619999999999997</v>
      </c>
      <c r="C484" s="1">
        <f>Tabela13[[#This Row],[Alongamento (mm/mm)]]/$I$2</f>
        <v>9.9239999999999995E-2</v>
      </c>
      <c r="D484" s="1">
        <v>670.19</v>
      </c>
      <c r="E484" s="1">
        <f>Tabela13[[#This Row],[Força (N)]]/$I$5</f>
        <v>13908079.133212</v>
      </c>
      <c r="F484" s="1">
        <f>Tabela13[[#This Row],[Tensão (Pa)]]/1000000</f>
        <v>13.908079133212</v>
      </c>
    </row>
    <row r="485" spans="1:6" x14ac:dyDescent="0.3">
      <c r="A485" s="1">
        <v>59.783000000000001</v>
      </c>
      <c r="B485" s="1">
        <v>4.9744999999999999</v>
      </c>
      <c r="C485" s="1">
        <f>Tabela13[[#This Row],[Alongamento (mm/mm)]]/$I$2</f>
        <v>9.9489999999999995E-2</v>
      </c>
      <c r="D485" s="1">
        <v>675.8</v>
      </c>
      <c r="E485" s="1">
        <f>Tabela13[[#This Row],[Força (N)]]/$I$5</f>
        <v>14024500.333076693</v>
      </c>
      <c r="F485" s="1">
        <f>Tabela13[[#This Row],[Tensão (Pa)]]/1000000</f>
        <v>14.024500333076693</v>
      </c>
    </row>
    <row r="486" spans="1:6" x14ac:dyDescent="0.3">
      <c r="A486" s="1">
        <v>59.933</v>
      </c>
      <c r="B486" s="1">
        <v>4.9870999999999999</v>
      </c>
      <c r="C486" s="1">
        <f>Tabela13[[#This Row],[Alongamento (mm/mm)]]/$I$2</f>
        <v>9.9741999999999997E-2</v>
      </c>
      <c r="D486" s="1">
        <v>681.42</v>
      </c>
      <c r="E486" s="1">
        <f>Tabela13[[#This Row],[Força (N)]]/$I$5</f>
        <v>14141129.057361823</v>
      </c>
      <c r="F486" s="1">
        <f>Tabela13[[#This Row],[Tensão (Pa)]]/1000000</f>
        <v>14.141129057361823</v>
      </c>
    </row>
    <row r="487" spans="1:6" x14ac:dyDescent="0.3">
      <c r="A487" s="1">
        <v>60.082999999999998</v>
      </c>
      <c r="B487" s="1">
        <v>4.9995000000000003</v>
      </c>
      <c r="C487" s="1">
        <f>Tabela13[[#This Row],[Alongamento (mm/mm)]]/$I$2</f>
        <v>9.9990000000000009E-2</v>
      </c>
      <c r="D487" s="1">
        <v>687.03</v>
      </c>
      <c r="E487" s="1">
        <f>Tabela13[[#This Row],[Força (N)]]/$I$5</f>
        <v>14257550.257226517</v>
      </c>
      <c r="F487" s="1">
        <f>Tabela13[[#This Row],[Tensão (Pa)]]/1000000</f>
        <v>14.257550257226518</v>
      </c>
    </row>
    <row r="488" spans="1:6" x14ac:dyDescent="0.3">
      <c r="A488" s="1">
        <v>60.232999999999997</v>
      </c>
      <c r="B488" s="1">
        <v>5.0119999999999996</v>
      </c>
      <c r="C488" s="1">
        <f>Tabela13[[#This Row],[Alongamento (mm/mm)]]/$I$2</f>
        <v>0.10024</v>
      </c>
      <c r="D488" s="1">
        <v>692.64</v>
      </c>
      <c r="E488" s="1">
        <f>Tabela13[[#This Row],[Força (N)]]/$I$5</f>
        <v>14373971.457091212</v>
      </c>
      <c r="F488" s="1">
        <f>Tabela13[[#This Row],[Tensão (Pa)]]/1000000</f>
        <v>14.373971457091212</v>
      </c>
    </row>
    <row r="489" spans="1:6" x14ac:dyDescent="0.3">
      <c r="A489" s="1">
        <v>60.383000000000003</v>
      </c>
      <c r="B489" s="1">
        <v>5.0246000000000004</v>
      </c>
      <c r="C489" s="1">
        <f>Tabela13[[#This Row],[Alongamento (mm/mm)]]/$I$2</f>
        <v>0.10049200000000001</v>
      </c>
      <c r="D489" s="1">
        <v>698.26</v>
      </c>
      <c r="E489" s="1">
        <f>Tabela13[[#This Row],[Força (N)]]/$I$5</f>
        <v>14490600.181376342</v>
      </c>
      <c r="F489" s="1">
        <f>Tabela13[[#This Row],[Tensão (Pa)]]/1000000</f>
        <v>14.490600181376342</v>
      </c>
    </row>
    <row r="490" spans="1:6" x14ac:dyDescent="0.3">
      <c r="A490" s="1">
        <v>60.533000000000001</v>
      </c>
      <c r="B490" s="1">
        <v>5.0369999999999999</v>
      </c>
      <c r="C490" s="1">
        <f>Tabela13[[#This Row],[Alongamento (mm/mm)]]/$I$2</f>
        <v>0.10074</v>
      </c>
      <c r="D490" s="1">
        <v>703.87</v>
      </c>
      <c r="E490" s="1">
        <f>Tabela13[[#This Row],[Força (N)]]/$I$5</f>
        <v>14607021.381241037</v>
      </c>
      <c r="F490" s="1">
        <f>Tabela13[[#This Row],[Tensão (Pa)]]/1000000</f>
        <v>14.607021381241037</v>
      </c>
    </row>
    <row r="491" spans="1:6" x14ac:dyDescent="0.3">
      <c r="A491" s="1">
        <v>60.683</v>
      </c>
      <c r="B491" s="1">
        <v>5.0495000000000001</v>
      </c>
      <c r="C491" s="1">
        <f>Tabela13[[#This Row],[Alongamento (mm/mm)]]/$I$2</f>
        <v>0.10099</v>
      </c>
      <c r="D491" s="1">
        <v>709.48</v>
      </c>
      <c r="E491" s="1">
        <f>Tabela13[[#This Row],[Força (N)]]/$I$5</f>
        <v>14723442.581105731</v>
      </c>
      <c r="F491" s="1">
        <f>Tabela13[[#This Row],[Tensão (Pa)]]/1000000</f>
        <v>14.723442581105731</v>
      </c>
    </row>
    <row r="492" spans="1:6" x14ac:dyDescent="0.3">
      <c r="A492" s="1">
        <v>60.832999999999998</v>
      </c>
      <c r="B492" s="1">
        <v>5.0621</v>
      </c>
      <c r="C492" s="1">
        <f>Tabela13[[#This Row],[Alongamento (mm/mm)]]/$I$2</f>
        <v>0.101242</v>
      </c>
      <c r="D492" s="1">
        <v>715.27</v>
      </c>
      <c r="E492" s="1">
        <f>Tabela13[[#This Row],[Força (N)]]/$I$5</f>
        <v>14843599.220538275</v>
      </c>
      <c r="F492" s="1">
        <f>Tabela13[[#This Row],[Tensão (Pa)]]/1000000</f>
        <v>14.843599220538275</v>
      </c>
    </row>
    <row r="493" spans="1:6" x14ac:dyDescent="0.3">
      <c r="A493" s="1">
        <v>60.982999999999997</v>
      </c>
      <c r="B493" s="1">
        <v>5.0746000000000002</v>
      </c>
      <c r="C493" s="1">
        <f>Tabela13[[#This Row],[Alongamento (mm/mm)]]/$I$2</f>
        <v>0.101492</v>
      </c>
      <c r="D493" s="1">
        <v>721.05</v>
      </c>
      <c r="E493" s="1">
        <f>Tabela13[[#This Row],[Força (N)]]/$I$5</f>
        <v>14963548.335550383</v>
      </c>
      <c r="F493" s="1">
        <f>Tabela13[[#This Row],[Tensão (Pa)]]/1000000</f>
        <v>14.963548335550383</v>
      </c>
    </row>
    <row r="494" spans="1:6" x14ac:dyDescent="0.3">
      <c r="A494" s="1">
        <v>61.133000000000003</v>
      </c>
      <c r="B494" s="1">
        <v>5.0871000000000004</v>
      </c>
      <c r="C494" s="1">
        <f>Tabela13[[#This Row],[Alongamento (mm/mm)]]/$I$2</f>
        <v>0.10174200000000001</v>
      </c>
      <c r="D494" s="1">
        <v>726.83</v>
      </c>
      <c r="E494" s="1">
        <f>Tabela13[[#This Row],[Força (N)]]/$I$5</f>
        <v>15083497.450562494</v>
      </c>
      <c r="F494" s="1">
        <f>Tabela13[[#This Row],[Tensão (Pa)]]/1000000</f>
        <v>15.083497450562493</v>
      </c>
    </row>
    <row r="495" spans="1:6" x14ac:dyDescent="0.3">
      <c r="A495" s="1">
        <v>61.283000000000001</v>
      </c>
      <c r="B495" s="1">
        <v>5.0995999999999997</v>
      </c>
      <c r="C495" s="1">
        <f>Tabela13[[#This Row],[Alongamento (mm/mm)]]/$I$2</f>
        <v>0.101992</v>
      </c>
      <c r="D495" s="1">
        <v>732.45</v>
      </c>
      <c r="E495" s="1">
        <f>Tabela13[[#This Row],[Força (N)]]/$I$5</f>
        <v>15200126.174847625</v>
      </c>
      <c r="F495" s="1">
        <f>Tabela13[[#This Row],[Tensão (Pa)]]/1000000</f>
        <v>15.200126174847625</v>
      </c>
    </row>
    <row r="496" spans="1:6" x14ac:dyDescent="0.3">
      <c r="A496" s="1">
        <v>61.433</v>
      </c>
      <c r="B496" s="1">
        <v>5.1120000000000001</v>
      </c>
      <c r="C496" s="1">
        <f>Tabela13[[#This Row],[Alongamento (mm/mm)]]/$I$2</f>
        <v>0.10224</v>
      </c>
      <c r="D496" s="1">
        <v>738.06</v>
      </c>
      <c r="E496" s="1">
        <f>Tabela13[[#This Row],[Força (N)]]/$I$5</f>
        <v>15316547.374712316</v>
      </c>
      <c r="F496" s="1">
        <f>Tabela13[[#This Row],[Tensão (Pa)]]/1000000</f>
        <v>15.316547374712316</v>
      </c>
    </row>
    <row r="497" spans="1:6" x14ac:dyDescent="0.3">
      <c r="A497" s="1">
        <v>61.582999999999998</v>
      </c>
      <c r="B497" s="1">
        <v>5.1245000000000003</v>
      </c>
      <c r="C497" s="1">
        <f>Tabela13[[#This Row],[Alongamento (mm/mm)]]/$I$2</f>
        <v>0.10249000000000001</v>
      </c>
      <c r="D497" s="1">
        <v>743.67</v>
      </c>
      <c r="E497" s="1">
        <f>Tabela13[[#This Row],[Força (N)]]/$I$5</f>
        <v>15432968.574577011</v>
      </c>
      <c r="F497" s="1">
        <f>Tabela13[[#This Row],[Tensão (Pa)]]/1000000</f>
        <v>15.432968574577011</v>
      </c>
    </row>
    <row r="498" spans="1:6" x14ac:dyDescent="0.3">
      <c r="A498" s="1">
        <v>61.732999999999997</v>
      </c>
      <c r="B498" s="1">
        <v>5.1371000000000002</v>
      </c>
      <c r="C498" s="1">
        <f>Tabela13[[#This Row],[Alongamento (mm/mm)]]/$I$2</f>
        <v>0.102742</v>
      </c>
      <c r="D498" s="1">
        <v>749.46</v>
      </c>
      <c r="E498" s="1">
        <f>Tabela13[[#This Row],[Força (N)]]/$I$5</f>
        <v>15553125.214009557</v>
      </c>
      <c r="F498" s="1">
        <f>Tabela13[[#This Row],[Tensão (Pa)]]/1000000</f>
        <v>15.553125214009556</v>
      </c>
    </row>
    <row r="499" spans="1:6" x14ac:dyDescent="0.3">
      <c r="A499" s="1">
        <v>61.9</v>
      </c>
      <c r="B499" s="1">
        <v>5.1509</v>
      </c>
      <c r="C499" s="1">
        <f>Tabela13[[#This Row],[Alongamento (mm/mm)]]/$I$2</f>
        <v>0.103018</v>
      </c>
      <c r="D499" s="1">
        <v>755.75</v>
      </c>
      <c r="E499" s="1">
        <f>Tabela13[[#This Row],[Força (N)]]/$I$5</f>
        <v>15683658.074463911</v>
      </c>
      <c r="F499" s="1">
        <f>Tabela13[[#This Row],[Tensão (Pa)]]/1000000</f>
        <v>15.683658074463912</v>
      </c>
    </row>
    <row r="500" spans="1:6" x14ac:dyDescent="0.3">
      <c r="A500" s="1">
        <v>62.05</v>
      </c>
      <c r="B500" s="1">
        <v>5.1635</v>
      </c>
      <c r="C500" s="1">
        <f>Tabela13[[#This Row],[Alongamento (mm/mm)]]/$I$2</f>
        <v>0.10327</v>
      </c>
      <c r="D500" s="1">
        <v>761.53</v>
      </c>
      <c r="E500" s="1">
        <f>Tabela13[[#This Row],[Força (N)]]/$I$5</f>
        <v>15803607.189476019</v>
      </c>
      <c r="F500" s="1">
        <f>Tabela13[[#This Row],[Tensão (Pa)]]/1000000</f>
        <v>15.803607189476018</v>
      </c>
    </row>
    <row r="501" spans="1:6" x14ac:dyDescent="0.3">
      <c r="A501" s="1">
        <v>62.2</v>
      </c>
      <c r="B501" s="1">
        <v>5.1760000000000002</v>
      </c>
      <c r="C501" s="1">
        <f>Tabela13[[#This Row],[Alongamento (mm/mm)]]/$I$2</f>
        <v>0.10352</v>
      </c>
      <c r="D501" s="1">
        <v>767.49</v>
      </c>
      <c r="E501" s="1">
        <f>Tabela13[[#This Row],[Força (N)]]/$I$5</f>
        <v>15927291.744055981</v>
      </c>
      <c r="F501" s="1">
        <f>Tabela13[[#This Row],[Tensão (Pa)]]/1000000</f>
        <v>15.927291744055982</v>
      </c>
    </row>
    <row r="502" spans="1:6" x14ac:dyDescent="0.3">
      <c r="A502" s="1">
        <v>62.366999999999997</v>
      </c>
      <c r="B502" s="1">
        <v>5.1898</v>
      </c>
      <c r="C502" s="1">
        <f>Tabela13[[#This Row],[Alongamento (mm/mm)]]/$I$2</f>
        <v>0.103796</v>
      </c>
      <c r="D502" s="1">
        <v>773.78</v>
      </c>
      <c r="E502" s="1">
        <f>Tabela13[[#This Row],[Força (N)]]/$I$5</f>
        <v>16057824.604510333</v>
      </c>
      <c r="F502" s="1">
        <f>Tabela13[[#This Row],[Tensão (Pa)]]/1000000</f>
        <v>16.057824604510333</v>
      </c>
    </row>
    <row r="503" spans="1:6" x14ac:dyDescent="0.3">
      <c r="A503" s="1">
        <v>62.517000000000003</v>
      </c>
      <c r="B503" s="1">
        <v>5.2023000000000001</v>
      </c>
      <c r="C503" s="1">
        <f>Tabela13[[#This Row],[Alongamento (mm/mm)]]/$I$2</f>
        <v>0.104046</v>
      </c>
      <c r="D503" s="1">
        <v>779.56</v>
      </c>
      <c r="E503" s="1">
        <f>Tabela13[[#This Row],[Força (N)]]/$I$5</f>
        <v>16177773.719522443</v>
      </c>
      <c r="F503" s="1">
        <f>Tabela13[[#This Row],[Tensão (Pa)]]/1000000</f>
        <v>16.177773719522442</v>
      </c>
    </row>
    <row r="504" spans="1:6" x14ac:dyDescent="0.3">
      <c r="A504" s="1">
        <v>62.667000000000002</v>
      </c>
      <c r="B504" s="1">
        <v>5.2149000000000001</v>
      </c>
      <c r="C504" s="1">
        <f>Tabela13[[#This Row],[Alongamento (mm/mm)]]/$I$2</f>
        <v>0.104298</v>
      </c>
      <c r="D504" s="1">
        <v>785.35</v>
      </c>
      <c r="E504" s="1">
        <f>Tabela13[[#This Row],[Força (N)]]/$I$5</f>
        <v>16297930.358954988</v>
      </c>
      <c r="F504" s="1">
        <f>Tabela13[[#This Row],[Tensão (Pa)]]/1000000</f>
        <v>16.297930358954989</v>
      </c>
    </row>
    <row r="505" spans="1:6" x14ac:dyDescent="0.3">
      <c r="A505" s="1">
        <v>62.832999999999998</v>
      </c>
      <c r="B505" s="1">
        <v>5.2286000000000001</v>
      </c>
      <c r="C505" s="1">
        <f>Tabela13[[#This Row],[Alongamento (mm/mm)]]/$I$2</f>
        <v>0.104572</v>
      </c>
      <c r="D505" s="1">
        <v>791.81</v>
      </c>
      <c r="E505" s="1">
        <f>Tabela13[[#This Row],[Força (N)]]/$I$5</f>
        <v>16431991.134556755</v>
      </c>
      <c r="F505" s="1">
        <f>Tabela13[[#This Row],[Tensão (Pa)]]/1000000</f>
        <v>16.431991134556757</v>
      </c>
    </row>
    <row r="506" spans="1:6" x14ac:dyDescent="0.3">
      <c r="A506" s="1">
        <v>63</v>
      </c>
      <c r="B506" s="1">
        <v>5.2426000000000004</v>
      </c>
      <c r="C506" s="1">
        <f>Tabela13[[#This Row],[Alongamento (mm/mm)]]/$I$2</f>
        <v>0.104852</v>
      </c>
      <c r="D506" s="1">
        <v>798.27</v>
      </c>
      <c r="E506" s="1">
        <f>Tabela13[[#This Row],[Força (N)]]/$I$5</f>
        <v>16566051.910158526</v>
      </c>
      <c r="F506" s="1">
        <f>Tabela13[[#This Row],[Tensão (Pa)]]/1000000</f>
        <v>16.566051910158524</v>
      </c>
    </row>
    <row r="507" spans="1:6" x14ac:dyDescent="0.3">
      <c r="A507" s="1">
        <v>63.167000000000002</v>
      </c>
      <c r="B507" s="1">
        <v>5.2565999999999997</v>
      </c>
      <c r="C507" s="1">
        <f>Tabela13[[#This Row],[Alongamento (mm/mm)]]/$I$2</f>
        <v>0.10513199999999999</v>
      </c>
      <c r="D507" s="1">
        <v>804.91</v>
      </c>
      <c r="E507" s="1">
        <f>Tabela13[[#This Row],[Força (N)]]/$I$5</f>
        <v>16703848.125328146</v>
      </c>
      <c r="F507" s="1">
        <f>Tabela13[[#This Row],[Tensão (Pa)]]/1000000</f>
        <v>16.703848125328147</v>
      </c>
    </row>
    <row r="508" spans="1:6" x14ac:dyDescent="0.3">
      <c r="A508" s="1">
        <v>63.332999999999998</v>
      </c>
      <c r="B508" s="1">
        <v>5.2704000000000004</v>
      </c>
      <c r="C508" s="1">
        <f>Tabela13[[#This Row],[Alongamento (mm/mm)]]/$I$2</f>
        <v>0.105408</v>
      </c>
      <c r="D508" s="1">
        <v>811.37</v>
      </c>
      <c r="E508" s="1">
        <f>Tabela13[[#This Row],[Força (N)]]/$I$5</f>
        <v>16837908.900929917</v>
      </c>
      <c r="F508" s="1">
        <f>Tabela13[[#This Row],[Tensão (Pa)]]/1000000</f>
        <v>16.837908900929918</v>
      </c>
    </row>
    <row r="509" spans="1:6" x14ac:dyDescent="0.3">
      <c r="A509" s="1">
        <v>63.5</v>
      </c>
      <c r="B509" s="1">
        <v>5.2843</v>
      </c>
      <c r="C509" s="1">
        <f>Tabela13[[#This Row],[Alongamento (mm/mm)]]/$I$2</f>
        <v>0.105686</v>
      </c>
      <c r="D509" s="1">
        <v>817.84</v>
      </c>
      <c r="E509" s="1">
        <f>Tabela13[[#This Row],[Força (N)]]/$I$5</f>
        <v>16972177.20095212</v>
      </c>
      <c r="F509" s="1">
        <f>Tabela13[[#This Row],[Tensão (Pa)]]/1000000</f>
        <v>16.972177200952121</v>
      </c>
    </row>
    <row r="510" spans="1:6" x14ac:dyDescent="0.3">
      <c r="A510" s="1">
        <v>63.667000000000002</v>
      </c>
      <c r="B510" s="1">
        <v>5.2981999999999996</v>
      </c>
      <c r="C510" s="1">
        <f>Tabela13[[#This Row],[Alongamento (mm/mm)]]/$I$2</f>
        <v>0.10596399999999999</v>
      </c>
      <c r="D510" s="1">
        <v>824.3</v>
      </c>
      <c r="E510" s="1">
        <f>Tabela13[[#This Row],[Força (N)]]/$I$5</f>
        <v>17106237.976553887</v>
      </c>
      <c r="F510" s="1">
        <f>Tabela13[[#This Row],[Tensão (Pa)]]/1000000</f>
        <v>17.106237976553889</v>
      </c>
    </row>
    <row r="511" spans="1:6" x14ac:dyDescent="0.3">
      <c r="A511" s="1">
        <v>63.832999999999998</v>
      </c>
      <c r="B511" s="1">
        <v>5.3120000000000003</v>
      </c>
      <c r="C511" s="1">
        <f>Tabela13[[#This Row],[Alongamento (mm/mm)]]/$I$2</f>
        <v>0.10624</v>
      </c>
      <c r="D511" s="1">
        <v>830.76</v>
      </c>
      <c r="E511" s="1">
        <f>Tabela13[[#This Row],[Força (N)]]/$I$5</f>
        <v>17240298.752155658</v>
      </c>
      <c r="F511" s="1">
        <f>Tabela13[[#This Row],[Tensão (Pa)]]/1000000</f>
        <v>17.240298752155656</v>
      </c>
    </row>
    <row r="512" spans="1:6" x14ac:dyDescent="0.3">
      <c r="A512" s="1">
        <v>64</v>
      </c>
      <c r="B512" s="1">
        <v>5.3258999999999999</v>
      </c>
      <c r="C512" s="1">
        <f>Tabela13[[#This Row],[Alongamento (mm/mm)]]/$I$2</f>
        <v>0.106518</v>
      </c>
      <c r="D512" s="1">
        <v>837.4</v>
      </c>
      <c r="E512" s="1">
        <f>Tabela13[[#This Row],[Força (N)]]/$I$5</f>
        <v>17378094.967325278</v>
      </c>
      <c r="F512" s="1">
        <f>Tabela13[[#This Row],[Tensão (Pa)]]/1000000</f>
        <v>17.378094967325278</v>
      </c>
    </row>
    <row r="513" spans="1:6" x14ac:dyDescent="0.3">
      <c r="A513" s="1">
        <v>64.167000000000002</v>
      </c>
      <c r="B513" s="1">
        <v>5.3399000000000001</v>
      </c>
      <c r="C513" s="1">
        <f>Tabela13[[#This Row],[Alongamento (mm/mm)]]/$I$2</f>
        <v>0.106798</v>
      </c>
      <c r="D513" s="1">
        <v>844.03</v>
      </c>
      <c r="E513" s="1">
        <f>Tabela13[[#This Row],[Força (N)]]/$I$5</f>
        <v>17515683.658074461</v>
      </c>
      <c r="F513" s="1">
        <f>Tabela13[[#This Row],[Tensão (Pa)]]/1000000</f>
        <v>17.515683658074462</v>
      </c>
    </row>
    <row r="514" spans="1:6" x14ac:dyDescent="0.3">
      <c r="A514" s="1">
        <v>64.332999999999998</v>
      </c>
      <c r="B514" s="1">
        <v>5.3536999999999999</v>
      </c>
      <c r="C514" s="1">
        <f>Tabela13[[#This Row],[Alongamento (mm/mm)]]/$I$2</f>
        <v>0.107074</v>
      </c>
      <c r="D514" s="1">
        <v>850.66</v>
      </c>
      <c r="E514" s="1">
        <f>Tabela13[[#This Row],[Força (N)]]/$I$5</f>
        <v>17653272.348823644</v>
      </c>
      <c r="F514" s="1">
        <f>Tabela13[[#This Row],[Tensão (Pa)]]/1000000</f>
        <v>17.653272348823645</v>
      </c>
    </row>
    <row r="515" spans="1:6" x14ac:dyDescent="0.3">
      <c r="A515" s="1">
        <v>64.5</v>
      </c>
      <c r="B515" s="1">
        <v>5.3674999999999997</v>
      </c>
      <c r="C515" s="1">
        <f>Tabela13[[#This Row],[Alongamento (mm/mm)]]/$I$2</f>
        <v>0.10735</v>
      </c>
      <c r="D515" s="1">
        <v>857.47</v>
      </c>
      <c r="E515" s="1">
        <f>Tabela13[[#This Row],[Força (N)]]/$I$5</f>
        <v>17794596.47914068</v>
      </c>
      <c r="F515" s="1">
        <f>Tabela13[[#This Row],[Tensão (Pa)]]/1000000</f>
        <v>17.794596479140679</v>
      </c>
    </row>
    <row r="516" spans="1:6" x14ac:dyDescent="0.3">
      <c r="A516" s="1">
        <v>64.667000000000002</v>
      </c>
      <c r="B516" s="1">
        <v>5.3815</v>
      </c>
      <c r="C516" s="1">
        <f>Tabela13[[#This Row],[Alongamento (mm/mm)]]/$I$2</f>
        <v>0.10763</v>
      </c>
      <c r="D516" s="1">
        <v>864.1</v>
      </c>
      <c r="E516" s="1">
        <f>Tabela13[[#This Row],[Força (N)]]/$I$5</f>
        <v>17932185.169889864</v>
      </c>
      <c r="F516" s="1">
        <f>Tabela13[[#This Row],[Tensão (Pa)]]/1000000</f>
        <v>17.932185169889863</v>
      </c>
    </row>
    <row r="517" spans="1:6" x14ac:dyDescent="0.3">
      <c r="A517" s="1">
        <v>64.832999999999998</v>
      </c>
      <c r="B517" s="1">
        <v>5.3954000000000004</v>
      </c>
      <c r="C517" s="1">
        <f>Tabela13[[#This Row],[Alongamento (mm/mm)]]/$I$2</f>
        <v>0.107908</v>
      </c>
      <c r="D517" s="1">
        <v>871.08</v>
      </c>
      <c r="E517" s="1">
        <f>Tabela13[[#This Row],[Força (N)]]/$I$5</f>
        <v>18077037.215354316</v>
      </c>
      <c r="F517" s="1">
        <f>Tabela13[[#This Row],[Tensão (Pa)]]/1000000</f>
        <v>18.077037215354316</v>
      </c>
    </row>
    <row r="518" spans="1:6" x14ac:dyDescent="0.3">
      <c r="A518" s="1">
        <v>65</v>
      </c>
      <c r="B518" s="1">
        <v>5.4093</v>
      </c>
      <c r="C518" s="1">
        <f>Tabela13[[#This Row],[Alongamento (mm/mm)]]/$I$2</f>
        <v>0.108186</v>
      </c>
      <c r="D518" s="1">
        <v>877.88</v>
      </c>
      <c r="E518" s="1">
        <f>Tabela13[[#This Row],[Força (N)]]/$I$5</f>
        <v>18218153.821250916</v>
      </c>
      <c r="F518" s="1">
        <f>Tabela13[[#This Row],[Tensão (Pa)]]/1000000</f>
        <v>18.218153821250915</v>
      </c>
    </row>
    <row r="519" spans="1:6" x14ac:dyDescent="0.3">
      <c r="A519" s="1">
        <v>65.167000000000002</v>
      </c>
      <c r="B519" s="1">
        <v>5.4230999999999998</v>
      </c>
      <c r="C519" s="1">
        <f>Tabela13[[#This Row],[Alongamento (mm/mm)]]/$I$2</f>
        <v>0.108462</v>
      </c>
      <c r="D519" s="1">
        <v>884.68</v>
      </c>
      <c r="E519" s="1">
        <f>Tabela13[[#This Row],[Força (N)]]/$I$5</f>
        <v>18359270.427147511</v>
      </c>
      <c r="F519" s="1">
        <f>Tabela13[[#This Row],[Tensão (Pa)]]/1000000</f>
        <v>18.359270427147511</v>
      </c>
    </row>
    <row r="520" spans="1:6" x14ac:dyDescent="0.3">
      <c r="A520" s="1">
        <v>65.332999999999998</v>
      </c>
      <c r="B520" s="1">
        <v>5.4371</v>
      </c>
      <c r="C520" s="1">
        <f>Tabela13[[#This Row],[Alongamento (mm/mm)]]/$I$2</f>
        <v>0.10874200000000001</v>
      </c>
      <c r="D520" s="1">
        <v>891.66</v>
      </c>
      <c r="E520" s="1">
        <f>Tabela13[[#This Row],[Força (N)]]/$I$5</f>
        <v>18504122.472611964</v>
      </c>
      <c r="F520" s="1">
        <f>Tabela13[[#This Row],[Tensão (Pa)]]/1000000</f>
        <v>18.504122472611964</v>
      </c>
    </row>
    <row r="521" spans="1:6" x14ac:dyDescent="0.3">
      <c r="A521" s="1">
        <v>65.5</v>
      </c>
      <c r="B521" s="1">
        <v>5.4509999999999996</v>
      </c>
      <c r="C521" s="1">
        <f>Tabela13[[#This Row],[Alongamento (mm/mm)]]/$I$2</f>
        <v>0.10901999999999999</v>
      </c>
      <c r="D521" s="1">
        <v>898.63</v>
      </c>
      <c r="E521" s="1">
        <f>Tabela13[[#This Row],[Força (N)]]/$I$5</f>
        <v>18648766.993655976</v>
      </c>
      <c r="F521" s="1">
        <f>Tabela13[[#This Row],[Tensão (Pa)]]/1000000</f>
        <v>18.648766993655975</v>
      </c>
    </row>
    <row r="522" spans="1:6" x14ac:dyDescent="0.3">
      <c r="A522" s="1">
        <v>65.667000000000002</v>
      </c>
      <c r="B522" s="1">
        <v>5.4648000000000003</v>
      </c>
      <c r="C522" s="1">
        <f>Tabela13[[#This Row],[Alongamento (mm/mm)]]/$I$2</f>
        <v>0.109296</v>
      </c>
      <c r="D522" s="1">
        <v>905.44</v>
      </c>
      <c r="E522" s="1">
        <f>Tabela13[[#This Row],[Força (N)]]/$I$5</f>
        <v>18790091.123973012</v>
      </c>
      <c r="F522" s="1">
        <f>Tabela13[[#This Row],[Tensão (Pa)]]/1000000</f>
        <v>18.790091123973014</v>
      </c>
    </row>
    <row r="523" spans="1:6" x14ac:dyDescent="0.3">
      <c r="A523" s="1">
        <v>65.832999999999998</v>
      </c>
      <c r="B523" s="1">
        <v>5.4787999999999997</v>
      </c>
      <c r="C523" s="1">
        <f>Tabela13[[#This Row],[Alongamento (mm/mm)]]/$I$2</f>
        <v>0.10957599999999999</v>
      </c>
      <c r="D523" s="1">
        <v>912.24</v>
      </c>
      <c r="E523" s="1">
        <f>Tabela13[[#This Row],[Força (N)]]/$I$5</f>
        <v>18931207.729869612</v>
      </c>
      <c r="F523" s="1">
        <f>Tabela13[[#This Row],[Tensão (Pa)]]/1000000</f>
        <v>18.931207729869612</v>
      </c>
    </row>
    <row r="524" spans="1:6" x14ac:dyDescent="0.3">
      <c r="A524" s="1">
        <v>66</v>
      </c>
      <c r="B524" s="1">
        <v>5.4926000000000004</v>
      </c>
      <c r="C524" s="1">
        <f>Tabela13[[#This Row],[Alongamento (mm/mm)]]/$I$2</f>
        <v>0.10985200000000001</v>
      </c>
      <c r="D524" s="1">
        <v>919.21</v>
      </c>
      <c r="E524" s="1">
        <f>Tabela13[[#This Row],[Força (N)]]/$I$5</f>
        <v>19075852.250913624</v>
      </c>
      <c r="F524" s="1">
        <f>Tabela13[[#This Row],[Tensão (Pa)]]/1000000</f>
        <v>19.075852250913623</v>
      </c>
    </row>
    <row r="525" spans="1:6" x14ac:dyDescent="0.3">
      <c r="A525" s="1">
        <v>66.183000000000007</v>
      </c>
      <c r="B525" s="1">
        <v>5.5077999999999996</v>
      </c>
      <c r="C525" s="1">
        <f>Tabela13[[#This Row],[Alongamento (mm/mm)]]/$I$2</f>
        <v>0.11015599999999999</v>
      </c>
      <c r="D525" s="1">
        <v>926.7</v>
      </c>
      <c r="E525" s="1">
        <f>Tabela13[[#This Row],[Força (N)]]/$I$5</f>
        <v>19231288.041820321</v>
      </c>
      <c r="F525" s="1">
        <f>Tabela13[[#This Row],[Tensão (Pa)]]/1000000</f>
        <v>19.231288041820321</v>
      </c>
    </row>
    <row r="526" spans="1:6" x14ac:dyDescent="0.3">
      <c r="A526" s="1">
        <v>66.367000000000004</v>
      </c>
      <c r="B526" s="1">
        <v>5.5231000000000003</v>
      </c>
      <c r="C526" s="1">
        <f>Tabela13[[#This Row],[Alongamento (mm/mm)]]/$I$2</f>
        <v>0.110462</v>
      </c>
      <c r="D526" s="1">
        <v>934.35</v>
      </c>
      <c r="E526" s="1">
        <f>Tabela13[[#This Row],[Força (N)]]/$I$5</f>
        <v>19390044.223453995</v>
      </c>
      <c r="F526" s="1">
        <f>Tabela13[[#This Row],[Tensão (Pa)]]/1000000</f>
        <v>19.390044223453994</v>
      </c>
    </row>
    <row r="527" spans="1:6" x14ac:dyDescent="0.3">
      <c r="A527" s="1">
        <v>66.55</v>
      </c>
      <c r="B527" s="1">
        <v>5.5384000000000002</v>
      </c>
      <c r="C527" s="1">
        <f>Tabela13[[#This Row],[Alongamento (mm/mm)]]/$I$2</f>
        <v>0.11076800000000001</v>
      </c>
      <c r="D527" s="1">
        <v>942.01</v>
      </c>
      <c r="E527" s="1">
        <f>Tabela13[[#This Row],[Força (N)]]/$I$5</f>
        <v>19549007.929508101</v>
      </c>
      <c r="F527" s="1">
        <f>Tabela13[[#This Row],[Tensão (Pa)]]/1000000</f>
        <v>19.5490079295081</v>
      </c>
    </row>
    <row r="528" spans="1:6" x14ac:dyDescent="0.3">
      <c r="A528" s="1">
        <v>66.733000000000004</v>
      </c>
      <c r="B528" s="1">
        <v>5.5537000000000001</v>
      </c>
      <c r="C528" s="1">
        <f>Tabela13[[#This Row],[Alongamento (mm/mm)]]/$I$2</f>
        <v>0.11107400000000001</v>
      </c>
      <c r="D528" s="1">
        <v>949.66</v>
      </c>
      <c r="E528" s="1">
        <f>Tabela13[[#This Row],[Força (N)]]/$I$5</f>
        <v>19707764.111141775</v>
      </c>
      <c r="F528" s="1">
        <f>Tabela13[[#This Row],[Tensão (Pa)]]/1000000</f>
        <v>19.707764111141774</v>
      </c>
    </row>
    <row r="529" spans="1:6" x14ac:dyDescent="0.3">
      <c r="A529" s="1">
        <v>66.917000000000002</v>
      </c>
      <c r="B529" s="1">
        <v>5.569</v>
      </c>
      <c r="C529" s="1">
        <f>Tabela13[[#This Row],[Alongamento (mm/mm)]]/$I$2</f>
        <v>0.11137999999999999</v>
      </c>
      <c r="D529" s="1">
        <v>957.32</v>
      </c>
      <c r="E529" s="1">
        <f>Tabela13[[#This Row],[Força (N)]]/$I$5</f>
        <v>19866727.817195889</v>
      </c>
      <c r="F529" s="1">
        <f>Tabela13[[#This Row],[Tensão (Pa)]]/1000000</f>
        <v>19.866727817195887</v>
      </c>
    </row>
    <row r="530" spans="1:6" x14ac:dyDescent="0.3">
      <c r="A530" s="1">
        <v>67.099999999999994</v>
      </c>
      <c r="B530" s="1">
        <v>5.5842000000000001</v>
      </c>
      <c r="C530" s="1">
        <f>Tabela13[[#This Row],[Alongamento (mm/mm)]]/$I$2</f>
        <v>0.11168400000000001</v>
      </c>
      <c r="D530" s="1">
        <v>964.97</v>
      </c>
      <c r="E530" s="1">
        <f>Tabela13[[#This Row],[Força (N)]]/$I$5</f>
        <v>20025483.998829562</v>
      </c>
      <c r="F530" s="1">
        <f>Tabela13[[#This Row],[Tensão (Pa)]]/1000000</f>
        <v>20.025483998829561</v>
      </c>
    </row>
    <row r="531" spans="1:6" x14ac:dyDescent="0.3">
      <c r="A531" s="1">
        <v>67.283000000000001</v>
      </c>
      <c r="B531" s="1">
        <v>5.5994999999999999</v>
      </c>
      <c r="C531" s="1">
        <f>Tabela13[[#This Row],[Alongamento (mm/mm)]]/$I$2</f>
        <v>0.11198999999999999</v>
      </c>
      <c r="D531" s="1">
        <v>972.45</v>
      </c>
      <c r="E531" s="1">
        <f>Tabela13[[#This Row],[Força (N)]]/$I$5</f>
        <v>20180712.26531582</v>
      </c>
      <c r="F531" s="1">
        <f>Tabela13[[#This Row],[Tensão (Pa)]]/1000000</f>
        <v>20.180712265315819</v>
      </c>
    </row>
    <row r="532" spans="1:6" x14ac:dyDescent="0.3">
      <c r="A532" s="1">
        <v>67.466999999999999</v>
      </c>
      <c r="B532" s="1">
        <v>5.6147999999999998</v>
      </c>
      <c r="C532" s="1">
        <f>Tabela13[[#This Row],[Alongamento (mm/mm)]]/$I$2</f>
        <v>0.11229599999999999</v>
      </c>
      <c r="D532" s="1">
        <v>980.11</v>
      </c>
      <c r="E532" s="1">
        <f>Tabela13[[#This Row],[Força (N)]]/$I$5</f>
        <v>20339675.97136993</v>
      </c>
      <c r="F532" s="1">
        <f>Tabela13[[#This Row],[Tensão (Pa)]]/1000000</f>
        <v>20.339675971369928</v>
      </c>
    </row>
    <row r="533" spans="1:6" x14ac:dyDescent="0.3">
      <c r="A533" s="1">
        <v>67.650000000000006</v>
      </c>
      <c r="B533" s="1">
        <v>5.6300999999999997</v>
      </c>
      <c r="C533" s="1">
        <f>Tabela13[[#This Row],[Alongamento (mm/mm)]]/$I$2</f>
        <v>0.11260199999999999</v>
      </c>
      <c r="D533" s="1">
        <v>987.59</v>
      </c>
      <c r="E533" s="1">
        <f>Tabela13[[#This Row],[Força (N)]]/$I$5</f>
        <v>20494904.237856187</v>
      </c>
      <c r="F533" s="1">
        <f>Tabela13[[#This Row],[Tensão (Pa)]]/1000000</f>
        <v>20.494904237856186</v>
      </c>
    </row>
    <row r="534" spans="1:6" x14ac:dyDescent="0.3">
      <c r="A534" s="1">
        <v>67.832999999999998</v>
      </c>
      <c r="B534" s="1">
        <v>5.6454000000000004</v>
      </c>
      <c r="C534" s="1">
        <f>Tabela13[[#This Row],[Alongamento (mm/mm)]]/$I$2</f>
        <v>0.11290800000000001</v>
      </c>
      <c r="D534" s="1">
        <v>995.25</v>
      </c>
      <c r="E534" s="1">
        <f>Tabela13[[#This Row],[Força (N)]]/$I$5</f>
        <v>20653867.943910297</v>
      </c>
      <c r="F534" s="1">
        <f>Tabela13[[#This Row],[Tensão (Pa)]]/1000000</f>
        <v>20.653867943910296</v>
      </c>
    </row>
    <row r="535" spans="1:6" x14ac:dyDescent="0.3">
      <c r="A535" s="1">
        <v>68.016999999999996</v>
      </c>
      <c r="B535" s="1">
        <v>5.6607000000000003</v>
      </c>
      <c r="C535" s="1">
        <f>Tabela13[[#This Row],[Alongamento (mm/mm)]]/$I$2</f>
        <v>0.11321400000000001</v>
      </c>
      <c r="D535" s="1">
        <v>1002.7</v>
      </c>
      <c r="E535" s="1">
        <f>Tabela13[[#This Row],[Força (N)]]/$I$5</f>
        <v>20808473.637135249</v>
      </c>
      <c r="F535" s="1">
        <f>Tabela13[[#This Row],[Tensão (Pa)]]/1000000</f>
        <v>20.808473637135247</v>
      </c>
    </row>
    <row r="536" spans="1:6" x14ac:dyDescent="0.3">
      <c r="A536" s="1">
        <v>68.216999999999999</v>
      </c>
      <c r="B536" s="1">
        <v>5.6772999999999998</v>
      </c>
      <c r="C536" s="1">
        <f>Tabela13[[#This Row],[Alongamento (mm/mm)]]/$I$2</f>
        <v>0.11354599999999999</v>
      </c>
      <c r="D536" s="1">
        <v>1011.1</v>
      </c>
      <c r="E536" s="1">
        <f>Tabela13[[#This Row],[Força (N)]]/$I$5</f>
        <v>20982794.150301635</v>
      </c>
      <c r="F536" s="1">
        <f>Tabela13[[#This Row],[Tensão (Pa)]]/1000000</f>
        <v>20.982794150301636</v>
      </c>
    </row>
    <row r="537" spans="1:6" x14ac:dyDescent="0.3">
      <c r="A537" s="1">
        <v>68.417000000000002</v>
      </c>
      <c r="B537" s="1">
        <v>5.6939000000000002</v>
      </c>
      <c r="C537" s="1">
        <f>Tabela13[[#This Row],[Alongamento (mm/mm)]]/$I$2</f>
        <v>0.11387800000000001</v>
      </c>
      <c r="D537" s="1">
        <v>1019.4</v>
      </c>
      <c r="E537" s="1">
        <f>Tabela13[[#This Row],[Força (N)]]/$I$5</f>
        <v>21155039.419263661</v>
      </c>
      <c r="F537" s="1">
        <f>Tabela13[[#This Row],[Tensão (Pa)]]/1000000</f>
        <v>21.155039419263662</v>
      </c>
    </row>
    <row r="538" spans="1:6" x14ac:dyDescent="0.3">
      <c r="A538" s="1">
        <v>68.599999999999994</v>
      </c>
      <c r="B538" s="1">
        <v>5.7092000000000001</v>
      </c>
      <c r="C538" s="1">
        <f>Tabela13[[#This Row],[Alongamento (mm/mm)]]/$I$2</f>
        <v>0.11418400000000001</v>
      </c>
      <c r="D538" s="1">
        <v>1027.2</v>
      </c>
      <c r="E538" s="1">
        <f>Tabela13[[#This Row],[Força (N)]]/$I$5</f>
        <v>21316908.467203878</v>
      </c>
      <c r="F538" s="1">
        <f>Tabela13[[#This Row],[Tensão (Pa)]]/1000000</f>
        <v>21.316908467203877</v>
      </c>
    </row>
    <row r="539" spans="1:6" x14ac:dyDescent="0.3">
      <c r="A539" s="1">
        <v>68.8</v>
      </c>
      <c r="B539" s="1">
        <v>5.726</v>
      </c>
      <c r="C539" s="1">
        <f>Tabela13[[#This Row],[Alongamento (mm/mm)]]/$I$2</f>
        <v>0.11452</v>
      </c>
      <c r="D539" s="1">
        <v>1035.4000000000001</v>
      </c>
      <c r="E539" s="1">
        <f>Tabela13[[#This Row],[Força (N)]]/$I$5</f>
        <v>21487078.491961543</v>
      </c>
      <c r="F539" s="1">
        <f>Tabela13[[#This Row],[Tensão (Pa)]]/1000000</f>
        <v>21.487078491961544</v>
      </c>
    </row>
    <row r="540" spans="1:6" x14ac:dyDescent="0.3">
      <c r="A540" s="1">
        <v>69</v>
      </c>
      <c r="B540" s="1">
        <v>5.7426000000000004</v>
      </c>
      <c r="C540" s="1">
        <f>Tabela13[[#This Row],[Alongamento (mm/mm)]]/$I$2</f>
        <v>0.11485200000000001</v>
      </c>
      <c r="D540" s="1">
        <v>1043.7</v>
      </c>
      <c r="E540" s="1">
        <f>Tabela13[[#This Row],[Força (N)]]/$I$5</f>
        <v>21659323.760923564</v>
      </c>
      <c r="F540" s="1">
        <f>Tabela13[[#This Row],[Tensão (Pa)]]/1000000</f>
        <v>21.659323760923563</v>
      </c>
    </row>
    <row r="541" spans="1:6" x14ac:dyDescent="0.3">
      <c r="A541" s="1">
        <v>69.2</v>
      </c>
      <c r="B541" s="1">
        <v>5.7592999999999996</v>
      </c>
      <c r="C541" s="1">
        <f>Tabela13[[#This Row],[Alongamento (mm/mm)]]/$I$2</f>
        <v>0.115186</v>
      </c>
      <c r="D541" s="1">
        <v>1052.0999999999999</v>
      </c>
      <c r="E541" s="1">
        <f>Tabela13[[#This Row],[Força (N)]]/$I$5</f>
        <v>21833644.274089951</v>
      </c>
      <c r="F541" s="1">
        <f>Tabela13[[#This Row],[Tensão (Pa)]]/1000000</f>
        <v>21.833644274089952</v>
      </c>
    </row>
    <row r="542" spans="1:6" x14ac:dyDescent="0.3">
      <c r="A542" s="1">
        <v>69.400000000000006</v>
      </c>
      <c r="B542" s="1">
        <v>5.7759</v>
      </c>
      <c r="C542" s="1">
        <f>Tabela13[[#This Row],[Alongamento (mm/mm)]]/$I$2</f>
        <v>0.115518</v>
      </c>
      <c r="D542" s="1">
        <v>1060.4000000000001</v>
      </c>
      <c r="E542" s="1">
        <f>Tabela13[[#This Row],[Força (N)]]/$I$5</f>
        <v>22005889.543051977</v>
      </c>
      <c r="F542" s="1">
        <f>Tabela13[[#This Row],[Tensão (Pa)]]/1000000</f>
        <v>22.005889543051978</v>
      </c>
    </row>
    <row r="543" spans="1:6" x14ac:dyDescent="0.3">
      <c r="A543" s="1">
        <v>69.599999999999994</v>
      </c>
      <c r="B543" s="1">
        <v>5.7926000000000002</v>
      </c>
      <c r="C543" s="1">
        <f>Tabela13[[#This Row],[Alongamento (mm/mm)]]/$I$2</f>
        <v>0.11585200000000001</v>
      </c>
      <c r="D543" s="1">
        <v>1068.9000000000001</v>
      </c>
      <c r="E543" s="1">
        <f>Tabela13[[#This Row],[Força (N)]]/$I$5</f>
        <v>22182285.300422728</v>
      </c>
      <c r="F543" s="1">
        <f>Tabela13[[#This Row],[Tensão (Pa)]]/1000000</f>
        <v>22.182285300422727</v>
      </c>
    </row>
    <row r="544" spans="1:6" x14ac:dyDescent="0.3">
      <c r="A544" s="1">
        <v>69.8</v>
      </c>
      <c r="B544" s="1">
        <v>5.8091999999999997</v>
      </c>
      <c r="C544" s="1">
        <f>Tabela13[[#This Row],[Alongamento (mm/mm)]]/$I$2</f>
        <v>0.116184</v>
      </c>
      <c r="D544" s="1">
        <v>1077.4000000000001</v>
      </c>
      <c r="E544" s="1">
        <f>Tabela13[[#This Row],[Força (N)]]/$I$5</f>
        <v>22358681.057793476</v>
      </c>
      <c r="F544" s="1">
        <f>Tabela13[[#This Row],[Tensão (Pa)]]/1000000</f>
        <v>22.358681057793476</v>
      </c>
    </row>
    <row r="545" spans="1:6" x14ac:dyDescent="0.3">
      <c r="A545" s="1">
        <v>70</v>
      </c>
      <c r="B545" s="1">
        <v>5.8259999999999996</v>
      </c>
      <c r="C545" s="1">
        <f>Tabela13[[#This Row],[Alongamento (mm/mm)]]/$I$2</f>
        <v>0.11652</v>
      </c>
      <c r="D545" s="1">
        <v>1086.0999999999999</v>
      </c>
      <c r="E545" s="1">
        <f>Tabela13[[#This Row],[Força (N)]]/$I$5</f>
        <v>22539227.303572945</v>
      </c>
      <c r="F545" s="1">
        <f>Tabela13[[#This Row],[Tensão (Pa)]]/1000000</f>
        <v>22.539227303572947</v>
      </c>
    </row>
    <row r="546" spans="1:6" x14ac:dyDescent="0.3">
      <c r="A546" s="1">
        <v>70.2</v>
      </c>
      <c r="B546" s="1">
        <v>5.8426</v>
      </c>
      <c r="C546" s="1">
        <f>Tabela13[[#This Row],[Alongamento (mm/mm)]]/$I$2</f>
        <v>0.116852</v>
      </c>
      <c r="D546" s="1">
        <v>1094.8</v>
      </c>
      <c r="E546" s="1">
        <f>Tabela13[[#This Row],[Força (N)]]/$I$5</f>
        <v>22719773.549352419</v>
      </c>
      <c r="F546" s="1">
        <f>Tabela13[[#This Row],[Tensão (Pa)]]/1000000</f>
        <v>22.719773549352418</v>
      </c>
    </row>
    <row r="547" spans="1:6" x14ac:dyDescent="0.3">
      <c r="A547" s="1">
        <v>70.400000000000006</v>
      </c>
      <c r="B547" s="1">
        <v>5.8593000000000002</v>
      </c>
      <c r="C547" s="1">
        <f>Tabela13[[#This Row],[Alongamento (mm/mm)]]/$I$2</f>
        <v>0.117186</v>
      </c>
      <c r="D547" s="1">
        <v>1103.4000000000001</v>
      </c>
      <c r="E547" s="1">
        <f>Tabela13[[#This Row],[Força (N)]]/$I$5</f>
        <v>22898244.550927531</v>
      </c>
      <c r="F547" s="1">
        <f>Tabela13[[#This Row],[Tensão (Pa)]]/1000000</f>
        <v>22.898244550927529</v>
      </c>
    </row>
    <row r="548" spans="1:6" x14ac:dyDescent="0.3">
      <c r="A548" s="1">
        <v>70.599999999999994</v>
      </c>
      <c r="B548" s="1">
        <v>5.8761000000000001</v>
      </c>
      <c r="C548" s="1">
        <f>Tabela13[[#This Row],[Alongamento (mm/mm)]]/$I$2</f>
        <v>0.117522</v>
      </c>
      <c r="D548" s="1">
        <v>1112.3</v>
      </c>
      <c r="E548" s="1">
        <f>Tabela13[[#This Row],[Força (N)]]/$I$5</f>
        <v>23082941.285115723</v>
      </c>
      <c r="F548" s="1">
        <f>Tabela13[[#This Row],[Tensão (Pa)]]/1000000</f>
        <v>23.082941285115723</v>
      </c>
    </row>
    <row r="549" spans="1:6" x14ac:dyDescent="0.3">
      <c r="A549" s="1">
        <v>70.8</v>
      </c>
      <c r="B549" s="1">
        <v>5.8925999999999998</v>
      </c>
      <c r="C549" s="1">
        <f>Tabela13[[#This Row],[Alongamento (mm/mm)]]/$I$2</f>
        <v>0.117852</v>
      </c>
      <c r="D549" s="1">
        <v>1121.0999999999999</v>
      </c>
      <c r="E549" s="1">
        <f>Tabela13[[#This Row],[Força (N)]]/$I$5</f>
        <v>23265562.775099557</v>
      </c>
      <c r="F549" s="1">
        <f>Tabela13[[#This Row],[Tensão (Pa)]]/1000000</f>
        <v>23.265562775099557</v>
      </c>
    </row>
    <row r="550" spans="1:6" x14ac:dyDescent="0.3">
      <c r="A550" s="1">
        <v>71</v>
      </c>
      <c r="B550" s="1">
        <v>5.9093</v>
      </c>
      <c r="C550" s="1">
        <f>Tabela13[[#This Row],[Alongamento (mm/mm)]]/$I$2</f>
        <v>0.118186</v>
      </c>
      <c r="D550" s="1">
        <v>1130.0999999999999</v>
      </c>
      <c r="E550" s="1">
        <f>Tabela13[[#This Row],[Força (N)]]/$I$5</f>
        <v>23452334.753492113</v>
      </c>
      <c r="F550" s="1">
        <f>Tabela13[[#This Row],[Tensão (Pa)]]/1000000</f>
        <v>23.452334753492114</v>
      </c>
    </row>
    <row r="551" spans="1:6" x14ac:dyDescent="0.3">
      <c r="A551" s="1">
        <v>71.2</v>
      </c>
      <c r="B551" s="1">
        <v>5.9257999999999997</v>
      </c>
      <c r="C551" s="1">
        <f>Tabela13[[#This Row],[Alongamento (mm/mm)]]/$I$2</f>
        <v>0.118516</v>
      </c>
      <c r="D551" s="1">
        <v>1139</v>
      </c>
      <c r="E551" s="1">
        <f>Tabela13[[#This Row],[Força (N)]]/$I$5</f>
        <v>23637031.487680309</v>
      </c>
      <c r="F551" s="1">
        <f>Tabela13[[#This Row],[Tensão (Pa)]]/1000000</f>
        <v>23.637031487680307</v>
      </c>
    </row>
    <row r="552" spans="1:6" x14ac:dyDescent="0.3">
      <c r="A552" s="1">
        <v>71.400000000000006</v>
      </c>
      <c r="B552" s="1">
        <v>5.9425999999999997</v>
      </c>
      <c r="C552" s="1">
        <f>Tabela13[[#This Row],[Alongamento (mm/mm)]]/$I$2</f>
        <v>0.118852</v>
      </c>
      <c r="D552" s="1">
        <v>1148</v>
      </c>
      <c r="E552" s="1">
        <f>Tabela13[[#This Row],[Força (N)]]/$I$5</f>
        <v>23823803.466072869</v>
      </c>
      <c r="F552" s="1">
        <f>Tabela13[[#This Row],[Tensão (Pa)]]/1000000</f>
        <v>23.823803466072867</v>
      </c>
    </row>
    <row r="553" spans="1:6" x14ac:dyDescent="0.3">
      <c r="A553" s="1">
        <v>71.599999999999994</v>
      </c>
      <c r="B553" s="1">
        <v>5.9592999999999998</v>
      </c>
      <c r="C553" s="1">
        <f>Tabela13[[#This Row],[Alongamento (mm/mm)]]/$I$2</f>
        <v>0.119186</v>
      </c>
      <c r="D553" s="1">
        <v>1156.8</v>
      </c>
      <c r="E553" s="1">
        <f>Tabela13[[#This Row],[Força (N)]]/$I$5</f>
        <v>24006424.956056699</v>
      </c>
      <c r="F553" s="1">
        <f>Tabela13[[#This Row],[Tensão (Pa)]]/1000000</f>
        <v>24.006424956056698</v>
      </c>
    </row>
    <row r="554" spans="1:6" x14ac:dyDescent="0.3">
      <c r="A554" s="1">
        <v>71.8</v>
      </c>
      <c r="B554" s="1">
        <v>5.976</v>
      </c>
      <c r="C554" s="1">
        <f>Tabela13[[#This Row],[Alongamento (mm/mm)]]/$I$2</f>
        <v>0.11952</v>
      </c>
      <c r="D554" s="1">
        <v>1165.9000000000001</v>
      </c>
      <c r="E554" s="1">
        <f>Tabela13[[#This Row],[Força (N)]]/$I$5</f>
        <v>24195272.178653624</v>
      </c>
      <c r="F554" s="1">
        <f>Tabela13[[#This Row],[Tensão (Pa)]]/1000000</f>
        <v>24.195272178653624</v>
      </c>
    </row>
    <row r="555" spans="1:6" x14ac:dyDescent="0.3">
      <c r="A555" s="1">
        <v>72</v>
      </c>
      <c r="B555" s="1">
        <v>5.9926000000000004</v>
      </c>
      <c r="C555" s="1">
        <f>Tabela13[[#This Row],[Alongamento (mm/mm)]]/$I$2</f>
        <v>0.11985200000000001</v>
      </c>
      <c r="D555" s="1">
        <v>1174.9000000000001</v>
      </c>
      <c r="E555" s="1">
        <f>Tabela13[[#This Row],[Força (N)]]/$I$5</f>
        <v>24382044.15704618</v>
      </c>
      <c r="F555" s="1">
        <f>Tabela13[[#This Row],[Tensão (Pa)]]/1000000</f>
        <v>24.382044157046181</v>
      </c>
    </row>
    <row r="556" spans="1:6" x14ac:dyDescent="0.3">
      <c r="A556" s="1">
        <v>72.2</v>
      </c>
      <c r="B556" s="1">
        <v>6.0092999999999996</v>
      </c>
      <c r="C556" s="1">
        <f>Tabela13[[#This Row],[Alongamento (mm/mm)]]/$I$2</f>
        <v>0.12018599999999999</v>
      </c>
      <c r="D556" s="1">
        <v>1184.0999999999999</v>
      </c>
      <c r="E556" s="1">
        <f>Tabela13[[#This Row],[Força (N)]]/$I$5</f>
        <v>24572966.623847459</v>
      </c>
      <c r="F556" s="1">
        <f>Tabela13[[#This Row],[Tensão (Pa)]]/1000000</f>
        <v>24.57296662384746</v>
      </c>
    </row>
    <row r="557" spans="1:6" x14ac:dyDescent="0.3">
      <c r="A557" s="1">
        <v>72.417000000000002</v>
      </c>
      <c r="B557" s="1">
        <v>6.0274000000000001</v>
      </c>
      <c r="C557" s="1">
        <f>Tabela13[[#This Row],[Alongamento (mm/mm)]]/$I$2</f>
        <v>0.120548</v>
      </c>
      <c r="D557" s="1">
        <v>1193.8</v>
      </c>
      <c r="E557" s="1">
        <f>Tabela13[[#This Row],[Força (N)]]/$I$5</f>
        <v>24774265.311670549</v>
      </c>
      <c r="F557" s="1">
        <f>Tabela13[[#This Row],[Tensão (Pa)]]/1000000</f>
        <v>24.77426531167055</v>
      </c>
    </row>
    <row r="558" spans="1:6" x14ac:dyDescent="0.3">
      <c r="A558" s="1">
        <v>72.632999999999996</v>
      </c>
      <c r="B558" s="1">
        <v>6.0453999999999999</v>
      </c>
      <c r="C558" s="1">
        <f>Tabela13[[#This Row],[Alongamento (mm/mm)]]/$I$2</f>
        <v>0.120908</v>
      </c>
      <c r="D558" s="1">
        <v>1203.4000000000001</v>
      </c>
      <c r="E558" s="1">
        <f>Tabela13[[#This Row],[Força (N)]]/$I$5</f>
        <v>24973488.755289279</v>
      </c>
      <c r="F558" s="1">
        <f>Tabela13[[#This Row],[Tensão (Pa)]]/1000000</f>
        <v>24.973488755289278</v>
      </c>
    </row>
    <row r="559" spans="1:6" x14ac:dyDescent="0.3">
      <c r="A559" s="1">
        <v>72.849999999999994</v>
      </c>
      <c r="B559" s="1">
        <v>6.0635000000000003</v>
      </c>
      <c r="C559" s="1">
        <f>Tabela13[[#This Row],[Alongamento (mm/mm)]]/$I$2</f>
        <v>0.12127</v>
      </c>
      <c r="D559" s="1">
        <v>1213.0999999999999</v>
      </c>
      <c r="E559" s="1">
        <f>Tabela13[[#This Row],[Força (N)]]/$I$5</f>
        <v>25174787.443112362</v>
      </c>
      <c r="F559" s="1">
        <f>Tabela13[[#This Row],[Tensão (Pa)]]/1000000</f>
        <v>25.174787443112361</v>
      </c>
    </row>
    <row r="560" spans="1:6" x14ac:dyDescent="0.3">
      <c r="A560" s="1">
        <v>73.066999999999993</v>
      </c>
      <c r="B560" s="1">
        <v>6.0814000000000004</v>
      </c>
      <c r="C560" s="1">
        <f>Tabela13[[#This Row],[Alongamento (mm/mm)]]/$I$2</f>
        <v>0.12162800000000001</v>
      </c>
      <c r="D560" s="1">
        <v>1222.8</v>
      </c>
      <c r="E560" s="1">
        <f>Tabela13[[#This Row],[Força (N)]]/$I$5</f>
        <v>25376086.130935453</v>
      </c>
      <c r="F560" s="1">
        <f>Tabela13[[#This Row],[Tensão (Pa)]]/1000000</f>
        <v>25.376086130935452</v>
      </c>
    </row>
    <row r="561" spans="1:6" x14ac:dyDescent="0.3">
      <c r="A561" s="1">
        <v>73.283000000000001</v>
      </c>
      <c r="B561" s="1">
        <v>6.0997000000000003</v>
      </c>
      <c r="C561" s="1">
        <f>Tabela13[[#This Row],[Alongamento (mm/mm)]]/$I$2</f>
        <v>0.12199400000000001</v>
      </c>
      <c r="D561" s="1">
        <v>1232.5</v>
      </c>
      <c r="E561" s="1">
        <f>Tabela13[[#This Row],[Força (N)]]/$I$5</f>
        <v>25577384.818758544</v>
      </c>
      <c r="F561" s="1">
        <f>Tabela13[[#This Row],[Tensão (Pa)]]/1000000</f>
        <v>25.577384818758542</v>
      </c>
    </row>
    <row r="562" spans="1:6" x14ac:dyDescent="0.3">
      <c r="A562" s="1">
        <v>73.5</v>
      </c>
      <c r="B562" s="1">
        <v>6.1174999999999997</v>
      </c>
      <c r="C562" s="1">
        <f>Tabela13[[#This Row],[Alongamento (mm/mm)]]/$I$2</f>
        <v>0.12235</v>
      </c>
      <c r="D562" s="1">
        <v>1242.0999999999999</v>
      </c>
      <c r="E562" s="1">
        <f>Tabela13[[#This Row],[Força (N)]]/$I$5</f>
        <v>25776608.26237727</v>
      </c>
      <c r="F562" s="1">
        <f>Tabela13[[#This Row],[Tensão (Pa)]]/1000000</f>
        <v>25.77660826237727</v>
      </c>
    </row>
    <row r="563" spans="1:6" x14ac:dyDescent="0.3">
      <c r="A563" s="1">
        <v>73.716999999999999</v>
      </c>
      <c r="B563" s="1">
        <v>6.1356999999999999</v>
      </c>
      <c r="C563" s="1">
        <f>Tabela13[[#This Row],[Alongamento (mm/mm)]]/$I$2</f>
        <v>0.122714</v>
      </c>
      <c r="D563" s="1">
        <v>1251.8</v>
      </c>
      <c r="E563" s="1">
        <f>Tabela13[[#This Row],[Força (N)]]/$I$5</f>
        <v>25977906.95020036</v>
      </c>
      <c r="F563" s="1">
        <f>Tabela13[[#This Row],[Tensão (Pa)]]/1000000</f>
        <v>25.97790695020036</v>
      </c>
    </row>
    <row r="564" spans="1:6" x14ac:dyDescent="0.3">
      <c r="A564" s="1">
        <v>73.933000000000007</v>
      </c>
      <c r="B564" s="1">
        <v>6.1536999999999997</v>
      </c>
      <c r="C564" s="1">
        <f>Tabela13[[#This Row],[Alongamento (mm/mm)]]/$I$2</f>
        <v>0.12307399999999999</v>
      </c>
      <c r="D564" s="1">
        <v>1261.3</v>
      </c>
      <c r="E564" s="1">
        <f>Tabela13[[#This Row],[Força (N)]]/$I$5</f>
        <v>26175055.149614729</v>
      </c>
      <c r="F564" s="1">
        <f>Tabela13[[#This Row],[Tensão (Pa)]]/1000000</f>
        <v>26.175055149614728</v>
      </c>
    </row>
    <row r="565" spans="1:6" x14ac:dyDescent="0.3">
      <c r="A565" s="1">
        <v>74.150000000000006</v>
      </c>
      <c r="B565" s="1">
        <v>6.1718000000000002</v>
      </c>
      <c r="C565" s="1">
        <f>Tabela13[[#This Row],[Alongamento (mm/mm)]]/$I$2</f>
        <v>0.123436</v>
      </c>
      <c r="D565" s="1">
        <v>1271</v>
      </c>
      <c r="E565" s="1">
        <f>Tabela13[[#This Row],[Força (N)]]/$I$5</f>
        <v>26376353.837437816</v>
      </c>
      <c r="F565" s="1">
        <f>Tabela13[[#This Row],[Tensão (Pa)]]/1000000</f>
        <v>26.376353837437815</v>
      </c>
    </row>
    <row r="566" spans="1:6" x14ac:dyDescent="0.3">
      <c r="A566" s="1">
        <v>74.382999999999996</v>
      </c>
      <c r="B566" s="1">
        <v>6.1912000000000003</v>
      </c>
      <c r="C566" s="1">
        <f>Tabela13[[#This Row],[Alongamento (mm/mm)]]/$I$2</f>
        <v>0.123824</v>
      </c>
      <c r="D566" s="1">
        <v>1281.4000000000001</v>
      </c>
      <c r="E566" s="1">
        <f>Tabela13[[#This Row],[Força (N)]]/$I$5</f>
        <v>26592179.234691441</v>
      </c>
      <c r="F566" s="1">
        <f>Tabela13[[#This Row],[Tensão (Pa)]]/1000000</f>
        <v>26.592179234691439</v>
      </c>
    </row>
    <row r="567" spans="1:6" x14ac:dyDescent="0.3">
      <c r="A567" s="1">
        <v>74.599999999999994</v>
      </c>
      <c r="B567" s="1">
        <v>6.2092999999999998</v>
      </c>
      <c r="C567" s="1">
        <f>Tabela13[[#This Row],[Alongamento (mm/mm)]]/$I$2</f>
        <v>0.12418599999999999</v>
      </c>
      <c r="D567" s="1">
        <v>1291.2</v>
      </c>
      <c r="E567" s="1">
        <f>Tabela13[[#This Row],[Força (N)]]/$I$5</f>
        <v>26795553.166718893</v>
      </c>
      <c r="F567" s="1">
        <f>Tabela13[[#This Row],[Tensão (Pa)]]/1000000</f>
        <v>26.795553166718893</v>
      </c>
    </row>
    <row r="568" spans="1:6" x14ac:dyDescent="0.3">
      <c r="A568" s="1">
        <v>74.832999999999998</v>
      </c>
      <c r="B568" s="1">
        <v>6.2286999999999999</v>
      </c>
      <c r="C568" s="1">
        <f>Tabela13[[#This Row],[Alongamento (mm/mm)]]/$I$2</f>
        <v>0.124574</v>
      </c>
      <c r="D568" s="1">
        <v>1301.4000000000001</v>
      </c>
      <c r="E568" s="1">
        <f>Tabela13[[#This Row],[Força (N)]]/$I$5</f>
        <v>27007228.075563792</v>
      </c>
      <c r="F568" s="1">
        <f>Tabela13[[#This Row],[Tensão (Pa)]]/1000000</f>
        <v>27.007228075563791</v>
      </c>
    </row>
    <row r="569" spans="1:6" x14ac:dyDescent="0.3">
      <c r="A569" s="1">
        <v>75.066999999999993</v>
      </c>
      <c r="B569" s="1">
        <v>6.2481999999999998</v>
      </c>
      <c r="C569" s="1">
        <f>Tabela13[[#This Row],[Alongamento (mm/mm)]]/$I$2</f>
        <v>0.12496399999999999</v>
      </c>
      <c r="D569" s="1">
        <v>1312</v>
      </c>
      <c r="E569" s="1">
        <f>Tabela13[[#This Row],[Força (N)]]/$I$5</f>
        <v>27227203.961226135</v>
      </c>
      <c r="F569" s="1">
        <f>Tabela13[[#This Row],[Tensão (Pa)]]/1000000</f>
        <v>27.227203961226135</v>
      </c>
    </row>
    <row r="570" spans="1:6" x14ac:dyDescent="0.3">
      <c r="A570" s="1">
        <v>75.3</v>
      </c>
      <c r="B570" s="1">
        <v>6.2675000000000001</v>
      </c>
      <c r="C570" s="1">
        <f>Tabela13[[#This Row],[Alongamento (mm/mm)]]/$I$2</f>
        <v>0.12534999999999999</v>
      </c>
      <c r="D570" s="1">
        <v>1322.2</v>
      </c>
      <c r="E570" s="1">
        <f>Tabela13[[#This Row],[Força (N)]]/$I$5</f>
        <v>27438878.870071035</v>
      </c>
      <c r="F570" s="1">
        <f>Tabela13[[#This Row],[Tensão (Pa)]]/1000000</f>
        <v>27.438878870071036</v>
      </c>
    </row>
    <row r="571" spans="1:6" x14ac:dyDescent="0.3">
      <c r="A571" s="1">
        <v>75.533000000000001</v>
      </c>
      <c r="B571" s="1">
        <v>6.2870999999999997</v>
      </c>
      <c r="C571" s="1">
        <f>Tabela13[[#This Row],[Alongamento (mm/mm)]]/$I$2</f>
        <v>0.12574199999999999</v>
      </c>
      <c r="D571" s="1">
        <v>1332.6</v>
      </c>
      <c r="E571" s="1">
        <f>Tabela13[[#This Row],[Força (N)]]/$I$5</f>
        <v>27654704.267324653</v>
      </c>
      <c r="F571" s="1">
        <f>Tabela13[[#This Row],[Tensão (Pa)]]/1000000</f>
        <v>27.654704267324654</v>
      </c>
    </row>
    <row r="572" spans="1:6" x14ac:dyDescent="0.3">
      <c r="A572" s="1">
        <v>75.766999999999996</v>
      </c>
      <c r="B572" s="1">
        <v>6.3064999999999998</v>
      </c>
      <c r="C572" s="1">
        <f>Tabela13[[#This Row],[Alongamento (mm/mm)]]/$I$2</f>
        <v>0.12612999999999999</v>
      </c>
      <c r="D572" s="1">
        <v>1342.8</v>
      </c>
      <c r="E572" s="1">
        <f>Tabela13[[#This Row],[Força (N)]]/$I$5</f>
        <v>27866379.176169552</v>
      </c>
      <c r="F572" s="1">
        <f>Tabela13[[#This Row],[Tensão (Pa)]]/1000000</f>
        <v>27.866379176169552</v>
      </c>
    </row>
    <row r="573" spans="1:6" x14ac:dyDescent="0.3">
      <c r="A573" s="1">
        <v>76</v>
      </c>
      <c r="B573" s="1">
        <v>6.3259999999999996</v>
      </c>
      <c r="C573" s="1">
        <f>Tabela13[[#This Row],[Alongamento (mm/mm)]]/$I$2</f>
        <v>0.12651999999999999</v>
      </c>
      <c r="D573" s="1">
        <v>1353.3</v>
      </c>
      <c r="E573" s="1">
        <f>Tabela13[[#This Row],[Força (N)]]/$I$5</f>
        <v>28084279.817627534</v>
      </c>
      <c r="F573" s="1">
        <f>Tabela13[[#This Row],[Tensão (Pa)]]/1000000</f>
        <v>28.084279817627536</v>
      </c>
    </row>
    <row r="574" spans="1:6" x14ac:dyDescent="0.3">
      <c r="A574" s="1">
        <v>76.233000000000004</v>
      </c>
      <c r="B574" s="1">
        <v>6.3452999999999999</v>
      </c>
      <c r="C574" s="1">
        <f>Tabela13[[#This Row],[Alongamento (mm/mm)]]/$I$2</f>
        <v>0.12690599999999999</v>
      </c>
      <c r="D574" s="1">
        <v>1363.9</v>
      </c>
      <c r="E574" s="1">
        <f>Tabela13[[#This Row],[Força (N)]]/$I$5</f>
        <v>28304255.703289885</v>
      </c>
      <c r="F574" s="1">
        <f>Tabela13[[#This Row],[Tensão (Pa)]]/1000000</f>
        <v>28.304255703289886</v>
      </c>
    </row>
    <row r="575" spans="1:6" x14ac:dyDescent="0.3">
      <c r="A575" s="1">
        <v>76.466999999999999</v>
      </c>
      <c r="B575" s="1">
        <v>6.3647999999999998</v>
      </c>
      <c r="C575" s="1">
        <f>Tabela13[[#This Row],[Alongamento (mm/mm)]]/$I$2</f>
        <v>0.12729599999999999</v>
      </c>
      <c r="D575" s="1">
        <v>1374.4</v>
      </c>
      <c r="E575" s="1">
        <f>Tabela13[[#This Row],[Força (N)]]/$I$5</f>
        <v>28522156.344747867</v>
      </c>
      <c r="F575" s="1">
        <f>Tabela13[[#This Row],[Tensão (Pa)]]/1000000</f>
        <v>28.522156344747867</v>
      </c>
    </row>
    <row r="576" spans="1:6" x14ac:dyDescent="0.3">
      <c r="A576" s="1">
        <v>76.7</v>
      </c>
      <c r="B576" s="1">
        <v>6.3842999999999996</v>
      </c>
      <c r="C576" s="1">
        <f>Tabela13[[#This Row],[Alongamento (mm/mm)]]/$I$2</f>
        <v>0.12768599999999999</v>
      </c>
      <c r="D576" s="1">
        <v>1385.1</v>
      </c>
      <c r="E576" s="1">
        <f>Tabela13[[#This Row],[Força (N)]]/$I$5</f>
        <v>28744207.474614572</v>
      </c>
      <c r="F576" s="1">
        <f>Tabela13[[#This Row],[Tensão (Pa)]]/1000000</f>
        <v>28.744207474614573</v>
      </c>
    </row>
    <row r="577" spans="1:6" x14ac:dyDescent="0.3">
      <c r="A577" s="1">
        <v>76.933000000000007</v>
      </c>
      <c r="B577" s="1">
        <v>6.4038000000000004</v>
      </c>
      <c r="C577" s="1">
        <f>Tabela13[[#This Row],[Alongamento (mm/mm)]]/$I$2</f>
        <v>0.128076</v>
      </c>
      <c r="D577" s="1">
        <v>1395.7</v>
      </c>
      <c r="E577" s="1">
        <f>Tabela13[[#This Row],[Força (N)]]/$I$5</f>
        <v>28964183.360276919</v>
      </c>
      <c r="F577" s="1">
        <f>Tabela13[[#This Row],[Tensão (Pa)]]/1000000</f>
        <v>28.96418336027692</v>
      </c>
    </row>
    <row r="578" spans="1:6" x14ac:dyDescent="0.3">
      <c r="A578" s="1">
        <v>77.183000000000007</v>
      </c>
      <c r="B578" s="1">
        <v>6.4245999999999999</v>
      </c>
      <c r="C578" s="1">
        <f>Tabela13[[#This Row],[Alongamento (mm/mm)]]/$I$2</f>
        <v>0.128492</v>
      </c>
      <c r="D578" s="1">
        <v>1407.1</v>
      </c>
      <c r="E578" s="1">
        <f>Tabela13[[#This Row],[Força (N)]]/$I$5</f>
        <v>29200761.199574154</v>
      </c>
      <c r="F578" s="1">
        <f>Tabela13[[#This Row],[Tensão (Pa)]]/1000000</f>
        <v>29.200761199574153</v>
      </c>
    </row>
    <row r="579" spans="1:6" x14ac:dyDescent="0.3">
      <c r="A579" s="1">
        <v>77.433000000000007</v>
      </c>
      <c r="B579" s="1">
        <v>6.4454000000000002</v>
      </c>
      <c r="C579" s="1">
        <f>Tabela13[[#This Row],[Alongamento (mm/mm)]]/$I$2</f>
        <v>0.12890799999999999</v>
      </c>
      <c r="D579" s="1">
        <v>1418.6</v>
      </c>
      <c r="E579" s="1">
        <f>Tabela13[[#This Row],[Força (N)]]/$I$5</f>
        <v>29439414.283075757</v>
      </c>
      <c r="F579" s="1">
        <f>Tabela13[[#This Row],[Tensão (Pa)]]/1000000</f>
        <v>29.439414283075756</v>
      </c>
    </row>
    <row r="580" spans="1:6" x14ac:dyDescent="0.3">
      <c r="A580" s="1">
        <v>77.683000000000007</v>
      </c>
      <c r="B580" s="1">
        <v>6.4661999999999997</v>
      </c>
      <c r="C580" s="1">
        <f>Tabela13[[#This Row],[Alongamento (mm/mm)]]/$I$2</f>
        <v>0.12932399999999999</v>
      </c>
      <c r="D580" s="1">
        <v>1430</v>
      </c>
      <c r="E580" s="1">
        <f>Tabela13[[#This Row],[Força (N)]]/$I$5</f>
        <v>29675992.122372996</v>
      </c>
      <c r="F580" s="1">
        <f>Tabela13[[#This Row],[Tensão (Pa)]]/1000000</f>
        <v>29.675992122372996</v>
      </c>
    </row>
    <row r="581" spans="1:6" x14ac:dyDescent="0.3">
      <c r="A581" s="1">
        <v>77.933000000000007</v>
      </c>
      <c r="B581" s="1">
        <v>6.4870999999999999</v>
      </c>
      <c r="C581" s="1">
        <f>Tabela13[[#This Row],[Alongamento (mm/mm)]]/$I$2</f>
        <v>0.129742</v>
      </c>
      <c r="D581" s="1">
        <v>1441.4</v>
      </c>
      <c r="E581" s="1">
        <f>Tabela13[[#This Row],[Força (N)]]/$I$5</f>
        <v>29912569.961670239</v>
      </c>
      <c r="F581" s="1">
        <f>Tabela13[[#This Row],[Tensão (Pa)]]/1000000</f>
        <v>29.91256996167024</v>
      </c>
    </row>
    <row r="582" spans="1:6" x14ac:dyDescent="0.3">
      <c r="A582" s="1">
        <v>78.183000000000007</v>
      </c>
      <c r="B582" s="1">
        <v>6.5079000000000002</v>
      </c>
      <c r="C582" s="1">
        <f>Tabela13[[#This Row],[Alongamento (mm/mm)]]/$I$2</f>
        <v>0.130158</v>
      </c>
      <c r="D582" s="1">
        <v>1452.8</v>
      </c>
      <c r="E582" s="1">
        <f>Tabela13[[#This Row],[Força (N)]]/$I$5</f>
        <v>30149147.800967474</v>
      </c>
      <c r="F582" s="1">
        <f>Tabela13[[#This Row],[Tensão (Pa)]]/1000000</f>
        <v>30.149147800967473</v>
      </c>
    </row>
    <row r="583" spans="1:6" x14ac:dyDescent="0.3">
      <c r="A583" s="1">
        <v>78.433000000000007</v>
      </c>
      <c r="B583" s="1">
        <v>6.5288000000000004</v>
      </c>
      <c r="C583" s="1">
        <f>Tabela13[[#This Row],[Alongamento (mm/mm)]]/$I$2</f>
        <v>0.130576</v>
      </c>
      <c r="D583" s="1">
        <v>1464.4</v>
      </c>
      <c r="E583" s="1">
        <f>Tabela13[[#This Row],[Força (N)]]/$I$5</f>
        <v>30389876.128673442</v>
      </c>
      <c r="F583" s="1">
        <f>Tabela13[[#This Row],[Tensão (Pa)]]/1000000</f>
        <v>30.389876128673443</v>
      </c>
    </row>
    <row r="584" spans="1:6" x14ac:dyDescent="0.3">
      <c r="A584" s="1">
        <v>78.683000000000007</v>
      </c>
      <c r="B584" s="1">
        <v>6.5495999999999999</v>
      </c>
      <c r="C584" s="1">
        <f>Tabela13[[#This Row],[Alongamento (mm/mm)]]/$I$2</f>
        <v>0.130992</v>
      </c>
      <c r="D584" s="1">
        <v>1475.8</v>
      </c>
      <c r="E584" s="1">
        <f>Tabela13[[#This Row],[Força (N)]]/$I$5</f>
        <v>30626453.967970677</v>
      </c>
      <c r="F584" s="1">
        <f>Tabela13[[#This Row],[Tensão (Pa)]]/1000000</f>
        <v>30.626453967970676</v>
      </c>
    </row>
    <row r="585" spans="1:6" x14ac:dyDescent="0.3">
      <c r="A585" s="1">
        <v>78.933000000000007</v>
      </c>
      <c r="B585" s="1">
        <v>6.5705</v>
      </c>
      <c r="C585" s="1">
        <f>Tabela13[[#This Row],[Alongamento (mm/mm)]]/$I$2</f>
        <v>0.13141</v>
      </c>
      <c r="D585" s="1">
        <v>1487.2</v>
      </c>
      <c r="E585" s="1">
        <f>Tabela13[[#This Row],[Força (N)]]/$I$5</f>
        <v>30863031.807267919</v>
      </c>
      <c r="F585" s="1">
        <f>Tabela13[[#This Row],[Tensão (Pa)]]/1000000</f>
        <v>30.86303180726792</v>
      </c>
    </row>
    <row r="586" spans="1:6" x14ac:dyDescent="0.3">
      <c r="A586" s="1">
        <v>79.2</v>
      </c>
      <c r="B586" s="1">
        <v>6.5926</v>
      </c>
      <c r="C586" s="1">
        <f>Tabela13[[#This Row],[Alongamento (mm/mm)]]/$I$2</f>
        <v>0.131852</v>
      </c>
      <c r="D586" s="1">
        <v>1499.1</v>
      </c>
      <c r="E586" s="1">
        <f>Tabela13[[#This Row],[Força (N)]]/$I$5</f>
        <v>31109985.867586963</v>
      </c>
      <c r="F586" s="1">
        <f>Tabela13[[#This Row],[Tensão (Pa)]]/1000000</f>
        <v>31.109985867586964</v>
      </c>
    </row>
    <row r="587" spans="1:6" x14ac:dyDescent="0.3">
      <c r="A587" s="1">
        <v>79.466999999999999</v>
      </c>
      <c r="B587" s="1">
        <v>6.6147999999999998</v>
      </c>
      <c r="C587" s="1">
        <f>Tabela13[[#This Row],[Alongamento (mm/mm)]]/$I$2</f>
        <v>0.132296</v>
      </c>
      <c r="D587" s="1">
        <v>1511</v>
      </c>
      <c r="E587" s="1">
        <f>Tabela13[[#This Row],[Força (N)]]/$I$5</f>
        <v>31356939.927906014</v>
      </c>
      <c r="F587" s="1">
        <f>Tabela13[[#This Row],[Tensão (Pa)]]/1000000</f>
        <v>31.356939927906016</v>
      </c>
    </row>
    <row r="588" spans="1:6" x14ac:dyDescent="0.3">
      <c r="A588" s="1">
        <v>79.733000000000004</v>
      </c>
      <c r="B588" s="1">
        <v>6.6371000000000002</v>
      </c>
      <c r="C588" s="1">
        <f>Tabela13[[#This Row],[Alongamento (mm/mm)]]/$I$2</f>
        <v>0.132742</v>
      </c>
      <c r="D588" s="1">
        <v>1522.9</v>
      </c>
      <c r="E588" s="1">
        <f>Tabela13[[#This Row],[Força (N)]]/$I$5</f>
        <v>31603893.988225061</v>
      </c>
      <c r="F588" s="1">
        <f>Tabela13[[#This Row],[Tensão (Pa)]]/1000000</f>
        <v>31.60389398822506</v>
      </c>
    </row>
    <row r="589" spans="1:6" x14ac:dyDescent="0.3">
      <c r="A589" s="1">
        <v>80</v>
      </c>
      <c r="B589" s="1">
        <v>6.6593</v>
      </c>
      <c r="C589" s="1">
        <f>Tabela13[[#This Row],[Alongamento (mm/mm)]]/$I$2</f>
        <v>0.133186</v>
      </c>
      <c r="D589" s="1">
        <v>1534.8</v>
      </c>
      <c r="E589" s="1">
        <f>Tabela13[[#This Row],[Força (N)]]/$I$5</f>
        <v>31850848.048544109</v>
      </c>
      <c r="F589" s="1">
        <f>Tabela13[[#This Row],[Tensão (Pa)]]/1000000</f>
        <v>31.850848048544108</v>
      </c>
    </row>
    <row r="590" spans="1:6" x14ac:dyDescent="0.3">
      <c r="A590" s="1">
        <v>80.266999999999996</v>
      </c>
      <c r="B590" s="1">
        <v>6.6814999999999998</v>
      </c>
      <c r="C590" s="1">
        <f>Tabela13[[#This Row],[Alongamento (mm/mm)]]/$I$2</f>
        <v>0.13363</v>
      </c>
      <c r="D590" s="1">
        <v>1546.7</v>
      </c>
      <c r="E590" s="1">
        <f>Tabela13[[#This Row],[Força (N)]]/$I$5</f>
        <v>32097802.10886316</v>
      </c>
      <c r="F590" s="1">
        <f>Tabela13[[#This Row],[Tensão (Pa)]]/1000000</f>
        <v>32.097802108863164</v>
      </c>
    </row>
    <row r="591" spans="1:6" x14ac:dyDescent="0.3">
      <c r="A591" s="1">
        <v>80.55</v>
      </c>
      <c r="B591" s="1">
        <v>6.7051999999999996</v>
      </c>
      <c r="C591" s="1">
        <f>Tabela13[[#This Row],[Alongamento (mm/mm)]]/$I$2</f>
        <v>0.134104</v>
      </c>
      <c r="D591" s="1">
        <v>1559.1</v>
      </c>
      <c r="E591" s="1">
        <f>Tabela13[[#This Row],[Força (N)]]/$I$5</f>
        <v>32355132.390204012</v>
      </c>
      <c r="F591" s="1">
        <f>Tabela13[[#This Row],[Tensão (Pa)]]/1000000</f>
        <v>32.355132390204012</v>
      </c>
    </row>
    <row r="592" spans="1:6" x14ac:dyDescent="0.3">
      <c r="A592" s="1">
        <v>80.816999999999993</v>
      </c>
      <c r="B592" s="1">
        <v>6.7272999999999996</v>
      </c>
      <c r="C592" s="1">
        <f>Tabela13[[#This Row],[Alongamento (mm/mm)]]/$I$2</f>
        <v>0.134546</v>
      </c>
      <c r="D592" s="1">
        <v>1571</v>
      </c>
      <c r="E592" s="1">
        <f>Tabela13[[#This Row],[Força (N)]]/$I$5</f>
        <v>32602086.450523064</v>
      </c>
      <c r="F592" s="1">
        <f>Tabela13[[#This Row],[Tensão (Pa)]]/1000000</f>
        <v>32.602086450523061</v>
      </c>
    </row>
    <row r="593" spans="1:6" x14ac:dyDescent="0.3">
      <c r="A593" s="1">
        <v>81.099999999999994</v>
      </c>
      <c r="B593" s="1">
        <v>6.7510000000000003</v>
      </c>
      <c r="C593" s="1">
        <f>Tabela13[[#This Row],[Alongamento (mm/mm)]]/$I$2</f>
        <v>0.13502</v>
      </c>
      <c r="D593" s="1">
        <v>1583.6</v>
      </c>
      <c r="E593" s="1">
        <f>Tabela13[[#This Row],[Força (N)]]/$I$5</f>
        <v>32863567.220272642</v>
      </c>
      <c r="F593" s="1">
        <f>Tabela13[[#This Row],[Tensão (Pa)]]/1000000</f>
        <v>32.863567220272643</v>
      </c>
    </row>
    <row r="594" spans="1:6" x14ac:dyDescent="0.3">
      <c r="A594" s="1">
        <v>81.382999999999996</v>
      </c>
      <c r="B594" s="1">
        <v>6.7746000000000004</v>
      </c>
      <c r="C594" s="1">
        <f>Tabela13[[#This Row],[Alongamento (mm/mm)]]/$I$2</f>
        <v>0.135492</v>
      </c>
      <c r="D594" s="1">
        <v>1596</v>
      </c>
      <c r="E594" s="1">
        <f>Tabela13[[#This Row],[Força (N)]]/$I$5</f>
        <v>33120897.501613498</v>
      </c>
      <c r="F594" s="1">
        <f>Tabela13[[#This Row],[Tensão (Pa)]]/1000000</f>
        <v>33.120897501613499</v>
      </c>
    </row>
    <row r="595" spans="1:6" x14ac:dyDescent="0.3">
      <c r="A595" s="1">
        <v>81.667000000000002</v>
      </c>
      <c r="B595" s="1">
        <v>6.7983000000000002</v>
      </c>
      <c r="C595" s="1">
        <f>Tabela13[[#This Row],[Alongamento (mm/mm)]]/$I$2</f>
        <v>0.135966</v>
      </c>
      <c r="D595" s="1">
        <v>1608.5</v>
      </c>
      <c r="E595" s="1">
        <f>Tabela13[[#This Row],[Força (N)]]/$I$5</f>
        <v>33380303.027158719</v>
      </c>
      <c r="F595" s="1">
        <f>Tabela13[[#This Row],[Tensão (Pa)]]/1000000</f>
        <v>33.380303027158718</v>
      </c>
    </row>
    <row r="596" spans="1:6" x14ac:dyDescent="0.3">
      <c r="A596" s="1">
        <v>81.95</v>
      </c>
      <c r="B596" s="1">
        <v>6.8217999999999996</v>
      </c>
      <c r="C596" s="1">
        <f>Tabela13[[#This Row],[Alongamento (mm/mm)]]/$I$2</f>
        <v>0.136436</v>
      </c>
      <c r="D596" s="1">
        <v>1621</v>
      </c>
      <c r="E596" s="1">
        <f>Tabela13[[#This Row],[Força (N)]]/$I$5</f>
        <v>33639708.552703939</v>
      </c>
      <c r="F596" s="1">
        <f>Tabela13[[#This Row],[Tensão (Pa)]]/1000000</f>
        <v>33.639708552703937</v>
      </c>
    </row>
    <row r="597" spans="1:6" x14ac:dyDescent="0.3">
      <c r="A597" s="1">
        <v>82.233000000000004</v>
      </c>
      <c r="B597" s="1">
        <v>6.8453999999999997</v>
      </c>
      <c r="C597" s="1">
        <f>Tabela13[[#This Row],[Alongamento (mm/mm)]]/$I$2</f>
        <v>0.136908</v>
      </c>
      <c r="D597" s="1">
        <v>1633.8</v>
      </c>
      <c r="E597" s="1">
        <f>Tabela13[[#This Row],[Força (N)]]/$I$5</f>
        <v>33905339.810862236</v>
      </c>
      <c r="F597" s="1">
        <f>Tabela13[[#This Row],[Tensão (Pa)]]/1000000</f>
        <v>33.905339810862237</v>
      </c>
    </row>
    <row r="598" spans="1:6" x14ac:dyDescent="0.3">
      <c r="A598" s="1">
        <v>82.5</v>
      </c>
      <c r="B598" s="1">
        <v>6.8676000000000004</v>
      </c>
      <c r="C598" s="1">
        <f>Tabela13[[#This Row],[Alongamento (mm/mm)]]/$I$2</f>
        <v>0.137352</v>
      </c>
      <c r="D598" s="1">
        <v>1646.4</v>
      </c>
      <c r="E598" s="1">
        <f>Tabela13[[#This Row],[Força (N)]]/$I$5</f>
        <v>34166820.580611825</v>
      </c>
      <c r="F598" s="1">
        <f>Tabela13[[#This Row],[Tensão (Pa)]]/1000000</f>
        <v>34.166820580611827</v>
      </c>
    </row>
    <row r="599" spans="1:6" x14ac:dyDescent="0.3">
      <c r="A599" s="1">
        <v>82.783000000000001</v>
      </c>
      <c r="B599" s="1">
        <v>6.8913000000000002</v>
      </c>
      <c r="C599" s="1">
        <f>Tabela13[[#This Row],[Alongamento (mm/mm)]]/$I$2</f>
        <v>0.137826</v>
      </c>
      <c r="D599" s="1">
        <v>1659.1</v>
      </c>
      <c r="E599" s="1">
        <f>Tabela13[[#This Row],[Força (N)]]/$I$5</f>
        <v>34430376.594565757</v>
      </c>
      <c r="F599" s="1">
        <f>Tabela13[[#This Row],[Tensão (Pa)]]/1000000</f>
        <v>34.430376594565757</v>
      </c>
    </row>
    <row r="600" spans="1:6" x14ac:dyDescent="0.3">
      <c r="A600" s="1">
        <v>83.066999999999993</v>
      </c>
      <c r="B600" s="1">
        <v>6.9149000000000003</v>
      </c>
      <c r="C600" s="1">
        <f>Tabela13[[#This Row],[Alongamento (mm/mm)]]/$I$2</f>
        <v>0.138298</v>
      </c>
      <c r="D600" s="1">
        <v>1672.1</v>
      </c>
      <c r="E600" s="1">
        <f>Tabela13[[#This Row],[Força (N)]]/$I$5</f>
        <v>34700158.34113279</v>
      </c>
      <c r="F600" s="1">
        <f>Tabela13[[#This Row],[Tensão (Pa)]]/1000000</f>
        <v>34.700158341132791</v>
      </c>
    </row>
    <row r="601" spans="1:6" x14ac:dyDescent="0.3">
      <c r="A601" s="1">
        <v>83.35</v>
      </c>
      <c r="B601" s="1">
        <v>6.9385000000000003</v>
      </c>
      <c r="C601" s="1">
        <f>Tabela13[[#This Row],[Alongamento (mm/mm)]]/$I$2</f>
        <v>0.13877</v>
      </c>
      <c r="D601" s="1">
        <v>1685.2</v>
      </c>
      <c r="E601" s="1">
        <f>Tabela13[[#This Row],[Força (N)]]/$I$5</f>
        <v>34972015.33190418</v>
      </c>
      <c r="F601" s="1">
        <f>Tabela13[[#This Row],[Tensão (Pa)]]/1000000</f>
        <v>34.972015331904181</v>
      </c>
    </row>
    <row r="602" spans="1:6" x14ac:dyDescent="0.3">
      <c r="A602" s="1">
        <v>83.632999999999996</v>
      </c>
      <c r="B602" s="1">
        <v>6.9621000000000004</v>
      </c>
      <c r="C602" s="1">
        <f>Tabela13[[#This Row],[Alongamento (mm/mm)]]/$I$2</f>
        <v>0.139242</v>
      </c>
      <c r="D602" s="1">
        <v>1698.1</v>
      </c>
      <c r="E602" s="1">
        <f>Tabela13[[#This Row],[Força (N)]]/$I$5</f>
        <v>35239721.834266841</v>
      </c>
      <c r="F602" s="1">
        <f>Tabela13[[#This Row],[Tensão (Pa)]]/1000000</f>
        <v>35.239721834266838</v>
      </c>
    </row>
    <row r="603" spans="1:6" x14ac:dyDescent="0.3">
      <c r="A603" s="1">
        <v>83.917000000000002</v>
      </c>
      <c r="B603" s="1">
        <v>6.9856999999999996</v>
      </c>
      <c r="C603" s="1">
        <f>Tabela13[[#This Row],[Alongamento (mm/mm)]]/$I$2</f>
        <v>0.139714</v>
      </c>
      <c r="D603" s="1">
        <v>1711</v>
      </c>
      <c r="E603" s="1">
        <f>Tabela13[[#This Row],[Força (N)]]/$I$5</f>
        <v>35507428.33662951</v>
      </c>
      <c r="F603" s="1">
        <f>Tabela13[[#This Row],[Tensão (Pa)]]/1000000</f>
        <v>35.507428336629509</v>
      </c>
    </row>
    <row r="604" spans="1:6" x14ac:dyDescent="0.3">
      <c r="A604" s="1">
        <v>84.216999999999999</v>
      </c>
      <c r="B604" s="1">
        <v>7.0106000000000002</v>
      </c>
      <c r="C604" s="1">
        <f>Tabela13[[#This Row],[Alongamento (mm/mm)]]/$I$2</f>
        <v>0.140212</v>
      </c>
      <c r="D604" s="1">
        <v>1724.5</v>
      </c>
      <c r="E604" s="1">
        <f>Tabela13[[#This Row],[Força (N)]]/$I$5</f>
        <v>35787586.304218344</v>
      </c>
      <c r="F604" s="1">
        <f>Tabela13[[#This Row],[Tensão (Pa)]]/1000000</f>
        <v>35.787586304218344</v>
      </c>
    </row>
    <row r="605" spans="1:6" x14ac:dyDescent="0.3">
      <c r="A605" s="1">
        <v>84.516999999999996</v>
      </c>
      <c r="B605" s="1">
        <v>7.0357000000000003</v>
      </c>
      <c r="C605" s="1">
        <f>Tabela13[[#This Row],[Alongamento (mm/mm)]]/$I$2</f>
        <v>0.14071400000000001</v>
      </c>
      <c r="D605" s="1">
        <v>1738.1</v>
      </c>
      <c r="E605" s="1">
        <f>Tabela13[[#This Row],[Força (N)]]/$I$5</f>
        <v>36069819.516011544</v>
      </c>
      <c r="F605" s="1">
        <f>Tabela13[[#This Row],[Tensão (Pa)]]/1000000</f>
        <v>36.069819516011542</v>
      </c>
    </row>
    <row r="606" spans="1:6" x14ac:dyDescent="0.3">
      <c r="A606" s="1">
        <v>84.816999999999993</v>
      </c>
      <c r="B606" s="1">
        <v>7.0606999999999998</v>
      </c>
      <c r="C606" s="1">
        <f>Tabela13[[#This Row],[Alongamento (mm/mm)]]/$I$2</f>
        <v>0.14121400000000001</v>
      </c>
      <c r="D606" s="1">
        <v>1751.5</v>
      </c>
      <c r="E606" s="1">
        <f>Tabela13[[#This Row],[Força (N)]]/$I$5</f>
        <v>36347902.239396021</v>
      </c>
      <c r="F606" s="1">
        <f>Tabela13[[#This Row],[Tensão (Pa)]]/1000000</f>
        <v>36.347902239396021</v>
      </c>
    </row>
    <row r="607" spans="1:6" x14ac:dyDescent="0.3">
      <c r="A607" s="1">
        <v>85.117000000000004</v>
      </c>
      <c r="B607" s="1">
        <v>7.0857000000000001</v>
      </c>
      <c r="C607" s="1">
        <f>Tabela13[[#This Row],[Alongamento (mm/mm)]]/$I$2</f>
        <v>0.14171400000000001</v>
      </c>
      <c r="D607" s="1">
        <v>1765.1</v>
      </c>
      <c r="E607" s="1">
        <f>Tabela13[[#This Row],[Força (N)]]/$I$5</f>
        <v>36630135.451189213</v>
      </c>
      <c r="F607" s="1">
        <f>Tabela13[[#This Row],[Tensão (Pa)]]/1000000</f>
        <v>36.630135451189211</v>
      </c>
    </row>
    <row r="608" spans="1:6" x14ac:dyDescent="0.3">
      <c r="A608" s="1">
        <v>85.433000000000007</v>
      </c>
      <c r="B608" s="1">
        <v>7.1120999999999999</v>
      </c>
      <c r="C608" s="1">
        <f>Tabela13[[#This Row],[Alongamento (mm/mm)]]/$I$2</f>
        <v>0.14224200000000001</v>
      </c>
      <c r="D608" s="1">
        <v>1779.2</v>
      </c>
      <c r="E608" s="1">
        <f>Tabela13[[#This Row],[Força (N)]]/$I$5</f>
        <v>36922744.88400422</v>
      </c>
      <c r="F608" s="1">
        <f>Tabela13[[#This Row],[Tensão (Pa)]]/1000000</f>
        <v>36.922744884004217</v>
      </c>
    </row>
    <row r="609" spans="1:6" x14ac:dyDescent="0.3">
      <c r="A609" s="1">
        <v>85.75</v>
      </c>
      <c r="B609" s="1">
        <v>7.1384999999999996</v>
      </c>
      <c r="C609" s="1">
        <f>Tabela13[[#This Row],[Alongamento (mm/mm)]]/$I$2</f>
        <v>0.14276999999999998</v>
      </c>
      <c r="D609" s="1">
        <v>1793.2</v>
      </c>
      <c r="E609" s="1">
        <f>Tabela13[[#This Row],[Força (N)]]/$I$5</f>
        <v>37213279.072614864</v>
      </c>
      <c r="F609" s="1">
        <f>Tabela13[[#This Row],[Tensão (Pa)]]/1000000</f>
        <v>37.213279072614867</v>
      </c>
    </row>
    <row r="610" spans="1:6" x14ac:dyDescent="0.3">
      <c r="A610" s="1">
        <v>86.066999999999993</v>
      </c>
      <c r="B610" s="1">
        <v>7.1647999999999996</v>
      </c>
      <c r="C610" s="1">
        <f>Tabela13[[#This Row],[Alongamento (mm/mm)]]/$I$2</f>
        <v>0.14329599999999998</v>
      </c>
      <c r="D610" s="1">
        <v>1807.1</v>
      </c>
      <c r="E610" s="1">
        <f>Tabela13[[#This Row],[Força (N)]]/$I$5</f>
        <v>37501738.017021149</v>
      </c>
      <c r="F610" s="1">
        <f>Tabela13[[#This Row],[Tensão (Pa)]]/1000000</f>
        <v>37.501738017021147</v>
      </c>
    </row>
    <row r="611" spans="1:6" x14ac:dyDescent="0.3">
      <c r="A611" s="1">
        <v>86.382999999999996</v>
      </c>
      <c r="B611" s="1">
        <v>7.1912000000000003</v>
      </c>
      <c r="C611" s="1">
        <f>Tabela13[[#This Row],[Alongamento (mm/mm)]]/$I$2</f>
        <v>0.14382400000000001</v>
      </c>
      <c r="D611" s="1">
        <v>1821.2</v>
      </c>
      <c r="E611" s="1">
        <f>Tabela13[[#This Row],[Força (N)]]/$I$5</f>
        <v>37794347.449836157</v>
      </c>
      <c r="F611" s="1">
        <f>Tabela13[[#This Row],[Tensão (Pa)]]/1000000</f>
        <v>37.79434744983616</v>
      </c>
    </row>
    <row r="612" spans="1:6" x14ac:dyDescent="0.3">
      <c r="A612" s="1">
        <v>86.716999999999999</v>
      </c>
      <c r="B612" s="1">
        <v>7.2190000000000003</v>
      </c>
      <c r="C612" s="1">
        <f>Tabela13[[#This Row],[Alongamento (mm/mm)]]/$I$2</f>
        <v>0.14438000000000001</v>
      </c>
      <c r="D612" s="1">
        <v>1835.9</v>
      </c>
      <c r="E612" s="1">
        <f>Tabela13[[#This Row],[Força (N)]]/$I$5</f>
        <v>38099408.347877331</v>
      </c>
      <c r="F612" s="1">
        <f>Tabela13[[#This Row],[Tensão (Pa)]]/1000000</f>
        <v>38.099408347877329</v>
      </c>
    </row>
    <row r="613" spans="1:6" x14ac:dyDescent="0.3">
      <c r="A613" s="1">
        <v>87.05</v>
      </c>
      <c r="B613" s="1">
        <v>7.2468000000000004</v>
      </c>
      <c r="C613" s="1">
        <f>Tabela13[[#This Row],[Alongamento (mm/mm)]]/$I$2</f>
        <v>0.14493600000000001</v>
      </c>
      <c r="D613" s="1">
        <v>1850.2</v>
      </c>
      <c r="E613" s="1">
        <f>Tabela13[[#This Row],[Força (N)]]/$I$5</f>
        <v>38396168.269101061</v>
      </c>
      <c r="F613" s="1">
        <f>Tabela13[[#This Row],[Tensão (Pa)]]/1000000</f>
        <v>38.396168269101061</v>
      </c>
    </row>
    <row r="614" spans="1:6" x14ac:dyDescent="0.3">
      <c r="A614" s="1">
        <v>87.382999999999996</v>
      </c>
      <c r="B614" s="1">
        <v>7.2744999999999997</v>
      </c>
      <c r="C614" s="1">
        <f>Tabela13[[#This Row],[Alongamento (mm/mm)]]/$I$2</f>
        <v>0.14549000000000001</v>
      </c>
      <c r="D614" s="1">
        <v>1864.5</v>
      </c>
      <c r="E614" s="1">
        <f>Tabela13[[#This Row],[Força (N)]]/$I$5</f>
        <v>38692928.190324791</v>
      </c>
      <c r="F614" s="1">
        <f>Tabela13[[#This Row],[Tensão (Pa)]]/1000000</f>
        <v>38.692928190324793</v>
      </c>
    </row>
    <row r="615" spans="1:6" x14ac:dyDescent="0.3">
      <c r="A615" s="1">
        <v>87.716999999999999</v>
      </c>
      <c r="B615" s="1">
        <v>7.3023999999999996</v>
      </c>
      <c r="C615" s="1">
        <f>Tabela13[[#This Row],[Alongamento (mm/mm)]]/$I$2</f>
        <v>0.14604799999999998</v>
      </c>
      <c r="D615" s="1">
        <v>1878.7</v>
      </c>
      <c r="E615" s="1">
        <f>Tabela13[[#This Row],[Força (N)]]/$I$5</f>
        <v>38987612.867344163</v>
      </c>
      <c r="F615" s="1">
        <f>Tabela13[[#This Row],[Tensão (Pa)]]/1000000</f>
        <v>38.987612867344161</v>
      </c>
    </row>
    <row r="616" spans="1:6" x14ac:dyDescent="0.3">
      <c r="A616" s="1">
        <v>88.066999999999993</v>
      </c>
      <c r="B616" s="1">
        <v>7.3315000000000001</v>
      </c>
      <c r="C616" s="1">
        <f>Tabela13[[#This Row],[Alongamento (mm/mm)]]/$I$2</f>
        <v>0.14663000000000001</v>
      </c>
      <c r="D616" s="1">
        <v>1893.7</v>
      </c>
      <c r="E616" s="1">
        <f>Tabela13[[#This Row],[Força (N)]]/$I$5</f>
        <v>39298899.497998424</v>
      </c>
      <c r="F616" s="1">
        <f>Tabela13[[#This Row],[Tensão (Pa)]]/1000000</f>
        <v>39.298899497998427</v>
      </c>
    </row>
    <row r="617" spans="1:6" x14ac:dyDescent="0.3">
      <c r="A617" s="1">
        <v>88.417000000000002</v>
      </c>
      <c r="B617" s="1">
        <v>7.3606999999999996</v>
      </c>
      <c r="C617" s="1">
        <f>Tabela13[[#This Row],[Alongamento (mm/mm)]]/$I$2</f>
        <v>0.14721399999999998</v>
      </c>
      <c r="D617" s="1">
        <v>1908.5</v>
      </c>
      <c r="E617" s="1">
        <f>Tabela13[[#This Row],[Força (N)]]/$I$5</f>
        <v>39606035.640243962</v>
      </c>
      <c r="F617" s="1">
        <f>Tabela13[[#This Row],[Tensão (Pa)]]/1000000</f>
        <v>39.60603564024396</v>
      </c>
    </row>
    <row r="618" spans="1:6" x14ac:dyDescent="0.3">
      <c r="A618" s="1">
        <v>88.766999999999996</v>
      </c>
      <c r="B618" s="1">
        <v>7.3898000000000001</v>
      </c>
      <c r="C618" s="1">
        <f>Tabela13[[#This Row],[Alongamento (mm/mm)]]/$I$2</f>
        <v>0.14779600000000001</v>
      </c>
      <c r="D618" s="1">
        <v>1923.6</v>
      </c>
      <c r="E618" s="1">
        <f>Tabela13[[#This Row],[Força (N)]]/$I$5</f>
        <v>39919397.51510258</v>
      </c>
      <c r="F618" s="1">
        <f>Tabela13[[#This Row],[Tensão (Pa)]]/1000000</f>
        <v>39.919397515102581</v>
      </c>
    </row>
    <row r="619" spans="1:6" x14ac:dyDescent="0.3">
      <c r="A619" s="1">
        <v>89.117000000000004</v>
      </c>
      <c r="B619" s="1">
        <v>7.4189999999999996</v>
      </c>
      <c r="C619" s="1">
        <f>Tabela13[[#This Row],[Alongamento (mm/mm)]]/$I$2</f>
        <v>0.14837999999999998</v>
      </c>
      <c r="D619" s="1">
        <v>1938.6</v>
      </c>
      <c r="E619" s="1">
        <f>Tabela13[[#This Row],[Força (N)]]/$I$5</f>
        <v>40230684.145756848</v>
      </c>
      <c r="F619" s="1">
        <f>Tabela13[[#This Row],[Tensão (Pa)]]/1000000</f>
        <v>40.230684145756847</v>
      </c>
    </row>
    <row r="620" spans="1:6" x14ac:dyDescent="0.3">
      <c r="A620" s="1">
        <v>89.466999999999999</v>
      </c>
      <c r="B620" s="1">
        <v>7.4482999999999997</v>
      </c>
      <c r="C620" s="1">
        <f>Tabela13[[#This Row],[Alongamento (mm/mm)]]/$I$2</f>
        <v>0.14896599999999999</v>
      </c>
      <c r="D620" s="1">
        <v>1953.6</v>
      </c>
      <c r="E620" s="1">
        <f>Tabela13[[#This Row],[Força (N)]]/$I$5</f>
        <v>40541970.776411109</v>
      </c>
      <c r="F620" s="1">
        <f>Tabela13[[#This Row],[Tensão (Pa)]]/1000000</f>
        <v>40.541970776411105</v>
      </c>
    </row>
    <row r="621" spans="1:6" x14ac:dyDescent="0.3">
      <c r="A621" s="1">
        <v>89.832999999999998</v>
      </c>
      <c r="B621" s="1">
        <v>7.4786999999999999</v>
      </c>
      <c r="C621" s="1">
        <f>Tabela13[[#This Row],[Alongamento (mm/mm)]]/$I$2</f>
        <v>0.14957399999999998</v>
      </c>
      <c r="D621" s="1">
        <v>1969.1</v>
      </c>
      <c r="E621" s="1">
        <f>Tabela13[[#This Row],[Força (N)]]/$I$5</f>
        <v>40863633.628087178</v>
      </c>
      <c r="F621" s="1">
        <f>Tabela13[[#This Row],[Tensão (Pa)]]/1000000</f>
        <v>40.863633628087179</v>
      </c>
    </row>
    <row r="622" spans="1:6" x14ac:dyDescent="0.3">
      <c r="A622" s="1">
        <v>90.2</v>
      </c>
      <c r="B622" s="1">
        <v>7.5092999999999996</v>
      </c>
      <c r="C622" s="1">
        <f>Tabela13[[#This Row],[Alongamento (mm/mm)]]/$I$2</f>
        <v>0.15018599999999999</v>
      </c>
      <c r="D622" s="1">
        <v>1984.4</v>
      </c>
      <c r="E622" s="1">
        <f>Tabela13[[#This Row],[Força (N)]]/$I$5</f>
        <v>41181145.991354533</v>
      </c>
      <c r="F622" s="1">
        <f>Tabela13[[#This Row],[Tensão (Pa)]]/1000000</f>
        <v>41.181145991354533</v>
      </c>
    </row>
    <row r="623" spans="1:6" x14ac:dyDescent="0.3">
      <c r="A623" s="1">
        <v>90.582999999999998</v>
      </c>
      <c r="B623" s="1">
        <v>7.5411999999999999</v>
      </c>
      <c r="C623" s="1">
        <f>Tabela13[[#This Row],[Alongamento (mm/mm)]]/$I$2</f>
        <v>0.15082399999999999</v>
      </c>
      <c r="D623" s="1">
        <v>1999.9</v>
      </c>
      <c r="E623" s="1">
        <f>Tabela13[[#This Row],[Força (N)]]/$I$5</f>
        <v>41502808.843030602</v>
      </c>
      <c r="F623" s="1">
        <f>Tabela13[[#This Row],[Tensão (Pa)]]/1000000</f>
        <v>41.5028088430306</v>
      </c>
    </row>
    <row r="624" spans="1:6" x14ac:dyDescent="0.3">
      <c r="A624" s="1">
        <v>90.983000000000004</v>
      </c>
      <c r="B624" s="1">
        <v>7.5744999999999996</v>
      </c>
      <c r="C624" s="1">
        <f>Tabela13[[#This Row],[Alongamento (mm/mm)]]/$I$2</f>
        <v>0.15148999999999999</v>
      </c>
      <c r="D624" s="1">
        <v>2015.7</v>
      </c>
      <c r="E624" s="1">
        <f>Tabela13[[#This Row],[Força (N)]]/$I$5</f>
        <v>41830697.427319758</v>
      </c>
      <c r="F624" s="1">
        <f>Tabela13[[#This Row],[Tensão (Pa)]]/1000000</f>
        <v>41.830697427319755</v>
      </c>
    </row>
    <row r="625" spans="1:6" x14ac:dyDescent="0.3">
      <c r="A625" s="1">
        <v>91.4</v>
      </c>
      <c r="B625" s="1">
        <v>7.6093000000000002</v>
      </c>
      <c r="C625" s="1">
        <f>Tabela13[[#This Row],[Alongamento (mm/mm)]]/$I$2</f>
        <v>0.15218600000000002</v>
      </c>
      <c r="D625" s="1">
        <v>2031.8</v>
      </c>
      <c r="E625" s="1">
        <f>Tabela13[[#This Row],[Força (N)]]/$I$5</f>
        <v>42164811.744221993</v>
      </c>
      <c r="F625" s="1">
        <f>Tabela13[[#This Row],[Tensão (Pa)]]/1000000</f>
        <v>42.164811744221993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CA30-FD61-4EA1-BB6A-F3A338F09128}">
  <dimension ref="A1:K853"/>
  <sheetViews>
    <sheetView workbookViewId="0">
      <selection activeCell="F4" sqref="F4"/>
    </sheetView>
  </sheetViews>
  <sheetFormatPr defaultRowHeight="14.4" x14ac:dyDescent="0.3"/>
  <cols>
    <col min="1" max="1" width="14" style="13" bestFit="1" customWidth="1"/>
    <col min="2" max="3" width="25.5546875" style="13" customWidth="1"/>
    <col min="4" max="4" width="23" style="13" customWidth="1"/>
    <col min="5" max="5" width="15.88671875" style="13" bestFit="1" customWidth="1"/>
    <col min="6" max="6" width="17.88671875" style="13" bestFit="1" customWidth="1"/>
    <col min="8" max="8" width="13" bestFit="1" customWidth="1"/>
    <col min="9" max="9" width="18" bestFit="1" customWidth="1"/>
    <col min="10" max="10" width="12" bestFit="1" customWidth="1"/>
    <col min="11" max="11" width="14.44140625" bestFit="1" customWidth="1"/>
  </cols>
  <sheetData>
    <row r="1" spans="1:11" x14ac:dyDescent="0.3">
      <c r="A1" s="1" t="s">
        <v>13</v>
      </c>
      <c r="B1" s="1" t="s">
        <v>1</v>
      </c>
      <c r="C1" s="1" t="s">
        <v>14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3">
        <v>0.16667000000000001</v>
      </c>
      <c r="B2" s="13">
        <v>6.7001999999999999E-3</v>
      </c>
      <c r="C2" s="1">
        <f>Tabela15[[#This Row],[Alongamento (mm/mm)]]/$I$2</f>
        <v>1.3400399999999999E-4</v>
      </c>
      <c r="D2" s="13">
        <v>0</v>
      </c>
      <c r="E2" s="1">
        <f>Tabela15[[#This Row],[Força (N)]]/$I$5</f>
        <v>0</v>
      </c>
      <c r="F2" s="1">
        <f>Tabela15[[#This Row],[Tensão (Pa)]]/1000000</f>
        <v>0</v>
      </c>
      <c r="H2" s="2" t="s">
        <v>10</v>
      </c>
      <c r="I2" s="1">
        <v>50</v>
      </c>
      <c r="J2" s="1">
        <v>13.17</v>
      </c>
      <c r="K2" s="1">
        <v>3.67</v>
      </c>
    </row>
    <row r="3" spans="1:11" x14ac:dyDescent="0.3">
      <c r="A3" s="13">
        <v>0.18332999999999999</v>
      </c>
      <c r="B3" s="13">
        <v>8.0029999999999997E-3</v>
      </c>
      <c r="C3" s="1">
        <f>Tabela15[[#This Row],[Alongamento (mm/mm)]]/$I$2</f>
        <v>1.6005999999999998E-4</v>
      </c>
      <c r="D3" s="13">
        <v>0.1701</v>
      </c>
      <c r="E3" s="1">
        <f>Tabela15[[#This Row],[Força (N)]]/$I$5</f>
        <v>3519.2690844314238</v>
      </c>
      <c r="F3" s="1">
        <f>Tabela15[[#This Row],[Tensão (Pa)]]/1000000</f>
        <v>3.5192690844314239E-3</v>
      </c>
      <c r="H3" s="2" t="s">
        <v>11</v>
      </c>
      <c r="I3" s="1">
        <f>I2/1000</f>
        <v>0.05</v>
      </c>
      <c r="J3" s="1">
        <f>J2/1000</f>
        <v>1.3169999999999999E-2</v>
      </c>
      <c r="K3" s="1">
        <f>K2/1000</f>
        <v>3.6700000000000001E-3</v>
      </c>
    </row>
    <row r="4" spans="1:11" x14ac:dyDescent="0.3">
      <c r="A4" s="13">
        <v>0.2</v>
      </c>
      <c r="B4" s="13">
        <v>9.2127000000000007E-3</v>
      </c>
      <c r="C4" s="1">
        <f>Tabela15[[#This Row],[Alongamento (mm/mm)]]/$I$2</f>
        <v>1.8425400000000001E-4</v>
      </c>
      <c r="D4" s="13">
        <v>0.1701</v>
      </c>
      <c r="E4" s="1">
        <f>Tabela15[[#This Row],[Força (N)]]/$I$5</f>
        <v>3519.2690844314238</v>
      </c>
      <c r="F4" s="1">
        <f>Tabela15[[#This Row],[Tensão (Pa)]]/1000000</f>
        <v>3.5192690844314239E-3</v>
      </c>
    </row>
    <row r="5" spans="1:11" ht="15" thickBot="1" x14ac:dyDescent="0.35">
      <c r="A5" s="13">
        <v>0.21667</v>
      </c>
      <c r="B5" s="13">
        <v>1.0422000000000001E-2</v>
      </c>
      <c r="C5" s="1">
        <f>Tabela15[[#This Row],[Alongamento (mm/mm)]]/$I$2</f>
        <v>2.0844E-4</v>
      </c>
      <c r="D5" s="13">
        <v>0.1701</v>
      </c>
      <c r="E5" s="1">
        <f>Tabela15[[#This Row],[Força (N)]]/$I$5</f>
        <v>3519.2690844314238</v>
      </c>
      <c r="F5" s="1">
        <f>Tabela15[[#This Row],[Tensão (Pa)]]/1000000</f>
        <v>3.5192690844314239E-3</v>
      </c>
      <c r="H5" s="7" t="s">
        <v>12</v>
      </c>
      <c r="I5" s="8">
        <f>J3*K3</f>
        <v>4.8333900000000002E-5</v>
      </c>
    </row>
    <row r="6" spans="1:11" ht="15" thickTop="1" x14ac:dyDescent="0.3">
      <c r="A6" s="13">
        <v>0.23333000000000001</v>
      </c>
      <c r="B6" s="13">
        <v>1.1724999999999999E-2</v>
      </c>
      <c r="C6" s="1">
        <f>Tabela15[[#This Row],[Alongamento (mm/mm)]]/$I$2</f>
        <v>2.3449999999999998E-4</v>
      </c>
      <c r="D6" s="13">
        <v>0.3402</v>
      </c>
      <c r="E6" s="1">
        <f>Tabela15[[#This Row],[Força (N)]]/$I$5</f>
        <v>7038.5381688628477</v>
      </c>
      <c r="F6" s="1">
        <f>Tabela15[[#This Row],[Tensão (Pa)]]/1000000</f>
        <v>7.0385381688628477E-3</v>
      </c>
    </row>
    <row r="7" spans="1:11" x14ac:dyDescent="0.3">
      <c r="A7" s="13">
        <v>0.25</v>
      </c>
      <c r="B7" s="13">
        <v>1.3121000000000001E-2</v>
      </c>
      <c r="C7" s="1">
        <f>Tabela15[[#This Row],[Alongamento (mm/mm)]]/$I$2</f>
        <v>2.6242000000000003E-4</v>
      </c>
      <c r="D7" s="13">
        <v>0.3402</v>
      </c>
      <c r="E7" s="1">
        <f>Tabela15[[#This Row],[Força (N)]]/$I$5</f>
        <v>7038.5381688628477</v>
      </c>
      <c r="F7" s="1">
        <f>Tabela15[[#This Row],[Tensão (Pa)]]/1000000</f>
        <v>7.0385381688628477E-3</v>
      </c>
    </row>
    <row r="8" spans="1:11" x14ac:dyDescent="0.3">
      <c r="A8" s="13">
        <v>0.26667000000000002</v>
      </c>
      <c r="B8" s="13">
        <v>1.4423999999999999E-2</v>
      </c>
      <c r="C8" s="1">
        <f>Tabela15[[#This Row],[Alongamento (mm/mm)]]/$I$2</f>
        <v>2.8847999999999998E-4</v>
      </c>
      <c r="D8" s="13">
        <v>0.3402</v>
      </c>
      <c r="E8" s="1">
        <f>Tabela15[[#This Row],[Força (N)]]/$I$5</f>
        <v>7038.5381688628477</v>
      </c>
      <c r="F8" s="1">
        <f>Tabela15[[#This Row],[Tensão (Pa)]]/1000000</f>
        <v>7.0385381688628477E-3</v>
      </c>
    </row>
    <row r="9" spans="1:11" x14ac:dyDescent="0.3">
      <c r="A9" s="13">
        <v>0.28333000000000003</v>
      </c>
      <c r="B9" s="13">
        <v>1.5727000000000001E-2</v>
      </c>
      <c r="C9" s="1">
        <f>Tabela15[[#This Row],[Alongamento (mm/mm)]]/$I$2</f>
        <v>3.1454000000000003E-4</v>
      </c>
      <c r="D9" s="13">
        <v>0.3402</v>
      </c>
      <c r="E9" s="1">
        <f>Tabela15[[#This Row],[Força (N)]]/$I$5</f>
        <v>7038.5381688628477</v>
      </c>
      <c r="F9" s="1">
        <f>Tabela15[[#This Row],[Tensão (Pa)]]/1000000</f>
        <v>7.0385381688628477E-3</v>
      </c>
    </row>
    <row r="10" spans="1:11" x14ac:dyDescent="0.3">
      <c r="A10" s="13">
        <v>0.3</v>
      </c>
      <c r="B10" s="13">
        <v>1.7122999999999999E-2</v>
      </c>
      <c r="C10" s="1">
        <f>Tabela15[[#This Row],[Alongamento (mm/mm)]]/$I$2</f>
        <v>3.4246E-4</v>
      </c>
      <c r="D10" s="13">
        <v>0.51029999999999998</v>
      </c>
      <c r="E10" s="1">
        <f>Tabela15[[#This Row],[Força (N)]]/$I$5</f>
        <v>10557.807253294272</v>
      </c>
      <c r="F10" s="1">
        <f>Tabela15[[#This Row],[Tensão (Pa)]]/1000000</f>
        <v>1.0557807253294272E-2</v>
      </c>
    </row>
    <row r="11" spans="1:11" x14ac:dyDescent="0.3">
      <c r="A11" s="13">
        <v>0.31667000000000001</v>
      </c>
      <c r="B11" s="13">
        <v>1.8519000000000001E-2</v>
      </c>
      <c r="C11" s="1">
        <f>Tabela15[[#This Row],[Alongamento (mm/mm)]]/$I$2</f>
        <v>3.7038000000000001E-4</v>
      </c>
      <c r="D11" s="13">
        <v>0.51029999999999998</v>
      </c>
      <c r="E11" s="1">
        <f>Tabela15[[#This Row],[Força (N)]]/$I$5</f>
        <v>10557.807253294272</v>
      </c>
      <c r="F11" s="1">
        <f>Tabela15[[#This Row],[Tensão (Pa)]]/1000000</f>
        <v>1.0557807253294272E-2</v>
      </c>
    </row>
    <row r="12" spans="1:11" x14ac:dyDescent="0.3">
      <c r="A12" s="13">
        <v>0.33333000000000002</v>
      </c>
      <c r="B12" s="13">
        <v>1.9820999999999998E-2</v>
      </c>
      <c r="C12" s="1">
        <f>Tabela15[[#This Row],[Alongamento (mm/mm)]]/$I$2</f>
        <v>3.9641999999999998E-4</v>
      </c>
      <c r="D12" s="13">
        <v>0.51029999999999998</v>
      </c>
      <c r="E12" s="1">
        <f>Tabela15[[#This Row],[Força (N)]]/$I$5</f>
        <v>10557.807253294272</v>
      </c>
      <c r="F12" s="1">
        <f>Tabela15[[#This Row],[Tensão (Pa)]]/1000000</f>
        <v>1.0557807253294272E-2</v>
      </c>
    </row>
    <row r="13" spans="1:11" x14ac:dyDescent="0.3">
      <c r="A13" s="13">
        <v>0.35</v>
      </c>
      <c r="B13" s="13">
        <v>2.1217E-2</v>
      </c>
      <c r="C13" s="1">
        <f>Tabela15[[#This Row],[Alongamento (mm/mm)]]/$I$2</f>
        <v>4.2433999999999999E-4</v>
      </c>
      <c r="D13" s="13">
        <v>0.51029999999999998</v>
      </c>
      <c r="E13" s="1">
        <f>Tabela15[[#This Row],[Força (N)]]/$I$5</f>
        <v>10557.807253294272</v>
      </c>
      <c r="F13" s="1">
        <f>Tabela15[[#This Row],[Tensão (Pa)]]/1000000</f>
        <v>1.0557807253294272E-2</v>
      </c>
    </row>
    <row r="14" spans="1:11" x14ac:dyDescent="0.3">
      <c r="A14" s="13">
        <v>0.36667</v>
      </c>
      <c r="B14" s="13">
        <v>2.2613000000000001E-2</v>
      </c>
      <c r="C14" s="1">
        <f>Tabela15[[#This Row],[Alongamento (mm/mm)]]/$I$2</f>
        <v>4.5226000000000001E-4</v>
      </c>
      <c r="D14" s="13">
        <v>0.51029999999999998</v>
      </c>
      <c r="E14" s="1">
        <f>Tabela15[[#This Row],[Força (N)]]/$I$5</f>
        <v>10557.807253294272</v>
      </c>
      <c r="F14" s="1">
        <f>Tabela15[[#This Row],[Tensão (Pa)]]/1000000</f>
        <v>1.0557807253294272E-2</v>
      </c>
    </row>
    <row r="15" spans="1:11" x14ac:dyDescent="0.3">
      <c r="A15" s="13">
        <v>0.38333</v>
      </c>
      <c r="B15" s="13">
        <v>2.3916E-2</v>
      </c>
      <c r="C15" s="1">
        <f>Tabela15[[#This Row],[Alongamento (mm/mm)]]/$I$2</f>
        <v>4.7832000000000001E-4</v>
      </c>
      <c r="D15" s="13">
        <v>0.51029999999999998</v>
      </c>
      <c r="E15" s="1">
        <f>Tabela15[[#This Row],[Força (N)]]/$I$5</f>
        <v>10557.807253294272</v>
      </c>
      <c r="F15" s="1">
        <f>Tabela15[[#This Row],[Tensão (Pa)]]/1000000</f>
        <v>1.0557807253294272E-2</v>
      </c>
    </row>
    <row r="16" spans="1:11" x14ac:dyDescent="0.3">
      <c r="A16" s="13">
        <v>0.4</v>
      </c>
      <c r="B16" s="13">
        <v>2.5312000000000001E-2</v>
      </c>
      <c r="C16" s="1">
        <f>Tabela15[[#This Row],[Alongamento (mm/mm)]]/$I$2</f>
        <v>5.0624000000000003E-4</v>
      </c>
      <c r="D16" s="13">
        <v>0.51029999999999998</v>
      </c>
      <c r="E16" s="1">
        <f>Tabela15[[#This Row],[Força (N)]]/$I$5</f>
        <v>10557.807253294272</v>
      </c>
      <c r="F16" s="1">
        <f>Tabela15[[#This Row],[Tensão (Pa)]]/1000000</f>
        <v>1.0557807253294272E-2</v>
      </c>
    </row>
    <row r="17" spans="1:6" x14ac:dyDescent="0.3">
      <c r="A17" s="13">
        <v>0.41666999999999998</v>
      </c>
      <c r="B17" s="13">
        <v>2.6615E-2</v>
      </c>
      <c r="C17" s="1">
        <f>Tabela15[[#This Row],[Alongamento (mm/mm)]]/$I$2</f>
        <v>5.3229999999999998E-4</v>
      </c>
      <c r="D17" s="13">
        <v>0.51029999999999998</v>
      </c>
      <c r="E17" s="1">
        <f>Tabela15[[#This Row],[Força (N)]]/$I$5</f>
        <v>10557.807253294272</v>
      </c>
      <c r="F17" s="1">
        <f>Tabela15[[#This Row],[Tensão (Pa)]]/1000000</f>
        <v>1.0557807253294272E-2</v>
      </c>
    </row>
    <row r="18" spans="1:6" x14ac:dyDescent="0.3">
      <c r="A18" s="13">
        <v>0.43332999999999999</v>
      </c>
      <c r="B18" s="13">
        <v>2.8104000000000001E-2</v>
      </c>
      <c r="C18" s="1">
        <f>Tabela15[[#This Row],[Alongamento (mm/mm)]]/$I$2</f>
        <v>5.6207999999999996E-4</v>
      </c>
      <c r="D18" s="13">
        <v>0.51029999999999998</v>
      </c>
      <c r="E18" s="1">
        <f>Tabela15[[#This Row],[Força (N)]]/$I$5</f>
        <v>10557.807253294272</v>
      </c>
      <c r="F18" s="1">
        <f>Tabela15[[#This Row],[Tensão (Pa)]]/1000000</f>
        <v>1.0557807253294272E-2</v>
      </c>
    </row>
    <row r="19" spans="1:6" x14ac:dyDescent="0.3">
      <c r="A19" s="13">
        <v>0.45</v>
      </c>
      <c r="B19" s="13">
        <v>2.9499000000000001E-2</v>
      </c>
      <c r="C19" s="1">
        <f>Tabela15[[#This Row],[Alongamento (mm/mm)]]/$I$2</f>
        <v>5.8998000000000004E-4</v>
      </c>
      <c r="D19" s="13">
        <v>0.51029999999999998</v>
      </c>
      <c r="E19" s="1">
        <f>Tabela15[[#This Row],[Força (N)]]/$I$5</f>
        <v>10557.807253294272</v>
      </c>
      <c r="F19" s="1">
        <f>Tabela15[[#This Row],[Tensão (Pa)]]/1000000</f>
        <v>1.0557807253294272E-2</v>
      </c>
    </row>
    <row r="20" spans="1:6" x14ac:dyDescent="0.3">
      <c r="A20" s="13">
        <v>0.46666999999999997</v>
      </c>
      <c r="B20" s="13">
        <v>3.0802E-2</v>
      </c>
      <c r="C20" s="1">
        <f>Tabela15[[#This Row],[Alongamento (mm/mm)]]/$I$2</f>
        <v>6.1603999999999999E-4</v>
      </c>
      <c r="D20" s="13">
        <v>0.51029999999999998</v>
      </c>
      <c r="E20" s="1">
        <f>Tabela15[[#This Row],[Força (N)]]/$I$5</f>
        <v>10557.807253294272</v>
      </c>
      <c r="F20" s="1">
        <f>Tabela15[[#This Row],[Tensão (Pa)]]/1000000</f>
        <v>1.0557807253294272E-2</v>
      </c>
    </row>
    <row r="21" spans="1:6" x14ac:dyDescent="0.3">
      <c r="A21" s="13">
        <v>0.48332999999999998</v>
      </c>
      <c r="B21" s="13">
        <v>3.2197999999999997E-2</v>
      </c>
      <c r="C21" s="1">
        <f>Tabela15[[#This Row],[Alongamento (mm/mm)]]/$I$2</f>
        <v>6.4395999999999995E-4</v>
      </c>
      <c r="D21" s="13">
        <v>0.6804</v>
      </c>
      <c r="E21" s="1">
        <f>Tabela15[[#This Row],[Força (N)]]/$I$5</f>
        <v>14077.076337725695</v>
      </c>
      <c r="F21" s="1">
        <f>Tabela15[[#This Row],[Tensão (Pa)]]/1000000</f>
        <v>1.4077076337725695E-2</v>
      </c>
    </row>
    <row r="22" spans="1:6" x14ac:dyDescent="0.3">
      <c r="A22" s="13">
        <v>0.5</v>
      </c>
      <c r="B22" s="13">
        <v>3.3593999999999999E-2</v>
      </c>
      <c r="C22" s="1">
        <f>Tabela15[[#This Row],[Alongamento (mm/mm)]]/$I$2</f>
        <v>6.7188000000000002E-4</v>
      </c>
      <c r="D22" s="13">
        <v>0.6804</v>
      </c>
      <c r="E22" s="1">
        <f>Tabela15[[#This Row],[Força (N)]]/$I$5</f>
        <v>14077.076337725695</v>
      </c>
      <c r="F22" s="1">
        <f>Tabela15[[#This Row],[Tensão (Pa)]]/1000000</f>
        <v>1.4077076337725695E-2</v>
      </c>
    </row>
    <row r="23" spans="1:6" x14ac:dyDescent="0.3">
      <c r="A23" s="13">
        <v>0.51666999999999996</v>
      </c>
      <c r="B23" s="13">
        <v>3.499E-2</v>
      </c>
      <c r="C23" s="1">
        <f>Tabela15[[#This Row],[Alongamento (mm/mm)]]/$I$2</f>
        <v>6.9979999999999999E-4</v>
      </c>
      <c r="D23" s="13">
        <v>0.6804</v>
      </c>
      <c r="E23" s="1">
        <f>Tabela15[[#This Row],[Força (N)]]/$I$5</f>
        <v>14077.076337725695</v>
      </c>
      <c r="F23" s="1">
        <f>Tabela15[[#This Row],[Tensão (Pa)]]/1000000</f>
        <v>1.4077076337725695E-2</v>
      </c>
    </row>
    <row r="24" spans="1:6" x14ac:dyDescent="0.3">
      <c r="A24" s="13">
        <v>0.53332999999999997</v>
      </c>
      <c r="B24" s="13">
        <v>3.6386000000000002E-2</v>
      </c>
      <c r="C24" s="1">
        <f>Tabela15[[#This Row],[Alongamento (mm/mm)]]/$I$2</f>
        <v>7.2772000000000006E-4</v>
      </c>
      <c r="D24" s="13">
        <v>0.6804</v>
      </c>
      <c r="E24" s="1">
        <f>Tabela15[[#This Row],[Força (N)]]/$I$5</f>
        <v>14077.076337725695</v>
      </c>
      <c r="F24" s="1">
        <f>Tabela15[[#This Row],[Tensão (Pa)]]/1000000</f>
        <v>1.4077076337725695E-2</v>
      </c>
    </row>
    <row r="25" spans="1:6" x14ac:dyDescent="0.3">
      <c r="A25" s="13">
        <v>0.55000000000000004</v>
      </c>
      <c r="B25" s="13">
        <v>3.7782000000000003E-2</v>
      </c>
      <c r="C25" s="1">
        <f>Tabela15[[#This Row],[Alongamento (mm/mm)]]/$I$2</f>
        <v>7.5564000000000002E-4</v>
      </c>
      <c r="D25" s="13">
        <v>0.6804</v>
      </c>
      <c r="E25" s="1">
        <f>Tabela15[[#This Row],[Força (N)]]/$I$5</f>
        <v>14077.076337725695</v>
      </c>
      <c r="F25" s="1">
        <f>Tabela15[[#This Row],[Tensão (Pa)]]/1000000</f>
        <v>1.4077076337725695E-2</v>
      </c>
    </row>
    <row r="26" spans="1:6" x14ac:dyDescent="0.3">
      <c r="A26" s="13">
        <v>0.56667000000000001</v>
      </c>
      <c r="B26" s="13">
        <v>3.9176999999999997E-2</v>
      </c>
      <c r="C26" s="1">
        <f>Tabela15[[#This Row],[Alongamento (mm/mm)]]/$I$2</f>
        <v>7.8353999999999989E-4</v>
      </c>
      <c r="D26" s="13">
        <v>0.6804</v>
      </c>
      <c r="E26" s="1">
        <f>Tabela15[[#This Row],[Força (N)]]/$I$5</f>
        <v>14077.076337725695</v>
      </c>
      <c r="F26" s="1">
        <f>Tabela15[[#This Row],[Tensão (Pa)]]/1000000</f>
        <v>1.4077076337725695E-2</v>
      </c>
    </row>
    <row r="27" spans="1:6" x14ac:dyDescent="0.3">
      <c r="A27" s="13">
        <v>0.58333000000000002</v>
      </c>
      <c r="B27" s="13">
        <v>4.0572999999999998E-2</v>
      </c>
      <c r="C27" s="1">
        <f>Tabela15[[#This Row],[Alongamento (mm/mm)]]/$I$2</f>
        <v>8.1145999999999996E-4</v>
      </c>
      <c r="D27" s="13">
        <v>0.85048999999999997</v>
      </c>
      <c r="E27" s="1">
        <f>Tabela15[[#This Row],[Força (N)]]/$I$5</f>
        <v>17596.13852803105</v>
      </c>
      <c r="F27" s="1">
        <f>Tabela15[[#This Row],[Tensão (Pa)]]/1000000</f>
        <v>1.759613852803105E-2</v>
      </c>
    </row>
    <row r="28" spans="1:6" x14ac:dyDescent="0.3">
      <c r="A28" s="13">
        <v>0.6</v>
      </c>
      <c r="B28" s="13">
        <v>4.1875999999999997E-2</v>
      </c>
      <c r="C28" s="1">
        <f>Tabela15[[#This Row],[Alongamento (mm/mm)]]/$I$2</f>
        <v>8.3751999999999991E-4</v>
      </c>
      <c r="D28" s="13">
        <v>0.85048999999999997</v>
      </c>
      <c r="E28" s="1">
        <f>Tabela15[[#This Row],[Força (N)]]/$I$5</f>
        <v>17596.13852803105</v>
      </c>
      <c r="F28" s="1">
        <f>Tabela15[[#This Row],[Tensão (Pa)]]/1000000</f>
        <v>1.759613852803105E-2</v>
      </c>
    </row>
    <row r="29" spans="1:6" x14ac:dyDescent="0.3">
      <c r="A29" s="13">
        <v>0.61667000000000005</v>
      </c>
      <c r="B29" s="13">
        <v>4.3365000000000001E-2</v>
      </c>
      <c r="C29" s="1">
        <f>Tabela15[[#This Row],[Alongamento (mm/mm)]]/$I$2</f>
        <v>8.6729999999999999E-4</v>
      </c>
      <c r="D29" s="13">
        <v>0.85048999999999997</v>
      </c>
      <c r="E29" s="1">
        <f>Tabela15[[#This Row],[Força (N)]]/$I$5</f>
        <v>17596.13852803105</v>
      </c>
      <c r="F29" s="1">
        <f>Tabela15[[#This Row],[Tensão (Pa)]]/1000000</f>
        <v>1.759613852803105E-2</v>
      </c>
    </row>
    <row r="30" spans="1:6" x14ac:dyDescent="0.3">
      <c r="A30" s="13">
        <v>0.63332999999999995</v>
      </c>
      <c r="B30" s="13">
        <v>4.4761000000000002E-2</v>
      </c>
      <c r="C30" s="1">
        <f>Tabela15[[#This Row],[Alongamento (mm/mm)]]/$I$2</f>
        <v>8.9522000000000007E-4</v>
      </c>
      <c r="D30" s="13">
        <v>0.85048999999999997</v>
      </c>
      <c r="E30" s="1">
        <f>Tabela15[[#This Row],[Força (N)]]/$I$5</f>
        <v>17596.13852803105</v>
      </c>
      <c r="F30" s="1">
        <f>Tabela15[[#This Row],[Tensão (Pa)]]/1000000</f>
        <v>1.759613852803105E-2</v>
      </c>
    </row>
    <row r="31" spans="1:6" x14ac:dyDescent="0.3">
      <c r="A31" s="13">
        <v>0.65</v>
      </c>
      <c r="B31" s="13">
        <v>4.6156999999999997E-2</v>
      </c>
      <c r="C31" s="1">
        <f>Tabela15[[#This Row],[Alongamento (mm/mm)]]/$I$2</f>
        <v>9.2313999999999992E-4</v>
      </c>
      <c r="D31" s="13">
        <v>0.85048999999999997</v>
      </c>
      <c r="E31" s="1">
        <f>Tabela15[[#This Row],[Força (N)]]/$I$5</f>
        <v>17596.13852803105</v>
      </c>
      <c r="F31" s="1">
        <f>Tabela15[[#This Row],[Tensão (Pa)]]/1000000</f>
        <v>1.759613852803105E-2</v>
      </c>
    </row>
    <row r="32" spans="1:6" x14ac:dyDescent="0.3">
      <c r="A32" s="13">
        <v>0.66666999999999998</v>
      </c>
      <c r="B32" s="13">
        <v>4.7460000000000002E-2</v>
      </c>
      <c r="C32" s="1">
        <f>Tabela15[[#This Row],[Alongamento (mm/mm)]]/$I$2</f>
        <v>9.4920000000000009E-4</v>
      </c>
      <c r="D32" s="13">
        <v>0.85048999999999997</v>
      </c>
      <c r="E32" s="1">
        <f>Tabela15[[#This Row],[Força (N)]]/$I$5</f>
        <v>17596.13852803105</v>
      </c>
      <c r="F32" s="1">
        <f>Tabela15[[#This Row],[Tensão (Pa)]]/1000000</f>
        <v>1.759613852803105E-2</v>
      </c>
    </row>
    <row r="33" spans="1:6" x14ac:dyDescent="0.3">
      <c r="A33" s="13">
        <v>0.68332999999999999</v>
      </c>
      <c r="B33" s="13">
        <v>4.8855000000000003E-2</v>
      </c>
      <c r="C33" s="1">
        <f>Tabela15[[#This Row],[Alongamento (mm/mm)]]/$I$2</f>
        <v>9.7710000000000006E-4</v>
      </c>
      <c r="D33" s="13">
        <v>0.85048999999999997</v>
      </c>
      <c r="E33" s="1">
        <f>Tabela15[[#This Row],[Força (N)]]/$I$5</f>
        <v>17596.13852803105</v>
      </c>
      <c r="F33" s="1">
        <f>Tabela15[[#This Row],[Tensão (Pa)]]/1000000</f>
        <v>1.759613852803105E-2</v>
      </c>
    </row>
    <row r="34" spans="1:6" x14ac:dyDescent="0.3">
      <c r="A34" s="13">
        <v>0.7</v>
      </c>
      <c r="B34" s="13">
        <v>5.0344E-2</v>
      </c>
      <c r="C34" s="1">
        <f>Tabela15[[#This Row],[Alongamento (mm/mm)]]/$I$2</f>
        <v>1.0068799999999999E-3</v>
      </c>
      <c r="D34" s="13">
        <v>0.85048999999999997</v>
      </c>
      <c r="E34" s="1">
        <f>Tabela15[[#This Row],[Força (N)]]/$I$5</f>
        <v>17596.13852803105</v>
      </c>
      <c r="F34" s="1">
        <f>Tabela15[[#This Row],[Tensão (Pa)]]/1000000</f>
        <v>1.759613852803105E-2</v>
      </c>
    </row>
    <row r="35" spans="1:6" x14ac:dyDescent="0.3">
      <c r="A35" s="13">
        <v>0.71667000000000003</v>
      </c>
      <c r="B35" s="13">
        <v>5.1646999999999998E-2</v>
      </c>
      <c r="C35" s="1">
        <f>Tabela15[[#This Row],[Alongamento (mm/mm)]]/$I$2</f>
        <v>1.03294E-3</v>
      </c>
      <c r="D35" s="13">
        <v>0.85048999999999997</v>
      </c>
      <c r="E35" s="1">
        <f>Tabela15[[#This Row],[Força (N)]]/$I$5</f>
        <v>17596.13852803105</v>
      </c>
      <c r="F35" s="1">
        <f>Tabela15[[#This Row],[Tensão (Pa)]]/1000000</f>
        <v>1.759613852803105E-2</v>
      </c>
    </row>
    <row r="36" spans="1:6" x14ac:dyDescent="0.3">
      <c r="A36" s="13">
        <v>0.73333000000000004</v>
      </c>
      <c r="B36" s="13">
        <v>5.3043E-2</v>
      </c>
      <c r="C36" s="1">
        <f>Tabela15[[#This Row],[Alongamento (mm/mm)]]/$I$2</f>
        <v>1.0608600000000001E-3</v>
      </c>
      <c r="D36" s="13">
        <v>0.85048999999999997</v>
      </c>
      <c r="E36" s="1">
        <f>Tabela15[[#This Row],[Força (N)]]/$I$5</f>
        <v>17596.13852803105</v>
      </c>
      <c r="F36" s="1">
        <f>Tabela15[[#This Row],[Tensão (Pa)]]/1000000</f>
        <v>1.759613852803105E-2</v>
      </c>
    </row>
    <row r="37" spans="1:6" x14ac:dyDescent="0.3">
      <c r="A37" s="13">
        <v>0.75</v>
      </c>
      <c r="B37" s="13">
        <v>5.4439000000000001E-2</v>
      </c>
      <c r="C37" s="1">
        <f>Tabela15[[#This Row],[Alongamento (mm/mm)]]/$I$2</f>
        <v>1.0887800000000001E-3</v>
      </c>
      <c r="D37" s="13">
        <v>0.85048999999999997</v>
      </c>
      <c r="E37" s="1">
        <f>Tabela15[[#This Row],[Força (N)]]/$I$5</f>
        <v>17596.13852803105</v>
      </c>
      <c r="F37" s="1">
        <f>Tabela15[[#This Row],[Tensão (Pa)]]/1000000</f>
        <v>1.759613852803105E-2</v>
      </c>
    </row>
    <row r="38" spans="1:6" x14ac:dyDescent="0.3">
      <c r="A38" s="13">
        <v>0.76666999999999996</v>
      </c>
      <c r="B38" s="13">
        <v>5.5835000000000003E-2</v>
      </c>
      <c r="C38" s="1">
        <f>Tabela15[[#This Row],[Alongamento (mm/mm)]]/$I$2</f>
        <v>1.1167E-3</v>
      </c>
      <c r="D38" s="13">
        <v>0.85048999999999997</v>
      </c>
      <c r="E38" s="1">
        <f>Tabela15[[#This Row],[Força (N)]]/$I$5</f>
        <v>17596.13852803105</v>
      </c>
      <c r="F38" s="1">
        <f>Tabela15[[#This Row],[Tensão (Pa)]]/1000000</f>
        <v>1.759613852803105E-2</v>
      </c>
    </row>
    <row r="39" spans="1:6" x14ac:dyDescent="0.3">
      <c r="A39" s="13">
        <v>0.78332999999999997</v>
      </c>
      <c r="B39" s="13">
        <v>5.7138000000000001E-2</v>
      </c>
      <c r="C39" s="1">
        <f>Tabela15[[#This Row],[Alongamento (mm/mm)]]/$I$2</f>
        <v>1.14276E-3</v>
      </c>
      <c r="D39" s="13">
        <v>0.85048999999999997</v>
      </c>
      <c r="E39" s="1">
        <f>Tabela15[[#This Row],[Força (N)]]/$I$5</f>
        <v>17596.13852803105</v>
      </c>
      <c r="F39" s="1">
        <f>Tabela15[[#This Row],[Tensão (Pa)]]/1000000</f>
        <v>1.759613852803105E-2</v>
      </c>
    </row>
    <row r="40" spans="1:6" x14ac:dyDescent="0.3">
      <c r="A40" s="13">
        <v>0.8</v>
      </c>
      <c r="B40" s="13">
        <v>5.8533000000000002E-2</v>
      </c>
      <c r="C40" s="1">
        <f>Tabela15[[#This Row],[Alongamento (mm/mm)]]/$I$2</f>
        <v>1.17066E-3</v>
      </c>
      <c r="D40" s="13">
        <v>0.85048999999999997</v>
      </c>
      <c r="E40" s="1">
        <f>Tabela15[[#This Row],[Força (N)]]/$I$5</f>
        <v>17596.13852803105</v>
      </c>
      <c r="F40" s="1">
        <f>Tabela15[[#This Row],[Tensão (Pa)]]/1000000</f>
        <v>1.759613852803105E-2</v>
      </c>
    </row>
    <row r="41" spans="1:6" x14ac:dyDescent="0.3">
      <c r="A41" s="13">
        <v>0.81667000000000001</v>
      </c>
      <c r="B41" s="13">
        <v>6.0021999999999999E-2</v>
      </c>
      <c r="C41" s="1">
        <f>Tabela15[[#This Row],[Alongamento (mm/mm)]]/$I$2</f>
        <v>1.2004399999999999E-3</v>
      </c>
      <c r="D41" s="13">
        <v>0.85048999999999997</v>
      </c>
      <c r="E41" s="1">
        <f>Tabela15[[#This Row],[Força (N)]]/$I$5</f>
        <v>17596.13852803105</v>
      </c>
      <c r="F41" s="1">
        <f>Tabela15[[#This Row],[Tensão (Pa)]]/1000000</f>
        <v>1.759613852803105E-2</v>
      </c>
    </row>
    <row r="42" spans="1:6" x14ac:dyDescent="0.3">
      <c r="A42" s="13">
        <v>0.83333000000000002</v>
      </c>
      <c r="B42" s="13">
        <v>6.1418E-2</v>
      </c>
      <c r="C42" s="1">
        <f>Tabela15[[#This Row],[Alongamento (mm/mm)]]/$I$2</f>
        <v>1.22836E-3</v>
      </c>
      <c r="D42" s="13">
        <v>0.85048999999999997</v>
      </c>
      <c r="E42" s="1">
        <f>Tabela15[[#This Row],[Força (N)]]/$I$5</f>
        <v>17596.13852803105</v>
      </c>
      <c r="F42" s="1">
        <f>Tabela15[[#This Row],[Tensão (Pa)]]/1000000</f>
        <v>1.759613852803105E-2</v>
      </c>
    </row>
    <row r="43" spans="1:6" x14ac:dyDescent="0.3">
      <c r="A43" s="13">
        <v>0.85</v>
      </c>
      <c r="B43" s="13">
        <v>6.2720999999999999E-2</v>
      </c>
      <c r="C43" s="1">
        <f>Tabela15[[#This Row],[Alongamento (mm/mm)]]/$I$2</f>
        <v>1.25442E-3</v>
      </c>
      <c r="D43" s="13">
        <v>1.0206</v>
      </c>
      <c r="E43" s="1">
        <f>Tabela15[[#This Row],[Força (N)]]/$I$5</f>
        <v>21115.614506588543</v>
      </c>
      <c r="F43" s="1">
        <f>Tabela15[[#This Row],[Tensão (Pa)]]/1000000</f>
        <v>2.1115614506588543E-2</v>
      </c>
    </row>
    <row r="44" spans="1:6" x14ac:dyDescent="0.3">
      <c r="A44" s="13">
        <v>0.86667000000000005</v>
      </c>
      <c r="B44" s="13">
        <v>6.4116999999999993E-2</v>
      </c>
      <c r="C44" s="1">
        <f>Tabela15[[#This Row],[Alongamento (mm/mm)]]/$I$2</f>
        <v>1.2823399999999999E-3</v>
      </c>
      <c r="D44" s="13">
        <v>1.0206</v>
      </c>
      <c r="E44" s="1">
        <f>Tabela15[[#This Row],[Força (N)]]/$I$5</f>
        <v>21115.614506588543</v>
      </c>
      <c r="F44" s="1">
        <f>Tabela15[[#This Row],[Tensão (Pa)]]/1000000</f>
        <v>2.1115614506588543E-2</v>
      </c>
    </row>
    <row r="45" spans="1:6" x14ac:dyDescent="0.3">
      <c r="A45" s="13">
        <v>0.88332999999999995</v>
      </c>
      <c r="B45" s="13">
        <v>6.5513000000000002E-2</v>
      </c>
      <c r="C45" s="1">
        <f>Tabela15[[#This Row],[Alongamento (mm/mm)]]/$I$2</f>
        <v>1.3102599999999999E-3</v>
      </c>
      <c r="D45" s="13">
        <v>1.0206</v>
      </c>
      <c r="E45" s="1">
        <f>Tabela15[[#This Row],[Força (N)]]/$I$5</f>
        <v>21115.614506588543</v>
      </c>
      <c r="F45" s="1">
        <f>Tabela15[[#This Row],[Tensão (Pa)]]/1000000</f>
        <v>2.1115614506588543E-2</v>
      </c>
    </row>
    <row r="46" spans="1:6" x14ac:dyDescent="0.3">
      <c r="A46" s="13">
        <v>0.9</v>
      </c>
      <c r="B46" s="13">
        <v>6.6908999999999996E-2</v>
      </c>
      <c r="C46" s="1">
        <f>Tabela15[[#This Row],[Alongamento (mm/mm)]]/$I$2</f>
        <v>1.33818E-3</v>
      </c>
      <c r="D46" s="13">
        <v>1.0206</v>
      </c>
      <c r="E46" s="1">
        <f>Tabela15[[#This Row],[Força (N)]]/$I$5</f>
        <v>21115.614506588543</v>
      </c>
      <c r="F46" s="1">
        <f>Tabela15[[#This Row],[Tensão (Pa)]]/1000000</f>
        <v>2.1115614506588543E-2</v>
      </c>
    </row>
    <row r="47" spans="1:6" x14ac:dyDescent="0.3">
      <c r="A47" s="13">
        <v>0.91666999999999998</v>
      </c>
      <c r="B47" s="13">
        <v>6.8305000000000005E-2</v>
      </c>
      <c r="C47" s="1">
        <f>Tabela15[[#This Row],[Alongamento (mm/mm)]]/$I$2</f>
        <v>1.3661000000000001E-3</v>
      </c>
      <c r="D47" s="13">
        <v>1.0206</v>
      </c>
      <c r="E47" s="1">
        <f>Tabela15[[#This Row],[Força (N)]]/$I$5</f>
        <v>21115.614506588543</v>
      </c>
      <c r="F47" s="1">
        <f>Tabela15[[#This Row],[Tensão (Pa)]]/1000000</f>
        <v>2.1115614506588543E-2</v>
      </c>
    </row>
    <row r="48" spans="1:6" x14ac:dyDescent="0.3">
      <c r="A48" s="13">
        <v>0.93332999999999999</v>
      </c>
      <c r="B48" s="13">
        <v>6.9699999999999998E-2</v>
      </c>
      <c r="C48" s="1">
        <f>Tabela15[[#This Row],[Alongamento (mm/mm)]]/$I$2</f>
        <v>1.3940000000000001E-3</v>
      </c>
      <c r="D48" s="13">
        <v>1.0206</v>
      </c>
      <c r="E48" s="1">
        <f>Tabela15[[#This Row],[Força (N)]]/$I$5</f>
        <v>21115.614506588543</v>
      </c>
      <c r="F48" s="1">
        <f>Tabela15[[#This Row],[Tensão (Pa)]]/1000000</f>
        <v>2.1115614506588543E-2</v>
      </c>
    </row>
    <row r="49" spans="1:6" x14ac:dyDescent="0.3">
      <c r="A49" s="13">
        <v>0.95</v>
      </c>
      <c r="B49" s="13">
        <v>7.1096000000000006E-2</v>
      </c>
      <c r="C49" s="1">
        <f>Tabela15[[#This Row],[Alongamento (mm/mm)]]/$I$2</f>
        <v>1.4219200000000001E-3</v>
      </c>
      <c r="D49" s="13">
        <v>1.0206</v>
      </c>
      <c r="E49" s="1">
        <f>Tabela15[[#This Row],[Força (N)]]/$I$5</f>
        <v>21115.614506588543</v>
      </c>
      <c r="F49" s="1">
        <f>Tabela15[[#This Row],[Tensão (Pa)]]/1000000</f>
        <v>2.1115614506588543E-2</v>
      </c>
    </row>
    <row r="50" spans="1:6" x14ac:dyDescent="0.3">
      <c r="A50" s="13">
        <v>0.96667000000000003</v>
      </c>
      <c r="B50" s="13">
        <v>7.2399000000000005E-2</v>
      </c>
      <c r="C50" s="1">
        <f>Tabela15[[#This Row],[Alongamento (mm/mm)]]/$I$2</f>
        <v>1.4479800000000002E-3</v>
      </c>
      <c r="D50" s="13">
        <v>1.0206</v>
      </c>
      <c r="E50" s="1">
        <f>Tabela15[[#This Row],[Força (N)]]/$I$5</f>
        <v>21115.614506588543</v>
      </c>
      <c r="F50" s="1">
        <f>Tabela15[[#This Row],[Tensão (Pa)]]/1000000</f>
        <v>2.1115614506588543E-2</v>
      </c>
    </row>
    <row r="51" spans="1:6" x14ac:dyDescent="0.3">
      <c r="A51" s="13">
        <v>0.98333000000000004</v>
      </c>
      <c r="B51" s="13">
        <v>7.3794999999999999E-2</v>
      </c>
      <c r="C51" s="1">
        <f>Tabela15[[#This Row],[Alongamento (mm/mm)]]/$I$2</f>
        <v>1.4759E-3</v>
      </c>
      <c r="D51" s="13">
        <v>1.0206</v>
      </c>
      <c r="E51" s="1">
        <f>Tabela15[[#This Row],[Força (N)]]/$I$5</f>
        <v>21115.614506588543</v>
      </c>
      <c r="F51" s="1">
        <f>Tabela15[[#This Row],[Tensão (Pa)]]/1000000</f>
        <v>2.1115614506588543E-2</v>
      </c>
    </row>
    <row r="52" spans="1:6" x14ac:dyDescent="0.3">
      <c r="A52" s="13">
        <v>1</v>
      </c>
      <c r="B52" s="13">
        <v>7.5284000000000004E-2</v>
      </c>
      <c r="C52" s="1">
        <f>Tabela15[[#This Row],[Alongamento (mm/mm)]]/$I$2</f>
        <v>1.5056800000000001E-3</v>
      </c>
      <c r="D52" s="13">
        <v>1.0206</v>
      </c>
      <c r="E52" s="1">
        <f>Tabela15[[#This Row],[Força (N)]]/$I$5</f>
        <v>21115.614506588543</v>
      </c>
      <c r="F52" s="1">
        <f>Tabela15[[#This Row],[Tensão (Pa)]]/1000000</f>
        <v>2.1115614506588543E-2</v>
      </c>
    </row>
    <row r="53" spans="1:6" x14ac:dyDescent="0.3">
      <c r="A53" s="13">
        <v>1.0166999999999999</v>
      </c>
      <c r="B53" s="13">
        <v>7.6679999999999998E-2</v>
      </c>
      <c r="C53" s="1">
        <f>Tabela15[[#This Row],[Alongamento (mm/mm)]]/$I$2</f>
        <v>1.5336E-3</v>
      </c>
      <c r="D53" s="13">
        <v>1.0206</v>
      </c>
      <c r="E53" s="1">
        <f>Tabela15[[#This Row],[Força (N)]]/$I$5</f>
        <v>21115.614506588543</v>
      </c>
      <c r="F53" s="1">
        <f>Tabela15[[#This Row],[Tensão (Pa)]]/1000000</f>
        <v>2.1115614506588543E-2</v>
      </c>
    </row>
    <row r="54" spans="1:6" x14ac:dyDescent="0.3">
      <c r="A54" s="13">
        <v>1.0333000000000001</v>
      </c>
      <c r="B54" s="13">
        <v>7.7982999999999997E-2</v>
      </c>
      <c r="C54" s="1">
        <f>Tabela15[[#This Row],[Alongamento (mm/mm)]]/$I$2</f>
        <v>1.55966E-3</v>
      </c>
      <c r="D54" s="13">
        <v>1.0206</v>
      </c>
      <c r="E54" s="1">
        <f>Tabela15[[#This Row],[Força (N)]]/$I$5</f>
        <v>21115.614506588543</v>
      </c>
      <c r="F54" s="1">
        <f>Tabela15[[#This Row],[Tensão (Pa)]]/1000000</f>
        <v>2.1115614506588543E-2</v>
      </c>
    </row>
    <row r="55" spans="1:6" x14ac:dyDescent="0.3">
      <c r="A55" s="13">
        <v>1.05</v>
      </c>
      <c r="B55" s="13">
        <v>7.9378000000000004E-2</v>
      </c>
      <c r="C55" s="1">
        <f>Tabela15[[#This Row],[Alongamento (mm/mm)]]/$I$2</f>
        <v>1.58756E-3</v>
      </c>
      <c r="D55" s="13">
        <v>1.0206</v>
      </c>
      <c r="E55" s="1">
        <f>Tabela15[[#This Row],[Força (N)]]/$I$5</f>
        <v>21115.614506588543</v>
      </c>
      <c r="F55" s="1">
        <f>Tabela15[[#This Row],[Tensão (Pa)]]/1000000</f>
        <v>2.1115614506588543E-2</v>
      </c>
    </row>
    <row r="56" spans="1:6" x14ac:dyDescent="0.3">
      <c r="A56" s="13">
        <v>1.0667</v>
      </c>
      <c r="B56" s="13">
        <v>8.0773999999999999E-2</v>
      </c>
      <c r="C56" s="1">
        <f>Tabela15[[#This Row],[Alongamento (mm/mm)]]/$I$2</f>
        <v>1.6154799999999999E-3</v>
      </c>
      <c r="D56" s="13">
        <v>1.0206</v>
      </c>
      <c r="E56" s="1">
        <f>Tabela15[[#This Row],[Força (N)]]/$I$5</f>
        <v>21115.614506588543</v>
      </c>
      <c r="F56" s="1">
        <f>Tabela15[[#This Row],[Tensão (Pa)]]/1000000</f>
        <v>2.1115614506588543E-2</v>
      </c>
    </row>
    <row r="57" spans="1:6" x14ac:dyDescent="0.3">
      <c r="A57" s="13">
        <v>1.0832999999999999</v>
      </c>
      <c r="B57" s="13">
        <v>8.2170000000000007E-2</v>
      </c>
      <c r="C57" s="1">
        <f>Tabela15[[#This Row],[Alongamento (mm/mm)]]/$I$2</f>
        <v>1.6434000000000002E-3</v>
      </c>
      <c r="D57" s="13">
        <v>1.0206</v>
      </c>
      <c r="E57" s="1">
        <f>Tabela15[[#This Row],[Força (N)]]/$I$5</f>
        <v>21115.614506588543</v>
      </c>
      <c r="F57" s="1">
        <f>Tabela15[[#This Row],[Tensão (Pa)]]/1000000</f>
        <v>2.1115614506588543E-2</v>
      </c>
    </row>
    <row r="58" spans="1:6" x14ac:dyDescent="0.3">
      <c r="A58" s="13">
        <v>1.1000000000000001</v>
      </c>
      <c r="B58" s="13">
        <v>8.3566000000000001E-2</v>
      </c>
      <c r="C58" s="1">
        <f>Tabela15[[#This Row],[Alongamento (mm/mm)]]/$I$2</f>
        <v>1.67132E-3</v>
      </c>
      <c r="D58" s="13">
        <v>1.0206</v>
      </c>
      <c r="E58" s="1">
        <f>Tabela15[[#This Row],[Força (N)]]/$I$5</f>
        <v>21115.614506588543</v>
      </c>
      <c r="F58" s="1">
        <f>Tabela15[[#This Row],[Tensão (Pa)]]/1000000</f>
        <v>2.1115614506588543E-2</v>
      </c>
    </row>
    <row r="59" spans="1:6" x14ac:dyDescent="0.3">
      <c r="A59" s="13">
        <v>1.1167</v>
      </c>
      <c r="B59" s="13">
        <v>8.4961999999999996E-2</v>
      </c>
      <c r="C59" s="1">
        <f>Tabela15[[#This Row],[Alongamento (mm/mm)]]/$I$2</f>
        <v>1.6992399999999999E-3</v>
      </c>
      <c r="D59" s="13">
        <v>1.0206</v>
      </c>
      <c r="E59" s="1">
        <f>Tabela15[[#This Row],[Força (N)]]/$I$5</f>
        <v>21115.614506588543</v>
      </c>
      <c r="F59" s="1">
        <f>Tabela15[[#This Row],[Tensão (Pa)]]/1000000</f>
        <v>2.1115614506588543E-2</v>
      </c>
    </row>
    <row r="60" spans="1:6" x14ac:dyDescent="0.3">
      <c r="A60" s="13">
        <v>1.1333</v>
      </c>
      <c r="B60" s="13">
        <v>8.6358000000000004E-2</v>
      </c>
      <c r="C60" s="1">
        <f>Tabela15[[#This Row],[Alongamento (mm/mm)]]/$I$2</f>
        <v>1.7271600000000002E-3</v>
      </c>
      <c r="D60" s="13">
        <v>1.0206</v>
      </c>
      <c r="E60" s="1">
        <f>Tabela15[[#This Row],[Força (N)]]/$I$5</f>
        <v>21115.614506588543</v>
      </c>
      <c r="F60" s="1">
        <f>Tabela15[[#This Row],[Tensão (Pa)]]/1000000</f>
        <v>2.1115614506588543E-2</v>
      </c>
    </row>
    <row r="61" spans="1:6" x14ac:dyDescent="0.3">
      <c r="A61" s="13">
        <v>1.1499999999999999</v>
      </c>
      <c r="B61" s="13">
        <v>8.7753999999999999E-2</v>
      </c>
      <c r="C61" s="1">
        <f>Tabela15[[#This Row],[Alongamento (mm/mm)]]/$I$2</f>
        <v>1.75508E-3</v>
      </c>
      <c r="D61" s="13">
        <v>1.0206</v>
      </c>
      <c r="E61" s="1">
        <f>Tabela15[[#This Row],[Força (N)]]/$I$5</f>
        <v>21115.614506588543</v>
      </c>
      <c r="F61" s="1">
        <f>Tabela15[[#This Row],[Tensão (Pa)]]/1000000</f>
        <v>2.1115614506588543E-2</v>
      </c>
    </row>
    <row r="62" spans="1:6" x14ac:dyDescent="0.3">
      <c r="A62" s="13">
        <v>1.1667000000000001</v>
      </c>
      <c r="B62" s="13">
        <v>8.9149999999999993E-2</v>
      </c>
      <c r="C62" s="1">
        <f>Tabela15[[#This Row],[Alongamento (mm/mm)]]/$I$2</f>
        <v>1.7829999999999999E-3</v>
      </c>
      <c r="D62" s="13">
        <v>1.0206</v>
      </c>
      <c r="E62" s="1">
        <f>Tabela15[[#This Row],[Força (N)]]/$I$5</f>
        <v>21115.614506588543</v>
      </c>
      <c r="F62" s="1">
        <f>Tabela15[[#This Row],[Tensão (Pa)]]/1000000</f>
        <v>2.1115614506588543E-2</v>
      </c>
    </row>
    <row r="63" spans="1:6" x14ac:dyDescent="0.3">
      <c r="A63" s="13">
        <v>1.1833</v>
      </c>
      <c r="B63" s="13">
        <v>9.0545E-2</v>
      </c>
      <c r="C63" s="1">
        <f>Tabela15[[#This Row],[Alongamento (mm/mm)]]/$I$2</f>
        <v>1.8109000000000001E-3</v>
      </c>
      <c r="D63" s="13">
        <v>1.0206</v>
      </c>
      <c r="E63" s="1">
        <f>Tabela15[[#This Row],[Força (N)]]/$I$5</f>
        <v>21115.614506588543</v>
      </c>
      <c r="F63" s="1">
        <f>Tabela15[[#This Row],[Tensão (Pa)]]/1000000</f>
        <v>2.1115614506588543E-2</v>
      </c>
    </row>
    <row r="64" spans="1:6" x14ac:dyDescent="0.3">
      <c r="A64" s="13">
        <v>1.2</v>
      </c>
      <c r="B64" s="13">
        <v>9.2034000000000005E-2</v>
      </c>
      <c r="C64" s="1">
        <f>Tabela15[[#This Row],[Alongamento (mm/mm)]]/$I$2</f>
        <v>1.8406800000000001E-3</v>
      </c>
      <c r="D64" s="13">
        <v>1.0206</v>
      </c>
      <c r="E64" s="1">
        <f>Tabela15[[#This Row],[Força (N)]]/$I$5</f>
        <v>21115.614506588543</v>
      </c>
      <c r="F64" s="1">
        <f>Tabela15[[#This Row],[Tensão (Pa)]]/1000000</f>
        <v>2.1115614506588543E-2</v>
      </c>
    </row>
    <row r="65" spans="1:6" x14ac:dyDescent="0.3">
      <c r="A65" s="13">
        <v>1.2166999999999999</v>
      </c>
      <c r="B65" s="13">
        <v>9.3337000000000003E-2</v>
      </c>
      <c r="C65" s="1">
        <f>Tabela15[[#This Row],[Alongamento (mm/mm)]]/$I$2</f>
        <v>1.86674E-3</v>
      </c>
      <c r="D65" s="13">
        <v>1.0206</v>
      </c>
      <c r="E65" s="1">
        <f>Tabela15[[#This Row],[Força (N)]]/$I$5</f>
        <v>21115.614506588543</v>
      </c>
      <c r="F65" s="1">
        <f>Tabela15[[#This Row],[Tensão (Pa)]]/1000000</f>
        <v>2.1115614506588543E-2</v>
      </c>
    </row>
    <row r="66" spans="1:6" x14ac:dyDescent="0.3">
      <c r="A66" s="13">
        <v>1.2333000000000001</v>
      </c>
      <c r="B66" s="13">
        <v>9.4732999999999998E-2</v>
      </c>
      <c r="C66" s="1">
        <f>Tabela15[[#This Row],[Alongamento (mm/mm)]]/$I$2</f>
        <v>1.8946600000000001E-3</v>
      </c>
      <c r="D66" s="13">
        <v>1.1907000000000001</v>
      </c>
      <c r="E66" s="1">
        <f>Tabela15[[#This Row],[Força (N)]]/$I$5</f>
        <v>24634.883591019967</v>
      </c>
      <c r="F66" s="1">
        <f>Tabela15[[#This Row],[Tensão (Pa)]]/1000000</f>
        <v>2.4634883591019965E-2</v>
      </c>
    </row>
    <row r="67" spans="1:6" x14ac:dyDescent="0.3">
      <c r="A67" s="13">
        <v>1.25</v>
      </c>
      <c r="B67" s="13">
        <v>9.6129000000000006E-2</v>
      </c>
      <c r="C67" s="1">
        <f>Tabela15[[#This Row],[Alongamento (mm/mm)]]/$I$2</f>
        <v>1.9225800000000001E-3</v>
      </c>
      <c r="D67" s="13">
        <v>1.1907000000000001</v>
      </c>
      <c r="E67" s="1">
        <f>Tabela15[[#This Row],[Força (N)]]/$I$5</f>
        <v>24634.883591019967</v>
      </c>
      <c r="F67" s="1">
        <f>Tabela15[[#This Row],[Tensão (Pa)]]/1000000</f>
        <v>2.4634883591019965E-2</v>
      </c>
    </row>
    <row r="68" spans="1:6" x14ac:dyDescent="0.3">
      <c r="A68" s="13">
        <v>1.2666999999999999</v>
      </c>
      <c r="B68" s="13">
        <v>9.7525000000000001E-2</v>
      </c>
      <c r="C68" s="1">
        <f>Tabela15[[#This Row],[Alongamento (mm/mm)]]/$I$2</f>
        <v>1.9505E-3</v>
      </c>
      <c r="D68" s="13">
        <v>1.1907000000000001</v>
      </c>
      <c r="E68" s="1">
        <f>Tabela15[[#This Row],[Força (N)]]/$I$5</f>
        <v>24634.883591019967</v>
      </c>
      <c r="F68" s="1">
        <f>Tabela15[[#This Row],[Tensão (Pa)]]/1000000</f>
        <v>2.4634883591019965E-2</v>
      </c>
    </row>
    <row r="69" spans="1:6" x14ac:dyDescent="0.3">
      <c r="A69" s="13">
        <v>1.2833000000000001</v>
      </c>
      <c r="B69" s="13">
        <v>9.8827999999999999E-2</v>
      </c>
      <c r="C69" s="1">
        <f>Tabela15[[#This Row],[Alongamento (mm/mm)]]/$I$2</f>
        <v>1.97656E-3</v>
      </c>
      <c r="D69" s="13">
        <v>1.1907000000000001</v>
      </c>
      <c r="E69" s="1">
        <f>Tabela15[[#This Row],[Força (N)]]/$I$5</f>
        <v>24634.883591019967</v>
      </c>
      <c r="F69" s="1">
        <f>Tabela15[[#This Row],[Tensão (Pa)]]/1000000</f>
        <v>2.4634883591019965E-2</v>
      </c>
    </row>
    <row r="70" spans="1:6" x14ac:dyDescent="0.3">
      <c r="A70" s="13">
        <v>1.3</v>
      </c>
      <c r="B70" s="13">
        <v>0.10032000000000001</v>
      </c>
      <c r="C70" s="1">
        <f>Tabela15[[#This Row],[Alongamento (mm/mm)]]/$I$2</f>
        <v>2.0064000000000002E-3</v>
      </c>
      <c r="D70" s="13">
        <v>1.1907000000000001</v>
      </c>
      <c r="E70" s="1">
        <f>Tabela15[[#This Row],[Força (N)]]/$I$5</f>
        <v>24634.883591019967</v>
      </c>
      <c r="F70" s="1">
        <f>Tabela15[[#This Row],[Tensão (Pa)]]/1000000</f>
        <v>2.4634883591019965E-2</v>
      </c>
    </row>
    <row r="71" spans="1:6" x14ac:dyDescent="0.3">
      <c r="A71" s="13">
        <v>1.3167</v>
      </c>
      <c r="B71" s="13">
        <v>0.10170999999999999</v>
      </c>
      <c r="C71" s="1">
        <f>Tabela15[[#This Row],[Alongamento (mm/mm)]]/$I$2</f>
        <v>2.0341999999999999E-3</v>
      </c>
      <c r="D71" s="13">
        <v>1.1907000000000001</v>
      </c>
      <c r="E71" s="1">
        <f>Tabela15[[#This Row],[Força (N)]]/$I$5</f>
        <v>24634.883591019967</v>
      </c>
      <c r="F71" s="1">
        <f>Tabela15[[#This Row],[Tensão (Pa)]]/1000000</f>
        <v>2.4634883591019965E-2</v>
      </c>
    </row>
    <row r="72" spans="1:6" x14ac:dyDescent="0.3">
      <c r="A72" s="13">
        <v>1.3332999999999999</v>
      </c>
      <c r="B72" s="13">
        <v>0.10302</v>
      </c>
      <c r="C72" s="1">
        <f>Tabela15[[#This Row],[Alongamento (mm/mm)]]/$I$2</f>
        <v>2.0604E-3</v>
      </c>
      <c r="D72" s="13">
        <v>1.1907000000000001</v>
      </c>
      <c r="E72" s="1">
        <f>Tabela15[[#This Row],[Força (N)]]/$I$5</f>
        <v>24634.883591019967</v>
      </c>
      <c r="F72" s="1">
        <f>Tabela15[[#This Row],[Tensão (Pa)]]/1000000</f>
        <v>2.4634883591019965E-2</v>
      </c>
    </row>
    <row r="73" spans="1:6" x14ac:dyDescent="0.3">
      <c r="A73" s="13">
        <v>1.35</v>
      </c>
      <c r="B73" s="13">
        <v>0.10441</v>
      </c>
      <c r="C73" s="1">
        <f>Tabela15[[#This Row],[Alongamento (mm/mm)]]/$I$2</f>
        <v>2.0882000000000001E-3</v>
      </c>
      <c r="D73" s="13">
        <v>1.3608</v>
      </c>
      <c r="E73" s="1">
        <f>Tabela15[[#This Row],[Força (N)]]/$I$5</f>
        <v>28154.152675451391</v>
      </c>
      <c r="F73" s="1">
        <f>Tabela15[[#This Row],[Tensão (Pa)]]/1000000</f>
        <v>2.8154152675451391E-2</v>
      </c>
    </row>
    <row r="74" spans="1:6" x14ac:dyDescent="0.3">
      <c r="A74" s="13">
        <v>1.3667</v>
      </c>
      <c r="B74" s="13">
        <v>0.10581</v>
      </c>
      <c r="C74" s="1">
        <f>Tabela15[[#This Row],[Alongamento (mm/mm)]]/$I$2</f>
        <v>2.1161999999999999E-3</v>
      </c>
      <c r="D74" s="13">
        <v>1.3608</v>
      </c>
      <c r="E74" s="1">
        <f>Tabela15[[#This Row],[Força (N)]]/$I$5</f>
        <v>28154.152675451391</v>
      </c>
      <c r="F74" s="1">
        <f>Tabela15[[#This Row],[Tensão (Pa)]]/1000000</f>
        <v>2.8154152675451391E-2</v>
      </c>
    </row>
    <row r="75" spans="1:6" x14ac:dyDescent="0.3">
      <c r="A75" s="13">
        <v>1.3833</v>
      </c>
      <c r="B75" s="13">
        <v>0.1072</v>
      </c>
      <c r="C75" s="1">
        <f>Tabela15[[#This Row],[Alongamento (mm/mm)]]/$I$2</f>
        <v>2.1440000000000001E-3</v>
      </c>
      <c r="D75" s="13">
        <v>1.3608</v>
      </c>
      <c r="E75" s="1">
        <f>Tabela15[[#This Row],[Força (N)]]/$I$5</f>
        <v>28154.152675451391</v>
      </c>
      <c r="F75" s="1">
        <f>Tabela15[[#This Row],[Tensão (Pa)]]/1000000</f>
        <v>2.8154152675451391E-2</v>
      </c>
    </row>
    <row r="76" spans="1:6" x14ac:dyDescent="0.3">
      <c r="A76" s="13">
        <v>1.4</v>
      </c>
      <c r="B76" s="13">
        <v>0.1086</v>
      </c>
      <c r="C76" s="1">
        <f>Tabela15[[#This Row],[Alongamento (mm/mm)]]/$I$2</f>
        <v>2.1719999999999999E-3</v>
      </c>
      <c r="D76" s="13">
        <v>1.3608</v>
      </c>
      <c r="E76" s="1">
        <f>Tabela15[[#This Row],[Força (N)]]/$I$5</f>
        <v>28154.152675451391</v>
      </c>
      <c r="F76" s="1">
        <f>Tabela15[[#This Row],[Tensão (Pa)]]/1000000</f>
        <v>2.8154152675451391E-2</v>
      </c>
    </row>
    <row r="77" spans="1:6" x14ac:dyDescent="0.3">
      <c r="A77" s="13">
        <v>1.4167000000000001</v>
      </c>
      <c r="B77" s="13">
        <v>0.1099</v>
      </c>
      <c r="C77" s="1">
        <f>Tabela15[[#This Row],[Alongamento (mm/mm)]]/$I$2</f>
        <v>2.1979999999999999E-3</v>
      </c>
      <c r="D77" s="13">
        <v>1.3608</v>
      </c>
      <c r="E77" s="1">
        <f>Tabela15[[#This Row],[Força (N)]]/$I$5</f>
        <v>28154.152675451391</v>
      </c>
      <c r="F77" s="1">
        <f>Tabela15[[#This Row],[Tensão (Pa)]]/1000000</f>
        <v>2.8154152675451391E-2</v>
      </c>
    </row>
    <row r="78" spans="1:6" x14ac:dyDescent="0.3">
      <c r="A78" s="13">
        <v>1.4333</v>
      </c>
      <c r="B78" s="13">
        <v>0.11139</v>
      </c>
      <c r="C78" s="1">
        <f>Tabela15[[#This Row],[Alongamento (mm/mm)]]/$I$2</f>
        <v>2.2278000000000003E-3</v>
      </c>
      <c r="D78" s="13">
        <v>1.3608</v>
      </c>
      <c r="E78" s="1">
        <f>Tabela15[[#This Row],[Força (N)]]/$I$5</f>
        <v>28154.152675451391</v>
      </c>
      <c r="F78" s="1">
        <f>Tabela15[[#This Row],[Tensão (Pa)]]/1000000</f>
        <v>2.8154152675451391E-2</v>
      </c>
    </row>
    <row r="79" spans="1:6" x14ac:dyDescent="0.3">
      <c r="A79" s="13">
        <v>1.45</v>
      </c>
      <c r="B79" s="13">
        <v>0.11279</v>
      </c>
      <c r="C79" s="1">
        <f>Tabela15[[#This Row],[Alongamento (mm/mm)]]/$I$2</f>
        <v>2.2558000000000001E-3</v>
      </c>
      <c r="D79" s="13">
        <v>1.5308999999999999</v>
      </c>
      <c r="E79" s="1">
        <f>Tabela15[[#This Row],[Força (N)]]/$I$5</f>
        <v>31673.421759882811</v>
      </c>
      <c r="F79" s="1">
        <f>Tabela15[[#This Row],[Tensão (Pa)]]/1000000</f>
        <v>3.167342175988281E-2</v>
      </c>
    </row>
    <row r="80" spans="1:6" x14ac:dyDescent="0.3">
      <c r="A80" s="13">
        <v>1.4666999999999999</v>
      </c>
      <c r="B80" s="13">
        <v>0.11409</v>
      </c>
      <c r="C80" s="1">
        <f>Tabela15[[#This Row],[Alongamento (mm/mm)]]/$I$2</f>
        <v>2.2818000000000001E-3</v>
      </c>
      <c r="D80" s="13">
        <v>1.5308999999999999</v>
      </c>
      <c r="E80" s="1">
        <f>Tabela15[[#This Row],[Força (N)]]/$I$5</f>
        <v>31673.421759882811</v>
      </c>
      <c r="F80" s="1">
        <f>Tabela15[[#This Row],[Tensão (Pa)]]/1000000</f>
        <v>3.167342175988281E-2</v>
      </c>
    </row>
    <row r="81" spans="1:6" x14ac:dyDescent="0.3">
      <c r="A81" s="13">
        <v>1.4833000000000001</v>
      </c>
      <c r="B81" s="13">
        <v>0.11548</v>
      </c>
      <c r="C81" s="1">
        <f>Tabela15[[#This Row],[Alongamento (mm/mm)]]/$I$2</f>
        <v>2.3096000000000002E-3</v>
      </c>
      <c r="D81" s="13">
        <v>1.5308999999999999</v>
      </c>
      <c r="E81" s="1">
        <f>Tabela15[[#This Row],[Força (N)]]/$I$5</f>
        <v>31673.421759882811</v>
      </c>
      <c r="F81" s="1">
        <f>Tabela15[[#This Row],[Tensão (Pa)]]/1000000</f>
        <v>3.167342175988281E-2</v>
      </c>
    </row>
    <row r="82" spans="1:6" x14ac:dyDescent="0.3">
      <c r="A82" s="13">
        <v>1.5</v>
      </c>
      <c r="B82" s="13">
        <v>0.11697</v>
      </c>
      <c r="C82" s="1">
        <f>Tabela15[[#This Row],[Alongamento (mm/mm)]]/$I$2</f>
        <v>2.3394000000000002E-3</v>
      </c>
      <c r="D82" s="13">
        <v>1.7010000000000001</v>
      </c>
      <c r="E82" s="1">
        <f>Tabela15[[#This Row],[Força (N)]]/$I$5</f>
        <v>35192.690844314238</v>
      </c>
      <c r="F82" s="1">
        <f>Tabela15[[#This Row],[Tensão (Pa)]]/1000000</f>
        <v>3.5192690844314235E-2</v>
      </c>
    </row>
    <row r="83" spans="1:6" x14ac:dyDescent="0.3">
      <c r="A83" s="13">
        <v>1.5166999999999999</v>
      </c>
      <c r="B83" s="13">
        <v>0.11828</v>
      </c>
      <c r="C83" s="1">
        <f>Tabela15[[#This Row],[Alongamento (mm/mm)]]/$I$2</f>
        <v>2.3655999999999998E-3</v>
      </c>
      <c r="D83" s="13">
        <v>1.7010000000000001</v>
      </c>
      <c r="E83" s="1">
        <f>Tabela15[[#This Row],[Força (N)]]/$I$5</f>
        <v>35192.690844314238</v>
      </c>
      <c r="F83" s="1">
        <f>Tabela15[[#This Row],[Tensão (Pa)]]/1000000</f>
        <v>3.5192690844314235E-2</v>
      </c>
    </row>
    <row r="84" spans="1:6" x14ac:dyDescent="0.3">
      <c r="A84" s="13">
        <v>1.5333000000000001</v>
      </c>
      <c r="B84" s="13">
        <v>0.11967</v>
      </c>
      <c r="C84" s="1">
        <f>Tabela15[[#This Row],[Alongamento (mm/mm)]]/$I$2</f>
        <v>2.3934E-3</v>
      </c>
      <c r="D84" s="13">
        <v>1.7010000000000001</v>
      </c>
      <c r="E84" s="1">
        <f>Tabela15[[#This Row],[Força (N)]]/$I$5</f>
        <v>35192.690844314238</v>
      </c>
      <c r="F84" s="1">
        <f>Tabela15[[#This Row],[Tensão (Pa)]]/1000000</f>
        <v>3.5192690844314235E-2</v>
      </c>
    </row>
    <row r="85" spans="1:6" x14ac:dyDescent="0.3">
      <c r="A85" s="13">
        <v>1.55</v>
      </c>
      <c r="B85" s="13">
        <v>0.12107</v>
      </c>
      <c r="C85" s="1">
        <f>Tabela15[[#This Row],[Alongamento (mm/mm)]]/$I$2</f>
        <v>2.4213999999999998E-3</v>
      </c>
      <c r="D85" s="13">
        <v>1.7010000000000001</v>
      </c>
      <c r="E85" s="1">
        <f>Tabela15[[#This Row],[Força (N)]]/$I$5</f>
        <v>35192.690844314238</v>
      </c>
      <c r="F85" s="1">
        <f>Tabela15[[#This Row],[Tensão (Pa)]]/1000000</f>
        <v>3.5192690844314235E-2</v>
      </c>
    </row>
    <row r="86" spans="1:6" x14ac:dyDescent="0.3">
      <c r="A86" s="13">
        <v>1.5667</v>
      </c>
      <c r="B86" s="13">
        <v>0.12256</v>
      </c>
      <c r="C86" s="1">
        <f>Tabela15[[#This Row],[Alongamento (mm/mm)]]/$I$2</f>
        <v>2.4512000000000002E-3</v>
      </c>
      <c r="D86" s="13">
        <v>1.7010000000000001</v>
      </c>
      <c r="E86" s="1">
        <f>Tabela15[[#This Row],[Força (N)]]/$I$5</f>
        <v>35192.690844314238</v>
      </c>
      <c r="F86" s="1">
        <f>Tabela15[[#This Row],[Tensão (Pa)]]/1000000</f>
        <v>3.5192690844314235E-2</v>
      </c>
    </row>
    <row r="87" spans="1:6" x14ac:dyDescent="0.3">
      <c r="A87" s="13">
        <v>1.5832999999999999</v>
      </c>
      <c r="B87" s="13">
        <v>0.12386</v>
      </c>
      <c r="C87" s="1">
        <f>Tabela15[[#This Row],[Alongamento (mm/mm)]]/$I$2</f>
        <v>2.4772000000000001E-3</v>
      </c>
      <c r="D87" s="13">
        <v>1.8711</v>
      </c>
      <c r="E87" s="1">
        <f>Tabela15[[#This Row],[Força (N)]]/$I$5</f>
        <v>38711.959928745659</v>
      </c>
      <c r="F87" s="1">
        <f>Tabela15[[#This Row],[Tensão (Pa)]]/1000000</f>
        <v>3.8711959928745661E-2</v>
      </c>
    </row>
    <row r="88" spans="1:6" x14ac:dyDescent="0.3">
      <c r="A88" s="13">
        <v>1.6</v>
      </c>
      <c r="B88" s="13">
        <v>0.12526000000000001</v>
      </c>
      <c r="C88" s="1">
        <f>Tabela15[[#This Row],[Alongamento (mm/mm)]]/$I$2</f>
        <v>2.5052000000000004E-3</v>
      </c>
      <c r="D88" s="13">
        <v>1.8711</v>
      </c>
      <c r="E88" s="1">
        <f>Tabela15[[#This Row],[Força (N)]]/$I$5</f>
        <v>38711.959928745659</v>
      </c>
      <c r="F88" s="1">
        <f>Tabela15[[#This Row],[Tensão (Pa)]]/1000000</f>
        <v>3.8711959928745661E-2</v>
      </c>
    </row>
    <row r="89" spans="1:6" x14ac:dyDescent="0.3">
      <c r="A89" s="13">
        <v>1.6167</v>
      </c>
      <c r="B89" s="13">
        <v>0.12665000000000001</v>
      </c>
      <c r="C89" s="1">
        <f>Tabela15[[#This Row],[Alongamento (mm/mm)]]/$I$2</f>
        <v>2.5330000000000001E-3</v>
      </c>
      <c r="D89" s="13">
        <v>1.8711</v>
      </c>
      <c r="E89" s="1">
        <f>Tabela15[[#This Row],[Força (N)]]/$I$5</f>
        <v>38711.959928745659</v>
      </c>
      <c r="F89" s="1">
        <f>Tabela15[[#This Row],[Tensão (Pa)]]/1000000</f>
        <v>3.8711959928745661E-2</v>
      </c>
    </row>
    <row r="90" spans="1:6" x14ac:dyDescent="0.3">
      <c r="A90" s="13">
        <v>1.6333</v>
      </c>
      <c r="B90" s="13">
        <v>0.12805</v>
      </c>
      <c r="C90" s="1">
        <f>Tabela15[[#This Row],[Alongamento (mm/mm)]]/$I$2</f>
        <v>2.5609999999999999E-3</v>
      </c>
      <c r="D90" s="13">
        <v>1.8711</v>
      </c>
      <c r="E90" s="1">
        <f>Tabela15[[#This Row],[Força (N)]]/$I$5</f>
        <v>38711.959928745659</v>
      </c>
      <c r="F90" s="1">
        <f>Tabela15[[#This Row],[Tensão (Pa)]]/1000000</f>
        <v>3.8711959928745661E-2</v>
      </c>
    </row>
    <row r="91" spans="1:6" x14ac:dyDescent="0.3">
      <c r="A91" s="13">
        <v>1.65</v>
      </c>
      <c r="B91" s="13">
        <v>0.12934999999999999</v>
      </c>
      <c r="C91" s="1">
        <f>Tabela15[[#This Row],[Alongamento (mm/mm)]]/$I$2</f>
        <v>2.5869999999999999E-3</v>
      </c>
      <c r="D91" s="13">
        <v>1.8711</v>
      </c>
      <c r="E91" s="1">
        <f>Tabela15[[#This Row],[Força (N)]]/$I$5</f>
        <v>38711.959928745659</v>
      </c>
      <c r="F91" s="1">
        <f>Tabela15[[#This Row],[Tensão (Pa)]]/1000000</f>
        <v>3.8711959928745661E-2</v>
      </c>
    </row>
    <row r="92" spans="1:6" x14ac:dyDescent="0.3">
      <c r="A92" s="13">
        <v>1.6667000000000001</v>
      </c>
      <c r="B92" s="13">
        <v>0.13084000000000001</v>
      </c>
      <c r="C92" s="1">
        <f>Tabela15[[#This Row],[Alongamento (mm/mm)]]/$I$2</f>
        <v>2.6168000000000003E-3</v>
      </c>
      <c r="D92" s="13">
        <v>1.8711</v>
      </c>
      <c r="E92" s="1">
        <f>Tabela15[[#This Row],[Força (N)]]/$I$5</f>
        <v>38711.959928745659</v>
      </c>
      <c r="F92" s="1">
        <f>Tabela15[[#This Row],[Tensão (Pa)]]/1000000</f>
        <v>3.8711959928745661E-2</v>
      </c>
    </row>
    <row r="93" spans="1:6" x14ac:dyDescent="0.3">
      <c r="A93" s="13">
        <v>1.6833</v>
      </c>
      <c r="B93" s="13">
        <v>0.13224</v>
      </c>
      <c r="C93" s="1">
        <f>Tabela15[[#This Row],[Alongamento (mm/mm)]]/$I$2</f>
        <v>2.6448000000000001E-3</v>
      </c>
      <c r="D93" s="13">
        <v>1.8711</v>
      </c>
      <c r="E93" s="1">
        <f>Tabela15[[#This Row],[Força (N)]]/$I$5</f>
        <v>38711.959928745659</v>
      </c>
      <c r="F93" s="1">
        <f>Tabela15[[#This Row],[Tensão (Pa)]]/1000000</f>
        <v>3.8711959928745661E-2</v>
      </c>
    </row>
    <row r="94" spans="1:6" x14ac:dyDescent="0.3">
      <c r="A94" s="13">
        <v>1.7</v>
      </c>
      <c r="B94" s="13">
        <v>0.13363</v>
      </c>
      <c r="C94" s="1">
        <f>Tabela15[[#This Row],[Alongamento (mm/mm)]]/$I$2</f>
        <v>2.6725999999999998E-3</v>
      </c>
      <c r="D94" s="13">
        <v>1.8711</v>
      </c>
      <c r="E94" s="1">
        <f>Tabela15[[#This Row],[Força (N)]]/$I$5</f>
        <v>38711.959928745659</v>
      </c>
      <c r="F94" s="1">
        <f>Tabela15[[#This Row],[Tensão (Pa)]]/1000000</f>
        <v>3.8711959928745661E-2</v>
      </c>
    </row>
    <row r="95" spans="1:6" x14ac:dyDescent="0.3">
      <c r="A95" s="13">
        <v>1.7166999999999999</v>
      </c>
      <c r="B95" s="13">
        <v>0.13492999999999999</v>
      </c>
      <c r="C95" s="1">
        <f>Tabela15[[#This Row],[Alongamento (mm/mm)]]/$I$2</f>
        <v>2.6985999999999998E-3</v>
      </c>
      <c r="D95" s="13">
        <v>1.8711</v>
      </c>
      <c r="E95" s="1">
        <f>Tabela15[[#This Row],[Força (N)]]/$I$5</f>
        <v>38711.959928745659</v>
      </c>
      <c r="F95" s="1">
        <f>Tabela15[[#This Row],[Tensão (Pa)]]/1000000</f>
        <v>3.8711959928745661E-2</v>
      </c>
    </row>
    <row r="96" spans="1:6" x14ac:dyDescent="0.3">
      <c r="A96" s="13">
        <v>1.7333000000000001</v>
      </c>
      <c r="B96" s="13">
        <v>0.13642000000000001</v>
      </c>
      <c r="C96" s="1">
        <f>Tabela15[[#This Row],[Alongamento (mm/mm)]]/$I$2</f>
        <v>2.7284000000000002E-3</v>
      </c>
      <c r="D96" s="13">
        <v>1.8711</v>
      </c>
      <c r="E96" s="1">
        <f>Tabela15[[#This Row],[Força (N)]]/$I$5</f>
        <v>38711.959928745659</v>
      </c>
      <c r="F96" s="1">
        <f>Tabela15[[#This Row],[Tensão (Pa)]]/1000000</f>
        <v>3.8711959928745661E-2</v>
      </c>
    </row>
    <row r="97" spans="1:6" x14ac:dyDescent="0.3">
      <c r="A97" s="13">
        <v>1.75</v>
      </c>
      <c r="B97" s="13">
        <v>0.13782</v>
      </c>
      <c r="C97" s="1">
        <f>Tabela15[[#This Row],[Alongamento (mm/mm)]]/$I$2</f>
        <v>2.7564E-3</v>
      </c>
      <c r="D97" s="13">
        <v>1.7010000000000001</v>
      </c>
      <c r="E97" s="1">
        <f>Tabela15[[#This Row],[Força (N)]]/$I$5</f>
        <v>35192.690844314238</v>
      </c>
      <c r="F97" s="1">
        <f>Tabela15[[#This Row],[Tensão (Pa)]]/1000000</f>
        <v>3.5192690844314235E-2</v>
      </c>
    </row>
    <row r="98" spans="1:6" x14ac:dyDescent="0.3">
      <c r="A98" s="13">
        <v>1.7666999999999999</v>
      </c>
      <c r="B98" s="13">
        <v>0.13921</v>
      </c>
      <c r="C98" s="1">
        <f>Tabela15[[#This Row],[Alongamento (mm/mm)]]/$I$2</f>
        <v>2.7842000000000001E-3</v>
      </c>
      <c r="D98" s="13">
        <v>1.7010000000000001</v>
      </c>
      <c r="E98" s="1">
        <f>Tabela15[[#This Row],[Força (N)]]/$I$5</f>
        <v>35192.690844314238</v>
      </c>
      <c r="F98" s="1">
        <f>Tabela15[[#This Row],[Tensão (Pa)]]/1000000</f>
        <v>3.5192690844314235E-2</v>
      </c>
    </row>
    <row r="99" spans="1:6" x14ac:dyDescent="0.3">
      <c r="A99" s="13">
        <v>1.7833000000000001</v>
      </c>
      <c r="B99" s="13">
        <v>0.14052000000000001</v>
      </c>
      <c r="C99" s="1">
        <f>Tabela15[[#This Row],[Alongamento (mm/mm)]]/$I$2</f>
        <v>2.8104000000000002E-3</v>
      </c>
      <c r="D99" s="13">
        <v>1.7010000000000001</v>
      </c>
      <c r="E99" s="1">
        <f>Tabela15[[#This Row],[Força (N)]]/$I$5</f>
        <v>35192.690844314238</v>
      </c>
      <c r="F99" s="1">
        <f>Tabela15[[#This Row],[Tensão (Pa)]]/1000000</f>
        <v>3.5192690844314235E-2</v>
      </c>
    </row>
    <row r="100" spans="1:6" x14ac:dyDescent="0.3">
      <c r="A100" s="13">
        <v>1.8</v>
      </c>
      <c r="B100" s="13">
        <v>0.14191000000000001</v>
      </c>
      <c r="C100" s="1">
        <f>Tabela15[[#This Row],[Alongamento (mm/mm)]]/$I$2</f>
        <v>2.8382000000000004E-3</v>
      </c>
      <c r="D100" s="13">
        <v>1.7010000000000001</v>
      </c>
      <c r="E100" s="1">
        <f>Tabela15[[#This Row],[Força (N)]]/$I$5</f>
        <v>35192.690844314238</v>
      </c>
      <c r="F100" s="1">
        <f>Tabela15[[#This Row],[Tensão (Pa)]]/1000000</f>
        <v>3.5192690844314235E-2</v>
      </c>
    </row>
    <row r="101" spans="1:6" x14ac:dyDescent="0.3">
      <c r="A101" s="13">
        <v>1.8167</v>
      </c>
      <c r="B101" s="13">
        <v>0.1434</v>
      </c>
      <c r="C101" s="1">
        <f>Tabela15[[#This Row],[Alongamento (mm/mm)]]/$I$2</f>
        <v>2.8679999999999999E-3</v>
      </c>
      <c r="D101" s="13">
        <v>1.7010000000000001</v>
      </c>
      <c r="E101" s="1">
        <f>Tabela15[[#This Row],[Força (N)]]/$I$5</f>
        <v>35192.690844314238</v>
      </c>
      <c r="F101" s="1">
        <f>Tabela15[[#This Row],[Tensão (Pa)]]/1000000</f>
        <v>3.5192690844314235E-2</v>
      </c>
    </row>
    <row r="102" spans="1:6" x14ac:dyDescent="0.3">
      <c r="A102" s="13">
        <v>1.8332999999999999</v>
      </c>
      <c r="B102" s="13">
        <v>0.14471000000000001</v>
      </c>
      <c r="C102" s="1">
        <f>Tabela15[[#This Row],[Alongamento (mm/mm)]]/$I$2</f>
        <v>2.8942E-3</v>
      </c>
      <c r="D102" s="13">
        <v>1.7010000000000001</v>
      </c>
      <c r="E102" s="1">
        <f>Tabela15[[#This Row],[Força (N)]]/$I$5</f>
        <v>35192.690844314238</v>
      </c>
      <c r="F102" s="1">
        <f>Tabela15[[#This Row],[Tensão (Pa)]]/1000000</f>
        <v>3.5192690844314235E-2</v>
      </c>
    </row>
    <row r="103" spans="1:6" x14ac:dyDescent="0.3">
      <c r="A103" s="13">
        <v>1.85</v>
      </c>
      <c r="B103" s="13">
        <v>0.14610000000000001</v>
      </c>
      <c r="C103" s="1">
        <f>Tabela15[[#This Row],[Alongamento (mm/mm)]]/$I$2</f>
        <v>2.9220000000000001E-3</v>
      </c>
      <c r="D103" s="13">
        <v>1.7010000000000001</v>
      </c>
      <c r="E103" s="1">
        <f>Tabela15[[#This Row],[Força (N)]]/$I$5</f>
        <v>35192.690844314238</v>
      </c>
      <c r="F103" s="1">
        <f>Tabela15[[#This Row],[Tensão (Pa)]]/1000000</f>
        <v>3.5192690844314235E-2</v>
      </c>
    </row>
    <row r="104" spans="1:6" x14ac:dyDescent="0.3">
      <c r="A104" s="13">
        <v>1.8667</v>
      </c>
      <c r="B104" s="13">
        <v>0.14749999999999999</v>
      </c>
      <c r="C104" s="1">
        <f>Tabela15[[#This Row],[Alongamento (mm/mm)]]/$I$2</f>
        <v>2.9499999999999999E-3</v>
      </c>
      <c r="D104" s="13">
        <v>1.7010000000000001</v>
      </c>
      <c r="E104" s="1">
        <f>Tabela15[[#This Row],[Força (N)]]/$I$5</f>
        <v>35192.690844314238</v>
      </c>
      <c r="F104" s="1">
        <f>Tabela15[[#This Row],[Tensão (Pa)]]/1000000</f>
        <v>3.5192690844314235E-2</v>
      </c>
    </row>
    <row r="105" spans="1:6" x14ac:dyDescent="0.3">
      <c r="A105" s="13">
        <v>1.8833</v>
      </c>
      <c r="B105" s="13">
        <v>0.14888999999999999</v>
      </c>
      <c r="C105" s="1">
        <f>Tabela15[[#This Row],[Alongamento (mm/mm)]]/$I$2</f>
        <v>2.9778000000000001E-3</v>
      </c>
      <c r="D105" s="13">
        <v>1.7010000000000001</v>
      </c>
      <c r="E105" s="1">
        <f>Tabela15[[#This Row],[Força (N)]]/$I$5</f>
        <v>35192.690844314238</v>
      </c>
      <c r="F105" s="1">
        <f>Tabela15[[#This Row],[Tensão (Pa)]]/1000000</f>
        <v>3.5192690844314235E-2</v>
      </c>
    </row>
    <row r="106" spans="1:6" x14ac:dyDescent="0.3">
      <c r="A106" s="13">
        <v>1.9</v>
      </c>
      <c r="B106" s="13">
        <v>0.1502</v>
      </c>
      <c r="C106" s="1">
        <f>Tabela15[[#This Row],[Alongamento (mm/mm)]]/$I$2</f>
        <v>3.0040000000000002E-3</v>
      </c>
      <c r="D106" s="13">
        <v>1.7010000000000001</v>
      </c>
      <c r="E106" s="1">
        <f>Tabela15[[#This Row],[Força (N)]]/$I$5</f>
        <v>35192.690844314238</v>
      </c>
      <c r="F106" s="1">
        <f>Tabela15[[#This Row],[Tensão (Pa)]]/1000000</f>
        <v>3.5192690844314235E-2</v>
      </c>
    </row>
    <row r="107" spans="1:6" x14ac:dyDescent="0.3">
      <c r="A107" s="13">
        <v>1.9167000000000001</v>
      </c>
      <c r="B107" s="13">
        <v>0.15159</v>
      </c>
      <c r="C107" s="1">
        <f>Tabela15[[#This Row],[Alongamento (mm/mm)]]/$I$2</f>
        <v>3.0317999999999999E-3</v>
      </c>
      <c r="D107" s="13">
        <v>1.8711</v>
      </c>
      <c r="E107" s="1">
        <f>Tabela15[[#This Row],[Força (N)]]/$I$5</f>
        <v>38711.959928745659</v>
      </c>
      <c r="F107" s="1">
        <f>Tabela15[[#This Row],[Tensão (Pa)]]/1000000</f>
        <v>3.8711959928745661E-2</v>
      </c>
    </row>
    <row r="108" spans="1:6" x14ac:dyDescent="0.3">
      <c r="A108" s="13">
        <v>1.9333</v>
      </c>
      <c r="B108" s="13">
        <v>0.15307999999999999</v>
      </c>
      <c r="C108" s="1">
        <f>Tabela15[[#This Row],[Alongamento (mm/mm)]]/$I$2</f>
        <v>3.0615999999999998E-3</v>
      </c>
      <c r="D108" s="13">
        <v>1.8711</v>
      </c>
      <c r="E108" s="1">
        <f>Tabela15[[#This Row],[Força (N)]]/$I$5</f>
        <v>38711.959928745659</v>
      </c>
      <c r="F108" s="1">
        <f>Tabela15[[#This Row],[Tensão (Pa)]]/1000000</f>
        <v>3.8711959928745661E-2</v>
      </c>
    </row>
    <row r="109" spans="1:6" x14ac:dyDescent="0.3">
      <c r="A109" s="13">
        <v>1.95</v>
      </c>
      <c r="B109" s="13">
        <v>0.15448000000000001</v>
      </c>
      <c r="C109" s="1">
        <f>Tabela15[[#This Row],[Alongamento (mm/mm)]]/$I$2</f>
        <v>3.0896000000000001E-3</v>
      </c>
      <c r="D109" s="13">
        <v>1.8711</v>
      </c>
      <c r="E109" s="1">
        <f>Tabela15[[#This Row],[Força (N)]]/$I$5</f>
        <v>38711.959928745659</v>
      </c>
      <c r="F109" s="1">
        <f>Tabela15[[#This Row],[Tensão (Pa)]]/1000000</f>
        <v>3.8711959928745661E-2</v>
      </c>
    </row>
    <row r="110" spans="1:6" x14ac:dyDescent="0.3">
      <c r="A110" s="13">
        <v>1.9666999999999999</v>
      </c>
      <c r="B110" s="13">
        <v>0.15578</v>
      </c>
      <c r="C110" s="1">
        <f>Tabela15[[#This Row],[Alongamento (mm/mm)]]/$I$2</f>
        <v>3.1156000000000001E-3</v>
      </c>
      <c r="D110" s="13">
        <v>1.8711</v>
      </c>
      <c r="E110" s="1">
        <f>Tabela15[[#This Row],[Força (N)]]/$I$5</f>
        <v>38711.959928745659</v>
      </c>
      <c r="F110" s="1">
        <f>Tabela15[[#This Row],[Tensão (Pa)]]/1000000</f>
        <v>3.8711959928745661E-2</v>
      </c>
    </row>
    <row r="111" spans="1:6" x14ac:dyDescent="0.3">
      <c r="A111" s="13">
        <v>1.9833000000000001</v>
      </c>
      <c r="B111" s="13">
        <v>0.15717</v>
      </c>
      <c r="C111" s="1">
        <f>Tabela15[[#This Row],[Alongamento (mm/mm)]]/$I$2</f>
        <v>3.1434000000000002E-3</v>
      </c>
      <c r="D111" s="13">
        <v>1.8711</v>
      </c>
      <c r="E111" s="1">
        <f>Tabela15[[#This Row],[Força (N)]]/$I$5</f>
        <v>38711.959928745659</v>
      </c>
      <c r="F111" s="1">
        <f>Tabela15[[#This Row],[Tensão (Pa)]]/1000000</f>
        <v>3.8711959928745661E-2</v>
      </c>
    </row>
    <row r="112" spans="1:6" x14ac:dyDescent="0.3">
      <c r="A112" s="13">
        <v>2</v>
      </c>
      <c r="B112" s="13">
        <v>0.15856999999999999</v>
      </c>
      <c r="C112" s="1">
        <f>Tabela15[[#This Row],[Alongamento (mm/mm)]]/$I$2</f>
        <v>3.1713999999999996E-3</v>
      </c>
      <c r="D112" s="13">
        <v>1.8711</v>
      </c>
      <c r="E112" s="1">
        <f>Tabela15[[#This Row],[Força (N)]]/$I$5</f>
        <v>38711.959928745659</v>
      </c>
      <c r="F112" s="1">
        <f>Tabela15[[#This Row],[Tensão (Pa)]]/1000000</f>
        <v>3.8711959928745661E-2</v>
      </c>
    </row>
    <row r="113" spans="1:6" x14ac:dyDescent="0.3">
      <c r="A113" s="13">
        <v>2.0167000000000002</v>
      </c>
      <c r="B113" s="13">
        <v>0.15997</v>
      </c>
      <c r="C113" s="1">
        <f>Tabela15[[#This Row],[Alongamento (mm/mm)]]/$I$2</f>
        <v>3.1993999999999998E-3</v>
      </c>
      <c r="D113" s="13">
        <v>1.8711</v>
      </c>
      <c r="E113" s="1">
        <f>Tabela15[[#This Row],[Força (N)]]/$I$5</f>
        <v>38711.959928745659</v>
      </c>
      <c r="F113" s="1">
        <f>Tabela15[[#This Row],[Tensão (Pa)]]/1000000</f>
        <v>3.8711959928745661E-2</v>
      </c>
    </row>
    <row r="114" spans="1:6" x14ac:dyDescent="0.3">
      <c r="A114" s="13">
        <v>2.0333000000000001</v>
      </c>
      <c r="B114" s="13">
        <v>0.16136</v>
      </c>
      <c r="C114" s="1">
        <f>Tabela15[[#This Row],[Alongamento (mm/mm)]]/$I$2</f>
        <v>3.2271999999999999E-3</v>
      </c>
      <c r="D114" s="13">
        <v>1.8711</v>
      </c>
      <c r="E114" s="1">
        <f>Tabela15[[#This Row],[Força (N)]]/$I$5</f>
        <v>38711.959928745659</v>
      </c>
      <c r="F114" s="1">
        <f>Tabela15[[#This Row],[Tensão (Pa)]]/1000000</f>
        <v>3.8711959928745661E-2</v>
      </c>
    </row>
    <row r="115" spans="1:6" x14ac:dyDescent="0.3">
      <c r="A115" s="13">
        <v>2.0499999999999998</v>
      </c>
      <c r="B115" s="13">
        <v>0.16275999999999999</v>
      </c>
      <c r="C115" s="1">
        <f>Tabela15[[#This Row],[Alongamento (mm/mm)]]/$I$2</f>
        <v>3.2551999999999998E-3</v>
      </c>
      <c r="D115" s="13">
        <v>2.0411999999999999</v>
      </c>
      <c r="E115" s="1">
        <f>Tabela15[[#This Row],[Força (N)]]/$I$5</f>
        <v>42231.229013177086</v>
      </c>
      <c r="F115" s="1">
        <f>Tabela15[[#This Row],[Tensão (Pa)]]/1000000</f>
        <v>4.2231229013177086E-2</v>
      </c>
    </row>
    <row r="116" spans="1:6" x14ac:dyDescent="0.3">
      <c r="A116" s="13">
        <v>2.0667</v>
      </c>
      <c r="B116" s="13">
        <v>0.16414999999999999</v>
      </c>
      <c r="C116" s="1">
        <f>Tabela15[[#This Row],[Alongamento (mm/mm)]]/$I$2</f>
        <v>3.2829999999999999E-3</v>
      </c>
      <c r="D116" s="13">
        <v>2.0411999999999999</v>
      </c>
      <c r="E116" s="1">
        <f>Tabela15[[#This Row],[Força (N)]]/$I$5</f>
        <v>42231.229013177086</v>
      </c>
      <c r="F116" s="1">
        <f>Tabela15[[#This Row],[Tensão (Pa)]]/1000000</f>
        <v>4.2231229013177086E-2</v>
      </c>
    </row>
    <row r="117" spans="1:6" x14ac:dyDescent="0.3">
      <c r="A117" s="13">
        <v>2.0832999999999999</v>
      </c>
      <c r="B117" s="13">
        <v>0.16546</v>
      </c>
      <c r="C117" s="1">
        <f>Tabela15[[#This Row],[Alongamento (mm/mm)]]/$I$2</f>
        <v>3.3092E-3</v>
      </c>
      <c r="D117" s="13">
        <v>2.0411999999999999</v>
      </c>
      <c r="E117" s="1">
        <f>Tabela15[[#This Row],[Força (N)]]/$I$5</f>
        <v>42231.229013177086</v>
      </c>
      <c r="F117" s="1">
        <f>Tabela15[[#This Row],[Tensão (Pa)]]/1000000</f>
        <v>4.2231229013177086E-2</v>
      </c>
    </row>
    <row r="118" spans="1:6" x14ac:dyDescent="0.3">
      <c r="A118" s="13">
        <v>2.1</v>
      </c>
      <c r="B118" s="13">
        <v>0.16685</v>
      </c>
      <c r="C118" s="1">
        <f>Tabela15[[#This Row],[Alongamento (mm/mm)]]/$I$2</f>
        <v>3.3370000000000001E-3</v>
      </c>
      <c r="D118" s="13">
        <v>2.0411999999999999</v>
      </c>
      <c r="E118" s="1">
        <f>Tabela15[[#This Row],[Força (N)]]/$I$5</f>
        <v>42231.229013177086</v>
      </c>
      <c r="F118" s="1">
        <f>Tabela15[[#This Row],[Tensão (Pa)]]/1000000</f>
        <v>4.2231229013177086E-2</v>
      </c>
    </row>
    <row r="119" spans="1:6" x14ac:dyDescent="0.3">
      <c r="A119" s="13">
        <v>2.1166999999999998</v>
      </c>
      <c r="B119" s="13">
        <v>0.16833999999999999</v>
      </c>
      <c r="C119" s="1">
        <f>Tabela15[[#This Row],[Alongamento (mm/mm)]]/$I$2</f>
        <v>3.3667999999999997E-3</v>
      </c>
      <c r="D119" s="13">
        <v>2.0411999999999999</v>
      </c>
      <c r="E119" s="1">
        <f>Tabela15[[#This Row],[Força (N)]]/$I$5</f>
        <v>42231.229013177086</v>
      </c>
      <c r="F119" s="1">
        <f>Tabela15[[#This Row],[Tensão (Pa)]]/1000000</f>
        <v>4.2231229013177086E-2</v>
      </c>
    </row>
    <row r="120" spans="1:6" x14ac:dyDescent="0.3">
      <c r="A120" s="13">
        <v>2.1333000000000002</v>
      </c>
      <c r="B120" s="13">
        <v>0.16974</v>
      </c>
      <c r="C120" s="1">
        <f>Tabela15[[#This Row],[Alongamento (mm/mm)]]/$I$2</f>
        <v>3.3947999999999999E-3</v>
      </c>
      <c r="D120" s="13">
        <v>2.0411999999999999</v>
      </c>
      <c r="E120" s="1">
        <f>Tabela15[[#This Row],[Força (N)]]/$I$5</f>
        <v>42231.229013177086</v>
      </c>
      <c r="F120" s="1">
        <f>Tabela15[[#This Row],[Tensão (Pa)]]/1000000</f>
        <v>4.2231229013177086E-2</v>
      </c>
    </row>
    <row r="121" spans="1:6" x14ac:dyDescent="0.3">
      <c r="A121" s="13">
        <v>2.15</v>
      </c>
      <c r="B121" s="13">
        <v>0.17104</v>
      </c>
      <c r="C121" s="1">
        <f>Tabela15[[#This Row],[Alongamento (mm/mm)]]/$I$2</f>
        <v>3.4207999999999999E-3</v>
      </c>
      <c r="D121" s="13">
        <v>2.0411999999999999</v>
      </c>
      <c r="E121" s="1">
        <f>Tabela15[[#This Row],[Força (N)]]/$I$5</f>
        <v>42231.229013177086</v>
      </c>
      <c r="F121" s="1">
        <f>Tabela15[[#This Row],[Tensão (Pa)]]/1000000</f>
        <v>4.2231229013177086E-2</v>
      </c>
    </row>
    <row r="122" spans="1:6" x14ac:dyDescent="0.3">
      <c r="A122" s="13">
        <v>2.1667000000000001</v>
      </c>
      <c r="B122" s="13">
        <v>0.17244000000000001</v>
      </c>
      <c r="C122" s="1">
        <f>Tabela15[[#This Row],[Alongamento (mm/mm)]]/$I$2</f>
        <v>3.4488000000000001E-3</v>
      </c>
      <c r="D122" s="13">
        <v>2.0411999999999999</v>
      </c>
      <c r="E122" s="1">
        <f>Tabela15[[#This Row],[Força (N)]]/$I$5</f>
        <v>42231.229013177086</v>
      </c>
      <c r="F122" s="1">
        <f>Tabela15[[#This Row],[Tensão (Pa)]]/1000000</f>
        <v>4.2231229013177086E-2</v>
      </c>
    </row>
    <row r="123" spans="1:6" x14ac:dyDescent="0.3">
      <c r="A123" s="13">
        <v>2.1833</v>
      </c>
      <c r="B123" s="13">
        <v>0.17383000000000001</v>
      </c>
      <c r="C123" s="1">
        <f>Tabela15[[#This Row],[Alongamento (mm/mm)]]/$I$2</f>
        <v>3.4766000000000003E-3</v>
      </c>
      <c r="D123" s="13">
        <v>2.0411999999999999</v>
      </c>
      <c r="E123" s="1">
        <f>Tabela15[[#This Row],[Força (N)]]/$I$5</f>
        <v>42231.229013177086</v>
      </c>
      <c r="F123" s="1">
        <f>Tabela15[[#This Row],[Tensão (Pa)]]/1000000</f>
        <v>4.2231229013177086E-2</v>
      </c>
    </row>
    <row r="124" spans="1:6" x14ac:dyDescent="0.3">
      <c r="A124" s="13">
        <v>2.2000000000000002</v>
      </c>
      <c r="B124" s="13">
        <v>0.17523</v>
      </c>
      <c r="C124" s="1">
        <f>Tabela15[[#This Row],[Alongamento (mm/mm)]]/$I$2</f>
        <v>3.5046000000000001E-3</v>
      </c>
      <c r="D124" s="13">
        <v>2.0411999999999999</v>
      </c>
      <c r="E124" s="1">
        <f>Tabela15[[#This Row],[Força (N)]]/$I$5</f>
        <v>42231.229013177086</v>
      </c>
      <c r="F124" s="1">
        <f>Tabela15[[#This Row],[Tensão (Pa)]]/1000000</f>
        <v>4.2231229013177086E-2</v>
      </c>
    </row>
    <row r="125" spans="1:6" x14ac:dyDescent="0.3">
      <c r="A125" s="13">
        <v>2.2166999999999999</v>
      </c>
      <c r="B125" s="13">
        <v>0.17662</v>
      </c>
      <c r="C125" s="1">
        <f>Tabela15[[#This Row],[Alongamento (mm/mm)]]/$I$2</f>
        <v>3.5323999999999998E-3</v>
      </c>
      <c r="D125" s="13">
        <v>2.0411999999999999</v>
      </c>
      <c r="E125" s="1">
        <f>Tabela15[[#This Row],[Força (N)]]/$I$5</f>
        <v>42231.229013177086</v>
      </c>
      <c r="F125" s="1">
        <f>Tabela15[[#This Row],[Tensão (Pa)]]/1000000</f>
        <v>4.2231229013177086E-2</v>
      </c>
    </row>
    <row r="126" spans="1:6" x14ac:dyDescent="0.3">
      <c r="A126" s="13">
        <v>2.2332999999999998</v>
      </c>
      <c r="B126" s="13">
        <v>0.17802000000000001</v>
      </c>
      <c r="C126" s="1">
        <f>Tabela15[[#This Row],[Alongamento (mm/mm)]]/$I$2</f>
        <v>3.5604E-3</v>
      </c>
      <c r="D126" s="13">
        <v>2.0411999999999999</v>
      </c>
      <c r="E126" s="1">
        <f>Tabela15[[#This Row],[Força (N)]]/$I$5</f>
        <v>42231.229013177086</v>
      </c>
      <c r="F126" s="1">
        <f>Tabela15[[#This Row],[Tensão (Pa)]]/1000000</f>
        <v>4.2231229013177086E-2</v>
      </c>
    </row>
    <row r="127" spans="1:6" x14ac:dyDescent="0.3">
      <c r="A127" s="13">
        <v>2.25</v>
      </c>
      <c r="B127" s="13">
        <v>0.17942</v>
      </c>
      <c r="C127" s="1">
        <f>Tabela15[[#This Row],[Alongamento (mm/mm)]]/$I$2</f>
        <v>3.5883999999999998E-3</v>
      </c>
      <c r="D127" s="13">
        <v>2.0411999999999999</v>
      </c>
      <c r="E127" s="1">
        <f>Tabela15[[#This Row],[Força (N)]]/$I$5</f>
        <v>42231.229013177086</v>
      </c>
      <c r="F127" s="1">
        <f>Tabela15[[#This Row],[Tensão (Pa)]]/1000000</f>
        <v>4.2231229013177086E-2</v>
      </c>
    </row>
    <row r="128" spans="1:6" x14ac:dyDescent="0.3">
      <c r="A128" s="13">
        <v>2.2667000000000002</v>
      </c>
      <c r="B128" s="13">
        <v>0.18081</v>
      </c>
      <c r="C128" s="1">
        <f>Tabela15[[#This Row],[Alongamento (mm/mm)]]/$I$2</f>
        <v>3.6162E-3</v>
      </c>
      <c r="D128" s="13">
        <v>2.2113</v>
      </c>
      <c r="E128" s="1">
        <f>Tabela15[[#This Row],[Força (N)]]/$I$5</f>
        <v>45750.498097608513</v>
      </c>
      <c r="F128" s="1">
        <f>Tabela15[[#This Row],[Tensão (Pa)]]/1000000</f>
        <v>4.5750498097608512E-2</v>
      </c>
    </row>
    <row r="129" spans="1:6" x14ac:dyDescent="0.3">
      <c r="A129" s="13">
        <v>2.2833000000000001</v>
      </c>
      <c r="B129" s="13">
        <v>0.18221000000000001</v>
      </c>
      <c r="C129" s="1">
        <f>Tabela15[[#This Row],[Alongamento (mm/mm)]]/$I$2</f>
        <v>3.6442000000000002E-3</v>
      </c>
      <c r="D129" s="13">
        <v>2.2113</v>
      </c>
      <c r="E129" s="1">
        <f>Tabela15[[#This Row],[Força (N)]]/$I$5</f>
        <v>45750.498097608513</v>
      </c>
      <c r="F129" s="1">
        <f>Tabela15[[#This Row],[Tensão (Pa)]]/1000000</f>
        <v>4.5750498097608512E-2</v>
      </c>
    </row>
    <row r="130" spans="1:6" x14ac:dyDescent="0.3">
      <c r="A130" s="13">
        <v>2.2999999999999998</v>
      </c>
      <c r="B130" s="13">
        <v>0.18360000000000001</v>
      </c>
      <c r="C130" s="1">
        <f>Tabela15[[#This Row],[Alongamento (mm/mm)]]/$I$2</f>
        <v>3.6720000000000004E-3</v>
      </c>
      <c r="D130" s="13">
        <v>2.2113</v>
      </c>
      <c r="E130" s="1">
        <f>Tabela15[[#This Row],[Força (N)]]/$I$5</f>
        <v>45750.498097608513</v>
      </c>
      <c r="F130" s="1">
        <f>Tabela15[[#This Row],[Tensão (Pa)]]/1000000</f>
        <v>4.5750498097608512E-2</v>
      </c>
    </row>
    <row r="131" spans="1:6" x14ac:dyDescent="0.3">
      <c r="A131" s="13">
        <v>2.3167</v>
      </c>
      <c r="B131" s="13">
        <v>0.18509</v>
      </c>
      <c r="C131" s="1">
        <f>Tabela15[[#This Row],[Alongamento (mm/mm)]]/$I$2</f>
        <v>3.7017999999999999E-3</v>
      </c>
      <c r="D131" s="13">
        <v>2.2113</v>
      </c>
      <c r="E131" s="1">
        <f>Tabela15[[#This Row],[Força (N)]]/$I$5</f>
        <v>45750.498097608513</v>
      </c>
      <c r="F131" s="1">
        <f>Tabela15[[#This Row],[Tensão (Pa)]]/1000000</f>
        <v>4.5750498097608512E-2</v>
      </c>
    </row>
    <row r="132" spans="1:6" x14ac:dyDescent="0.3">
      <c r="A132" s="13">
        <v>2.35</v>
      </c>
      <c r="B132" s="13">
        <v>0.18779000000000001</v>
      </c>
      <c r="C132" s="1">
        <f>Tabela15[[#This Row],[Alongamento (mm/mm)]]/$I$2</f>
        <v>3.7558000000000001E-3</v>
      </c>
      <c r="D132" s="13">
        <v>2.2113</v>
      </c>
      <c r="E132" s="1">
        <f>Tabela15[[#This Row],[Força (N)]]/$I$5</f>
        <v>45750.498097608513</v>
      </c>
      <c r="F132" s="1">
        <f>Tabela15[[#This Row],[Tensão (Pa)]]/1000000</f>
        <v>4.5750498097608512E-2</v>
      </c>
    </row>
    <row r="133" spans="1:6" x14ac:dyDescent="0.3">
      <c r="A133" s="13">
        <v>2.3666999999999998</v>
      </c>
      <c r="B133" s="13">
        <v>0.18919</v>
      </c>
      <c r="C133" s="1">
        <f>Tabela15[[#This Row],[Alongamento (mm/mm)]]/$I$2</f>
        <v>3.7837999999999999E-3</v>
      </c>
      <c r="D133" s="13">
        <v>2.3814000000000002</v>
      </c>
      <c r="E133" s="1">
        <f>Tabela15[[#This Row],[Força (N)]]/$I$5</f>
        <v>49269.767182039934</v>
      </c>
      <c r="F133" s="1">
        <f>Tabela15[[#This Row],[Tensão (Pa)]]/1000000</f>
        <v>4.9269767182039931E-2</v>
      </c>
    </row>
    <row r="134" spans="1:6" x14ac:dyDescent="0.3">
      <c r="A134" s="13">
        <v>2.3833000000000002</v>
      </c>
      <c r="B134" s="13">
        <v>0.19058</v>
      </c>
      <c r="C134" s="1">
        <f>Tabela15[[#This Row],[Alongamento (mm/mm)]]/$I$2</f>
        <v>3.8116000000000001E-3</v>
      </c>
      <c r="D134" s="13">
        <v>2.3814000000000002</v>
      </c>
      <c r="E134" s="1">
        <f>Tabela15[[#This Row],[Força (N)]]/$I$5</f>
        <v>49269.767182039934</v>
      </c>
      <c r="F134" s="1">
        <f>Tabela15[[#This Row],[Tensão (Pa)]]/1000000</f>
        <v>4.9269767182039931E-2</v>
      </c>
    </row>
    <row r="135" spans="1:6" x14ac:dyDescent="0.3">
      <c r="A135" s="13">
        <v>2.4167000000000001</v>
      </c>
      <c r="B135" s="13">
        <v>0.19336999999999999</v>
      </c>
      <c r="C135" s="1">
        <f>Tabela15[[#This Row],[Alongamento (mm/mm)]]/$I$2</f>
        <v>3.8673999999999996E-3</v>
      </c>
      <c r="D135" s="13">
        <v>2.2113</v>
      </c>
      <c r="E135" s="1">
        <f>Tabela15[[#This Row],[Força (N)]]/$I$5</f>
        <v>45750.498097608513</v>
      </c>
      <c r="F135" s="1">
        <f>Tabela15[[#This Row],[Tensão (Pa)]]/1000000</f>
        <v>4.5750498097608512E-2</v>
      </c>
    </row>
    <row r="136" spans="1:6" x14ac:dyDescent="0.3">
      <c r="A136" s="13">
        <v>2.4500000000000002</v>
      </c>
      <c r="B136" s="13">
        <v>0.19606999999999999</v>
      </c>
      <c r="C136" s="1">
        <f>Tabela15[[#This Row],[Alongamento (mm/mm)]]/$I$2</f>
        <v>3.9214000000000002E-3</v>
      </c>
      <c r="D136" s="13">
        <v>2.2113</v>
      </c>
      <c r="E136" s="1">
        <f>Tabela15[[#This Row],[Força (N)]]/$I$5</f>
        <v>45750.498097608513</v>
      </c>
      <c r="F136" s="1">
        <f>Tabela15[[#This Row],[Tensão (Pa)]]/1000000</f>
        <v>4.5750498097608512E-2</v>
      </c>
    </row>
    <row r="137" spans="1:6" x14ac:dyDescent="0.3">
      <c r="A137" s="13">
        <v>2.4832999999999998</v>
      </c>
      <c r="B137" s="13">
        <v>0.19886000000000001</v>
      </c>
      <c r="C137" s="1">
        <f>Tabela15[[#This Row],[Alongamento (mm/mm)]]/$I$2</f>
        <v>3.9772000000000002E-3</v>
      </c>
      <c r="D137" s="13">
        <v>2.3814000000000002</v>
      </c>
      <c r="E137" s="1">
        <f>Tabela15[[#This Row],[Força (N)]]/$I$5</f>
        <v>49269.767182039934</v>
      </c>
      <c r="F137" s="1">
        <f>Tabela15[[#This Row],[Tensão (Pa)]]/1000000</f>
        <v>4.9269767182039931E-2</v>
      </c>
    </row>
    <row r="138" spans="1:6" x14ac:dyDescent="0.3">
      <c r="A138" s="13">
        <v>2.5167000000000002</v>
      </c>
      <c r="B138" s="13">
        <v>0.20166000000000001</v>
      </c>
      <c r="C138" s="1">
        <f>Tabela15[[#This Row],[Alongamento (mm/mm)]]/$I$2</f>
        <v>4.0331999999999998E-3</v>
      </c>
      <c r="D138" s="13">
        <v>2.3814000000000002</v>
      </c>
      <c r="E138" s="1">
        <f>Tabela15[[#This Row],[Força (N)]]/$I$5</f>
        <v>49269.767182039934</v>
      </c>
      <c r="F138" s="1">
        <f>Tabela15[[#This Row],[Tensão (Pa)]]/1000000</f>
        <v>4.9269767182039931E-2</v>
      </c>
    </row>
    <row r="139" spans="1:6" x14ac:dyDescent="0.3">
      <c r="A139" s="13">
        <v>2.5499999999999998</v>
      </c>
      <c r="B139" s="13">
        <v>0.20444999999999999</v>
      </c>
      <c r="C139" s="1">
        <f>Tabela15[[#This Row],[Alongamento (mm/mm)]]/$I$2</f>
        <v>4.0889999999999998E-3</v>
      </c>
      <c r="D139" s="13">
        <v>2.5514999999999999</v>
      </c>
      <c r="E139" s="1">
        <f>Tabela15[[#This Row],[Força (N)]]/$I$5</f>
        <v>52789.036266471354</v>
      </c>
      <c r="F139" s="1">
        <f>Tabela15[[#This Row],[Tensão (Pa)]]/1000000</f>
        <v>5.2789036266471356E-2</v>
      </c>
    </row>
    <row r="140" spans="1:6" x14ac:dyDescent="0.3">
      <c r="A140" s="13">
        <v>2.5832999999999999</v>
      </c>
      <c r="B140" s="13">
        <v>0.20715</v>
      </c>
      <c r="C140" s="1">
        <f>Tabela15[[#This Row],[Alongamento (mm/mm)]]/$I$2</f>
        <v>4.143E-3</v>
      </c>
      <c r="D140" s="13">
        <v>2.5514999999999999</v>
      </c>
      <c r="E140" s="1">
        <f>Tabela15[[#This Row],[Força (N)]]/$I$5</f>
        <v>52789.036266471354</v>
      </c>
      <c r="F140" s="1">
        <f>Tabela15[[#This Row],[Tensão (Pa)]]/1000000</f>
        <v>5.2789036266471356E-2</v>
      </c>
    </row>
    <row r="141" spans="1:6" x14ac:dyDescent="0.3">
      <c r="A141" s="13">
        <v>2.6166999999999998</v>
      </c>
      <c r="B141" s="13">
        <v>0.21002999999999999</v>
      </c>
      <c r="C141" s="1">
        <f>Tabela15[[#This Row],[Alongamento (mm/mm)]]/$I$2</f>
        <v>4.2005999999999996E-3</v>
      </c>
      <c r="D141" s="13">
        <v>2.5514999999999999</v>
      </c>
      <c r="E141" s="1">
        <f>Tabela15[[#This Row],[Força (N)]]/$I$5</f>
        <v>52789.036266471354</v>
      </c>
      <c r="F141" s="1">
        <f>Tabela15[[#This Row],[Tensão (Pa)]]/1000000</f>
        <v>5.2789036266471356E-2</v>
      </c>
    </row>
    <row r="142" spans="1:6" x14ac:dyDescent="0.3">
      <c r="A142" s="13">
        <v>2.65</v>
      </c>
      <c r="B142" s="13">
        <v>0.21273</v>
      </c>
      <c r="C142" s="1">
        <f>Tabela15[[#This Row],[Alongamento (mm/mm)]]/$I$2</f>
        <v>4.2545999999999999E-3</v>
      </c>
      <c r="D142" s="13">
        <v>2.5514999999999999</v>
      </c>
      <c r="E142" s="1">
        <f>Tabela15[[#This Row],[Força (N)]]/$I$5</f>
        <v>52789.036266471354</v>
      </c>
      <c r="F142" s="1">
        <f>Tabela15[[#This Row],[Tensão (Pa)]]/1000000</f>
        <v>5.2789036266471356E-2</v>
      </c>
    </row>
    <row r="143" spans="1:6" x14ac:dyDescent="0.3">
      <c r="A143" s="13">
        <v>2.6833</v>
      </c>
      <c r="B143" s="13">
        <v>0.21562000000000001</v>
      </c>
      <c r="C143" s="1">
        <f>Tabela15[[#This Row],[Alongamento (mm/mm)]]/$I$2</f>
        <v>4.3124000000000001E-3</v>
      </c>
      <c r="D143" s="13">
        <v>2.7216</v>
      </c>
      <c r="E143" s="1">
        <f>Tabela15[[#This Row],[Força (N)]]/$I$5</f>
        <v>56308.305350902781</v>
      </c>
      <c r="F143" s="1">
        <f>Tabela15[[#This Row],[Tensão (Pa)]]/1000000</f>
        <v>5.6308305350902782E-2</v>
      </c>
    </row>
    <row r="144" spans="1:6" x14ac:dyDescent="0.3">
      <c r="A144" s="13">
        <v>2.7166999999999999</v>
      </c>
      <c r="B144" s="13">
        <v>0.21831</v>
      </c>
      <c r="C144" s="1">
        <f>Tabela15[[#This Row],[Alongamento (mm/mm)]]/$I$2</f>
        <v>4.3661999999999998E-3</v>
      </c>
      <c r="D144" s="13">
        <v>2.8917000000000002</v>
      </c>
      <c r="E144" s="1">
        <f>Tabela15[[#This Row],[Força (N)]]/$I$5</f>
        <v>59827.574435334209</v>
      </c>
      <c r="F144" s="1">
        <f>Tabela15[[#This Row],[Tensão (Pa)]]/1000000</f>
        <v>5.9827574435334208E-2</v>
      </c>
    </row>
    <row r="145" spans="1:6" x14ac:dyDescent="0.3">
      <c r="A145" s="13">
        <v>2.75</v>
      </c>
      <c r="B145" s="13">
        <v>0.22111</v>
      </c>
      <c r="C145" s="1">
        <f>Tabela15[[#This Row],[Alongamento (mm/mm)]]/$I$2</f>
        <v>4.4222000000000003E-3</v>
      </c>
      <c r="D145" s="13">
        <v>2.7216</v>
      </c>
      <c r="E145" s="1">
        <f>Tabela15[[#This Row],[Força (N)]]/$I$5</f>
        <v>56308.305350902781</v>
      </c>
      <c r="F145" s="1">
        <f>Tabela15[[#This Row],[Tensão (Pa)]]/1000000</f>
        <v>5.6308305350902782E-2</v>
      </c>
    </row>
    <row r="146" spans="1:6" x14ac:dyDescent="0.3">
      <c r="A146" s="13">
        <v>2.7833000000000001</v>
      </c>
      <c r="B146" s="13">
        <v>0.22389999999999999</v>
      </c>
      <c r="C146" s="1">
        <f>Tabela15[[#This Row],[Alongamento (mm/mm)]]/$I$2</f>
        <v>4.4779999999999993E-3</v>
      </c>
      <c r="D146" s="13">
        <v>2.7216</v>
      </c>
      <c r="E146" s="1">
        <f>Tabela15[[#This Row],[Força (N)]]/$I$5</f>
        <v>56308.305350902781</v>
      </c>
      <c r="F146" s="1">
        <f>Tabela15[[#This Row],[Tensão (Pa)]]/1000000</f>
        <v>5.6308305350902782E-2</v>
      </c>
    </row>
    <row r="147" spans="1:6" x14ac:dyDescent="0.3">
      <c r="A147" s="13">
        <v>2.8167</v>
      </c>
      <c r="B147" s="13">
        <v>0.22669</v>
      </c>
      <c r="C147" s="1">
        <f>Tabela15[[#This Row],[Alongamento (mm/mm)]]/$I$2</f>
        <v>4.5338000000000002E-3</v>
      </c>
      <c r="D147" s="13">
        <v>2.7216</v>
      </c>
      <c r="E147" s="1">
        <f>Tabela15[[#This Row],[Força (N)]]/$I$5</f>
        <v>56308.305350902781</v>
      </c>
      <c r="F147" s="1">
        <f>Tabela15[[#This Row],[Tensão (Pa)]]/1000000</f>
        <v>5.6308305350902782E-2</v>
      </c>
    </row>
    <row r="148" spans="1:6" x14ac:dyDescent="0.3">
      <c r="A148" s="13">
        <v>2.85</v>
      </c>
      <c r="B148" s="13">
        <v>0.22939000000000001</v>
      </c>
      <c r="C148" s="1">
        <f>Tabela15[[#This Row],[Alongamento (mm/mm)]]/$I$2</f>
        <v>4.5878000000000004E-3</v>
      </c>
      <c r="D148" s="13">
        <v>2.7216</v>
      </c>
      <c r="E148" s="1">
        <f>Tabela15[[#This Row],[Força (N)]]/$I$5</f>
        <v>56308.305350902781</v>
      </c>
      <c r="F148" s="1">
        <f>Tabela15[[#This Row],[Tensão (Pa)]]/1000000</f>
        <v>5.6308305350902782E-2</v>
      </c>
    </row>
    <row r="149" spans="1:6" x14ac:dyDescent="0.3">
      <c r="A149" s="13">
        <v>2.8833000000000002</v>
      </c>
      <c r="B149" s="13">
        <v>0.23227</v>
      </c>
      <c r="C149" s="1">
        <f>Tabela15[[#This Row],[Alongamento (mm/mm)]]/$I$2</f>
        <v>4.6454000000000001E-3</v>
      </c>
      <c r="D149" s="13">
        <v>2.7216</v>
      </c>
      <c r="E149" s="1">
        <f>Tabela15[[#This Row],[Força (N)]]/$I$5</f>
        <v>56308.305350902781</v>
      </c>
      <c r="F149" s="1">
        <f>Tabela15[[#This Row],[Tensão (Pa)]]/1000000</f>
        <v>5.6308305350902782E-2</v>
      </c>
    </row>
    <row r="150" spans="1:6" x14ac:dyDescent="0.3">
      <c r="A150" s="13">
        <v>2.9167000000000001</v>
      </c>
      <c r="B150" s="13">
        <v>0.23497000000000001</v>
      </c>
      <c r="C150" s="1">
        <f>Tabela15[[#This Row],[Alongamento (mm/mm)]]/$I$2</f>
        <v>4.6994000000000003E-3</v>
      </c>
      <c r="D150" s="13">
        <v>2.8917000000000002</v>
      </c>
      <c r="E150" s="1">
        <f>Tabela15[[#This Row],[Força (N)]]/$I$5</f>
        <v>59827.574435334209</v>
      </c>
      <c r="F150" s="1">
        <f>Tabela15[[#This Row],[Tensão (Pa)]]/1000000</f>
        <v>5.9827574435334208E-2</v>
      </c>
    </row>
    <row r="151" spans="1:6" x14ac:dyDescent="0.3">
      <c r="A151" s="13">
        <v>2.95</v>
      </c>
      <c r="B151" s="13">
        <v>0.23776</v>
      </c>
      <c r="C151" s="1">
        <f>Tabela15[[#This Row],[Alongamento (mm/mm)]]/$I$2</f>
        <v>4.7552000000000002E-3</v>
      </c>
      <c r="D151" s="13">
        <v>2.8917000000000002</v>
      </c>
      <c r="E151" s="1">
        <f>Tabela15[[#This Row],[Força (N)]]/$I$5</f>
        <v>59827.574435334209</v>
      </c>
      <c r="F151" s="1">
        <f>Tabela15[[#This Row],[Tensão (Pa)]]/1000000</f>
        <v>5.9827574435334208E-2</v>
      </c>
    </row>
    <row r="152" spans="1:6" x14ac:dyDescent="0.3">
      <c r="A152" s="13">
        <v>2.9832999999999998</v>
      </c>
      <c r="B152" s="13">
        <v>0.24055000000000001</v>
      </c>
      <c r="C152" s="1">
        <f>Tabela15[[#This Row],[Alongamento (mm/mm)]]/$I$2</f>
        <v>4.8110000000000002E-3</v>
      </c>
      <c r="D152" s="13">
        <v>2.8917000000000002</v>
      </c>
      <c r="E152" s="1">
        <f>Tabela15[[#This Row],[Força (N)]]/$I$5</f>
        <v>59827.574435334209</v>
      </c>
      <c r="F152" s="1">
        <f>Tabela15[[#This Row],[Tensão (Pa)]]/1000000</f>
        <v>5.9827574435334208E-2</v>
      </c>
    </row>
    <row r="153" spans="1:6" x14ac:dyDescent="0.3">
      <c r="A153" s="13">
        <v>3.0167000000000002</v>
      </c>
      <c r="B153" s="13">
        <v>0.24324999999999999</v>
      </c>
      <c r="C153" s="1">
        <f>Tabela15[[#This Row],[Alongamento (mm/mm)]]/$I$2</f>
        <v>4.8649999999999995E-3</v>
      </c>
      <c r="D153" s="13">
        <v>3.0617999999999999</v>
      </c>
      <c r="E153" s="1">
        <f>Tabela15[[#This Row],[Força (N)]]/$I$5</f>
        <v>63346.843519765622</v>
      </c>
      <c r="F153" s="1">
        <f>Tabela15[[#This Row],[Tensão (Pa)]]/1000000</f>
        <v>6.3346843519765619E-2</v>
      </c>
    </row>
    <row r="154" spans="1:6" x14ac:dyDescent="0.3">
      <c r="A154" s="13">
        <v>3.05</v>
      </c>
      <c r="B154" s="13">
        <v>0.24614</v>
      </c>
      <c r="C154" s="1">
        <f>Tabela15[[#This Row],[Alongamento (mm/mm)]]/$I$2</f>
        <v>4.9227999999999997E-3</v>
      </c>
      <c r="D154" s="13">
        <v>3.0617999999999999</v>
      </c>
      <c r="E154" s="1">
        <f>Tabela15[[#This Row],[Força (N)]]/$I$5</f>
        <v>63346.843519765622</v>
      </c>
      <c r="F154" s="1">
        <f>Tabela15[[#This Row],[Tensão (Pa)]]/1000000</f>
        <v>6.3346843519765619E-2</v>
      </c>
    </row>
    <row r="155" spans="1:6" x14ac:dyDescent="0.3">
      <c r="A155" s="13">
        <v>3.0832999999999999</v>
      </c>
      <c r="B155" s="13">
        <v>0.24884000000000001</v>
      </c>
      <c r="C155" s="1">
        <f>Tabela15[[#This Row],[Alongamento (mm/mm)]]/$I$2</f>
        <v>4.9768E-3</v>
      </c>
      <c r="D155" s="13">
        <v>3.2319</v>
      </c>
      <c r="E155" s="1">
        <f>Tabela15[[#This Row],[Força (N)]]/$I$5</f>
        <v>66866.112604197056</v>
      </c>
      <c r="F155" s="1">
        <f>Tabela15[[#This Row],[Tensão (Pa)]]/1000000</f>
        <v>6.6866112604197059E-2</v>
      </c>
    </row>
    <row r="156" spans="1:6" x14ac:dyDescent="0.3">
      <c r="A156" s="13">
        <v>3.1166999999999998</v>
      </c>
      <c r="B156" s="13">
        <v>0.25163000000000002</v>
      </c>
      <c r="C156" s="1">
        <f>Tabela15[[#This Row],[Alongamento (mm/mm)]]/$I$2</f>
        <v>5.0326000000000008E-3</v>
      </c>
      <c r="D156" s="13">
        <v>3.4020000000000001</v>
      </c>
      <c r="E156" s="1">
        <f>Tabela15[[#This Row],[Força (N)]]/$I$5</f>
        <v>70385.381688628477</v>
      </c>
      <c r="F156" s="1">
        <f>Tabela15[[#This Row],[Tensão (Pa)]]/1000000</f>
        <v>7.0385381688628471E-2</v>
      </c>
    </row>
    <row r="157" spans="1:6" x14ac:dyDescent="0.3">
      <c r="A157" s="13">
        <v>3.15</v>
      </c>
      <c r="B157" s="13">
        <v>0.25441999999999998</v>
      </c>
      <c r="C157" s="1">
        <f>Tabela15[[#This Row],[Alongamento (mm/mm)]]/$I$2</f>
        <v>5.0883999999999999E-3</v>
      </c>
      <c r="D157" s="13">
        <v>3.4020000000000001</v>
      </c>
      <c r="E157" s="1">
        <f>Tabela15[[#This Row],[Força (N)]]/$I$5</f>
        <v>70385.381688628477</v>
      </c>
      <c r="F157" s="1">
        <f>Tabela15[[#This Row],[Tensão (Pa)]]/1000000</f>
        <v>7.0385381688628471E-2</v>
      </c>
    </row>
    <row r="158" spans="1:6" x14ac:dyDescent="0.3">
      <c r="A158" s="13">
        <v>3.1833</v>
      </c>
      <c r="B158" s="13">
        <v>0.25720999999999999</v>
      </c>
      <c r="C158" s="1">
        <f>Tabela15[[#This Row],[Alongamento (mm/mm)]]/$I$2</f>
        <v>5.1441999999999998E-3</v>
      </c>
      <c r="D158" s="13">
        <v>3.4020000000000001</v>
      </c>
      <c r="E158" s="1">
        <f>Tabela15[[#This Row],[Força (N)]]/$I$5</f>
        <v>70385.381688628477</v>
      </c>
      <c r="F158" s="1">
        <f>Tabela15[[#This Row],[Tensão (Pa)]]/1000000</f>
        <v>7.0385381688628471E-2</v>
      </c>
    </row>
    <row r="159" spans="1:6" x14ac:dyDescent="0.3">
      <c r="A159" s="13">
        <v>3.2166999999999999</v>
      </c>
      <c r="B159" s="13">
        <v>0.25990999999999997</v>
      </c>
      <c r="C159" s="1">
        <f>Tabela15[[#This Row],[Alongamento (mm/mm)]]/$I$2</f>
        <v>5.1981999999999992E-3</v>
      </c>
      <c r="D159" s="13">
        <v>3.4020000000000001</v>
      </c>
      <c r="E159" s="1">
        <f>Tabela15[[#This Row],[Força (N)]]/$I$5</f>
        <v>70385.381688628477</v>
      </c>
      <c r="F159" s="1">
        <f>Tabela15[[#This Row],[Tensão (Pa)]]/1000000</f>
        <v>7.0385381688628471E-2</v>
      </c>
    </row>
    <row r="160" spans="1:6" x14ac:dyDescent="0.3">
      <c r="A160" s="13">
        <v>3.25</v>
      </c>
      <c r="B160" s="13">
        <v>0.26279999999999998</v>
      </c>
      <c r="C160" s="1">
        <f>Tabela15[[#This Row],[Alongamento (mm/mm)]]/$I$2</f>
        <v>5.2559999999999994E-3</v>
      </c>
      <c r="D160" s="13">
        <v>3.4020000000000001</v>
      </c>
      <c r="E160" s="1">
        <f>Tabela15[[#This Row],[Força (N)]]/$I$5</f>
        <v>70385.381688628477</v>
      </c>
      <c r="F160" s="1">
        <f>Tabela15[[#This Row],[Tensão (Pa)]]/1000000</f>
        <v>7.0385381688628471E-2</v>
      </c>
    </row>
    <row r="161" spans="1:6" x14ac:dyDescent="0.3">
      <c r="A161" s="13">
        <v>3.2833000000000001</v>
      </c>
      <c r="B161" s="13">
        <v>0.26549</v>
      </c>
      <c r="C161" s="1">
        <f>Tabela15[[#This Row],[Alongamento (mm/mm)]]/$I$2</f>
        <v>5.3097999999999999E-3</v>
      </c>
      <c r="D161" s="13">
        <v>3.4020000000000001</v>
      </c>
      <c r="E161" s="1">
        <f>Tabela15[[#This Row],[Força (N)]]/$I$5</f>
        <v>70385.381688628477</v>
      </c>
      <c r="F161" s="1">
        <f>Tabela15[[#This Row],[Tensão (Pa)]]/1000000</f>
        <v>7.0385381688628471E-2</v>
      </c>
    </row>
    <row r="162" spans="1:6" x14ac:dyDescent="0.3">
      <c r="A162" s="13">
        <v>3.3167</v>
      </c>
      <c r="B162" s="13">
        <v>0.26828999999999997</v>
      </c>
      <c r="C162" s="1">
        <f>Tabela15[[#This Row],[Alongamento (mm/mm)]]/$I$2</f>
        <v>5.3657999999999996E-3</v>
      </c>
      <c r="D162" s="13">
        <v>3.4020000000000001</v>
      </c>
      <c r="E162" s="1">
        <f>Tabela15[[#This Row],[Força (N)]]/$I$5</f>
        <v>70385.381688628477</v>
      </c>
      <c r="F162" s="1">
        <f>Tabela15[[#This Row],[Tensão (Pa)]]/1000000</f>
        <v>7.0385381688628471E-2</v>
      </c>
    </row>
    <row r="163" spans="1:6" x14ac:dyDescent="0.3">
      <c r="A163" s="13">
        <v>3.35</v>
      </c>
      <c r="B163" s="13">
        <v>0.27107999999999999</v>
      </c>
      <c r="C163" s="1">
        <f>Tabela15[[#This Row],[Alongamento (mm/mm)]]/$I$2</f>
        <v>5.4215999999999995E-3</v>
      </c>
      <c r="D163" s="13">
        <v>3.4020000000000001</v>
      </c>
      <c r="E163" s="1">
        <f>Tabela15[[#This Row],[Força (N)]]/$I$5</f>
        <v>70385.381688628477</v>
      </c>
      <c r="F163" s="1">
        <f>Tabela15[[#This Row],[Tensão (Pa)]]/1000000</f>
        <v>7.0385381688628471E-2</v>
      </c>
    </row>
    <row r="164" spans="1:6" x14ac:dyDescent="0.3">
      <c r="A164" s="13">
        <v>3.3833000000000002</v>
      </c>
      <c r="B164" s="13">
        <v>0.27387</v>
      </c>
      <c r="C164" s="1">
        <f>Tabela15[[#This Row],[Alongamento (mm/mm)]]/$I$2</f>
        <v>5.4774000000000003E-3</v>
      </c>
      <c r="D164" s="13">
        <v>3.4020000000000001</v>
      </c>
      <c r="E164" s="1">
        <f>Tabela15[[#This Row],[Força (N)]]/$I$5</f>
        <v>70385.381688628477</v>
      </c>
      <c r="F164" s="1">
        <f>Tabela15[[#This Row],[Tensão (Pa)]]/1000000</f>
        <v>7.0385381688628471E-2</v>
      </c>
    </row>
    <row r="165" spans="1:6" x14ac:dyDescent="0.3">
      <c r="A165" s="13">
        <v>3.4167000000000001</v>
      </c>
      <c r="B165" s="13">
        <v>0.27666000000000002</v>
      </c>
      <c r="C165" s="1">
        <f>Tabela15[[#This Row],[Alongamento (mm/mm)]]/$I$2</f>
        <v>5.5332000000000003E-3</v>
      </c>
      <c r="D165" s="13">
        <v>3.4020000000000001</v>
      </c>
      <c r="E165" s="1">
        <f>Tabela15[[#This Row],[Força (N)]]/$I$5</f>
        <v>70385.381688628477</v>
      </c>
      <c r="F165" s="1">
        <f>Tabela15[[#This Row],[Tensão (Pa)]]/1000000</f>
        <v>7.0385381688628471E-2</v>
      </c>
    </row>
    <row r="166" spans="1:6" x14ac:dyDescent="0.3">
      <c r="A166" s="13">
        <v>3.45</v>
      </c>
      <c r="B166" s="13">
        <v>0.27944999999999998</v>
      </c>
      <c r="C166" s="1">
        <f>Tabela15[[#This Row],[Alongamento (mm/mm)]]/$I$2</f>
        <v>5.5889999999999994E-3</v>
      </c>
      <c r="D166" s="13">
        <v>3.4020000000000001</v>
      </c>
      <c r="E166" s="1">
        <f>Tabela15[[#This Row],[Força (N)]]/$I$5</f>
        <v>70385.381688628477</v>
      </c>
      <c r="F166" s="1">
        <f>Tabela15[[#This Row],[Tensão (Pa)]]/1000000</f>
        <v>7.0385381688628471E-2</v>
      </c>
    </row>
    <row r="167" spans="1:6" x14ac:dyDescent="0.3">
      <c r="A167" s="13">
        <v>3.4832999999999998</v>
      </c>
      <c r="B167" s="13">
        <v>0.28223999999999999</v>
      </c>
      <c r="C167" s="1">
        <f>Tabela15[[#This Row],[Alongamento (mm/mm)]]/$I$2</f>
        <v>5.6448000000000002E-3</v>
      </c>
      <c r="D167" s="13">
        <v>3.4020000000000001</v>
      </c>
      <c r="E167" s="1">
        <f>Tabela15[[#This Row],[Força (N)]]/$I$5</f>
        <v>70385.381688628477</v>
      </c>
      <c r="F167" s="1">
        <f>Tabela15[[#This Row],[Tensão (Pa)]]/1000000</f>
        <v>7.0385381688628471E-2</v>
      </c>
    </row>
    <row r="168" spans="1:6" x14ac:dyDescent="0.3">
      <c r="A168" s="13">
        <v>3.5167000000000002</v>
      </c>
      <c r="B168" s="13">
        <v>0.28494000000000003</v>
      </c>
      <c r="C168" s="1">
        <f>Tabela15[[#This Row],[Alongamento (mm/mm)]]/$I$2</f>
        <v>5.6988000000000004E-3</v>
      </c>
      <c r="D168" s="13">
        <v>3.4020000000000001</v>
      </c>
      <c r="E168" s="1">
        <f>Tabela15[[#This Row],[Força (N)]]/$I$5</f>
        <v>70385.381688628477</v>
      </c>
      <c r="F168" s="1">
        <f>Tabela15[[#This Row],[Tensão (Pa)]]/1000000</f>
        <v>7.0385381688628471E-2</v>
      </c>
    </row>
    <row r="169" spans="1:6" x14ac:dyDescent="0.3">
      <c r="A169" s="13">
        <v>3.55</v>
      </c>
      <c r="B169" s="13">
        <v>0.28774</v>
      </c>
      <c r="C169" s="1">
        <f>Tabela15[[#This Row],[Alongamento (mm/mm)]]/$I$2</f>
        <v>5.7548E-3</v>
      </c>
      <c r="D169" s="13">
        <v>3.4020000000000001</v>
      </c>
      <c r="E169" s="1">
        <f>Tabela15[[#This Row],[Força (N)]]/$I$5</f>
        <v>70385.381688628477</v>
      </c>
      <c r="F169" s="1">
        <f>Tabela15[[#This Row],[Tensão (Pa)]]/1000000</f>
        <v>7.0385381688628471E-2</v>
      </c>
    </row>
    <row r="170" spans="1:6" x14ac:dyDescent="0.3">
      <c r="A170" s="13">
        <v>3.5832999999999999</v>
      </c>
      <c r="B170" s="13">
        <v>0.29043000000000002</v>
      </c>
      <c r="C170" s="1">
        <f>Tabela15[[#This Row],[Alongamento (mm/mm)]]/$I$2</f>
        <v>5.8086000000000006E-3</v>
      </c>
      <c r="D170" s="13">
        <v>3.4020000000000001</v>
      </c>
      <c r="E170" s="1">
        <f>Tabela15[[#This Row],[Força (N)]]/$I$5</f>
        <v>70385.381688628477</v>
      </c>
      <c r="F170" s="1">
        <f>Tabela15[[#This Row],[Tensão (Pa)]]/1000000</f>
        <v>7.0385381688628471E-2</v>
      </c>
    </row>
    <row r="171" spans="1:6" x14ac:dyDescent="0.3">
      <c r="A171" s="13">
        <v>3.6166999999999998</v>
      </c>
      <c r="B171" s="13">
        <v>0.29332000000000003</v>
      </c>
      <c r="C171" s="1">
        <f>Tabela15[[#This Row],[Alongamento (mm/mm)]]/$I$2</f>
        <v>5.8664000000000008E-3</v>
      </c>
      <c r="D171" s="13">
        <v>3.4020000000000001</v>
      </c>
      <c r="E171" s="1">
        <f>Tabela15[[#This Row],[Força (N)]]/$I$5</f>
        <v>70385.381688628477</v>
      </c>
      <c r="F171" s="1">
        <f>Tabela15[[#This Row],[Tensão (Pa)]]/1000000</f>
        <v>7.0385381688628471E-2</v>
      </c>
    </row>
    <row r="172" spans="1:6" x14ac:dyDescent="0.3">
      <c r="A172" s="13">
        <v>3.65</v>
      </c>
      <c r="B172" s="13">
        <v>0.29602000000000001</v>
      </c>
      <c r="C172" s="1">
        <f>Tabela15[[#This Row],[Alongamento (mm/mm)]]/$I$2</f>
        <v>5.9204000000000001E-3</v>
      </c>
      <c r="D172" s="13">
        <v>3.4020000000000001</v>
      </c>
      <c r="E172" s="1">
        <f>Tabela15[[#This Row],[Força (N)]]/$I$5</f>
        <v>70385.381688628477</v>
      </c>
      <c r="F172" s="1">
        <f>Tabela15[[#This Row],[Tensão (Pa)]]/1000000</f>
        <v>7.0385381688628471E-2</v>
      </c>
    </row>
    <row r="173" spans="1:6" x14ac:dyDescent="0.3">
      <c r="A173" s="13">
        <v>3.6833</v>
      </c>
      <c r="B173" s="13">
        <v>0.2989</v>
      </c>
      <c r="C173" s="1">
        <f>Tabela15[[#This Row],[Alongamento (mm/mm)]]/$I$2</f>
        <v>5.9779999999999998E-3</v>
      </c>
      <c r="D173" s="13">
        <v>3.4020000000000001</v>
      </c>
      <c r="E173" s="1">
        <f>Tabela15[[#This Row],[Força (N)]]/$I$5</f>
        <v>70385.381688628477</v>
      </c>
      <c r="F173" s="1">
        <f>Tabela15[[#This Row],[Tensão (Pa)]]/1000000</f>
        <v>7.0385381688628471E-2</v>
      </c>
    </row>
    <row r="174" spans="1:6" x14ac:dyDescent="0.3">
      <c r="A174" s="13">
        <v>3.7166999999999999</v>
      </c>
      <c r="B174" s="13">
        <v>0.30159999999999998</v>
      </c>
      <c r="C174" s="1">
        <f>Tabela15[[#This Row],[Alongamento (mm/mm)]]/$I$2</f>
        <v>6.0319999999999992E-3</v>
      </c>
      <c r="D174" s="13">
        <v>3.4020000000000001</v>
      </c>
      <c r="E174" s="1">
        <f>Tabela15[[#This Row],[Força (N)]]/$I$5</f>
        <v>70385.381688628477</v>
      </c>
      <c r="F174" s="1">
        <f>Tabela15[[#This Row],[Tensão (Pa)]]/1000000</f>
        <v>7.0385381688628471E-2</v>
      </c>
    </row>
    <row r="175" spans="1:6" x14ac:dyDescent="0.3">
      <c r="A175" s="13">
        <v>3.75</v>
      </c>
      <c r="B175" s="13">
        <v>0.30438999999999999</v>
      </c>
      <c r="C175" s="1">
        <f>Tabela15[[#This Row],[Alongamento (mm/mm)]]/$I$2</f>
        <v>6.0878E-3</v>
      </c>
      <c r="D175" s="13">
        <v>3.5720999999999998</v>
      </c>
      <c r="E175" s="1">
        <f>Tabela15[[#This Row],[Força (N)]]/$I$5</f>
        <v>73904.650773059897</v>
      </c>
      <c r="F175" s="1">
        <f>Tabela15[[#This Row],[Tensão (Pa)]]/1000000</f>
        <v>7.3904650773059896E-2</v>
      </c>
    </row>
    <row r="176" spans="1:6" x14ac:dyDescent="0.3">
      <c r="A176" s="13">
        <v>3.7833000000000001</v>
      </c>
      <c r="B176" s="13">
        <v>0.30718000000000001</v>
      </c>
      <c r="C176" s="1">
        <f>Tabela15[[#This Row],[Alongamento (mm/mm)]]/$I$2</f>
        <v>6.1435999999999999E-3</v>
      </c>
      <c r="D176" s="13">
        <v>3.7422</v>
      </c>
      <c r="E176" s="1">
        <f>Tabela15[[#This Row],[Força (N)]]/$I$5</f>
        <v>77423.919857491317</v>
      </c>
      <c r="F176" s="1">
        <f>Tabela15[[#This Row],[Tensão (Pa)]]/1000000</f>
        <v>7.7423919857491322E-2</v>
      </c>
    </row>
    <row r="177" spans="1:6" x14ac:dyDescent="0.3">
      <c r="A177" s="13">
        <v>3.8167</v>
      </c>
      <c r="B177" s="13">
        <v>0.30997999999999998</v>
      </c>
      <c r="C177" s="1">
        <f>Tabela15[[#This Row],[Alongamento (mm/mm)]]/$I$2</f>
        <v>6.1995999999999996E-3</v>
      </c>
      <c r="D177" s="13">
        <v>3.7422</v>
      </c>
      <c r="E177" s="1">
        <f>Tabela15[[#This Row],[Força (N)]]/$I$5</f>
        <v>77423.919857491317</v>
      </c>
      <c r="F177" s="1">
        <f>Tabela15[[#This Row],[Tensão (Pa)]]/1000000</f>
        <v>7.7423919857491322E-2</v>
      </c>
    </row>
    <row r="178" spans="1:6" x14ac:dyDescent="0.3">
      <c r="A178" s="13">
        <v>3.85</v>
      </c>
      <c r="B178" s="13">
        <v>0.31276999999999999</v>
      </c>
      <c r="C178" s="1">
        <f>Tabela15[[#This Row],[Alongamento (mm/mm)]]/$I$2</f>
        <v>6.2553999999999995E-3</v>
      </c>
      <c r="D178" s="13">
        <v>3.9123000000000001</v>
      </c>
      <c r="E178" s="1">
        <f>Tabela15[[#This Row],[Força (N)]]/$I$5</f>
        <v>80943.188941922752</v>
      </c>
      <c r="F178" s="1">
        <f>Tabela15[[#This Row],[Tensão (Pa)]]/1000000</f>
        <v>8.0943188941922747E-2</v>
      </c>
    </row>
    <row r="179" spans="1:6" x14ac:dyDescent="0.3">
      <c r="A179" s="13">
        <v>3.8833000000000002</v>
      </c>
      <c r="B179" s="13">
        <v>0.31546999999999997</v>
      </c>
      <c r="C179" s="1">
        <f>Tabela15[[#This Row],[Alongamento (mm/mm)]]/$I$2</f>
        <v>6.3093999999999997E-3</v>
      </c>
      <c r="D179" s="13">
        <v>3.9123000000000001</v>
      </c>
      <c r="E179" s="1">
        <f>Tabela15[[#This Row],[Força (N)]]/$I$5</f>
        <v>80943.188941922752</v>
      </c>
      <c r="F179" s="1">
        <f>Tabela15[[#This Row],[Tensão (Pa)]]/1000000</f>
        <v>8.0943188941922747E-2</v>
      </c>
    </row>
    <row r="180" spans="1:6" x14ac:dyDescent="0.3">
      <c r="A180" s="13">
        <v>3.9167000000000001</v>
      </c>
      <c r="B180" s="13">
        <v>0.31835000000000002</v>
      </c>
      <c r="C180" s="1">
        <f>Tabela15[[#This Row],[Alongamento (mm/mm)]]/$I$2</f>
        <v>6.3670000000000003E-3</v>
      </c>
      <c r="D180" s="13">
        <v>4.0823999999999998</v>
      </c>
      <c r="E180" s="1">
        <f>Tabela15[[#This Row],[Força (N)]]/$I$5</f>
        <v>84462.458026354172</v>
      </c>
      <c r="F180" s="1">
        <f>Tabela15[[#This Row],[Tensão (Pa)]]/1000000</f>
        <v>8.4462458026354173E-2</v>
      </c>
    </row>
    <row r="181" spans="1:6" x14ac:dyDescent="0.3">
      <c r="A181" s="13">
        <v>3.95</v>
      </c>
      <c r="B181" s="13">
        <v>0.32105</v>
      </c>
      <c r="C181" s="1">
        <f>Tabela15[[#This Row],[Alongamento (mm/mm)]]/$I$2</f>
        <v>6.4209999999999996E-3</v>
      </c>
      <c r="D181" s="13">
        <v>4.2525000000000004</v>
      </c>
      <c r="E181" s="1">
        <f>Tabela15[[#This Row],[Força (N)]]/$I$5</f>
        <v>87981.727110785607</v>
      </c>
      <c r="F181" s="1">
        <f>Tabela15[[#This Row],[Tensão (Pa)]]/1000000</f>
        <v>8.7981727110785612E-2</v>
      </c>
    </row>
    <row r="182" spans="1:6" x14ac:dyDescent="0.3">
      <c r="A182" s="13">
        <v>3.9832999999999998</v>
      </c>
      <c r="B182" s="13">
        <v>0.32393</v>
      </c>
      <c r="C182" s="1">
        <f>Tabela15[[#This Row],[Alongamento (mm/mm)]]/$I$2</f>
        <v>6.4786000000000002E-3</v>
      </c>
      <c r="D182" s="13">
        <v>4.2525000000000004</v>
      </c>
      <c r="E182" s="1">
        <f>Tabela15[[#This Row],[Força (N)]]/$I$5</f>
        <v>87981.727110785607</v>
      </c>
      <c r="F182" s="1">
        <f>Tabela15[[#This Row],[Tensão (Pa)]]/1000000</f>
        <v>8.7981727110785612E-2</v>
      </c>
    </row>
    <row r="183" spans="1:6" x14ac:dyDescent="0.3">
      <c r="A183" s="13">
        <v>4.0167000000000002</v>
      </c>
      <c r="B183" s="13">
        <v>0.32662999999999998</v>
      </c>
      <c r="C183" s="1">
        <f>Tabela15[[#This Row],[Alongamento (mm/mm)]]/$I$2</f>
        <v>6.5325999999999995E-3</v>
      </c>
      <c r="D183" s="13">
        <v>4.4226000000000001</v>
      </c>
      <c r="E183" s="1">
        <f>Tabela15[[#This Row],[Força (N)]]/$I$5</f>
        <v>91500.996195217027</v>
      </c>
      <c r="F183" s="1">
        <f>Tabela15[[#This Row],[Tensão (Pa)]]/1000000</f>
        <v>9.1500996195217024E-2</v>
      </c>
    </row>
    <row r="184" spans="1:6" x14ac:dyDescent="0.3">
      <c r="A184" s="13">
        <v>4.05</v>
      </c>
      <c r="B184" s="13">
        <v>0.32943</v>
      </c>
      <c r="C184" s="1">
        <f>Tabela15[[#This Row],[Alongamento (mm/mm)]]/$I$2</f>
        <v>6.5886E-3</v>
      </c>
      <c r="D184" s="13">
        <v>4.4226000000000001</v>
      </c>
      <c r="E184" s="1">
        <f>Tabela15[[#This Row],[Força (N)]]/$I$5</f>
        <v>91500.996195217027</v>
      </c>
      <c r="F184" s="1">
        <f>Tabela15[[#This Row],[Tensão (Pa)]]/1000000</f>
        <v>9.1500996195217024E-2</v>
      </c>
    </row>
    <row r="185" spans="1:6" x14ac:dyDescent="0.3">
      <c r="A185" s="13">
        <v>4.0833000000000004</v>
      </c>
      <c r="B185" s="13">
        <v>0.33222000000000002</v>
      </c>
      <c r="C185" s="1">
        <f>Tabela15[[#This Row],[Alongamento (mm/mm)]]/$I$2</f>
        <v>6.6444E-3</v>
      </c>
      <c r="D185" s="13">
        <v>4.5926999999999998</v>
      </c>
      <c r="E185" s="1">
        <f>Tabela15[[#This Row],[Força (N)]]/$I$5</f>
        <v>95020.265279648433</v>
      </c>
      <c r="F185" s="1">
        <f>Tabela15[[#This Row],[Tensão (Pa)]]/1000000</f>
        <v>9.5020265279648436E-2</v>
      </c>
    </row>
    <row r="186" spans="1:6" x14ac:dyDescent="0.3">
      <c r="A186" s="13">
        <v>4.1166999999999998</v>
      </c>
      <c r="B186" s="13">
        <v>0.33500999999999997</v>
      </c>
      <c r="C186" s="1">
        <f>Tabela15[[#This Row],[Alongamento (mm/mm)]]/$I$2</f>
        <v>6.7001999999999999E-3</v>
      </c>
      <c r="D186" s="13">
        <v>4.7628000000000004</v>
      </c>
      <c r="E186" s="1">
        <f>Tabela15[[#This Row],[Força (N)]]/$I$5</f>
        <v>98539.534364079867</v>
      </c>
      <c r="F186" s="1">
        <f>Tabela15[[#This Row],[Tensão (Pa)]]/1000000</f>
        <v>9.8539534364079862E-2</v>
      </c>
    </row>
    <row r="187" spans="1:6" x14ac:dyDescent="0.3">
      <c r="A187" s="13">
        <v>4.1500000000000004</v>
      </c>
      <c r="B187" s="13">
        <v>0.33771000000000001</v>
      </c>
      <c r="C187" s="1">
        <f>Tabela15[[#This Row],[Alongamento (mm/mm)]]/$I$2</f>
        <v>6.7542000000000001E-3</v>
      </c>
      <c r="D187" s="13">
        <v>4.7628000000000004</v>
      </c>
      <c r="E187" s="1">
        <f>Tabela15[[#This Row],[Força (N)]]/$I$5</f>
        <v>98539.534364079867</v>
      </c>
      <c r="F187" s="1">
        <f>Tabela15[[#This Row],[Tensão (Pa)]]/1000000</f>
        <v>9.8539534364079862E-2</v>
      </c>
    </row>
    <row r="188" spans="1:6" x14ac:dyDescent="0.3">
      <c r="A188" s="13">
        <v>4.1833</v>
      </c>
      <c r="B188" s="13">
        <v>0.34059</v>
      </c>
      <c r="C188" s="1">
        <f>Tabela15[[#This Row],[Alongamento (mm/mm)]]/$I$2</f>
        <v>6.8117999999999998E-3</v>
      </c>
      <c r="D188" s="13">
        <v>4.9329000000000001</v>
      </c>
      <c r="E188" s="1">
        <f>Tabela15[[#This Row],[Força (N)]]/$I$5</f>
        <v>102058.80344851129</v>
      </c>
      <c r="F188" s="1">
        <f>Tabela15[[#This Row],[Tensão (Pa)]]/1000000</f>
        <v>0.10205880344851129</v>
      </c>
    </row>
    <row r="189" spans="1:6" x14ac:dyDescent="0.3">
      <c r="A189" s="13">
        <v>4.2167000000000003</v>
      </c>
      <c r="B189" s="13">
        <v>0.34328999999999998</v>
      </c>
      <c r="C189" s="1">
        <f>Tabela15[[#This Row],[Alongamento (mm/mm)]]/$I$2</f>
        <v>6.8658E-3</v>
      </c>
      <c r="D189" s="13">
        <v>5.1029999999999998</v>
      </c>
      <c r="E189" s="1">
        <f>Tabela15[[#This Row],[Força (N)]]/$I$5</f>
        <v>105578.07253294271</v>
      </c>
      <c r="F189" s="1">
        <f>Tabela15[[#This Row],[Tensão (Pa)]]/1000000</f>
        <v>0.10557807253294271</v>
      </c>
    </row>
    <row r="190" spans="1:6" x14ac:dyDescent="0.3">
      <c r="A190" s="13">
        <v>4.25</v>
      </c>
      <c r="B190" s="13">
        <v>0.34608</v>
      </c>
      <c r="C190" s="1">
        <f>Tabela15[[#This Row],[Alongamento (mm/mm)]]/$I$2</f>
        <v>6.9216E-3</v>
      </c>
      <c r="D190" s="13">
        <v>5.1029999999999998</v>
      </c>
      <c r="E190" s="1">
        <f>Tabela15[[#This Row],[Força (N)]]/$I$5</f>
        <v>105578.07253294271</v>
      </c>
      <c r="F190" s="1">
        <f>Tabela15[[#This Row],[Tensão (Pa)]]/1000000</f>
        <v>0.10557807253294271</v>
      </c>
    </row>
    <row r="191" spans="1:6" x14ac:dyDescent="0.3">
      <c r="A191" s="13">
        <v>4.2832999999999997</v>
      </c>
      <c r="B191" s="13">
        <v>0.34887000000000001</v>
      </c>
      <c r="C191" s="1">
        <f>Tabela15[[#This Row],[Alongamento (mm/mm)]]/$I$2</f>
        <v>6.9773999999999999E-3</v>
      </c>
      <c r="D191" s="13">
        <v>5.2731000000000003</v>
      </c>
      <c r="E191" s="1">
        <f>Tabela15[[#This Row],[Força (N)]]/$I$5</f>
        <v>109097.34161737414</v>
      </c>
      <c r="F191" s="1">
        <f>Tabela15[[#This Row],[Tensão (Pa)]]/1000000</f>
        <v>0.10909734161737414</v>
      </c>
    </row>
    <row r="192" spans="1:6" x14ac:dyDescent="0.3">
      <c r="A192" s="13">
        <v>4.3167</v>
      </c>
      <c r="B192" s="13">
        <v>0.35156999999999999</v>
      </c>
      <c r="C192" s="1">
        <f>Tabela15[[#This Row],[Alongamento (mm/mm)]]/$I$2</f>
        <v>7.0314000000000002E-3</v>
      </c>
      <c r="D192" s="13">
        <v>5.4432</v>
      </c>
      <c r="E192" s="1">
        <f>Tabela15[[#This Row],[Força (N)]]/$I$5</f>
        <v>112616.61070180556</v>
      </c>
      <c r="F192" s="1">
        <f>Tabela15[[#This Row],[Tensão (Pa)]]/1000000</f>
        <v>0.11261661070180556</v>
      </c>
    </row>
    <row r="193" spans="1:6" x14ac:dyDescent="0.3">
      <c r="A193" s="13">
        <v>4.3499999999999996</v>
      </c>
      <c r="B193" s="13">
        <v>0.35446</v>
      </c>
      <c r="C193" s="1">
        <f>Tabela15[[#This Row],[Alongamento (mm/mm)]]/$I$2</f>
        <v>7.0892000000000004E-3</v>
      </c>
      <c r="D193" s="13">
        <v>5.4432</v>
      </c>
      <c r="E193" s="1">
        <f>Tabela15[[#This Row],[Força (N)]]/$I$5</f>
        <v>112616.61070180556</v>
      </c>
      <c r="F193" s="1">
        <f>Tabela15[[#This Row],[Tensão (Pa)]]/1000000</f>
        <v>0.11261661070180556</v>
      </c>
    </row>
    <row r="194" spans="1:6" x14ac:dyDescent="0.3">
      <c r="A194" s="13">
        <v>4.3833000000000002</v>
      </c>
      <c r="B194" s="13">
        <v>0.35715999999999998</v>
      </c>
      <c r="C194" s="1">
        <f>Tabela15[[#This Row],[Alongamento (mm/mm)]]/$I$2</f>
        <v>7.1431999999999997E-3</v>
      </c>
      <c r="D194" s="13">
        <v>5.6132999999999997</v>
      </c>
      <c r="E194" s="1">
        <f>Tabela15[[#This Row],[Força (N)]]/$I$5</f>
        <v>116135.87978623698</v>
      </c>
      <c r="F194" s="1">
        <f>Tabela15[[#This Row],[Tensão (Pa)]]/1000000</f>
        <v>0.11613587978623699</v>
      </c>
    </row>
    <row r="195" spans="1:6" x14ac:dyDescent="0.3">
      <c r="A195" s="13">
        <v>4.4166999999999996</v>
      </c>
      <c r="B195" s="13">
        <v>0.35994999999999999</v>
      </c>
      <c r="C195" s="1">
        <f>Tabela15[[#This Row],[Alongamento (mm/mm)]]/$I$2</f>
        <v>7.1989999999999997E-3</v>
      </c>
      <c r="D195" s="13">
        <v>5.7834000000000003</v>
      </c>
      <c r="E195" s="1">
        <f>Tabela15[[#This Row],[Força (N)]]/$I$5</f>
        <v>119655.14887066842</v>
      </c>
      <c r="F195" s="1">
        <f>Tabela15[[#This Row],[Tensão (Pa)]]/1000000</f>
        <v>0.11965514887066842</v>
      </c>
    </row>
    <row r="196" spans="1:6" x14ac:dyDescent="0.3">
      <c r="A196" s="13">
        <v>4.45</v>
      </c>
      <c r="B196" s="13">
        <v>0.36274000000000001</v>
      </c>
      <c r="C196" s="1">
        <f>Tabela15[[#This Row],[Alongamento (mm/mm)]]/$I$2</f>
        <v>7.2548000000000005E-3</v>
      </c>
      <c r="D196" s="13">
        <v>5.7834000000000003</v>
      </c>
      <c r="E196" s="1">
        <f>Tabela15[[#This Row],[Força (N)]]/$I$5</f>
        <v>119655.14887066842</v>
      </c>
      <c r="F196" s="1">
        <f>Tabela15[[#This Row],[Tensão (Pa)]]/1000000</f>
        <v>0.11965514887066842</v>
      </c>
    </row>
    <row r="197" spans="1:6" x14ac:dyDescent="0.3">
      <c r="A197" s="13">
        <v>4.4832999999999998</v>
      </c>
      <c r="B197" s="13">
        <v>0.36553000000000002</v>
      </c>
      <c r="C197" s="1">
        <f>Tabela15[[#This Row],[Alongamento (mm/mm)]]/$I$2</f>
        <v>7.3106000000000004E-3</v>
      </c>
      <c r="D197" s="13">
        <v>5.9535</v>
      </c>
      <c r="E197" s="1">
        <f>Tabela15[[#This Row],[Força (N)]]/$I$5</f>
        <v>123174.41795509984</v>
      </c>
      <c r="F197" s="1">
        <f>Tabela15[[#This Row],[Tensão (Pa)]]/1000000</f>
        <v>0.12317441795509984</v>
      </c>
    </row>
    <row r="198" spans="1:6" x14ac:dyDescent="0.3">
      <c r="A198" s="13">
        <v>4.5167000000000002</v>
      </c>
      <c r="B198" s="13">
        <v>0.36831999999999998</v>
      </c>
      <c r="C198" s="1">
        <f>Tabela15[[#This Row],[Alongamento (mm/mm)]]/$I$2</f>
        <v>7.3663999999999995E-3</v>
      </c>
      <c r="D198" s="13">
        <v>5.9535</v>
      </c>
      <c r="E198" s="1">
        <f>Tabela15[[#This Row],[Força (N)]]/$I$5</f>
        <v>123174.41795509984</v>
      </c>
      <c r="F198" s="1">
        <f>Tabela15[[#This Row],[Tensão (Pa)]]/1000000</f>
        <v>0.12317441795509984</v>
      </c>
    </row>
    <row r="199" spans="1:6" x14ac:dyDescent="0.3">
      <c r="A199" s="13">
        <v>4.55</v>
      </c>
      <c r="B199" s="13">
        <v>0.37112000000000001</v>
      </c>
      <c r="C199" s="1">
        <f>Tabela15[[#This Row],[Alongamento (mm/mm)]]/$I$2</f>
        <v>7.4224E-3</v>
      </c>
      <c r="D199" s="13">
        <v>6.1235999999999997</v>
      </c>
      <c r="E199" s="1">
        <f>Tabela15[[#This Row],[Força (N)]]/$I$5</f>
        <v>126693.68703953124</v>
      </c>
      <c r="F199" s="1">
        <f>Tabela15[[#This Row],[Tensão (Pa)]]/1000000</f>
        <v>0.12669368703953124</v>
      </c>
    </row>
    <row r="200" spans="1:6" x14ac:dyDescent="0.3">
      <c r="A200" s="13">
        <v>4.5999999999999996</v>
      </c>
      <c r="B200" s="13">
        <v>0.37530000000000002</v>
      </c>
      <c r="C200" s="1">
        <f>Tabela15[[#This Row],[Alongamento (mm/mm)]]/$I$2</f>
        <v>7.5060000000000005E-3</v>
      </c>
      <c r="D200" s="13">
        <v>6.2937000000000003</v>
      </c>
      <c r="E200" s="1">
        <f>Tabela15[[#This Row],[Força (N)]]/$I$5</f>
        <v>130212.95612396269</v>
      </c>
      <c r="F200" s="1">
        <f>Tabela15[[#This Row],[Tensão (Pa)]]/1000000</f>
        <v>0.13021295612396269</v>
      </c>
    </row>
    <row r="201" spans="1:6" x14ac:dyDescent="0.3">
      <c r="A201" s="13">
        <v>4.6500000000000004</v>
      </c>
      <c r="B201" s="13">
        <v>0.37948999999999999</v>
      </c>
      <c r="C201" s="1">
        <f>Tabela15[[#This Row],[Alongamento (mm/mm)]]/$I$2</f>
        <v>7.5897999999999998E-3</v>
      </c>
      <c r="D201" s="13">
        <v>6.2937000000000003</v>
      </c>
      <c r="E201" s="1">
        <f>Tabela15[[#This Row],[Força (N)]]/$I$5</f>
        <v>130212.95612396269</v>
      </c>
      <c r="F201" s="1">
        <f>Tabela15[[#This Row],[Tensão (Pa)]]/1000000</f>
        <v>0.13021295612396269</v>
      </c>
    </row>
    <row r="202" spans="1:6" x14ac:dyDescent="0.3">
      <c r="A202" s="13">
        <v>4.7</v>
      </c>
      <c r="B202" s="13">
        <v>0.38349</v>
      </c>
      <c r="C202" s="1">
        <f>Tabela15[[#This Row],[Alongamento (mm/mm)]]/$I$2</f>
        <v>7.6698000000000001E-3</v>
      </c>
      <c r="D202" s="13">
        <v>6.4638</v>
      </c>
      <c r="E202" s="1">
        <f>Tabela15[[#This Row],[Força (N)]]/$I$5</f>
        <v>133732.22520839411</v>
      </c>
      <c r="F202" s="1">
        <f>Tabela15[[#This Row],[Tensão (Pa)]]/1000000</f>
        <v>0.13373222520839412</v>
      </c>
    </row>
    <row r="203" spans="1:6" x14ac:dyDescent="0.3">
      <c r="A203" s="13">
        <v>4.75</v>
      </c>
      <c r="B203" s="13">
        <v>0.38777</v>
      </c>
      <c r="C203" s="1">
        <f>Tabela15[[#This Row],[Alongamento (mm/mm)]]/$I$2</f>
        <v>7.7554E-3</v>
      </c>
      <c r="D203" s="13">
        <v>6.6338999999999997</v>
      </c>
      <c r="E203" s="1">
        <f>Tabela15[[#This Row],[Força (N)]]/$I$5</f>
        <v>137251.49429282552</v>
      </c>
      <c r="F203" s="1">
        <f>Tabela15[[#This Row],[Tensão (Pa)]]/1000000</f>
        <v>0.13725149429282552</v>
      </c>
    </row>
    <row r="204" spans="1:6" x14ac:dyDescent="0.3">
      <c r="A204" s="13">
        <v>4.8</v>
      </c>
      <c r="B204" s="13">
        <v>0.39195999999999998</v>
      </c>
      <c r="C204" s="1">
        <f>Tabela15[[#This Row],[Alongamento (mm/mm)]]/$I$2</f>
        <v>7.8391999999999993E-3</v>
      </c>
      <c r="D204" s="13">
        <v>6.8040000000000003</v>
      </c>
      <c r="E204" s="1">
        <f>Tabela15[[#This Row],[Força (N)]]/$I$5</f>
        <v>140770.76337725695</v>
      </c>
      <c r="F204" s="1">
        <f>Tabela15[[#This Row],[Tensão (Pa)]]/1000000</f>
        <v>0.14077076337725694</v>
      </c>
    </row>
    <row r="205" spans="1:6" x14ac:dyDescent="0.3">
      <c r="A205" s="13">
        <v>4.8499999999999996</v>
      </c>
      <c r="B205" s="13">
        <v>0.39615</v>
      </c>
      <c r="C205" s="1">
        <f>Tabela15[[#This Row],[Alongamento (mm/mm)]]/$I$2</f>
        <v>7.9229999999999995E-3</v>
      </c>
      <c r="D205" s="13">
        <v>6.9741</v>
      </c>
      <c r="E205" s="1">
        <f>Tabela15[[#This Row],[Força (N)]]/$I$5</f>
        <v>144290.03246168839</v>
      </c>
      <c r="F205" s="1">
        <f>Tabela15[[#This Row],[Tensão (Pa)]]/1000000</f>
        <v>0.14429003246168839</v>
      </c>
    </row>
    <row r="206" spans="1:6" x14ac:dyDescent="0.3">
      <c r="A206" s="13">
        <v>4.9000000000000004</v>
      </c>
      <c r="B206" s="13">
        <v>0.40023999999999998</v>
      </c>
      <c r="C206" s="1">
        <f>Tabela15[[#This Row],[Alongamento (mm/mm)]]/$I$2</f>
        <v>8.0047999999999994E-3</v>
      </c>
      <c r="D206" s="13">
        <v>7.1441999999999997</v>
      </c>
      <c r="E206" s="1">
        <f>Tabela15[[#This Row],[Força (N)]]/$I$5</f>
        <v>147809.30154611979</v>
      </c>
      <c r="F206" s="1">
        <f>Tabela15[[#This Row],[Tensão (Pa)]]/1000000</f>
        <v>0.14780930154611979</v>
      </c>
    </row>
    <row r="207" spans="1:6" x14ac:dyDescent="0.3">
      <c r="A207" s="13">
        <v>4.95</v>
      </c>
      <c r="B207" s="13">
        <v>0.40433999999999998</v>
      </c>
      <c r="C207" s="1">
        <f>Tabela15[[#This Row],[Alongamento (mm/mm)]]/$I$2</f>
        <v>8.0867999999999999E-3</v>
      </c>
      <c r="D207" s="13">
        <v>7.3141999999999996</v>
      </c>
      <c r="E207" s="1">
        <f>Tabela15[[#This Row],[Força (N)]]/$I$5</f>
        <v>151326.50168929054</v>
      </c>
      <c r="F207" s="1">
        <f>Tabela15[[#This Row],[Tensão (Pa)]]/1000000</f>
        <v>0.15132650168929054</v>
      </c>
    </row>
    <row r="208" spans="1:6" x14ac:dyDescent="0.3">
      <c r="A208" s="13">
        <v>5</v>
      </c>
      <c r="B208" s="13">
        <v>0.40851999999999999</v>
      </c>
      <c r="C208" s="1">
        <f>Tabela15[[#This Row],[Alongamento (mm/mm)]]/$I$2</f>
        <v>8.1703999999999995E-3</v>
      </c>
      <c r="D208" s="13">
        <v>7.3141999999999996</v>
      </c>
      <c r="E208" s="1">
        <f>Tabela15[[#This Row],[Força (N)]]/$I$5</f>
        <v>151326.50168929054</v>
      </c>
      <c r="F208" s="1">
        <f>Tabela15[[#This Row],[Tensão (Pa)]]/1000000</f>
        <v>0.15132650168929054</v>
      </c>
    </row>
    <row r="209" spans="1:6" x14ac:dyDescent="0.3">
      <c r="A209" s="13">
        <v>5.05</v>
      </c>
      <c r="B209" s="13">
        <v>0.41281000000000001</v>
      </c>
      <c r="C209" s="1">
        <f>Tabela15[[#This Row],[Alongamento (mm/mm)]]/$I$2</f>
        <v>8.2562E-3</v>
      </c>
      <c r="D209" s="13">
        <v>7.4843000000000002</v>
      </c>
      <c r="E209" s="1">
        <f>Tabela15[[#This Row],[Força (N)]]/$I$5</f>
        <v>154845.77077372198</v>
      </c>
      <c r="F209" s="1">
        <f>Tabela15[[#This Row],[Tensão (Pa)]]/1000000</f>
        <v>0.15484577077372197</v>
      </c>
    </row>
    <row r="210" spans="1:6" x14ac:dyDescent="0.3">
      <c r="A210" s="13">
        <v>5.0999999999999996</v>
      </c>
      <c r="B210" s="13">
        <v>0.41699000000000003</v>
      </c>
      <c r="C210" s="1">
        <f>Tabela15[[#This Row],[Alongamento (mm/mm)]]/$I$2</f>
        <v>8.3398000000000014E-3</v>
      </c>
      <c r="D210" s="13">
        <v>7.6543999999999999</v>
      </c>
      <c r="E210" s="1">
        <f>Tabela15[[#This Row],[Força (N)]]/$I$5</f>
        <v>158365.03985815338</v>
      </c>
      <c r="F210" s="1">
        <f>Tabela15[[#This Row],[Tensão (Pa)]]/1000000</f>
        <v>0.15836503985815339</v>
      </c>
    </row>
    <row r="211" spans="1:6" x14ac:dyDescent="0.3">
      <c r="A211" s="13">
        <v>5.15</v>
      </c>
      <c r="B211" s="13">
        <v>0.42109000000000002</v>
      </c>
      <c r="C211" s="1">
        <f>Tabela15[[#This Row],[Alongamento (mm/mm)]]/$I$2</f>
        <v>8.4218000000000001E-3</v>
      </c>
      <c r="D211" s="13">
        <v>7.8244999999999996</v>
      </c>
      <c r="E211" s="1">
        <f>Tabela15[[#This Row],[Força (N)]]/$I$5</f>
        <v>161884.30894258479</v>
      </c>
      <c r="F211" s="1">
        <f>Tabela15[[#This Row],[Tensão (Pa)]]/1000000</f>
        <v>0.16188430894258479</v>
      </c>
    </row>
    <row r="212" spans="1:6" x14ac:dyDescent="0.3">
      <c r="A212" s="13">
        <v>5.2</v>
      </c>
      <c r="B212" s="13">
        <v>0.42527999999999999</v>
      </c>
      <c r="C212" s="1">
        <f>Tabela15[[#This Row],[Alongamento (mm/mm)]]/$I$2</f>
        <v>8.5056000000000003E-3</v>
      </c>
      <c r="D212" s="13">
        <v>7.9946000000000002</v>
      </c>
      <c r="E212" s="1">
        <f>Tabela15[[#This Row],[Força (N)]]/$I$5</f>
        <v>165403.57802701622</v>
      </c>
      <c r="F212" s="1">
        <f>Tabela15[[#This Row],[Tensão (Pa)]]/1000000</f>
        <v>0.16540357802701622</v>
      </c>
    </row>
    <row r="213" spans="1:6" x14ac:dyDescent="0.3">
      <c r="A213" s="13">
        <v>5.25</v>
      </c>
      <c r="B213" s="13">
        <v>0.42936999999999997</v>
      </c>
      <c r="C213" s="1">
        <f>Tabela15[[#This Row],[Alongamento (mm/mm)]]/$I$2</f>
        <v>8.5874000000000002E-3</v>
      </c>
      <c r="D213" s="13">
        <v>8.1646999999999998</v>
      </c>
      <c r="E213" s="1">
        <f>Tabela15[[#This Row],[Força (N)]]/$I$5</f>
        <v>168922.84711144766</v>
      </c>
      <c r="F213" s="1">
        <f>Tabela15[[#This Row],[Tensão (Pa)]]/1000000</f>
        <v>0.16892284711144764</v>
      </c>
    </row>
    <row r="214" spans="1:6" x14ac:dyDescent="0.3">
      <c r="A214" s="13">
        <v>5.3</v>
      </c>
      <c r="B214" s="13">
        <v>0.43364999999999998</v>
      </c>
      <c r="C214" s="1">
        <f>Tabela15[[#This Row],[Alongamento (mm/mm)]]/$I$2</f>
        <v>8.6730000000000002E-3</v>
      </c>
      <c r="D214" s="13">
        <v>8.1646999999999998</v>
      </c>
      <c r="E214" s="1">
        <f>Tabela15[[#This Row],[Força (N)]]/$I$5</f>
        <v>168922.84711144766</v>
      </c>
      <c r="F214" s="1">
        <f>Tabela15[[#This Row],[Tensão (Pa)]]/1000000</f>
        <v>0.16892284711144764</v>
      </c>
    </row>
    <row r="215" spans="1:6" x14ac:dyDescent="0.3">
      <c r="A215" s="13">
        <v>5.35</v>
      </c>
      <c r="B215" s="13">
        <v>0.43774000000000002</v>
      </c>
      <c r="C215" s="1">
        <f>Tabela15[[#This Row],[Alongamento (mm/mm)]]/$I$2</f>
        <v>8.7548000000000001E-3</v>
      </c>
      <c r="D215" s="13">
        <v>8.1646999999999998</v>
      </c>
      <c r="E215" s="1">
        <f>Tabela15[[#This Row],[Força (N)]]/$I$5</f>
        <v>168922.84711144766</v>
      </c>
      <c r="F215" s="1">
        <f>Tabela15[[#This Row],[Tensão (Pa)]]/1000000</f>
        <v>0.16892284711144764</v>
      </c>
    </row>
    <row r="216" spans="1:6" x14ac:dyDescent="0.3">
      <c r="A216" s="13">
        <v>5.4</v>
      </c>
      <c r="B216" s="13">
        <v>0.44192999999999999</v>
      </c>
      <c r="C216" s="1">
        <f>Tabela15[[#This Row],[Alongamento (mm/mm)]]/$I$2</f>
        <v>8.8386000000000003E-3</v>
      </c>
      <c r="D216" s="13">
        <v>8.1646999999999998</v>
      </c>
      <c r="E216" s="1">
        <f>Tabela15[[#This Row],[Força (N)]]/$I$5</f>
        <v>168922.84711144766</v>
      </c>
      <c r="F216" s="1">
        <f>Tabela15[[#This Row],[Tensão (Pa)]]/1000000</f>
        <v>0.16892284711144764</v>
      </c>
    </row>
    <row r="217" spans="1:6" x14ac:dyDescent="0.3">
      <c r="A217" s="13">
        <v>5.45</v>
      </c>
      <c r="B217" s="13">
        <v>0.44602999999999998</v>
      </c>
      <c r="C217" s="1">
        <f>Tabela15[[#This Row],[Alongamento (mm/mm)]]/$I$2</f>
        <v>8.920599999999999E-3</v>
      </c>
      <c r="D217" s="13">
        <v>8.3347999999999995</v>
      </c>
      <c r="E217" s="1">
        <f>Tabela15[[#This Row],[Força (N)]]/$I$5</f>
        <v>172442.11619587906</v>
      </c>
      <c r="F217" s="1">
        <f>Tabela15[[#This Row],[Tensão (Pa)]]/1000000</f>
        <v>0.17244211619587907</v>
      </c>
    </row>
    <row r="218" spans="1:6" x14ac:dyDescent="0.3">
      <c r="A218" s="13">
        <v>5.5</v>
      </c>
      <c r="B218" s="13">
        <v>0.45021</v>
      </c>
      <c r="C218" s="1">
        <f>Tabela15[[#This Row],[Alongamento (mm/mm)]]/$I$2</f>
        <v>9.0042000000000004E-3</v>
      </c>
      <c r="D218" s="13">
        <v>8.3347999999999995</v>
      </c>
      <c r="E218" s="1">
        <f>Tabela15[[#This Row],[Força (N)]]/$I$5</f>
        <v>172442.11619587906</v>
      </c>
      <c r="F218" s="1">
        <f>Tabela15[[#This Row],[Tensão (Pa)]]/1000000</f>
        <v>0.17244211619587907</v>
      </c>
    </row>
    <row r="219" spans="1:6" x14ac:dyDescent="0.3">
      <c r="A219" s="13">
        <v>5.55</v>
      </c>
      <c r="B219" s="13">
        <v>0.45440000000000003</v>
      </c>
      <c r="C219" s="1">
        <f>Tabela15[[#This Row],[Alongamento (mm/mm)]]/$I$2</f>
        <v>9.0880000000000006E-3</v>
      </c>
      <c r="D219" s="13">
        <v>8.3347999999999995</v>
      </c>
      <c r="E219" s="1">
        <f>Tabela15[[#This Row],[Força (N)]]/$I$5</f>
        <v>172442.11619587906</v>
      </c>
      <c r="F219" s="1">
        <f>Tabela15[[#This Row],[Tensão (Pa)]]/1000000</f>
        <v>0.17244211619587907</v>
      </c>
    </row>
    <row r="220" spans="1:6" x14ac:dyDescent="0.3">
      <c r="A220" s="13">
        <v>5.6</v>
      </c>
      <c r="B220" s="13">
        <v>0.45859</v>
      </c>
      <c r="C220" s="1">
        <f>Tabela15[[#This Row],[Alongamento (mm/mm)]]/$I$2</f>
        <v>9.1718000000000008E-3</v>
      </c>
      <c r="D220" s="13">
        <v>8.5048999999999992</v>
      </c>
      <c r="E220" s="1">
        <f>Tabela15[[#This Row],[Força (N)]]/$I$5</f>
        <v>175961.3852803105</v>
      </c>
      <c r="F220" s="1">
        <f>Tabela15[[#This Row],[Tensão (Pa)]]/1000000</f>
        <v>0.17596138528031049</v>
      </c>
    </row>
    <row r="221" spans="1:6" x14ac:dyDescent="0.3">
      <c r="A221" s="13">
        <v>5.65</v>
      </c>
      <c r="B221" s="13">
        <v>0.46278000000000002</v>
      </c>
      <c r="C221" s="1">
        <f>Tabela15[[#This Row],[Alongamento (mm/mm)]]/$I$2</f>
        <v>9.255600000000001E-3</v>
      </c>
      <c r="D221" s="13">
        <v>8.6750000000000007</v>
      </c>
      <c r="E221" s="1">
        <f>Tabela15[[#This Row],[Força (N)]]/$I$5</f>
        <v>179480.65436474193</v>
      </c>
      <c r="F221" s="1">
        <f>Tabela15[[#This Row],[Tensão (Pa)]]/1000000</f>
        <v>0.17948065436474192</v>
      </c>
    </row>
    <row r="222" spans="1:6" x14ac:dyDescent="0.3">
      <c r="A222" s="13">
        <v>5.7</v>
      </c>
      <c r="B222" s="13">
        <v>0.46697</v>
      </c>
      <c r="C222" s="1">
        <f>Tabela15[[#This Row],[Alongamento (mm/mm)]]/$I$2</f>
        <v>9.3393999999999994E-3</v>
      </c>
      <c r="D222" s="13">
        <v>8.8451000000000004</v>
      </c>
      <c r="E222" s="1">
        <f>Tabela15[[#This Row],[Força (N)]]/$I$5</f>
        <v>182999.92344917337</v>
      </c>
      <c r="F222" s="1">
        <f>Tabela15[[#This Row],[Tensão (Pa)]]/1000000</f>
        <v>0.18299992344917337</v>
      </c>
    </row>
    <row r="223" spans="1:6" x14ac:dyDescent="0.3">
      <c r="A223" s="13">
        <v>5.75</v>
      </c>
      <c r="B223" s="13">
        <v>0.47105999999999998</v>
      </c>
      <c r="C223" s="1">
        <f>Tabela15[[#This Row],[Alongamento (mm/mm)]]/$I$2</f>
        <v>9.4211999999999994E-3</v>
      </c>
      <c r="D223" s="13">
        <v>8.8451000000000004</v>
      </c>
      <c r="E223" s="1">
        <f>Tabela15[[#This Row],[Força (N)]]/$I$5</f>
        <v>182999.92344917337</v>
      </c>
      <c r="F223" s="1">
        <f>Tabela15[[#This Row],[Tensão (Pa)]]/1000000</f>
        <v>0.18299992344917337</v>
      </c>
    </row>
    <row r="224" spans="1:6" x14ac:dyDescent="0.3">
      <c r="A224" s="13">
        <v>5.8</v>
      </c>
      <c r="B224" s="13">
        <v>0.47525000000000001</v>
      </c>
      <c r="C224" s="1">
        <f>Tabela15[[#This Row],[Alongamento (mm/mm)]]/$I$2</f>
        <v>9.5049999999999996E-3</v>
      </c>
      <c r="D224" s="13">
        <v>9.0152000000000001</v>
      </c>
      <c r="E224" s="1">
        <f>Tabela15[[#This Row],[Força (N)]]/$I$5</f>
        <v>186519.19253360477</v>
      </c>
      <c r="F224" s="1">
        <f>Tabela15[[#This Row],[Tensão (Pa)]]/1000000</f>
        <v>0.18651919253360477</v>
      </c>
    </row>
    <row r="225" spans="1:6" x14ac:dyDescent="0.3">
      <c r="A225" s="13">
        <v>5.85</v>
      </c>
      <c r="B225" s="13">
        <v>0.47943000000000002</v>
      </c>
      <c r="C225" s="1">
        <f>Tabela15[[#This Row],[Alongamento (mm/mm)]]/$I$2</f>
        <v>9.5886000000000009E-3</v>
      </c>
      <c r="D225" s="13">
        <v>9.1852999999999998</v>
      </c>
      <c r="E225" s="1">
        <f>Tabela15[[#This Row],[Força (N)]]/$I$5</f>
        <v>190038.46161803621</v>
      </c>
      <c r="F225" s="1">
        <f>Tabela15[[#This Row],[Tensão (Pa)]]/1000000</f>
        <v>0.1900384616180362</v>
      </c>
    </row>
    <row r="226" spans="1:6" x14ac:dyDescent="0.3">
      <c r="A226" s="13">
        <v>5.9</v>
      </c>
      <c r="B226" s="13">
        <v>0.48353000000000002</v>
      </c>
      <c r="C226" s="1">
        <f>Tabela15[[#This Row],[Alongamento (mm/mm)]]/$I$2</f>
        <v>9.6705999999999997E-3</v>
      </c>
      <c r="D226" s="13">
        <v>9.1852999999999998</v>
      </c>
      <c r="E226" s="1">
        <f>Tabela15[[#This Row],[Força (N)]]/$I$5</f>
        <v>190038.46161803621</v>
      </c>
      <c r="F226" s="1">
        <f>Tabela15[[#This Row],[Tensão (Pa)]]/1000000</f>
        <v>0.1900384616180362</v>
      </c>
    </row>
    <row r="227" spans="1:6" x14ac:dyDescent="0.3">
      <c r="A227" s="13">
        <v>5.95</v>
      </c>
      <c r="B227" s="13">
        <v>0.48771999999999999</v>
      </c>
      <c r="C227" s="1">
        <f>Tabela15[[#This Row],[Alongamento (mm/mm)]]/$I$2</f>
        <v>9.7543999999999999E-3</v>
      </c>
      <c r="D227" s="13">
        <v>9.1852999999999998</v>
      </c>
      <c r="E227" s="1">
        <f>Tabela15[[#This Row],[Força (N)]]/$I$5</f>
        <v>190038.46161803621</v>
      </c>
      <c r="F227" s="1">
        <f>Tabela15[[#This Row],[Tensão (Pa)]]/1000000</f>
        <v>0.1900384616180362</v>
      </c>
    </row>
    <row r="228" spans="1:6" x14ac:dyDescent="0.3">
      <c r="A228" s="13">
        <v>6</v>
      </c>
      <c r="B228" s="13">
        <v>0.49181000000000002</v>
      </c>
      <c r="C228" s="1">
        <f>Tabela15[[#This Row],[Alongamento (mm/mm)]]/$I$2</f>
        <v>9.8361999999999998E-3</v>
      </c>
      <c r="D228" s="13">
        <v>9.1852999999999998</v>
      </c>
      <c r="E228" s="1">
        <f>Tabela15[[#This Row],[Força (N)]]/$I$5</f>
        <v>190038.46161803621</v>
      </c>
      <c r="F228" s="1">
        <f>Tabela15[[#This Row],[Tensão (Pa)]]/1000000</f>
        <v>0.1900384616180362</v>
      </c>
    </row>
    <row r="229" spans="1:6" x14ac:dyDescent="0.3">
      <c r="A229" s="13">
        <v>6.05</v>
      </c>
      <c r="B229" s="13">
        <v>0.49608999999999998</v>
      </c>
      <c r="C229" s="1">
        <f>Tabela15[[#This Row],[Alongamento (mm/mm)]]/$I$2</f>
        <v>9.9217999999999997E-3</v>
      </c>
      <c r="D229" s="13">
        <v>9.1852999999999998</v>
      </c>
      <c r="E229" s="1">
        <f>Tabela15[[#This Row],[Força (N)]]/$I$5</f>
        <v>190038.46161803621</v>
      </c>
      <c r="F229" s="1">
        <f>Tabela15[[#This Row],[Tensão (Pa)]]/1000000</f>
        <v>0.1900384616180362</v>
      </c>
    </row>
    <row r="230" spans="1:6" x14ac:dyDescent="0.3">
      <c r="A230" s="13">
        <v>6.1</v>
      </c>
      <c r="B230" s="13">
        <v>0.50027999999999995</v>
      </c>
      <c r="C230" s="1">
        <f>Tabela15[[#This Row],[Alongamento (mm/mm)]]/$I$2</f>
        <v>1.0005599999999998E-2</v>
      </c>
      <c r="D230" s="13">
        <v>9.1852999999999998</v>
      </c>
      <c r="E230" s="1">
        <f>Tabela15[[#This Row],[Força (N)]]/$I$5</f>
        <v>190038.46161803621</v>
      </c>
      <c r="F230" s="1">
        <f>Tabela15[[#This Row],[Tensão (Pa)]]/1000000</f>
        <v>0.1900384616180362</v>
      </c>
    </row>
    <row r="231" spans="1:6" x14ac:dyDescent="0.3">
      <c r="A231" s="13">
        <v>6.15</v>
      </c>
      <c r="B231" s="13">
        <v>0.50446999999999997</v>
      </c>
      <c r="C231" s="1">
        <f>Tabela15[[#This Row],[Alongamento (mm/mm)]]/$I$2</f>
        <v>1.00894E-2</v>
      </c>
      <c r="D231" s="13">
        <v>9.1852999999999998</v>
      </c>
      <c r="E231" s="1">
        <f>Tabela15[[#This Row],[Força (N)]]/$I$5</f>
        <v>190038.46161803621</v>
      </c>
      <c r="F231" s="1">
        <f>Tabela15[[#This Row],[Tensão (Pa)]]/1000000</f>
        <v>0.1900384616180362</v>
      </c>
    </row>
    <row r="232" spans="1:6" x14ac:dyDescent="0.3">
      <c r="A232" s="13">
        <v>6.2</v>
      </c>
      <c r="B232" s="13">
        <v>0.50856000000000001</v>
      </c>
      <c r="C232" s="1">
        <f>Tabela15[[#This Row],[Alongamento (mm/mm)]]/$I$2</f>
        <v>1.01712E-2</v>
      </c>
      <c r="D232" s="13">
        <v>9.1852999999999998</v>
      </c>
      <c r="E232" s="1">
        <f>Tabela15[[#This Row],[Força (N)]]/$I$5</f>
        <v>190038.46161803621</v>
      </c>
      <c r="F232" s="1">
        <f>Tabela15[[#This Row],[Tensão (Pa)]]/1000000</f>
        <v>0.1900384616180362</v>
      </c>
    </row>
    <row r="233" spans="1:6" x14ac:dyDescent="0.3">
      <c r="A233" s="13">
        <v>6.25</v>
      </c>
      <c r="B233" s="13">
        <v>0.51275000000000004</v>
      </c>
      <c r="C233" s="1">
        <f>Tabela15[[#This Row],[Alongamento (mm/mm)]]/$I$2</f>
        <v>1.0255E-2</v>
      </c>
      <c r="D233" s="13">
        <v>9.3553999999999995</v>
      </c>
      <c r="E233" s="1">
        <f>Tabela15[[#This Row],[Força (N)]]/$I$5</f>
        <v>193557.73070246761</v>
      </c>
      <c r="F233" s="1">
        <f>Tabela15[[#This Row],[Tensão (Pa)]]/1000000</f>
        <v>0.19355773070246762</v>
      </c>
    </row>
    <row r="234" spans="1:6" x14ac:dyDescent="0.3">
      <c r="A234" s="13">
        <v>6.3</v>
      </c>
      <c r="B234" s="13">
        <v>0.51693999999999996</v>
      </c>
      <c r="C234" s="1">
        <f>Tabela15[[#This Row],[Alongamento (mm/mm)]]/$I$2</f>
        <v>1.0338799999999999E-2</v>
      </c>
      <c r="D234" s="13">
        <v>9.3553999999999995</v>
      </c>
      <c r="E234" s="1">
        <f>Tabela15[[#This Row],[Força (N)]]/$I$5</f>
        <v>193557.73070246761</v>
      </c>
      <c r="F234" s="1">
        <f>Tabela15[[#This Row],[Tensão (Pa)]]/1000000</f>
        <v>0.19355773070246762</v>
      </c>
    </row>
    <row r="235" spans="1:6" x14ac:dyDescent="0.3">
      <c r="A235" s="13">
        <v>6.35</v>
      </c>
      <c r="B235" s="13">
        <v>0.52112000000000003</v>
      </c>
      <c r="C235" s="1">
        <f>Tabela15[[#This Row],[Alongamento (mm/mm)]]/$I$2</f>
        <v>1.04224E-2</v>
      </c>
      <c r="D235" s="13">
        <v>9.5254999999999992</v>
      </c>
      <c r="E235" s="1">
        <f>Tabela15[[#This Row],[Força (N)]]/$I$5</f>
        <v>197076.99978689902</v>
      </c>
      <c r="F235" s="1">
        <f>Tabela15[[#This Row],[Tensão (Pa)]]/1000000</f>
        <v>0.19707699978689902</v>
      </c>
    </row>
    <row r="236" spans="1:6" x14ac:dyDescent="0.3">
      <c r="A236" s="13">
        <v>6.4</v>
      </c>
      <c r="B236" s="13">
        <v>0.52522000000000002</v>
      </c>
      <c r="C236" s="1">
        <f>Tabela15[[#This Row],[Alongamento (mm/mm)]]/$I$2</f>
        <v>1.0504400000000001E-2</v>
      </c>
      <c r="D236" s="13">
        <v>9.5254999999999992</v>
      </c>
      <c r="E236" s="1">
        <f>Tabela15[[#This Row],[Força (N)]]/$I$5</f>
        <v>197076.99978689902</v>
      </c>
      <c r="F236" s="1">
        <f>Tabela15[[#This Row],[Tensão (Pa)]]/1000000</f>
        <v>0.19707699978689902</v>
      </c>
    </row>
    <row r="237" spans="1:6" x14ac:dyDescent="0.3">
      <c r="A237" s="13">
        <v>6.45</v>
      </c>
      <c r="B237" s="13">
        <v>0.52941000000000005</v>
      </c>
      <c r="C237" s="1">
        <f>Tabela15[[#This Row],[Alongamento (mm/mm)]]/$I$2</f>
        <v>1.0588200000000001E-2</v>
      </c>
      <c r="D237" s="13">
        <v>9.5254999999999992</v>
      </c>
      <c r="E237" s="1">
        <f>Tabela15[[#This Row],[Força (N)]]/$I$5</f>
        <v>197076.99978689902</v>
      </c>
      <c r="F237" s="1">
        <f>Tabela15[[#This Row],[Tensão (Pa)]]/1000000</f>
        <v>0.19707699978689902</v>
      </c>
    </row>
    <row r="238" spans="1:6" x14ac:dyDescent="0.3">
      <c r="A238" s="13">
        <v>6.5</v>
      </c>
      <c r="B238" s="13">
        <v>0.53359000000000001</v>
      </c>
      <c r="C238" s="1">
        <f>Tabela15[[#This Row],[Alongamento (mm/mm)]]/$I$2</f>
        <v>1.06718E-2</v>
      </c>
      <c r="D238" s="13">
        <v>9.5254999999999992</v>
      </c>
      <c r="E238" s="1">
        <f>Tabela15[[#This Row],[Força (N)]]/$I$5</f>
        <v>197076.99978689902</v>
      </c>
      <c r="F238" s="1">
        <f>Tabela15[[#This Row],[Tensão (Pa)]]/1000000</f>
        <v>0.19707699978689902</v>
      </c>
    </row>
    <row r="239" spans="1:6" x14ac:dyDescent="0.3">
      <c r="A239" s="13">
        <v>6.55</v>
      </c>
      <c r="B239" s="13">
        <v>0.53769</v>
      </c>
      <c r="C239" s="1">
        <f>Tabela15[[#This Row],[Alongamento (mm/mm)]]/$I$2</f>
        <v>1.0753800000000001E-2</v>
      </c>
      <c r="D239" s="13">
        <v>9.5254999999999992</v>
      </c>
      <c r="E239" s="1">
        <f>Tabela15[[#This Row],[Força (N)]]/$I$5</f>
        <v>197076.99978689902</v>
      </c>
      <c r="F239" s="1">
        <f>Tabela15[[#This Row],[Tensão (Pa)]]/1000000</f>
        <v>0.19707699978689902</v>
      </c>
    </row>
    <row r="240" spans="1:6" x14ac:dyDescent="0.3">
      <c r="A240" s="13">
        <v>6.6</v>
      </c>
      <c r="B240" s="13">
        <v>0.54196999999999995</v>
      </c>
      <c r="C240" s="1">
        <f>Tabela15[[#This Row],[Alongamento (mm/mm)]]/$I$2</f>
        <v>1.0839399999999999E-2</v>
      </c>
      <c r="D240" s="13">
        <v>9.5254999999999992</v>
      </c>
      <c r="E240" s="1">
        <f>Tabela15[[#This Row],[Força (N)]]/$I$5</f>
        <v>197076.99978689902</v>
      </c>
      <c r="F240" s="1">
        <f>Tabela15[[#This Row],[Tensão (Pa)]]/1000000</f>
        <v>0.19707699978689902</v>
      </c>
    </row>
    <row r="241" spans="1:6" x14ac:dyDescent="0.3">
      <c r="A241" s="13">
        <v>6.6666999999999996</v>
      </c>
      <c r="B241" s="13">
        <v>0.54745999999999995</v>
      </c>
      <c r="C241" s="1">
        <f>Tabela15[[#This Row],[Alongamento (mm/mm)]]/$I$2</f>
        <v>1.0949199999999999E-2</v>
      </c>
      <c r="D241" s="13">
        <v>9.5254999999999992</v>
      </c>
      <c r="E241" s="1">
        <f>Tabela15[[#This Row],[Força (N)]]/$I$5</f>
        <v>197076.99978689902</v>
      </c>
      <c r="F241" s="1">
        <f>Tabela15[[#This Row],[Tensão (Pa)]]/1000000</f>
        <v>0.19707699978689902</v>
      </c>
    </row>
    <row r="242" spans="1:6" x14ac:dyDescent="0.3">
      <c r="A242" s="13">
        <v>6.7167000000000003</v>
      </c>
      <c r="B242" s="13">
        <v>0.55164999999999997</v>
      </c>
      <c r="C242" s="1">
        <f>Tabela15[[#This Row],[Alongamento (mm/mm)]]/$I$2</f>
        <v>1.1032999999999999E-2</v>
      </c>
      <c r="D242" s="13">
        <v>9.5254999999999992</v>
      </c>
      <c r="E242" s="1">
        <f>Tabela15[[#This Row],[Força (N)]]/$I$5</f>
        <v>197076.99978689902</v>
      </c>
      <c r="F242" s="1">
        <f>Tabela15[[#This Row],[Tensão (Pa)]]/1000000</f>
        <v>0.19707699978689902</v>
      </c>
    </row>
    <row r="243" spans="1:6" x14ac:dyDescent="0.3">
      <c r="A243" s="13">
        <v>6.7832999999999997</v>
      </c>
      <c r="B243" s="13">
        <v>0.55723</v>
      </c>
      <c r="C243" s="1">
        <f>Tabela15[[#This Row],[Alongamento (mm/mm)]]/$I$2</f>
        <v>1.1144599999999999E-2</v>
      </c>
      <c r="D243" s="13">
        <v>9.5254999999999992</v>
      </c>
      <c r="E243" s="1">
        <f>Tabela15[[#This Row],[Força (N)]]/$I$5</f>
        <v>197076.99978689902</v>
      </c>
      <c r="F243" s="1">
        <f>Tabela15[[#This Row],[Tensão (Pa)]]/1000000</f>
        <v>0.19707699978689902</v>
      </c>
    </row>
    <row r="244" spans="1:6" x14ac:dyDescent="0.3">
      <c r="A244" s="13">
        <v>6.85</v>
      </c>
      <c r="B244" s="13">
        <v>0.56281000000000003</v>
      </c>
      <c r="C244" s="1">
        <f>Tabela15[[#This Row],[Alongamento (mm/mm)]]/$I$2</f>
        <v>1.1256200000000001E-2</v>
      </c>
      <c r="D244" s="13">
        <v>9.5254999999999992</v>
      </c>
      <c r="E244" s="1">
        <f>Tabela15[[#This Row],[Força (N)]]/$I$5</f>
        <v>197076.99978689902</v>
      </c>
      <c r="F244" s="1">
        <f>Tabela15[[#This Row],[Tensão (Pa)]]/1000000</f>
        <v>0.19707699978689902</v>
      </c>
    </row>
    <row r="245" spans="1:6" x14ac:dyDescent="0.3">
      <c r="A245" s="13">
        <v>6.9166999999999996</v>
      </c>
      <c r="B245" s="13">
        <v>0.56830999999999998</v>
      </c>
      <c r="C245" s="1">
        <f>Tabela15[[#This Row],[Alongamento (mm/mm)]]/$I$2</f>
        <v>1.13662E-2</v>
      </c>
      <c r="D245" s="13">
        <v>9.5254999999999992</v>
      </c>
      <c r="E245" s="1">
        <f>Tabela15[[#This Row],[Força (N)]]/$I$5</f>
        <v>197076.99978689902</v>
      </c>
      <c r="F245" s="1">
        <f>Tabela15[[#This Row],[Tensão (Pa)]]/1000000</f>
        <v>0.19707699978689902</v>
      </c>
    </row>
    <row r="246" spans="1:6" x14ac:dyDescent="0.3">
      <c r="A246" s="13">
        <v>6.9832999999999998</v>
      </c>
      <c r="B246" s="13">
        <v>0.57389000000000001</v>
      </c>
      <c r="C246" s="1">
        <f>Tabela15[[#This Row],[Alongamento (mm/mm)]]/$I$2</f>
        <v>1.14778E-2</v>
      </c>
      <c r="D246" s="13">
        <v>9.5254999999999992</v>
      </c>
      <c r="E246" s="1">
        <f>Tabela15[[#This Row],[Força (N)]]/$I$5</f>
        <v>197076.99978689902</v>
      </c>
      <c r="F246" s="1">
        <f>Tabela15[[#This Row],[Tensão (Pa)]]/1000000</f>
        <v>0.19707699978689902</v>
      </c>
    </row>
    <row r="247" spans="1:6" x14ac:dyDescent="0.3">
      <c r="A247" s="13">
        <v>7.05</v>
      </c>
      <c r="B247" s="13">
        <v>0.57938000000000001</v>
      </c>
      <c r="C247" s="1">
        <f>Tabela15[[#This Row],[Alongamento (mm/mm)]]/$I$2</f>
        <v>1.15876E-2</v>
      </c>
      <c r="D247" s="13">
        <v>9.5254999999999992</v>
      </c>
      <c r="E247" s="1">
        <f>Tabela15[[#This Row],[Força (N)]]/$I$5</f>
        <v>197076.99978689902</v>
      </c>
      <c r="F247" s="1">
        <f>Tabela15[[#This Row],[Tensão (Pa)]]/1000000</f>
        <v>0.19707699978689902</v>
      </c>
    </row>
    <row r="248" spans="1:6" x14ac:dyDescent="0.3">
      <c r="A248" s="13">
        <v>7.1166999999999998</v>
      </c>
      <c r="B248" s="13">
        <v>0.58487</v>
      </c>
      <c r="C248" s="1">
        <f>Tabela15[[#This Row],[Alongamento (mm/mm)]]/$I$2</f>
        <v>1.16974E-2</v>
      </c>
      <c r="D248" s="13">
        <v>9.5254999999999992</v>
      </c>
      <c r="E248" s="1">
        <f>Tabela15[[#This Row],[Força (N)]]/$I$5</f>
        <v>197076.99978689902</v>
      </c>
      <c r="F248" s="1">
        <f>Tabela15[[#This Row],[Tensão (Pa)]]/1000000</f>
        <v>0.19707699978689902</v>
      </c>
    </row>
    <row r="249" spans="1:6" x14ac:dyDescent="0.3">
      <c r="A249" s="13">
        <v>7.1833</v>
      </c>
      <c r="B249" s="13">
        <v>0.59045000000000003</v>
      </c>
      <c r="C249" s="1">
        <f>Tabela15[[#This Row],[Alongamento (mm/mm)]]/$I$2</f>
        <v>1.1809E-2</v>
      </c>
      <c r="D249" s="13">
        <v>9.6956000000000007</v>
      </c>
      <c r="E249" s="1">
        <f>Tabela15[[#This Row],[Força (N)]]/$I$5</f>
        <v>200596.26887133048</v>
      </c>
      <c r="F249" s="1">
        <f>Tabela15[[#This Row],[Tensão (Pa)]]/1000000</f>
        <v>0.20059626887133047</v>
      </c>
    </row>
    <row r="250" spans="1:6" x14ac:dyDescent="0.3">
      <c r="A250" s="13">
        <v>7.25</v>
      </c>
      <c r="B250" s="13">
        <v>0.59613000000000005</v>
      </c>
      <c r="C250" s="1">
        <f>Tabela15[[#This Row],[Alongamento (mm/mm)]]/$I$2</f>
        <v>1.19226E-2</v>
      </c>
      <c r="D250" s="13">
        <v>10.036</v>
      </c>
      <c r="E250" s="1">
        <f>Tabela15[[#This Row],[Força (N)]]/$I$5</f>
        <v>207638.9449227147</v>
      </c>
      <c r="F250" s="1">
        <f>Tabela15[[#This Row],[Tensão (Pa)]]/1000000</f>
        <v>0.2076389449227147</v>
      </c>
    </row>
    <row r="251" spans="1:6" x14ac:dyDescent="0.3">
      <c r="A251" s="13">
        <v>7.3167</v>
      </c>
      <c r="B251" s="13">
        <v>0.60162000000000004</v>
      </c>
      <c r="C251" s="1">
        <f>Tabela15[[#This Row],[Alongamento (mm/mm)]]/$I$2</f>
        <v>1.20324E-2</v>
      </c>
      <c r="D251" s="13">
        <v>10.206</v>
      </c>
      <c r="E251" s="1">
        <f>Tabela15[[#This Row],[Força (N)]]/$I$5</f>
        <v>211156.14506588542</v>
      </c>
      <c r="F251" s="1">
        <f>Tabela15[[#This Row],[Tensão (Pa)]]/1000000</f>
        <v>0.21115614506588543</v>
      </c>
    </row>
    <row r="252" spans="1:6" x14ac:dyDescent="0.3">
      <c r="A252" s="13">
        <v>7.3833000000000002</v>
      </c>
      <c r="B252" s="13">
        <v>0.60719999999999996</v>
      </c>
      <c r="C252" s="1">
        <f>Tabela15[[#This Row],[Alongamento (mm/mm)]]/$I$2</f>
        <v>1.2143999999999999E-2</v>
      </c>
      <c r="D252" s="13">
        <v>10.545999999999999</v>
      </c>
      <c r="E252" s="1">
        <f>Tabela15[[#This Row],[Força (N)]]/$I$5</f>
        <v>218190.54535222688</v>
      </c>
      <c r="F252" s="1">
        <f>Tabela15[[#This Row],[Tensão (Pa)]]/1000000</f>
        <v>0.21819054535222687</v>
      </c>
    </row>
    <row r="253" spans="1:6" x14ac:dyDescent="0.3">
      <c r="A253" s="13">
        <v>7.45</v>
      </c>
      <c r="B253" s="13">
        <v>0.61278999999999995</v>
      </c>
      <c r="C253" s="1">
        <f>Tabela15[[#This Row],[Alongamento (mm/mm)]]/$I$2</f>
        <v>1.2255799999999999E-2</v>
      </c>
      <c r="D253" s="13">
        <v>10.885999999999999</v>
      </c>
      <c r="E253" s="1">
        <f>Tabela15[[#This Row],[Força (N)]]/$I$5</f>
        <v>225224.94563856834</v>
      </c>
      <c r="F253" s="1">
        <f>Tabela15[[#This Row],[Tensão (Pa)]]/1000000</f>
        <v>0.22522494563856835</v>
      </c>
    </row>
    <row r="254" spans="1:6" x14ac:dyDescent="0.3">
      <c r="A254" s="13">
        <v>7.5167000000000002</v>
      </c>
      <c r="B254" s="13">
        <v>0.61828000000000005</v>
      </c>
      <c r="C254" s="1">
        <f>Tabela15[[#This Row],[Alongamento (mm/mm)]]/$I$2</f>
        <v>1.2365600000000001E-2</v>
      </c>
      <c r="D254" s="13">
        <v>11.227</v>
      </c>
      <c r="E254" s="1">
        <f>Tabela15[[#This Row],[Força (N)]]/$I$5</f>
        <v>232280.03533751672</v>
      </c>
      <c r="F254" s="1">
        <f>Tabela15[[#This Row],[Tensão (Pa)]]/1000000</f>
        <v>0.2322800353375167</v>
      </c>
    </row>
    <row r="255" spans="1:6" x14ac:dyDescent="0.3">
      <c r="A255" s="13">
        <v>7.5833000000000004</v>
      </c>
      <c r="B255" s="13">
        <v>0.62385999999999997</v>
      </c>
      <c r="C255" s="1">
        <f>Tabela15[[#This Row],[Alongamento (mm/mm)]]/$I$2</f>
        <v>1.2477199999999999E-2</v>
      </c>
      <c r="D255" s="13">
        <v>11.397</v>
      </c>
      <c r="E255" s="1">
        <f>Tabela15[[#This Row],[Força (N)]]/$I$5</f>
        <v>235797.23548068746</v>
      </c>
      <c r="F255" s="1">
        <f>Tabela15[[#This Row],[Tensão (Pa)]]/1000000</f>
        <v>0.23579723548068746</v>
      </c>
    </row>
    <row r="256" spans="1:6" x14ac:dyDescent="0.3">
      <c r="A256" s="13">
        <v>7.65</v>
      </c>
      <c r="B256" s="13">
        <v>0.62944</v>
      </c>
      <c r="C256" s="1">
        <f>Tabela15[[#This Row],[Alongamento (mm/mm)]]/$I$2</f>
        <v>1.2588800000000001E-2</v>
      </c>
      <c r="D256" s="13">
        <v>11.397</v>
      </c>
      <c r="E256" s="1">
        <f>Tabela15[[#This Row],[Força (N)]]/$I$5</f>
        <v>235797.23548068746</v>
      </c>
      <c r="F256" s="1">
        <f>Tabela15[[#This Row],[Tensão (Pa)]]/1000000</f>
        <v>0.23579723548068746</v>
      </c>
    </row>
    <row r="257" spans="1:6" x14ac:dyDescent="0.3">
      <c r="A257" s="13">
        <v>7.7167000000000003</v>
      </c>
      <c r="B257" s="13">
        <v>0.63502999999999998</v>
      </c>
      <c r="C257" s="1">
        <f>Tabela15[[#This Row],[Alongamento (mm/mm)]]/$I$2</f>
        <v>1.2700599999999999E-2</v>
      </c>
      <c r="D257" s="13">
        <v>11.397</v>
      </c>
      <c r="E257" s="1">
        <f>Tabela15[[#This Row],[Força (N)]]/$I$5</f>
        <v>235797.23548068746</v>
      </c>
      <c r="F257" s="1">
        <f>Tabela15[[#This Row],[Tensão (Pa)]]/1000000</f>
        <v>0.23579723548068746</v>
      </c>
    </row>
    <row r="258" spans="1:6" x14ac:dyDescent="0.3">
      <c r="A258" s="13">
        <v>7.7832999999999997</v>
      </c>
      <c r="B258" s="13">
        <v>0.64051999999999998</v>
      </c>
      <c r="C258" s="1">
        <f>Tabela15[[#This Row],[Alongamento (mm/mm)]]/$I$2</f>
        <v>1.28104E-2</v>
      </c>
      <c r="D258" s="13">
        <v>11.567</v>
      </c>
      <c r="E258" s="1">
        <f>Tabela15[[#This Row],[Força (N)]]/$I$5</f>
        <v>239314.43562385821</v>
      </c>
      <c r="F258" s="1">
        <f>Tabela15[[#This Row],[Tensão (Pa)]]/1000000</f>
        <v>0.23931443562385821</v>
      </c>
    </row>
    <row r="259" spans="1:6" x14ac:dyDescent="0.3">
      <c r="A259" s="13">
        <v>7.85</v>
      </c>
      <c r="B259" s="13">
        <v>0.64610000000000001</v>
      </c>
      <c r="C259" s="1">
        <f>Tabela15[[#This Row],[Alongamento (mm/mm)]]/$I$2</f>
        <v>1.2921999999999999E-2</v>
      </c>
      <c r="D259" s="13">
        <v>11.567</v>
      </c>
      <c r="E259" s="1">
        <f>Tabela15[[#This Row],[Força (N)]]/$I$5</f>
        <v>239314.43562385821</v>
      </c>
      <c r="F259" s="1">
        <f>Tabela15[[#This Row],[Tensão (Pa)]]/1000000</f>
        <v>0.23931443562385821</v>
      </c>
    </row>
    <row r="260" spans="1:6" x14ac:dyDescent="0.3">
      <c r="A260" s="13">
        <v>7.9166999999999996</v>
      </c>
      <c r="B260" s="13">
        <v>0.65168999999999999</v>
      </c>
      <c r="C260" s="1">
        <f>Tabela15[[#This Row],[Alongamento (mm/mm)]]/$I$2</f>
        <v>1.30338E-2</v>
      </c>
      <c r="D260" s="13">
        <v>11.567</v>
      </c>
      <c r="E260" s="1">
        <f>Tabela15[[#This Row],[Força (N)]]/$I$5</f>
        <v>239314.43562385821</v>
      </c>
      <c r="F260" s="1">
        <f>Tabela15[[#This Row],[Tensão (Pa)]]/1000000</f>
        <v>0.23931443562385821</v>
      </c>
    </row>
    <row r="261" spans="1:6" x14ac:dyDescent="0.3">
      <c r="A261" s="13">
        <v>7.9832999999999998</v>
      </c>
      <c r="B261" s="13">
        <v>0.65717999999999999</v>
      </c>
      <c r="C261" s="1">
        <f>Tabela15[[#This Row],[Alongamento (mm/mm)]]/$I$2</f>
        <v>1.31436E-2</v>
      </c>
      <c r="D261" s="13">
        <v>11.567</v>
      </c>
      <c r="E261" s="1">
        <f>Tabela15[[#This Row],[Força (N)]]/$I$5</f>
        <v>239314.43562385821</v>
      </c>
      <c r="F261" s="1">
        <f>Tabela15[[#This Row],[Tensão (Pa)]]/1000000</f>
        <v>0.23931443562385821</v>
      </c>
    </row>
    <row r="262" spans="1:6" x14ac:dyDescent="0.3">
      <c r="A262" s="13">
        <v>8.0500000000000007</v>
      </c>
      <c r="B262" s="13">
        <v>0.66266999999999998</v>
      </c>
      <c r="C262" s="1">
        <f>Tabela15[[#This Row],[Alongamento (mm/mm)]]/$I$2</f>
        <v>1.32534E-2</v>
      </c>
      <c r="D262" s="13">
        <v>11.567</v>
      </c>
      <c r="E262" s="1">
        <f>Tabela15[[#This Row],[Força (N)]]/$I$5</f>
        <v>239314.43562385821</v>
      </c>
      <c r="F262" s="1">
        <f>Tabela15[[#This Row],[Tensão (Pa)]]/1000000</f>
        <v>0.23931443562385821</v>
      </c>
    </row>
    <row r="263" spans="1:6" x14ac:dyDescent="0.3">
      <c r="A263" s="13">
        <v>8.1166999999999998</v>
      </c>
      <c r="B263" s="13">
        <v>0.66825000000000001</v>
      </c>
      <c r="C263" s="1">
        <f>Tabela15[[#This Row],[Alongamento (mm/mm)]]/$I$2</f>
        <v>1.3365E-2</v>
      </c>
      <c r="D263" s="13">
        <v>11.567</v>
      </c>
      <c r="E263" s="1">
        <f>Tabela15[[#This Row],[Força (N)]]/$I$5</f>
        <v>239314.43562385821</v>
      </c>
      <c r="F263" s="1">
        <f>Tabela15[[#This Row],[Tensão (Pa)]]/1000000</f>
        <v>0.23931443562385821</v>
      </c>
    </row>
    <row r="264" spans="1:6" x14ac:dyDescent="0.3">
      <c r="A264" s="13">
        <v>8.1832999999999991</v>
      </c>
      <c r="B264" s="13">
        <v>0.67383000000000004</v>
      </c>
      <c r="C264" s="1">
        <f>Tabela15[[#This Row],[Alongamento (mm/mm)]]/$I$2</f>
        <v>1.34766E-2</v>
      </c>
      <c r="D264" s="13">
        <v>11.567</v>
      </c>
      <c r="E264" s="1">
        <f>Tabela15[[#This Row],[Força (N)]]/$I$5</f>
        <v>239314.43562385821</v>
      </c>
      <c r="F264" s="1">
        <f>Tabela15[[#This Row],[Tensão (Pa)]]/1000000</f>
        <v>0.23931443562385821</v>
      </c>
    </row>
    <row r="265" spans="1:6" x14ac:dyDescent="0.3">
      <c r="A265" s="13">
        <v>8.25</v>
      </c>
      <c r="B265" s="13">
        <v>0.67942000000000002</v>
      </c>
      <c r="C265" s="1">
        <f>Tabela15[[#This Row],[Alongamento (mm/mm)]]/$I$2</f>
        <v>1.35884E-2</v>
      </c>
      <c r="D265" s="13">
        <v>11.567</v>
      </c>
      <c r="E265" s="1">
        <f>Tabela15[[#This Row],[Força (N)]]/$I$5</f>
        <v>239314.43562385821</v>
      </c>
      <c r="F265" s="1">
        <f>Tabela15[[#This Row],[Tensão (Pa)]]/1000000</f>
        <v>0.23931443562385821</v>
      </c>
    </row>
    <row r="266" spans="1:6" x14ac:dyDescent="0.3">
      <c r="A266" s="13">
        <v>8.3167000000000009</v>
      </c>
      <c r="B266" s="13">
        <v>0.68491000000000002</v>
      </c>
      <c r="C266" s="1">
        <f>Tabela15[[#This Row],[Alongamento (mm/mm)]]/$I$2</f>
        <v>1.3698200000000001E-2</v>
      </c>
      <c r="D266" s="13">
        <v>11.567</v>
      </c>
      <c r="E266" s="1">
        <f>Tabela15[[#This Row],[Força (N)]]/$I$5</f>
        <v>239314.43562385821</v>
      </c>
      <c r="F266" s="1">
        <f>Tabela15[[#This Row],[Tensão (Pa)]]/1000000</f>
        <v>0.23931443562385821</v>
      </c>
    </row>
    <row r="267" spans="1:6" x14ac:dyDescent="0.3">
      <c r="A267" s="13">
        <v>8.3833000000000002</v>
      </c>
      <c r="B267" s="13">
        <v>0.69057999999999997</v>
      </c>
      <c r="C267" s="1">
        <f>Tabela15[[#This Row],[Alongamento (mm/mm)]]/$I$2</f>
        <v>1.38116E-2</v>
      </c>
      <c r="D267" s="13">
        <v>11.567</v>
      </c>
      <c r="E267" s="1">
        <f>Tabela15[[#This Row],[Força (N)]]/$I$5</f>
        <v>239314.43562385821</v>
      </c>
      <c r="F267" s="1">
        <f>Tabela15[[#This Row],[Tensão (Pa)]]/1000000</f>
        <v>0.23931443562385821</v>
      </c>
    </row>
    <row r="268" spans="1:6" x14ac:dyDescent="0.3">
      <c r="A268" s="13">
        <v>8.4499999999999993</v>
      </c>
      <c r="B268" s="13">
        <v>0.69616999999999996</v>
      </c>
      <c r="C268" s="1">
        <f>Tabela15[[#This Row],[Alongamento (mm/mm)]]/$I$2</f>
        <v>1.3923399999999999E-2</v>
      </c>
      <c r="D268" s="13">
        <v>11.567</v>
      </c>
      <c r="E268" s="1">
        <f>Tabela15[[#This Row],[Força (N)]]/$I$5</f>
        <v>239314.43562385821</v>
      </c>
      <c r="F268" s="1">
        <f>Tabela15[[#This Row],[Tensão (Pa)]]/1000000</f>
        <v>0.23931443562385821</v>
      </c>
    </row>
    <row r="269" spans="1:6" x14ac:dyDescent="0.3">
      <c r="A269" s="13">
        <v>8.5167000000000002</v>
      </c>
      <c r="B269" s="13">
        <v>0.70165999999999995</v>
      </c>
      <c r="C269" s="1">
        <f>Tabela15[[#This Row],[Alongamento (mm/mm)]]/$I$2</f>
        <v>1.4033199999999999E-2</v>
      </c>
      <c r="D269" s="13">
        <v>11.567</v>
      </c>
      <c r="E269" s="1">
        <f>Tabela15[[#This Row],[Força (N)]]/$I$5</f>
        <v>239314.43562385821</v>
      </c>
      <c r="F269" s="1">
        <f>Tabela15[[#This Row],[Tensão (Pa)]]/1000000</f>
        <v>0.23931443562385821</v>
      </c>
    </row>
    <row r="270" spans="1:6" x14ac:dyDescent="0.3">
      <c r="A270" s="13">
        <v>8.5832999999999995</v>
      </c>
      <c r="B270" s="13">
        <v>0.70723999999999998</v>
      </c>
      <c r="C270" s="1">
        <f>Tabela15[[#This Row],[Alongamento (mm/mm)]]/$I$2</f>
        <v>1.4144799999999999E-2</v>
      </c>
      <c r="D270" s="13">
        <v>11.567</v>
      </c>
      <c r="E270" s="1">
        <f>Tabela15[[#This Row],[Força (N)]]/$I$5</f>
        <v>239314.43562385821</v>
      </c>
      <c r="F270" s="1">
        <f>Tabela15[[#This Row],[Tensão (Pa)]]/1000000</f>
        <v>0.23931443562385821</v>
      </c>
    </row>
    <row r="271" spans="1:6" x14ac:dyDescent="0.3">
      <c r="A271" s="13">
        <v>8.65</v>
      </c>
      <c r="B271" s="13">
        <v>0.71272999999999997</v>
      </c>
      <c r="C271" s="1">
        <f>Tabela15[[#This Row],[Alongamento (mm/mm)]]/$I$2</f>
        <v>1.4254599999999999E-2</v>
      </c>
      <c r="D271" s="13">
        <v>11.567</v>
      </c>
      <c r="E271" s="1">
        <f>Tabela15[[#This Row],[Força (N)]]/$I$5</f>
        <v>239314.43562385821</v>
      </c>
      <c r="F271" s="1">
        <f>Tabela15[[#This Row],[Tensão (Pa)]]/1000000</f>
        <v>0.23931443562385821</v>
      </c>
    </row>
    <row r="272" spans="1:6" x14ac:dyDescent="0.3">
      <c r="A272" s="13">
        <v>8.7166999999999994</v>
      </c>
      <c r="B272" s="13">
        <v>0.71831</v>
      </c>
      <c r="C272" s="1">
        <f>Tabela15[[#This Row],[Alongamento (mm/mm)]]/$I$2</f>
        <v>1.4366200000000001E-2</v>
      </c>
      <c r="D272" s="13">
        <v>11.567</v>
      </c>
      <c r="E272" s="1">
        <f>Tabela15[[#This Row],[Força (N)]]/$I$5</f>
        <v>239314.43562385821</v>
      </c>
      <c r="F272" s="1">
        <f>Tabela15[[#This Row],[Tensão (Pa)]]/1000000</f>
        <v>0.23931443562385821</v>
      </c>
    </row>
    <row r="273" spans="1:6" x14ac:dyDescent="0.3">
      <c r="A273" s="13">
        <v>8.8000000000000007</v>
      </c>
      <c r="B273" s="13">
        <v>0.72519999999999996</v>
      </c>
      <c r="C273" s="1">
        <f>Tabela15[[#This Row],[Alongamento (mm/mm)]]/$I$2</f>
        <v>1.4504E-2</v>
      </c>
      <c r="D273" s="13">
        <v>11.567</v>
      </c>
      <c r="E273" s="1">
        <f>Tabela15[[#This Row],[Força (N)]]/$I$5</f>
        <v>239314.43562385821</v>
      </c>
      <c r="F273" s="1">
        <f>Tabela15[[#This Row],[Tensão (Pa)]]/1000000</f>
        <v>0.23931443562385821</v>
      </c>
    </row>
    <row r="274" spans="1:6" x14ac:dyDescent="0.3">
      <c r="A274" s="13">
        <v>8.8666999999999998</v>
      </c>
      <c r="B274" s="13">
        <v>0.73077999999999999</v>
      </c>
      <c r="C274" s="1">
        <f>Tabela15[[#This Row],[Alongamento (mm/mm)]]/$I$2</f>
        <v>1.4615599999999999E-2</v>
      </c>
      <c r="D274" s="13">
        <v>11.567</v>
      </c>
      <c r="E274" s="1">
        <f>Tabela15[[#This Row],[Força (N)]]/$I$5</f>
        <v>239314.43562385821</v>
      </c>
      <c r="F274" s="1">
        <f>Tabela15[[#This Row],[Tensão (Pa)]]/1000000</f>
        <v>0.23931443562385821</v>
      </c>
    </row>
    <row r="275" spans="1:6" x14ac:dyDescent="0.3">
      <c r="A275" s="13">
        <v>8.9499999999999993</v>
      </c>
      <c r="B275" s="13">
        <v>0.73775999999999997</v>
      </c>
      <c r="C275" s="1">
        <f>Tabela15[[#This Row],[Alongamento (mm/mm)]]/$I$2</f>
        <v>1.47552E-2</v>
      </c>
      <c r="D275" s="13">
        <v>11.567</v>
      </c>
      <c r="E275" s="1">
        <f>Tabela15[[#This Row],[Força (N)]]/$I$5</f>
        <v>239314.43562385821</v>
      </c>
      <c r="F275" s="1">
        <f>Tabela15[[#This Row],[Tensão (Pa)]]/1000000</f>
        <v>0.23931443562385821</v>
      </c>
    </row>
    <row r="276" spans="1:6" x14ac:dyDescent="0.3">
      <c r="A276" s="13">
        <v>9.0333000000000006</v>
      </c>
      <c r="B276" s="13">
        <v>0.74473999999999996</v>
      </c>
      <c r="C276" s="1">
        <f>Tabela15[[#This Row],[Alongamento (mm/mm)]]/$I$2</f>
        <v>1.48948E-2</v>
      </c>
      <c r="D276" s="13">
        <v>11.567</v>
      </c>
      <c r="E276" s="1">
        <f>Tabela15[[#This Row],[Força (N)]]/$I$5</f>
        <v>239314.43562385821</v>
      </c>
      <c r="F276" s="1">
        <f>Tabela15[[#This Row],[Tensão (Pa)]]/1000000</f>
        <v>0.23931443562385821</v>
      </c>
    </row>
    <row r="277" spans="1:6" x14ac:dyDescent="0.3">
      <c r="A277" s="13">
        <v>9.1166999999999998</v>
      </c>
      <c r="B277" s="13">
        <v>0.75163000000000002</v>
      </c>
      <c r="C277" s="1">
        <f>Tabela15[[#This Row],[Alongamento (mm/mm)]]/$I$2</f>
        <v>1.50326E-2</v>
      </c>
      <c r="D277" s="13">
        <v>11.567</v>
      </c>
      <c r="E277" s="1">
        <f>Tabela15[[#This Row],[Força (N)]]/$I$5</f>
        <v>239314.43562385821</v>
      </c>
      <c r="F277" s="1">
        <f>Tabela15[[#This Row],[Tensão (Pa)]]/1000000</f>
        <v>0.23931443562385821</v>
      </c>
    </row>
    <row r="278" spans="1:6" x14ac:dyDescent="0.3">
      <c r="A278" s="13">
        <v>9.1999999999999993</v>
      </c>
      <c r="B278" s="13">
        <v>0.75861000000000001</v>
      </c>
      <c r="C278" s="1">
        <f>Tabela15[[#This Row],[Alongamento (mm/mm)]]/$I$2</f>
        <v>1.51722E-2</v>
      </c>
      <c r="D278" s="13">
        <v>11.567</v>
      </c>
      <c r="E278" s="1">
        <f>Tabela15[[#This Row],[Força (N)]]/$I$5</f>
        <v>239314.43562385821</v>
      </c>
      <c r="F278" s="1">
        <f>Tabela15[[#This Row],[Tensão (Pa)]]/1000000</f>
        <v>0.23931443562385821</v>
      </c>
    </row>
    <row r="279" spans="1:6" x14ac:dyDescent="0.3">
      <c r="A279" s="13">
        <v>9.2833000000000006</v>
      </c>
      <c r="B279" s="13">
        <v>0.76549999999999996</v>
      </c>
      <c r="C279" s="1">
        <f>Tabela15[[#This Row],[Alongamento (mm/mm)]]/$I$2</f>
        <v>1.5309999999999999E-2</v>
      </c>
      <c r="D279" s="13">
        <v>11.567</v>
      </c>
      <c r="E279" s="1">
        <f>Tabela15[[#This Row],[Força (N)]]/$I$5</f>
        <v>239314.43562385821</v>
      </c>
      <c r="F279" s="1">
        <f>Tabela15[[#This Row],[Tensão (Pa)]]/1000000</f>
        <v>0.23931443562385821</v>
      </c>
    </row>
    <row r="280" spans="1:6" x14ac:dyDescent="0.3">
      <c r="A280" s="13">
        <v>9.3666999999999998</v>
      </c>
      <c r="B280" s="13">
        <v>0.77246999999999999</v>
      </c>
      <c r="C280" s="1">
        <f>Tabela15[[#This Row],[Alongamento (mm/mm)]]/$I$2</f>
        <v>1.54494E-2</v>
      </c>
      <c r="D280" s="13">
        <v>11.567</v>
      </c>
      <c r="E280" s="1">
        <f>Tabela15[[#This Row],[Força (N)]]/$I$5</f>
        <v>239314.43562385821</v>
      </c>
      <c r="F280" s="1">
        <f>Tabela15[[#This Row],[Tensão (Pa)]]/1000000</f>
        <v>0.23931443562385821</v>
      </c>
    </row>
    <row r="281" spans="1:6" x14ac:dyDescent="0.3">
      <c r="A281" s="13">
        <v>9.4499999999999993</v>
      </c>
      <c r="B281" s="13">
        <v>0.77944999999999998</v>
      </c>
      <c r="C281" s="1">
        <f>Tabela15[[#This Row],[Alongamento (mm/mm)]]/$I$2</f>
        <v>1.5588999999999999E-2</v>
      </c>
      <c r="D281" s="13">
        <v>11.737</v>
      </c>
      <c r="E281" s="1">
        <f>Tabela15[[#This Row],[Força (N)]]/$I$5</f>
        <v>242831.63576702893</v>
      </c>
      <c r="F281" s="1">
        <f>Tabela15[[#This Row],[Tensão (Pa)]]/1000000</f>
        <v>0.24283163576702893</v>
      </c>
    </row>
    <row r="282" spans="1:6" x14ac:dyDescent="0.3">
      <c r="A282" s="13">
        <v>9.5333000000000006</v>
      </c>
      <c r="B282" s="13">
        <v>0.78634000000000004</v>
      </c>
      <c r="C282" s="1">
        <f>Tabela15[[#This Row],[Alongamento (mm/mm)]]/$I$2</f>
        <v>1.5726799999999999E-2</v>
      </c>
      <c r="D282" s="13">
        <v>11.737</v>
      </c>
      <c r="E282" s="1">
        <f>Tabela15[[#This Row],[Força (N)]]/$I$5</f>
        <v>242831.63576702893</v>
      </c>
      <c r="F282" s="1">
        <f>Tabela15[[#This Row],[Tensão (Pa)]]/1000000</f>
        <v>0.24283163576702893</v>
      </c>
    </row>
    <row r="283" spans="1:6" x14ac:dyDescent="0.3">
      <c r="A283" s="13">
        <v>9.6166999999999998</v>
      </c>
      <c r="B283" s="13">
        <v>0.79332000000000003</v>
      </c>
      <c r="C283" s="1">
        <f>Tabela15[[#This Row],[Alongamento (mm/mm)]]/$I$2</f>
        <v>1.5866399999999999E-2</v>
      </c>
      <c r="D283" s="13">
        <v>11.737</v>
      </c>
      <c r="E283" s="1">
        <f>Tabela15[[#This Row],[Força (N)]]/$I$5</f>
        <v>242831.63576702893</v>
      </c>
      <c r="F283" s="1">
        <f>Tabela15[[#This Row],[Tensão (Pa)]]/1000000</f>
        <v>0.24283163576702893</v>
      </c>
    </row>
    <row r="284" spans="1:6" x14ac:dyDescent="0.3">
      <c r="A284" s="13">
        <v>9.6999999999999993</v>
      </c>
      <c r="B284" s="13">
        <v>0.80030000000000001</v>
      </c>
      <c r="C284" s="1">
        <f>Tabela15[[#This Row],[Alongamento (mm/mm)]]/$I$2</f>
        <v>1.6005999999999999E-2</v>
      </c>
      <c r="D284" s="13">
        <v>11.737</v>
      </c>
      <c r="E284" s="1">
        <f>Tabela15[[#This Row],[Força (N)]]/$I$5</f>
        <v>242831.63576702893</v>
      </c>
      <c r="F284" s="1">
        <f>Tabela15[[#This Row],[Tensão (Pa)]]/1000000</f>
        <v>0.24283163576702893</v>
      </c>
    </row>
    <row r="285" spans="1:6" x14ac:dyDescent="0.3">
      <c r="A285" s="13">
        <v>9.7833000000000006</v>
      </c>
      <c r="B285" s="13">
        <v>0.80718999999999996</v>
      </c>
      <c r="C285" s="1">
        <f>Tabela15[[#This Row],[Alongamento (mm/mm)]]/$I$2</f>
        <v>1.61438E-2</v>
      </c>
      <c r="D285" s="13">
        <v>11.737</v>
      </c>
      <c r="E285" s="1">
        <f>Tabela15[[#This Row],[Força (N)]]/$I$5</f>
        <v>242831.63576702893</v>
      </c>
      <c r="F285" s="1">
        <f>Tabela15[[#This Row],[Tensão (Pa)]]/1000000</f>
        <v>0.24283163576702893</v>
      </c>
    </row>
    <row r="286" spans="1:6" x14ac:dyDescent="0.3">
      <c r="A286" s="13">
        <v>9.8666999999999998</v>
      </c>
      <c r="B286" s="13">
        <v>0.81415999999999999</v>
      </c>
      <c r="C286" s="1">
        <f>Tabela15[[#This Row],[Alongamento (mm/mm)]]/$I$2</f>
        <v>1.6283200000000001E-2</v>
      </c>
      <c r="D286" s="13">
        <v>11.907</v>
      </c>
      <c r="E286" s="1">
        <f>Tabela15[[#This Row],[Força (N)]]/$I$5</f>
        <v>246348.83591019968</v>
      </c>
      <c r="F286" s="1">
        <f>Tabela15[[#This Row],[Tensão (Pa)]]/1000000</f>
        <v>0.24634883591019968</v>
      </c>
    </row>
    <row r="287" spans="1:6" x14ac:dyDescent="0.3">
      <c r="A287" s="13">
        <v>9.9499999999999993</v>
      </c>
      <c r="B287" s="13">
        <v>0.82113999999999998</v>
      </c>
      <c r="C287" s="1">
        <f>Tabela15[[#This Row],[Alongamento (mm/mm)]]/$I$2</f>
        <v>1.6422800000000001E-2</v>
      </c>
      <c r="D287" s="13">
        <v>12.077</v>
      </c>
      <c r="E287" s="1">
        <f>Tabela15[[#This Row],[Força (N)]]/$I$5</f>
        <v>249866.03605337039</v>
      </c>
      <c r="F287" s="1">
        <f>Tabela15[[#This Row],[Tensão (Pa)]]/1000000</f>
        <v>0.24986603605337041</v>
      </c>
    </row>
    <row r="288" spans="1:6" x14ac:dyDescent="0.3">
      <c r="A288" s="13">
        <v>10.032999999999999</v>
      </c>
      <c r="B288" s="13">
        <v>0.82803000000000004</v>
      </c>
      <c r="C288" s="1">
        <f>Tabela15[[#This Row],[Alongamento (mm/mm)]]/$I$2</f>
        <v>1.6560600000000002E-2</v>
      </c>
      <c r="D288" s="13">
        <v>12.587</v>
      </c>
      <c r="E288" s="1">
        <f>Tabela15[[#This Row],[Força (N)]]/$I$5</f>
        <v>260417.6364828826</v>
      </c>
      <c r="F288" s="1">
        <f>Tabela15[[#This Row],[Tensão (Pa)]]/1000000</f>
        <v>0.26041763648288263</v>
      </c>
    </row>
    <row r="289" spans="1:6" x14ac:dyDescent="0.3">
      <c r="A289" s="13">
        <v>10.117000000000001</v>
      </c>
      <c r="B289" s="13">
        <v>0.83501000000000003</v>
      </c>
      <c r="C289" s="1">
        <f>Tabela15[[#This Row],[Alongamento (mm/mm)]]/$I$2</f>
        <v>1.6700200000000002E-2</v>
      </c>
      <c r="D289" s="13">
        <v>12.757</v>
      </c>
      <c r="E289" s="1">
        <f>Tabela15[[#This Row],[Força (N)]]/$I$5</f>
        <v>263934.83662605332</v>
      </c>
      <c r="F289" s="1">
        <f>Tabela15[[#This Row],[Tensão (Pa)]]/1000000</f>
        <v>0.26393483662605333</v>
      </c>
    </row>
    <row r="290" spans="1:6" x14ac:dyDescent="0.3">
      <c r="A290" s="13">
        <v>10.199999999999999</v>
      </c>
      <c r="B290" s="13">
        <v>0.84199000000000002</v>
      </c>
      <c r="C290" s="1">
        <f>Tabela15[[#This Row],[Alongamento (mm/mm)]]/$I$2</f>
        <v>1.6839800000000002E-2</v>
      </c>
      <c r="D290" s="13">
        <v>13.098000000000001</v>
      </c>
      <c r="E290" s="1">
        <f>Tabela15[[#This Row],[Força (N)]]/$I$5</f>
        <v>270989.9263250017</v>
      </c>
      <c r="F290" s="1">
        <f>Tabela15[[#This Row],[Tensão (Pa)]]/1000000</f>
        <v>0.27098992632500168</v>
      </c>
    </row>
    <row r="291" spans="1:6" x14ac:dyDescent="0.3">
      <c r="A291" s="13">
        <v>10.282999999999999</v>
      </c>
      <c r="B291" s="13">
        <v>0.84877999999999998</v>
      </c>
      <c r="C291" s="1">
        <f>Tabela15[[#This Row],[Alongamento (mm/mm)]]/$I$2</f>
        <v>1.69756E-2</v>
      </c>
      <c r="D291" s="13">
        <v>13.268000000000001</v>
      </c>
      <c r="E291" s="1">
        <f>Tabela15[[#This Row],[Força (N)]]/$I$5</f>
        <v>274507.12646817247</v>
      </c>
      <c r="F291" s="1">
        <f>Tabela15[[#This Row],[Tensão (Pa)]]/1000000</f>
        <v>0.27450712646817249</v>
      </c>
    </row>
    <row r="292" spans="1:6" x14ac:dyDescent="0.3">
      <c r="A292" s="13">
        <v>10.367000000000001</v>
      </c>
      <c r="B292" s="13">
        <v>0.85575999999999997</v>
      </c>
      <c r="C292" s="1">
        <f>Tabela15[[#This Row],[Alongamento (mm/mm)]]/$I$2</f>
        <v>1.7115200000000001E-2</v>
      </c>
      <c r="D292" s="13">
        <v>13.438000000000001</v>
      </c>
      <c r="E292" s="1">
        <f>Tabela15[[#This Row],[Força (N)]]/$I$5</f>
        <v>278024.32661134319</v>
      </c>
      <c r="F292" s="1">
        <f>Tabela15[[#This Row],[Tensão (Pa)]]/1000000</f>
        <v>0.27802432661134319</v>
      </c>
    </row>
    <row r="293" spans="1:6" x14ac:dyDescent="0.3">
      <c r="A293" s="13">
        <v>10.45</v>
      </c>
      <c r="B293" s="13">
        <v>0.86273999999999995</v>
      </c>
      <c r="C293" s="1">
        <f>Tabela15[[#This Row],[Alongamento (mm/mm)]]/$I$2</f>
        <v>1.7254800000000001E-2</v>
      </c>
      <c r="D293" s="13">
        <v>13.438000000000001</v>
      </c>
      <c r="E293" s="1">
        <f>Tabela15[[#This Row],[Força (N)]]/$I$5</f>
        <v>278024.32661134319</v>
      </c>
      <c r="F293" s="1">
        <f>Tabela15[[#This Row],[Tensão (Pa)]]/1000000</f>
        <v>0.27802432661134319</v>
      </c>
    </row>
    <row r="294" spans="1:6" x14ac:dyDescent="0.3">
      <c r="A294" s="13">
        <v>10.532999999999999</v>
      </c>
      <c r="B294" s="13">
        <v>0.86963000000000001</v>
      </c>
      <c r="C294" s="1">
        <f>Tabela15[[#This Row],[Alongamento (mm/mm)]]/$I$2</f>
        <v>1.7392600000000001E-2</v>
      </c>
      <c r="D294" s="13">
        <v>13.608000000000001</v>
      </c>
      <c r="E294" s="1">
        <f>Tabela15[[#This Row],[Força (N)]]/$I$5</f>
        <v>281541.52675451391</v>
      </c>
      <c r="F294" s="1">
        <f>Tabela15[[#This Row],[Tensão (Pa)]]/1000000</f>
        <v>0.28154152675451388</v>
      </c>
    </row>
    <row r="295" spans="1:6" x14ac:dyDescent="0.3">
      <c r="A295" s="13">
        <v>10.617000000000001</v>
      </c>
      <c r="B295" s="13">
        <v>0.87670000000000003</v>
      </c>
      <c r="C295" s="1">
        <f>Tabela15[[#This Row],[Alongamento (mm/mm)]]/$I$2</f>
        <v>1.7534000000000001E-2</v>
      </c>
      <c r="D295" s="13">
        <v>13.608000000000001</v>
      </c>
      <c r="E295" s="1">
        <f>Tabela15[[#This Row],[Força (N)]]/$I$5</f>
        <v>281541.52675451391</v>
      </c>
      <c r="F295" s="1">
        <f>Tabela15[[#This Row],[Tensão (Pa)]]/1000000</f>
        <v>0.28154152675451388</v>
      </c>
    </row>
    <row r="296" spans="1:6" x14ac:dyDescent="0.3">
      <c r="A296" s="13">
        <v>10.7</v>
      </c>
      <c r="B296" s="13">
        <v>0.88358999999999999</v>
      </c>
      <c r="C296" s="1">
        <f>Tabela15[[#This Row],[Alongamento (mm/mm)]]/$I$2</f>
        <v>1.7671800000000001E-2</v>
      </c>
      <c r="D296" s="13">
        <v>13.608000000000001</v>
      </c>
      <c r="E296" s="1">
        <f>Tabela15[[#This Row],[Força (N)]]/$I$5</f>
        <v>281541.52675451391</v>
      </c>
      <c r="F296" s="1">
        <f>Tabela15[[#This Row],[Tensão (Pa)]]/1000000</f>
        <v>0.28154152675451388</v>
      </c>
    </row>
    <row r="297" spans="1:6" x14ac:dyDescent="0.3">
      <c r="A297" s="13">
        <v>10.782999999999999</v>
      </c>
      <c r="B297" s="13">
        <v>0.89056999999999997</v>
      </c>
      <c r="C297" s="1">
        <f>Tabela15[[#This Row],[Alongamento (mm/mm)]]/$I$2</f>
        <v>1.7811399999999998E-2</v>
      </c>
      <c r="D297" s="13">
        <v>13.608000000000001</v>
      </c>
      <c r="E297" s="1">
        <f>Tabela15[[#This Row],[Força (N)]]/$I$5</f>
        <v>281541.52675451391</v>
      </c>
      <c r="F297" s="1">
        <f>Tabela15[[#This Row],[Tensão (Pa)]]/1000000</f>
        <v>0.28154152675451388</v>
      </c>
    </row>
    <row r="298" spans="1:6" x14ac:dyDescent="0.3">
      <c r="A298" s="13">
        <v>10.867000000000001</v>
      </c>
      <c r="B298" s="13">
        <v>0.89744999999999997</v>
      </c>
      <c r="C298" s="1">
        <f>Tabela15[[#This Row],[Alongamento (mm/mm)]]/$I$2</f>
        <v>1.7949E-2</v>
      </c>
      <c r="D298" s="13">
        <v>13.608000000000001</v>
      </c>
      <c r="E298" s="1">
        <f>Tabela15[[#This Row],[Força (N)]]/$I$5</f>
        <v>281541.52675451391</v>
      </c>
      <c r="F298" s="1">
        <f>Tabela15[[#This Row],[Tensão (Pa)]]/1000000</f>
        <v>0.28154152675451388</v>
      </c>
    </row>
    <row r="299" spans="1:6" x14ac:dyDescent="0.3">
      <c r="A299" s="13">
        <v>10.95</v>
      </c>
      <c r="B299" s="13">
        <v>0.90442999999999996</v>
      </c>
      <c r="C299" s="1">
        <f>Tabela15[[#This Row],[Alongamento (mm/mm)]]/$I$2</f>
        <v>1.80886E-2</v>
      </c>
      <c r="D299" s="13">
        <v>13.608000000000001</v>
      </c>
      <c r="E299" s="1">
        <f>Tabela15[[#This Row],[Força (N)]]/$I$5</f>
        <v>281541.52675451391</v>
      </c>
      <c r="F299" s="1">
        <f>Tabela15[[#This Row],[Tensão (Pa)]]/1000000</f>
        <v>0.28154152675451388</v>
      </c>
    </row>
    <row r="300" spans="1:6" x14ac:dyDescent="0.3">
      <c r="A300" s="13">
        <v>11.05</v>
      </c>
      <c r="B300" s="13">
        <v>0.91281000000000001</v>
      </c>
      <c r="C300" s="1">
        <f>Tabela15[[#This Row],[Alongamento (mm/mm)]]/$I$2</f>
        <v>1.82562E-2</v>
      </c>
      <c r="D300" s="13">
        <v>13.608000000000001</v>
      </c>
      <c r="E300" s="1">
        <f>Tabela15[[#This Row],[Força (N)]]/$I$5</f>
        <v>281541.52675451391</v>
      </c>
      <c r="F300" s="1">
        <f>Tabela15[[#This Row],[Tensão (Pa)]]/1000000</f>
        <v>0.28154152675451388</v>
      </c>
    </row>
    <row r="301" spans="1:6" x14ac:dyDescent="0.3">
      <c r="A301" s="13">
        <v>11.15</v>
      </c>
      <c r="B301" s="13">
        <v>0.92108999999999996</v>
      </c>
      <c r="C301" s="1">
        <f>Tabela15[[#This Row],[Alongamento (mm/mm)]]/$I$2</f>
        <v>1.8421799999999999E-2</v>
      </c>
      <c r="D301" s="13">
        <v>13.608000000000001</v>
      </c>
      <c r="E301" s="1">
        <f>Tabela15[[#This Row],[Força (N)]]/$I$5</f>
        <v>281541.52675451391</v>
      </c>
      <c r="F301" s="1">
        <f>Tabela15[[#This Row],[Tensão (Pa)]]/1000000</f>
        <v>0.28154152675451388</v>
      </c>
    </row>
    <row r="302" spans="1:6" x14ac:dyDescent="0.3">
      <c r="A302" s="13">
        <v>11.25</v>
      </c>
      <c r="B302" s="13">
        <v>0.92945999999999995</v>
      </c>
      <c r="C302" s="1">
        <f>Tabela15[[#This Row],[Alongamento (mm/mm)]]/$I$2</f>
        <v>1.85892E-2</v>
      </c>
      <c r="D302" s="13">
        <v>13.608000000000001</v>
      </c>
      <c r="E302" s="1">
        <f>Tabela15[[#This Row],[Força (N)]]/$I$5</f>
        <v>281541.52675451391</v>
      </c>
      <c r="F302" s="1">
        <f>Tabela15[[#This Row],[Tensão (Pa)]]/1000000</f>
        <v>0.28154152675451388</v>
      </c>
    </row>
    <row r="303" spans="1:6" x14ac:dyDescent="0.3">
      <c r="A303" s="13">
        <v>11.35</v>
      </c>
      <c r="B303" s="13">
        <v>0.93774999999999997</v>
      </c>
      <c r="C303" s="1">
        <f>Tabela15[[#This Row],[Alongamento (mm/mm)]]/$I$2</f>
        <v>1.8755000000000001E-2</v>
      </c>
      <c r="D303" s="13">
        <v>13.608000000000001</v>
      </c>
      <c r="E303" s="1">
        <f>Tabela15[[#This Row],[Força (N)]]/$I$5</f>
        <v>281541.52675451391</v>
      </c>
      <c r="F303" s="1">
        <f>Tabela15[[#This Row],[Tensão (Pa)]]/1000000</f>
        <v>0.28154152675451388</v>
      </c>
    </row>
    <row r="304" spans="1:6" x14ac:dyDescent="0.3">
      <c r="A304" s="13">
        <v>11.45</v>
      </c>
      <c r="B304" s="13">
        <v>0.94611999999999996</v>
      </c>
      <c r="C304" s="1">
        <f>Tabela15[[#This Row],[Alongamento (mm/mm)]]/$I$2</f>
        <v>1.8922399999999999E-2</v>
      </c>
      <c r="D304" s="13">
        <v>13.608000000000001</v>
      </c>
      <c r="E304" s="1">
        <f>Tabela15[[#This Row],[Força (N)]]/$I$5</f>
        <v>281541.52675451391</v>
      </c>
      <c r="F304" s="1">
        <f>Tabela15[[#This Row],[Tensão (Pa)]]/1000000</f>
        <v>0.28154152675451388</v>
      </c>
    </row>
    <row r="305" spans="1:6" x14ac:dyDescent="0.3">
      <c r="A305" s="13">
        <v>11.55</v>
      </c>
      <c r="B305" s="13">
        <v>0.95450000000000002</v>
      </c>
      <c r="C305" s="1">
        <f>Tabela15[[#This Row],[Alongamento (mm/mm)]]/$I$2</f>
        <v>1.9089999999999999E-2</v>
      </c>
      <c r="D305" s="13">
        <v>13.608000000000001</v>
      </c>
      <c r="E305" s="1">
        <f>Tabela15[[#This Row],[Força (N)]]/$I$5</f>
        <v>281541.52675451391</v>
      </c>
      <c r="F305" s="1">
        <f>Tabela15[[#This Row],[Tensão (Pa)]]/1000000</f>
        <v>0.28154152675451388</v>
      </c>
    </row>
    <row r="306" spans="1:6" x14ac:dyDescent="0.3">
      <c r="A306" s="13">
        <v>11.65</v>
      </c>
      <c r="B306" s="13">
        <v>0.96267999999999998</v>
      </c>
      <c r="C306" s="1">
        <f>Tabela15[[#This Row],[Alongamento (mm/mm)]]/$I$2</f>
        <v>1.9253599999999999E-2</v>
      </c>
      <c r="D306" s="13">
        <v>13.608000000000001</v>
      </c>
      <c r="E306" s="1">
        <f>Tabela15[[#This Row],[Força (N)]]/$I$5</f>
        <v>281541.52675451391</v>
      </c>
      <c r="F306" s="1">
        <f>Tabela15[[#This Row],[Tensão (Pa)]]/1000000</f>
        <v>0.28154152675451388</v>
      </c>
    </row>
    <row r="307" spans="1:6" x14ac:dyDescent="0.3">
      <c r="A307" s="13">
        <v>11.75</v>
      </c>
      <c r="B307" s="13">
        <v>0.97114999999999996</v>
      </c>
      <c r="C307" s="1">
        <f>Tabela15[[#This Row],[Alongamento (mm/mm)]]/$I$2</f>
        <v>1.9422999999999999E-2</v>
      </c>
      <c r="D307" s="13">
        <v>13.608000000000001</v>
      </c>
      <c r="E307" s="1">
        <f>Tabela15[[#This Row],[Força (N)]]/$I$5</f>
        <v>281541.52675451391</v>
      </c>
      <c r="F307" s="1">
        <f>Tabela15[[#This Row],[Tensão (Pa)]]/1000000</f>
        <v>0.28154152675451388</v>
      </c>
    </row>
    <row r="308" spans="1:6" x14ac:dyDescent="0.3">
      <c r="A308" s="13">
        <v>11.85</v>
      </c>
      <c r="B308" s="13">
        <v>0.97943999999999998</v>
      </c>
      <c r="C308" s="1">
        <f>Tabela15[[#This Row],[Alongamento (mm/mm)]]/$I$2</f>
        <v>1.95888E-2</v>
      </c>
      <c r="D308" s="13">
        <v>13.608000000000001</v>
      </c>
      <c r="E308" s="1">
        <f>Tabela15[[#This Row],[Força (N)]]/$I$5</f>
        <v>281541.52675451391</v>
      </c>
      <c r="F308" s="1">
        <f>Tabela15[[#This Row],[Tensão (Pa)]]/1000000</f>
        <v>0.28154152675451388</v>
      </c>
    </row>
    <row r="309" spans="1:6" x14ac:dyDescent="0.3">
      <c r="A309" s="13">
        <v>11.95</v>
      </c>
      <c r="B309" s="13">
        <v>0.98772000000000004</v>
      </c>
      <c r="C309" s="1">
        <f>Tabela15[[#This Row],[Alongamento (mm/mm)]]/$I$2</f>
        <v>1.9754400000000002E-2</v>
      </c>
      <c r="D309" s="13">
        <v>13.608000000000001</v>
      </c>
      <c r="E309" s="1">
        <f>Tabela15[[#This Row],[Força (N)]]/$I$5</f>
        <v>281541.52675451391</v>
      </c>
      <c r="F309" s="1">
        <f>Tabela15[[#This Row],[Tensão (Pa)]]/1000000</f>
        <v>0.28154152675451388</v>
      </c>
    </row>
    <row r="310" spans="1:6" x14ac:dyDescent="0.3">
      <c r="A310" s="13">
        <v>12.05</v>
      </c>
      <c r="B310" s="13">
        <v>0.99609000000000003</v>
      </c>
      <c r="C310" s="1">
        <f>Tabela15[[#This Row],[Alongamento (mm/mm)]]/$I$2</f>
        <v>1.99218E-2</v>
      </c>
      <c r="D310" s="13">
        <v>13.608000000000001</v>
      </c>
      <c r="E310" s="1">
        <f>Tabela15[[#This Row],[Força (N)]]/$I$5</f>
        <v>281541.52675451391</v>
      </c>
      <c r="F310" s="1">
        <f>Tabela15[[#This Row],[Tensão (Pa)]]/1000000</f>
        <v>0.28154152675451388</v>
      </c>
    </row>
    <row r="311" spans="1:6" x14ac:dyDescent="0.3">
      <c r="A311" s="13">
        <v>12.15</v>
      </c>
      <c r="B311" s="13">
        <v>1.0044</v>
      </c>
      <c r="C311" s="1">
        <f>Tabela15[[#This Row],[Alongamento (mm/mm)]]/$I$2</f>
        <v>2.0087999999999998E-2</v>
      </c>
      <c r="D311" s="13">
        <v>13.608000000000001</v>
      </c>
      <c r="E311" s="1">
        <f>Tabela15[[#This Row],[Força (N)]]/$I$5</f>
        <v>281541.52675451391</v>
      </c>
      <c r="F311" s="1">
        <f>Tabela15[[#This Row],[Tensão (Pa)]]/1000000</f>
        <v>0.28154152675451388</v>
      </c>
    </row>
    <row r="312" spans="1:6" x14ac:dyDescent="0.3">
      <c r="A312" s="13">
        <v>12.25</v>
      </c>
      <c r="B312" s="13">
        <v>1.0127999999999999</v>
      </c>
      <c r="C312" s="1">
        <f>Tabela15[[#This Row],[Alongamento (mm/mm)]]/$I$2</f>
        <v>2.0256E-2</v>
      </c>
      <c r="D312" s="13">
        <v>13.608000000000001</v>
      </c>
      <c r="E312" s="1">
        <f>Tabela15[[#This Row],[Força (N)]]/$I$5</f>
        <v>281541.52675451391</v>
      </c>
      <c r="F312" s="1">
        <f>Tabela15[[#This Row],[Tensão (Pa)]]/1000000</f>
        <v>0.28154152675451388</v>
      </c>
    </row>
    <row r="313" spans="1:6" x14ac:dyDescent="0.3">
      <c r="A313" s="13">
        <v>12.35</v>
      </c>
      <c r="B313" s="13">
        <v>1.0210999999999999</v>
      </c>
      <c r="C313" s="1">
        <f>Tabela15[[#This Row],[Alongamento (mm/mm)]]/$I$2</f>
        <v>2.0421999999999999E-2</v>
      </c>
      <c r="D313" s="13">
        <v>13.608000000000001</v>
      </c>
      <c r="E313" s="1">
        <f>Tabela15[[#This Row],[Força (N)]]/$I$5</f>
        <v>281541.52675451391</v>
      </c>
      <c r="F313" s="1">
        <f>Tabela15[[#This Row],[Tensão (Pa)]]/1000000</f>
        <v>0.28154152675451388</v>
      </c>
    </row>
    <row r="314" spans="1:6" x14ac:dyDescent="0.3">
      <c r="A314" s="13">
        <v>12.45</v>
      </c>
      <c r="B314" s="13">
        <v>1.0294000000000001</v>
      </c>
      <c r="C314" s="1">
        <f>Tabela15[[#This Row],[Alongamento (mm/mm)]]/$I$2</f>
        <v>2.0588000000000002E-2</v>
      </c>
      <c r="D314" s="13">
        <v>13.778</v>
      </c>
      <c r="E314" s="1">
        <f>Tabela15[[#This Row],[Força (N)]]/$I$5</f>
        <v>285058.72689768462</v>
      </c>
      <c r="F314" s="1">
        <f>Tabela15[[#This Row],[Tensão (Pa)]]/1000000</f>
        <v>0.28505872689768463</v>
      </c>
    </row>
    <row r="315" spans="1:6" x14ac:dyDescent="0.3">
      <c r="A315" s="13">
        <v>12.55</v>
      </c>
      <c r="B315" s="13">
        <v>1.0378000000000001</v>
      </c>
      <c r="C315" s="1">
        <f>Tabela15[[#This Row],[Alongamento (mm/mm)]]/$I$2</f>
        <v>2.0756E-2</v>
      </c>
      <c r="D315" s="13">
        <v>13.608000000000001</v>
      </c>
      <c r="E315" s="1">
        <f>Tabela15[[#This Row],[Força (N)]]/$I$5</f>
        <v>281541.52675451391</v>
      </c>
      <c r="F315" s="1">
        <f>Tabela15[[#This Row],[Tensão (Pa)]]/1000000</f>
        <v>0.28154152675451388</v>
      </c>
    </row>
    <row r="316" spans="1:6" x14ac:dyDescent="0.3">
      <c r="A316" s="13">
        <v>12.65</v>
      </c>
      <c r="B316" s="13">
        <v>1.0461</v>
      </c>
      <c r="C316" s="1">
        <f>Tabela15[[#This Row],[Alongamento (mm/mm)]]/$I$2</f>
        <v>2.0922E-2</v>
      </c>
      <c r="D316" s="13">
        <v>13.608000000000001</v>
      </c>
      <c r="E316" s="1">
        <f>Tabela15[[#This Row],[Força (N)]]/$I$5</f>
        <v>281541.52675451391</v>
      </c>
      <c r="F316" s="1">
        <f>Tabela15[[#This Row],[Tensão (Pa)]]/1000000</f>
        <v>0.28154152675451388</v>
      </c>
    </row>
    <row r="317" spans="1:6" x14ac:dyDescent="0.3">
      <c r="A317" s="13">
        <v>12.75</v>
      </c>
      <c r="B317" s="13">
        <v>1.0544</v>
      </c>
      <c r="C317" s="1">
        <f>Tabela15[[#This Row],[Alongamento (mm/mm)]]/$I$2</f>
        <v>2.1087999999999999E-2</v>
      </c>
      <c r="D317" s="13">
        <v>13.778</v>
      </c>
      <c r="E317" s="1">
        <f>Tabela15[[#This Row],[Força (N)]]/$I$5</f>
        <v>285058.72689768462</v>
      </c>
      <c r="F317" s="1">
        <f>Tabela15[[#This Row],[Tensão (Pa)]]/1000000</f>
        <v>0.28505872689768463</v>
      </c>
    </row>
    <row r="318" spans="1:6" x14ac:dyDescent="0.3">
      <c r="A318" s="13">
        <v>12.85</v>
      </c>
      <c r="B318" s="13">
        <v>1.0628</v>
      </c>
      <c r="C318" s="1">
        <f>Tabela15[[#This Row],[Alongamento (mm/mm)]]/$I$2</f>
        <v>2.1256000000000001E-2</v>
      </c>
      <c r="D318" s="13">
        <v>13.778</v>
      </c>
      <c r="E318" s="1">
        <f>Tabela15[[#This Row],[Força (N)]]/$I$5</f>
        <v>285058.72689768462</v>
      </c>
      <c r="F318" s="1">
        <f>Tabela15[[#This Row],[Tensão (Pa)]]/1000000</f>
        <v>0.28505872689768463</v>
      </c>
    </row>
    <row r="319" spans="1:6" x14ac:dyDescent="0.3">
      <c r="A319" s="13">
        <v>12.95</v>
      </c>
      <c r="B319" s="13">
        <v>1.0710999999999999</v>
      </c>
      <c r="C319" s="1">
        <f>Tabela15[[#This Row],[Alongamento (mm/mm)]]/$I$2</f>
        <v>2.1422E-2</v>
      </c>
      <c r="D319" s="13">
        <v>13.778</v>
      </c>
      <c r="E319" s="1">
        <f>Tabela15[[#This Row],[Força (N)]]/$I$5</f>
        <v>285058.72689768462</v>
      </c>
      <c r="F319" s="1">
        <f>Tabela15[[#This Row],[Tensão (Pa)]]/1000000</f>
        <v>0.28505872689768463</v>
      </c>
    </row>
    <row r="320" spans="1:6" x14ac:dyDescent="0.3">
      <c r="A320" s="13">
        <v>13.05</v>
      </c>
      <c r="B320" s="13">
        <v>1.0794999999999999</v>
      </c>
      <c r="C320" s="1">
        <f>Tabela15[[#This Row],[Alongamento (mm/mm)]]/$I$2</f>
        <v>2.1589999999999998E-2</v>
      </c>
      <c r="D320" s="13">
        <v>13.778</v>
      </c>
      <c r="E320" s="1">
        <f>Tabela15[[#This Row],[Força (N)]]/$I$5</f>
        <v>285058.72689768462</v>
      </c>
      <c r="F320" s="1">
        <f>Tabela15[[#This Row],[Tensão (Pa)]]/1000000</f>
        <v>0.28505872689768463</v>
      </c>
    </row>
    <row r="321" spans="1:6" x14ac:dyDescent="0.3">
      <c r="A321" s="13">
        <v>13.167</v>
      </c>
      <c r="B321" s="13">
        <v>1.0891999999999999</v>
      </c>
      <c r="C321" s="1">
        <f>Tabela15[[#This Row],[Alongamento (mm/mm)]]/$I$2</f>
        <v>2.1783999999999998E-2</v>
      </c>
      <c r="D321" s="13">
        <v>13.778</v>
      </c>
      <c r="E321" s="1">
        <f>Tabela15[[#This Row],[Força (N)]]/$I$5</f>
        <v>285058.72689768462</v>
      </c>
      <c r="F321" s="1">
        <f>Tabela15[[#This Row],[Tensão (Pa)]]/1000000</f>
        <v>0.28505872689768463</v>
      </c>
    </row>
    <row r="322" spans="1:6" x14ac:dyDescent="0.3">
      <c r="A322" s="13">
        <v>13.282999999999999</v>
      </c>
      <c r="B322" s="13">
        <v>1.0989</v>
      </c>
      <c r="C322" s="1">
        <f>Tabela15[[#This Row],[Alongamento (mm/mm)]]/$I$2</f>
        <v>2.1978000000000001E-2</v>
      </c>
      <c r="D322" s="13">
        <v>13.778</v>
      </c>
      <c r="E322" s="1">
        <f>Tabela15[[#This Row],[Força (N)]]/$I$5</f>
        <v>285058.72689768462</v>
      </c>
      <c r="F322" s="1">
        <f>Tabela15[[#This Row],[Tensão (Pa)]]/1000000</f>
        <v>0.28505872689768463</v>
      </c>
    </row>
    <row r="323" spans="1:6" x14ac:dyDescent="0.3">
      <c r="A323" s="13">
        <v>13.4</v>
      </c>
      <c r="B323" s="13">
        <v>1.1086</v>
      </c>
      <c r="C323" s="1">
        <f>Tabela15[[#This Row],[Alongamento (mm/mm)]]/$I$2</f>
        <v>2.2172000000000001E-2</v>
      </c>
      <c r="D323" s="13">
        <v>13.778</v>
      </c>
      <c r="E323" s="1">
        <f>Tabela15[[#This Row],[Força (N)]]/$I$5</f>
        <v>285058.72689768462</v>
      </c>
      <c r="F323" s="1">
        <f>Tabela15[[#This Row],[Tensão (Pa)]]/1000000</f>
        <v>0.28505872689768463</v>
      </c>
    </row>
    <row r="324" spans="1:6" x14ac:dyDescent="0.3">
      <c r="A324" s="13">
        <v>13.516999999999999</v>
      </c>
      <c r="B324" s="13">
        <v>1.1184000000000001</v>
      </c>
      <c r="C324" s="1">
        <f>Tabela15[[#This Row],[Alongamento (mm/mm)]]/$I$2</f>
        <v>2.2368000000000002E-2</v>
      </c>
      <c r="D324" s="13">
        <v>13.778</v>
      </c>
      <c r="E324" s="1">
        <f>Tabela15[[#This Row],[Força (N)]]/$I$5</f>
        <v>285058.72689768462</v>
      </c>
      <c r="F324" s="1">
        <f>Tabela15[[#This Row],[Tensão (Pa)]]/1000000</f>
        <v>0.28505872689768463</v>
      </c>
    </row>
    <row r="325" spans="1:6" x14ac:dyDescent="0.3">
      <c r="A325" s="13">
        <v>13.632999999999999</v>
      </c>
      <c r="B325" s="13">
        <v>1.1279999999999999</v>
      </c>
      <c r="C325" s="1">
        <f>Tabela15[[#This Row],[Alongamento (mm/mm)]]/$I$2</f>
        <v>2.2559999999999997E-2</v>
      </c>
      <c r="D325" s="13">
        <v>13.778</v>
      </c>
      <c r="E325" s="1">
        <f>Tabela15[[#This Row],[Força (N)]]/$I$5</f>
        <v>285058.72689768462</v>
      </c>
      <c r="F325" s="1">
        <f>Tabela15[[#This Row],[Tensão (Pa)]]/1000000</f>
        <v>0.28505872689768463</v>
      </c>
    </row>
    <row r="326" spans="1:6" x14ac:dyDescent="0.3">
      <c r="A326" s="13">
        <v>13.75</v>
      </c>
      <c r="B326" s="13">
        <v>1.1376999999999999</v>
      </c>
      <c r="C326" s="1">
        <f>Tabela15[[#This Row],[Alongamento (mm/mm)]]/$I$2</f>
        <v>2.2754E-2</v>
      </c>
      <c r="D326" s="13">
        <v>13.778</v>
      </c>
      <c r="E326" s="1">
        <f>Tabela15[[#This Row],[Força (N)]]/$I$5</f>
        <v>285058.72689768462</v>
      </c>
      <c r="F326" s="1">
        <f>Tabela15[[#This Row],[Tensão (Pa)]]/1000000</f>
        <v>0.28505872689768463</v>
      </c>
    </row>
    <row r="327" spans="1:6" x14ac:dyDescent="0.3">
      <c r="A327" s="13">
        <v>13.867000000000001</v>
      </c>
      <c r="B327" s="13">
        <v>1.1475</v>
      </c>
      <c r="C327" s="1">
        <f>Tabela15[[#This Row],[Alongamento (mm/mm)]]/$I$2</f>
        <v>2.2949999999999998E-2</v>
      </c>
      <c r="D327" s="13">
        <v>13.948</v>
      </c>
      <c r="E327" s="1">
        <f>Tabela15[[#This Row],[Força (N)]]/$I$5</f>
        <v>288575.9270408554</v>
      </c>
      <c r="F327" s="1">
        <f>Tabela15[[#This Row],[Tensão (Pa)]]/1000000</f>
        <v>0.28857592704085538</v>
      </c>
    </row>
    <row r="328" spans="1:6" x14ac:dyDescent="0.3">
      <c r="A328" s="13">
        <v>13.983000000000001</v>
      </c>
      <c r="B328" s="13">
        <v>1.1572</v>
      </c>
      <c r="C328" s="1">
        <f>Tabela15[[#This Row],[Alongamento (mm/mm)]]/$I$2</f>
        <v>2.3144000000000001E-2</v>
      </c>
      <c r="D328" s="13">
        <v>13.948</v>
      </c>
      <c r="E328" s="1">
        <f>Tabela15[[#This Row],[Força (N)]]/$I$5</f>
        <v>288575.9270408554</v>
      </c>
      <c r="F328" s="1">
        <f>Tabela15[[#This Row],[Tensão (Pa)]]/1000000</f>
        <v>0.28857592704085538</v>
      </c>
    </row>
    <row r="329" spans="1:6" x14ac:dyDescent="0.3">
      <c r="A329" s="13">
        <v>14.1</v>
      </c>
      <c r="B329" s="13">
        <v>1.1669</v>
      </c>
      <c r="C329" s="1">
        <f>Tabela15[[#This Row],[Alongamento (mm/mm)]]/$I$2</f>
        <v>2.3338000000000001E-2</v>
      </c>
      <c r="D329" s="13">
        <v>13.948</v>
      </c>
      <c r="E329" s="1">
        <f>Tabela15[[#This Row],[Força (N)]]/$I$5</f>
        <v>288575.9270408554</v>
      </c>
      <c r="F329" s="1">
        <f>Tabela15[[#This Row],[Tensão (Pa)]]/1000000</f>
        <v>0.28857592704085538</v>
      </c>
    </row>
    <row r="330" spans="1:6" x14ac:dyDescent="0.3">
      <c r="A330" s="13">
        <v>14.217000000000001</v>
      </c>
      <c r="B330" s="13">
        <v>1.1766000000000001</v>
      </c>
      <c r="C330" s="1">
        <f>Tabela15[[#This Row],[Alongamento (mm/mm)]]/$I$2</f>
        <v>2.3532000000000001E-2</v>
      </c>
      <c r="D330" s="13">
        <v>13.948</v>
      </c>
      <c r="E330" s="1">
        <f>Tabela15[[#This Row],[Força (N)]]/$I$5</f>
        <v>288575.9270408554</v>
      </c>
      <c r="F330" s="1">
        <f>Tabela15[[#This Row],[Tensão (Pa)]]/1000000</f>
        <v>0.28857592704085538</v>
      </c>
    </row>
    <row r="331" spans="1:6" x14ac:dyDescent="0.3">
      <c r="A331" s="13">
        <v>14.333</v>
      </c>
      <c r="B331" s="13">
        <v>1.1863999999999999</v>
      </c>
      <c r="C331" s="1">
        <f>Tabela15[[#This Row],[Alongamento (mm/mm)]]/$I$2</f>
        <v>2.3727999999999999E-2</v>
      </c>
      <c r="D331" s="13">
        <v>13.948</v>
      </c>
      <c r="E331" s="1">
        <f>Tabela15[[#This Row],[Força (N)]]/$I$5</f>
        <v>288575.9270408554</v>
      </c>
      <c r="F331" s="1">
        <f>Tabela15[[#This Row],[Tensão (Pa)]]/1000000</f>
        <v>0.28857592704085538</v>
      </c>
    </row>
    <row r="332" spans="1:6" x14ac:dyDescent="0.3">
      <c r="A332" s="13">
        <v>14.45</v>
      </c>
      <c r="B332" s="13">
        <v>1.1960999999999999</v>
      </c>
      <c r="C332" s="1">
        <f>Tabela15[[#This Row],[Alongamento (mm/mm)]]/$I$2</f>
        <v>2.3921999999999999E-2</v>
      </c>
      <c r="D332" s="13">
        <v>13.948</v>
      </c>
      <c r="E332" s="1">
        <f>Tabela15[[#This Row],[Força (N)]]/$I$5</f>
        <v>288575.9270408554</v>
      </c>
      <c r="F332" s="1">
        <f>Tabela15[[#This Row],[Tensão (Pa)]]/1000000</f>
        <v>0.28857592704085538</v>
      </c>
    </row>
    <row r="333" spans="1:6" x14ac:dyDescent="0.3">
      <c r="A333" s="13">
        <v>14.567</v>
      </c>
      <c r="B333" s="13">
        <v>1.2058</v>
      </c>
      <c r="C333" s="1">
        <f>Tabela15[[#This Row],[Alongamento (mm/mm)]]/$I$2</f>
        <v>2.4115999999999999E-2</v>
      </c>
      <c r="D333" s="13">
        <v>13.948</v>
      </c>
      <c r="E333" s="1">
        <f>Tabela15[[#This Row],[Força (N)]]/$I$5</f>
        <v>288575.9270408554</v>
      </c>
      <c r="F333" s="1">
        <f>Tabela15[[#This Row],[Tensão (Pa)]]/1000000</f>
        <v>0.28857592704085538</v>
      </c>
    </row>
    <row r="334" spans="1:6" x14ac:dyDescent="0.3">
      <c r="A334" s="13">
        <v>14.683</v>
      </c>
      <c r="B334" s="13">
        <v>1.2155</v>
      </c>
      <c r="C334" s="1">
        <f>Tabela15[[#This Row],[Alongamento (mm/mm)]]/$I$2</f>
        <v>2.4310000000000002E-2</v>
      </c>
      <c r="D334" s="13">
        <v>13.948</v>
      </c>
      <c r="E334" s="1">
        <f>Tabela15[[#This Row],[Força (N)]]/$I$5</f>
        <v>288575.9270408554</v>
      </c>
      <c r="F334" s="1">
        <f>Tabela15[[#This Row],[Tensão (Pa)]]/1000000</f>
        <v>0.28857592704085538</v>
      </c>
    </row>
    <row r="335" spans="1:6" x14ac:dyDescent="0.3">
      <c r="A335" s="13">
        <v>14.8</v>
      </c>
      <c r="B335" s="13">
        <v>1.2252000000000001</v>
      </c>
      <c r="C335" s="1">
        <f>Tabela15[[#This Row],[Alongamento (mm/mm)]]/$I$2</f>
        <v>2.4504000000000001E-2</v>
      </c>
      <c r="D335" s="13">
        <v>14.118</v>
      </c>
      <c r="E335" s="1">
        <f>Tabela15[[#This Row],[Força (N)]]/$I$5</f>
        <v>292093.12718402612</v>
      </c>
      <c r="F335" s="1">
        <f>Tabela15[[#This Row],[Tensão (Pa)]]/1000000</f>
        <v>0.29209312718402614</v>
      </c>
    </row>
    <row r="336" spans="1:6" x14ac:dyDescent="0.3">
      <c r="A336" s="13">
        <v>14.917</v>
      </c>
      <c r="B336" s="13">
        <v>1.2350000000000001</v>
      </c>
      <c r="C336" s="1">
        <f>Tabela15[[#This Row],[Alongamento (mm/mm)]]/$I$2</f>
        <v>2.4700000000000003E-2</v>
      </c>
      <c r="D336" s="13">
        <v>14.288</v>
      </c>
      <c r="E336" s="1">
        <f>Tabela15[[#This Row],[Força (N)]]/$I$5</f>
        <v>295610.32732719684</v>
      </c>
      <c r="F336" s="1">
        <f>Tabela15[[#This Row],[Tensão (Pa)]]/1000000</f>
        <v>0.29561032732719683</v>
      </c>
    </row>
    <row r="337" spans="1:6" x14ac:dyDescent="0.3">
      <c r="A337" s="13">
        <v>15.032999999999999</v>
      </c>
      <c r="B337" s="13">
        <v>1.2446999999999999</v>
      </c>
      <c r="C337" s="1">
        <f>Tabela15[[#This Row],[Alongamento (mm/mm)]]/$I$2</f>
        <v>2.4893999999999999E-2</v>
      </c>
      <c r="D337" s="13">
        <v>14.288</v>
      </c>
      <c r="E337" s="1">
        <f>Tabela15[[#This Row],[Força (N)]]/$I$5</f>
        <v>295610.32732719684</v>
      </c>
      <c r="F337" s="1">
        <f>Tabela15[[#This Row],[Tensão (Pa)]]/1000000</f>
        <v>0.29561032732719683</v>
      </c>
    </row>
    <row r="338" spans="1:6" x14ac:dyDescent="0.3">
      <c r="A338" s="13">
        <v>15.15</v>
      </c>
      <c r="B338" s="13">
        <v>1.2544999999999999</v>
      </c>
      <c r="C338" s="1">
        <f>Tabela15[[#This Row],[Alongamento (mm/mm)]]/$I$2</f>
        <v>2.5089999999999998E-2</v>
      </c>
      <c r="D338" s="13">
        <v>14.458</v>
      </c>
      <c r="E338" s="1">
        <f>Tabela15[[#This Row],[Força (N)]]/$I$5</f>
        <v>299127.52747036761</v>
      </c>
      <c r="F338" s="1">
        <f>Tabela15[[#This Row],[Tensão (Pa)]]/1000000</f>
        <v>0.29912752747036764</v>
      </c>
    </row>
    <row r="339" spans="1:6" x14ac:dyDescent="0.3">
      <c r="A339" s="13">
        <v>15.282999999999999</v>
      </c>
      <c r="B339" s="13">
        <v>1.2656000000000001</v>
      </c>
      <c r="C339" s="1">
        <f>Tabela15[[#This Row],[Alongamento (mm/mm)]]/$I$2</f>
        <v>2.5312000000000001E-2</v>
      </c>
      <c r="D339" s="13">
        <v>14.458</v>
      </c>
      <c r="E339" s="1">
        <f>Tabela15[[#This Row],[Força (N)]]/$I$5</f>
        <v>299127.52747036761</v>
      </c>
      <c r="F339" s="1">
        <f>Tabela15[[#This Row],[Tensão (Pa)]]/1000000</f>
        <v>0.29912752747036764</v>
      </c>
    </row>
    <row r="340" spans="1:6" x14ac:dyDescent="0.3">
      <c r="A340" s="13">
        <v>15.417</v>
      </c>
      <c r="B340" s="13">
        <v>1.2766999999999999</v>
      </c>
      <c r="C340" s="1">
        <f>Tabela15[[#This Row],[Alongamento (mm/mm)]]/$I$2</f>
        <v>2.5533999999999998E-2</v>
      </c>
      <c r="D340" s="13">
        <v>14.628</v>
      </c>
      <c r="E340" s="1">
        <f>Tabela15[[#This Row],[Força (N)]]/$I$5</f>
        <v>302644.72761353833</v>
      </c>
      <c r="F340" s="1">
        <f>Tabela15[[#This Row],[Tensão (Pa)]]/1000000</f>
        <v>0.30264472761353833</v>
      </c>
    </row>
    <row r="341" spans="1:6" x14ac:dyDescent="0.3">
      <c r="A341" s="13">
        <v>15.55</v>
      </c>
      <c r="B341" s="13">
        <v>1.2877000000000001</v>
      </c>
      <c r="C341" s="1">
        <f>Tabela15[[#This Row],[Alongamento (mm/mm)]]/$I$2</f>
        <v>2.5754000000000003E-2</v>
      </c>
      <c r="D341" s="13">
        <v>14.968999999999999</v>
      </c>
      <c r="E341" s="1">
        <f>Tabela15[[#This Row],[Força (N)]]/$I$5</f>
        <v>309699.81731248664</v>
      </c>
      <c r="F341" s="1">
        <f>Tabela15[[#This Row],[Tensão (Pa)]]/1000000</f>
        <v>0.30969981731248664</v>
      </c>
    </row>
    <row r="342" spans="1:6" x14ac:dyDescent="0.3">
      <c r="A342" s="13">
        <v>15.683</v>
      </c>
      <c r="B342" s="13">
        <v>1.2988</v>
      </c>
      <c r="C342" s="1">
        <f>Tabela15[[#This Row],[Alongamento (mm/mm)]]/$I$2</f>
        <v>2.5975999999999999E-2</v>
      </c>
      <c r="D342" s="13">
        <v>15.138999999999999</v>
      </c>
      <c r="E342" s="1">
        <f>Tabela15[[#This Row],[Força (N)]]/$I$5</f>
        <v>313217.01745565742</v>
      </c>
      <c r="F342" s="1">
        <f>Tabela15[[#This Row],[Tensão (Pa)]]/1000000</f>
        <v>0.31321701745565744</v>
      </c>
    </row>
    <row r="343" spans="1:6" x14ac:dyDescent="0.3">
      <c r="A343" s="13">
        <v>15.817</v>
      </c>
      <c r="B343" s="13">
        <v>1.31</v>
      </c>
      <c r="C343" s="1">
        <f>Tabela15[[#This Row],[Alongamento (mm/mm)]]/$I$2</f>
        <v>2.6200000000000001E-2</v>
      </c>
      <c r="D343" s="13">
        <v>15.138999999999999</v>
      </c>
      <c r="E343" s="1">
        <f>Tabela15[[#This Row],[Força (N)]]/$I$5</f>
        <v>313217.01745565742</v>
      </c>
      <c r="F343" s="1">
        <f>Tabela15[[#This Row],[Tensão (Pa)]]/1000000</f>
        <v>0.31321701745565744</v>
      </c>
    </row>
    <row r="344" spans="1:6" x14ac:dyDescent="0.3">
      <c r="A344" s="13">
        <v>15.95</v>
      </c>
      <c r="B344" s="13">
        <v>1.3210999999999999</v>
      </c>
      <c r="C344" s="1">
        <f>Tabela15[[#This Row],[Alongamento (mm/mm)]]/$I$2</f>
        <v>2.6421999999999998E-2</v>
      </c>
      <c r="D344" s="13">
        <v>15.478999999999999</v>
      </c>
      <c r="E344" s="1">
        <f>Tabela15[[#This Row],[Força (N)]]/$I$5</f>
        <v>320251.41774199886</v>
      </c>
      <c r="F344" s="1">
        <f>Tabela15[[#This Row],[Tensão (Pa)]]/1000000</f>
        <v>0.32025141774199883</v>
      </c>
    </row>
    <row r="345" spans="1:6" x14ac:dyDescent="0.3">
      <c r="A345" s="13">
        <v>16.082999999999998</v>
      </c>
      <c r="B345" s="13">
        <v>1.3322000000000001</v>
      </c>
      <c r="C345" s="1">
        <f>Tabela15[[#This Row],[Alongamento (mm/mm)]]/$I$2</f>
        <v>2.6644000000000001E-2</v>
      </c>
      <c r="D345" s="13">
        <v>15.648999999999999</v>
      </c>
      <c r="E345" s="1">
        <f>Tabela15[[#This Row],[Força (N)]]/$I$5</f>
        <v>323768.61788516957</v>
      </c>
      <c r="F345" s="1">
        <f>Tabela15[[#This Row],[Tensão (Pa)]]/1000000</f>
        <v>0.32376861788516959</v>
      </c>
    </row>
    <row r="346" spans="1:6" x14ac:dyDescent="0.3">
      <c r="A346" s="13">
        <v>16.216999999999999</v>
      </c>
      <c r="B346" s="13">
        <v>1.3432999999999999</v>
      </c>
      <c r="C346" s="1">
        <f>Tabela15[[#This Row],[Alongamento (mm/mm)]]/$I$2</f>
        <v>2.6865999999999998E-2</v>
      </c>
      <c r="D346" s="13">
        <v>15.989000000000001</v>
      </c>
      <c r="E346" s="1">
        <f>Tabela15[[#This Row],[Força (N)]]/$I$5</f>
        <v>330803.01817151112</v>
      </c>
      <c r="F346" s="1">
        <f>Tabela15[[#This Row],[Tensão (Pa)]]/1000000</f>
        <v>0.33080301817151114</v>
      </c>
    </row>
    <row r="347" spans="1:6" x14ac:dyDescent="0.3">
      <c r="A347" s="13">
        <v>16.350000000000001</v>
      </c>
      <c r="B347" s="13">
        <v>1.3545</v>
      </c>
      <c r="C347" s="1">
        <f>Tabela15[[#This Row],[Alongamento (mm/mm)]]/$I$2</f>
        <v>2.7089999999999999E-2</v>
      </c>
      <c r="D347" s="13">
        <v>16.5</v>
      </c>
      <c r="E347" s="1">
        <f>Tabela15[[#This Row],[Força (N)]]/$I$5</f>
        <v>341375.30801363016</v>
      </c>
      <c r="F347" s="1">
        <f>Tabela15[[#This Row],[Tensão (Pa)]]/1000000</f>
        <v>0.34137530801363014</v>
      </c>
    </row>
    <row r="348" spans="1:6" x14ac:dyDescent="0.3">
      <c r="A348" s="13">
        <v>16.483000000000001</v>
      </c>
      <c r="B348" s="13">
        <v>1.3653999999999999</v>
      </c>
      <c r="C348" s="1">
        <f>Tabela15[[#This Row],[Alongamento (mm/mm)]]/$I$2</f>
        <v>2.7307999999999999E-2</v>
      </c>
      <c r="D348" s="13">
        <v>17.010000000000002</v>
      </c>
      <c r="E348" s="1">
        <f>Tabela15[[#This Row],[Força (N)]]/$I$5</f>
        <v>351926.90844314243</v>
      </c>
      <c r="F348" s="1">
        <f>Tabela15[[#This Row],[Tensão (Pa)]]/1000000</f>
        <v>0.35192690844314245</v>
      </c>
    </row>
    <row r="349" spans="1:6" x14ac:dyDescent="0.3">
      <c r="A349" s="13">
        <v>16.617000000000001</v>
      </c>
      <c r="B349" s="13">
        <v>1.3766</v>
      </c>
      <c r="C349" s="1">
        <f>Tabela15[[#This Row],[Alongamento (mm/mm)]]/$I$2</f>
        <v>2.7532000000000001E-2</v>
      </c>
      <c r="D349" s="13">
        <v>17.52</v>
      </c>
      <c r="E349" s="1">
        <f>Tabela15[[#This Row],[Força (N)]]/$I$5</f>
        <v>362478.50887265458</v>
      </c>
      <c r="F349" s="1">
        <f>Tabela15[[#This Row],[Tensão (Pa)]]/1000000</f>
        <v>0.36247850887265459</v>
      </c>
    </row>
    <row r="350" spans="1:6" x14ac:dyDescent="0.3">
      <c r="A350" s="13">
        <v>16.75</v>
      </c>
      <c r="B350" s="13">
        <v>1.3877999999999999</v>
      </c>
      <c r="C350" s="1">
        <f>Tabela15[[#This Row],[Alongamento (mm/mm)]]/$I$2</f>
        <v>2.7755999999999999E-2</v>
      </c>
      <c r="D350" s="13">
        <v>18.03</v>
      </c>
      <c r="E350" s="1">
        <f>Tabela15[[#This Row],[Força (N)]]/$I$5</f>
        <v>373030.10930216679</v>
      </c>
      <c r="F350" s="1">
        <f>Tabela15[[#This Row],[Tensão (Pa)]]/1000000</f>
        <v>0.37303010930216679</v>
      </c>
    </row>
    <row r="351" spans="1:6" x14ac:dyDescent="0.3">
      <c r="A351" s="13">
        <v>16.882999999999999</v>
      </c>
      <c r="B351" s="13">
        <v>1.3988</v>
      </c>
      <c r="C351" s="1">
        <f>Tabela15[[#This Row],[Alongamento (mm/mm)]]/$I$2</f>
        <v>2.7976000000000001E-2</v>
      </c>
      <c r="D351" s="13">
        <v>18.541</v>
      </c>
      <c r="E351" s="1">
        <f>Tabela15[[#This Row],[Força (N)]]/$I$5</f>
        <v>383602.39914428588</v>
      </c>
      <c r="F351" s="1">
        <f>Tabela15[[#This Row],[Tensão (Pa)]]/1000000</f>
        <v>0.3836023991442859</v>
      </c>
    </row>
    <row r="352" spans="1:6" x14ac:dyDescent="0.3">
      <c r="A352" s="13">
        <v>17.016999999999999</v>
      </c>
      <c r="B352" s="13">
        <v>1.41</v>
      </c>
      <c r="C352" s="1">
        <f>Tabela15[[#This Row],[Alongamento (mm/mm)]]/$I$2</f>
        <v>2.8199999999999999E-2</v>
      </c>
      <c r="D352" s="13">
        <v>19.050999999999998</v>
      </c>
      <c r="E352" s="1">
        <f>Tabela15[[#This Row],[Força (N)]]/$I$5</f>
        <v>394153.99957379804</v>
      </c>
      <c r="F352" s="1">
        <f>Tabela15[[#This Row],[Tensão (Pa)]]/1000000</f>
        <v>0.39415399957379804</v>
      </c>
    </row>
    <row r="353" spans="1:6" x14ac:dyDescent="0.3">
      <c r="A353" s="13">
        <v>17.149999999999999</v>
      </c>
      <c r="B353" s="13">
        <v>1.4211</v>
      </c>
      <c r="C353" s="1">
        <f>Tabela15[[#This Row],[Alongamento (mm/mm)]]/$I$2</f>
        <v>2.8421999999999999E-2</v>
      </c>
      <c r="D353" s="13">
        <v>19.390999999999998</v>
      </c>
      <c r="E353" s="1">
        <f>Tabela15[[#This Row],[Força (N)]]/$I$5</f>
        <v>401188.39986013953</v>
      </c>
      <c r="F353" s="1">
        <f>Tabela15[[#This Row],[Tensão (Pa)]]/1000000</f>
        <v>0.40118839986013954</v>
      </c>
    </row>
    <row r="354" spans="1:6" x14ac:dyDescent="0.3">
      <c r="A354" s="13">
        <v>17.283000000000001</v>
      </c>
      <c r="B354" s="13">
        <v>1.4321999999999999</v>
      </c>
      <c r="C354" s="1">
        <f>Tabela15[[#This Row],[Alongamento (mm/mm)]]/$I$2</f>
        <v>2.8643999999999999E-2</v>
      </c>
      <c r="D354" s="13">
        <v>19.731000000000002</v>
      </c>
      <c r="E354" s="1">
        <f>Tabela15[[#This Row],[Força (N)]]/$I$5</f>
        <v>408222.80014648108</v>
      </c>
      <c r="F354" s="1">
        <f>Tabela15[[#This Row],[Tensão (Pa)]]/1000000</f>
        <v>0.4082228001464811</v>
      </c>
    </row>
    <row r="355" spans="1:6" x14ac:dyDescent="0.3">
      <c r="A355" s="13">
        <v>17.417000000000002</v>
      </c>
      <c r="B355" s="13">
        <v>1.4433</v>
      </c>
      <c r="C355" s="1">
        <f>Tabela15[[#This Row],[Alongamento (mm/mm)]]/$I$2</f>
        <v>2.8865999999999999E-2</v>
      </c>
      <c r="D355" s="13">
        <v>20.071999999999999</v>
      </c>
      <c r="E355" s="1">
        <f>Tabela15[[#This Row],[Força (N)]]/$I$5</f>
        <v>415277.8898454294</v>
      </c>
      <c r="F355" s="1">
        <f>Tabela15[[#This Row],[Tensão (Pa)]]/1000000</f>
        <v>0.4152778898454294</v>
      </c>
    </row>
    <row r="356" spans="1:6" x14ac:dyDescent="0.3">
      <c r="A356" s="13">
        <v>17.55</v>
      </c>
      <c r="B356" s="13">
        <v>1.4543999999999999</v>
      </c>
      <c r="C356" s="1">
        <f>Tabela15[[#This Row],[Alongamento (mm/mm)]]/$I$2</f>
        <v>2.9087999999999999E-2</v>
      </c>
      <c r="D356" s="13">
        <v>20.751999999999999</v>
      </c>
      <c r="E356" s="1">
        <f>Tabela15[[#This Row],[Força (N)]]/$I$5</f>
        <v>429346.69041811232</v>
      </c>
      <c r="F356" s="1">
        <f>Tabela15[[#This Row],[Tensão (Pa)]]/1000000</f>
        <v>0.4293466904181123</v>
      </c>
    </row>
    <row r="357" spans="1:6" x14ac:dyDescent="0.3">
      <c r="A357" s="13">
        <v>17.7</v>
      </c>
      <c r="B357" s="13">
        <v>1.4670000000000001</v>
      </c>
      <c r="C357" s="1">
        <f>Tabela15[[#This Row],[Alongamento (mm/mm)]]/$I$2</f>
        <v>2.9340000000000001E-2</v>
      </c>
      <c r="D357" s="13">
        <v>21.431999999999999</v>
      </c>
      <c r="E357" s="1">
        <f>Tabela15[[#This Row],[Força (N)]]/$I$5</f>
        <v>443415.49099079525</v>
      </c>
      <c r="F357" s="1">
        <f>Tabela15[[#This Row],[Tensão (Pa)]]/1000000</f>
        <v>0.44341549099079525</v>
      </c>
    </row>
    <row r="358" spans="1:6" x14ac:dyDescent="0.3">
      <c r="A358" s="13">
        <v>17.850000000000001</v>
      </c>
      <c r="B358" s="13">
        <v>1.4793000000000001</v>
      </c>
      <c r="C358" s="1">
        <f>Tabela15[[#This Row],[Alongamento (mm/mm)]]/$I$2</f>
        <v>2.9586000000000001E-2</v>
      </c>
      <c r="D358" s="13">
        <v>21.943000000000001</v>
      </c>
      <c r="E358" s="1">
        <f>Tabela15[[#This Row],[Força (N)]]/$I$5</f>
        <v>453987.7808329144</v>
      </c>
      <c r="F358" s="1">
        <f>Tabela15[[#This Row],[Tensão (Pa)]]/1000000</f>
        <v>0.45398778083291441</v>
      </c>
    </row>
    <row r="359" spans="1:6" x14ac:dyDescent="0.3">
      <c r="A359" s="13">
        <v>18</v>
      </c>
      <c r="B359" s="13">
        <v>1.4919</v>
      </c>
      <c r="C359" s="1">
        <f>Tabela15[[#This Row],[Alongamento (mm/mm)]]/$I$2</f>
        <v>2.9838E-2</v>
      </c>
      <c r="D359" s="13">
        <v>22.623000000000001</v>
      </c>
      <c r="E359" s="1">
        <f>Tabela15[[#This Row],[Força (N)]]/$I$5</f>
        <v>468056.58140559733</v>
      </c>
      <c r="F359" s="1">
        <f>Tabela15[[#This Row],[Tensão (Pa)]]/1000000</f>
        <v>0.46805658140559731</v>
      </c>
    </row>
    <row r="360" spans="1:6" x14ac:dyDescent="0.3">
      <c r="A360" s="13">
        <v>18.149999999999999</v>
      </c>
      <c r="B360" s="13">
        <v>1.5044999999999999</v>
      </c>
      <c r="C360" s="1">
        <f>Tabela15[[#This Row],[Alongamento (mm/mm)]]/$I$2</f>
        <v>3.0089999999999999E-2</v>
      </c>
      <c r="D360" s="13">
        <v>23.303999999999998</v>
      </c>
      <c r="E360" s="1">
        <f>Tabela15[[#This Row],[Força (N)]]/$I$5</f>
        <v>482146.07139088708</v>
      </c>
      <c r="F360" s="1">
        <f>Tabela15[[#This Row],[Tensão (Pa)]]/1000000</f>
        <v>0.48214607139088705</v>
      </c>
    </row>
    <row r="361" spans="1:6" x14ac:dyDescent="0.3">
      <c r="A361" s="13">
        <v>18.283000000000001</v>
      </c>
      <c r="B361" s="13">
        <v>1.5154000000000001</v>
      </c>
      <c r="C361" s="1">
        <f>Tabela15[[#This Row],[Alongamento (mm/mm)]]/$I$2</f>
        <v>3.0308000000000002E-2</v>
      </c>
      <c r="D361" s="13">
        <v>23.984000000000002</v>
      </c>
      <c r="E361" s="1">
        <f>Tabela15[[#This Row],[Força (N)]]/$I$5</f>
        <v>496214.87196357013</v>
      </c>
      <c r="F361" s="1">
        <f>Tabela15[[#This Row],[Tensão (Pa)]]/1000000</f>
        <v>0.49621487196357011</v>
      </c>
    </row>
    <row r="362" spans="1:6" x14ac:dyDescent="0.3">
      <c r="A362" s="13">
        <v>18.417000000000002</v>
      </c>
      <c r="B362" s="13">
        <v>1.5266</v>
      </c>
      <c r="C362" s="1">
        <f>Tabela15[[#This Row],[Alongamento (mm/mm)]]/$I$2</f>
        <v>3.0532E-2</v>
      </c>
      <c r="D362" s="13">
        <v>24.664000000000001</v>
      </c>
      <c r="E362" s="1">
        <f>Tabela15[[#This Row],[Força (N)]]/$I$5</f>
        <v>510283.67253625306</v>
      </c>
      <c r="F362" s="1">
        <f>Tabela15[[#This Row],[Tensão (Pa)]]/1000000</f>
        <v>0.51028367253625306</v>
      </c>
    </row>
    <row r="363" spans="1:6" x14ac:dyDescent="0.3">
      <c r="A363" s="13">
        <v>18.516999999999999</v>
      </c>
      <c r="B363" s="13">
        <v>1.5349999999999999</v>
      </c>
      <c r="C363" s="1">
        <f>Tabela15[[#This Row],[Alongamento (mm/mm)]]/$I$2</f>
        <v>3.0699999999999998E-2</v>
      </c>
      <c r="D363" s="13">
        <v>25.344999999999999</v>
      </c>
      <c r="E363" s="1">
        <f>Tabela15[[#This Row],[Força (N)]]/$I$5</f>
        <v>524373.16252154286</v>
      </c>
      <c r="F363" s="1">
        <f>Tabela15[[#This Row],[Tensão (Pa)]]/1000000</f>
        <v>0.52437316252154287</v>
      </c>
    </row>
    <row r="364" spans="1:6" x14ac:dyDescent="0.3">
      <c r="A364" s="13">
        <v>18.632999999999999</v>
      </c>
      <c r="B364" s="13">
        <v>1.5448</v>
      </c>
      <c r="C364" s="1">
        <f>Tabela15[[#This Row],[Alongamento (mm/mm)]]/$I$2</f>
        <v>3.0896E-2</v>
      </c>
      <c r="D364" s="13">
        <v>26.024999999999999</v>
      </c>
      <c r="E364" s="1">
        <f>Tabela15[[#This Row],[Força (N)]]/$I$5</f>
        <v>538441.96309422574</v>
      </c>
      <c r="F364" s="1">
        <f>Tabela15[[#This Row],[Tensão (Pa)]]/1000000</f>
        <v>0.53844196309422576</v>
      </c>
    </row>
    <row r="365" spans="1:6" x14ac:dyDescent="0.3">
      <c r="A365" s="13">
        <v>18.766999999999999</v>
      </c>
      <c r="B365" s="13">
        <v>1.5558000000000001</v>
      </c>
      <c r="C365" s="1">
        <f>Tabela15[[#This Row],[Alongamento (mm/mm)]]/$I$2</f>
        <v>3.1116000000000001E-2</v>
      </c>
      <c r="D365" s="13">
        <v>26.706</v>
      </c>
      <c r="E365" s="1">
        <f>Tabela15[[#This Row],[Força (N)]]/$I$5</f>
        <v>552531.4530795156</v>
      </c>
      <c r="F365" s="1">
        <f>Tabela15[[#This Row],[Tensão (Pa)]]/1000000</f>
        <v>0.55253145307951557</v>
      </c>
    </row>
    <row r="366" spans="1:6" x14ac:dyDescent="0.3">
      <c r="A366" s="13">
        <v>18.899999999999999</v>
      </c>
      <c r="B366" s="13">
        <v>1.5669</v>
      </c>
      <c r="C366" s="1">
        <f>Tabela15[[#This Row],[Alongamento (mm/mm)]]/$I$2</f>
        <v>3.1337999999999998E-2</v>
      </c>
      <c r="D366" s="13">
        <v>27.556000000000001</v>
      </c>
      <c r="E366" s="1">
        <f>Tabela15[[#This Row],[Força (N)]]/$I$5</f>
        <v>570117.45379536925</v>
      </c>
      <c r="F366" s="1">
        <f>Tabela15[[#This Row],[Tensão (Pa)]]/1000000</f>
        <v>0.57011745379536927</v>
      </c>
    </row>
    <row r="367" spans="1:6" x14ac:dyDescent="0.3">
      <c r="A367" s="13">
        <v>19.033000000000001</v>
      </c>
      <c r="B367" s="13">
        <v>1.5780000000000001</v>
      </c>
      <c r="C367" s="1">
        <f>Tabela15[[#This Row],[Alongamento (mm/mm)]]/$I$2</f>
        <v>3.1560000000000005E-2</v>
      </c>
      <c r="D367" s="13">
        <v>28.407</v>
      </c>
      <c r="E367" s="1">
        <f>Tabela15[[#This Row],[Força (N)]]/$I$5</f>
        <v>587724.14392382989</v>
      </c>
      <c r="F367" s="1">
        <f>Tabela15[[#This Row],[Tensão (Pa)]]/1000000</f>
        <v>0.58772414392382988</v>
      </c>
    </row>
    <row r="368" spans="1:6" x14ac:dyDescent="0.3">
      <c r="A368" s="13">
        <v>19.149999999999999</v>
      </c>
      <c r="B368" s="13">
        <v>1.5878000000000001</v>
      </c>
      <c r="C368" s="1">
        <f>Tabela15[[#This Row],[Alongamento (mm/mm)]]/$I$2</f>
        <v>3.1756E-2</v>
      </c>
      <c r="D368" s="13">
        <v>29.087</v>
      </c>
      <c r="E368" s="1">
        <f>Tabela15[[#This Row],[Força (N)]]/$I$5</f>
        <v>601792.94449651276</v>
      </c>
      <c r="F368" s="1">
        <f>Tabela15[[#This Row],[Tensão (Pa)]]/1000000</f>
        <v>0.60179294449651277</v>
      </c>
    </row>
    <row r="369" spans="1:6" x14ac:dyDescent="0.3">
      <c r="A369" s="13">
        <v>19.25</v>
      </c>
      <c r="B369" s="13">
        <v>1.5961000000000001</v>
      </c>
      <c r="C369" s="1">
        <f>Tabela15[[#This Row],[Alongamento (mm/mm)]]/$I$2</f>
        <v>3.1921999999999999E-2</v>
      </c>
      <c r="D369" s="13">
        <v>29.766999999999999</v>
      </c>
      <c r="E369" s="1">
        <f>Tabela15[[#This Row],[Força (N)]]/$I$5</f>
        <v>615861.74506919575</v>
      </c>
      <c r="F369" s="1">
        <f>Tabela15[[#This Row],[Tensão (Pa)]]/1000000</f>
        <v>0.61586174506919578</v>
      </c>
    </row>
    <row r="370" spans="1:6" x14ac:dyDescent="0.3">
      <c r="A370" s="13">
        <v>19.350000000000001</v>
      </c>
      <c r="B370" s="13">
        <v>1.6044</v>
      </c>
      <c r="C370" s="1">
        <f>Tabela15[[#This Row],[Alongamento (mm/mm)]]/$I$2</f>
        <v>3.2087999999999998E-2</v>
      </c>
      <c r="D370" s="13">
        <v>30.448</v>
      </c>
      <c r="E370" s="1">
        <f>Tabela15[[#This Row],[Força (N)]]/$I$5</f>
        <v>629951.2350544855</v>
      </c>
      <c r="F370" s="1">
        <f>Tabela15[[#This Row],[Tensão (Pa)]]/1000000</f>
        <v>0.62995123505448547</v>
      </c>
    </row>
    <row r="371" spans="1:6" x14ac:dyDescent="0.3">
      <c r="A371" s="13">
        <v>19.45</v>
      </c>
      <c r="B371" s="13">
        <v>1.6128</v>
      </c>
      <c r="C371" s="1">
        <f>Tabela15[[#This Row],[Alongamento (mm/mm)]]/$I$2</f>
        <v>3.2256E-2</v>
      </c>
      <c r="D371" s="13">
        <v>31.128</v>
      </c>
      <c r="E371" s="1">
        <f>Tabela15[[#This Row],[Força (N)]]/$I$5</f>
        <v>644020.03562716849</v>
      </c>
      <c r="F371" s="1">
        <f>Tabela15[[#This Row],[Tensão (Pa)]]/1000000</f>
        <v>0.64402003562716847</v>
      </c>
    </row>
    <row r="372" spans="1:6" x14ac:dyDescent="0.3">
      <c r="A372" s="13">
        <v>19.55</v>
      </c>
      <c r="B372" s="13">
        <v>1.6211</v>
      </c>
      <c r="C372" s="1">
        <f>Tabela15[[#This Row],[Alongamento (mm/mm)]]/$I$2</f>
        <v>3.2421999999999999E-2</v>
      </c>
      <c r="D372" s="13">
        <v>31.808</v>
      </c>
      <c r="E372" s="1">
        <f>Tabela15[[#This Row],[Força (N)]]/$I$5</f>
        <v>658088.83619985147</v>
      </c>
      <c r="F372" s="1">
        <f>Tabela15[[#This Row],[Tensão (Pa)]]/1000000</f>
        <v>0.65808883619985148</v>
      </c>
    </row>
    <row r="373" spans="1:6" x14ac:dyDescent="0.3">
      <c r="A373" s="13">
        <v>19.632999999999999</v>
      </c>
      <c r="B373" s="13">
        <v>1.6279999999999999</v>
      </c>
      <c r="C373" s="1">
        <f>Tabela15[[#This Row],[Alongamento (mm/mm)]]/$I$2</f>
        <v>3.2559999999999999E-2</v>
      </c>
      <c r="D373" s="13">
        <v>32.488999999999997</v>
      </c>
      <c r="E373" s="1">
        <f>Tabela15[[#This Row],[Força (N)]]/$I$5</f>
        <v>672178.32618514122</v>
      </c>
      <c r="F373" s="1">
        <f>Tabela15[[#This Row],[Tensão (Pa)]]/1000000</f>
        <v>0.67217832618514117</v>
      </c>
    </row>
    <row r="374" spans="1:6" x14ac:dyDescent="0.3">
      <c r="A374" s="13">
        <v>19.716999999999999</v>
      </c>
      <c r="B374" s="13">
        <v>1.6349</v>
      </c>
      <c r="C374" s="1">
        <f>Tabela15[[#This Row],[Alongamento (mm/mm)]]/$I$2</f>
        <v>3.2697999999999998E-2</v>
      </c>
      <c r="D374" s="13">
        <v>33.168999999999997</v>
      </c>
      <c r="E374" s="1">
        <f>Tabela15[[#This Row],[Força (N)]]/$I$5</f>
        <v>686247.12675782409</v>
      </c>
      <c r="F374" s="1">
        <f>Tabela15[[#This Row],[Tensão (Pa)]]/1000000</f>
        <v>0.68624712675782407</v>
      </c>
    </row>
    <row r="375" spans="1:6" x14ac:dyDescent="0.3">
      <c r="A375" s="13">
        <v>19.817</v>
      </c>
      <c r="B375" s="13">
        <v>1.6433</v>
      </c>
      <c r="C375" s="1">
        <f>Tabela15[[#This Row],[Alongamento (mm/mm)]]/$I$2</f>
        <v>3.2865999999999999E-2</v>
      </c>
      <c r="D375" s="13">
        <v>33.85</v>
      </c>
      <c r="E375" s="1">
        <f>Tabela15[[#This Row],[Força (N)]]/$I$5</f>
        <v>700336.61674311408</v>
      </c>
      <c r="F375" s="1">
        <f>Tabela15[[#This Row],[Tensão (Pa)]]/1000000</f>
        <v>0.70033661674311409</v>
      </c>
    </row>
    <row r="376" spans="1:6" x14ac:dyDescent="0.3">
      <c r="A376" s="13">
        <v>19.899999999999999</v>
      </c>
      <c r="B376" s="13">
        <v>1.6501999999999999</v>
      </c>
      <c r="C376" s="1">
        <f>Tabela15[[#This Row],[Alongamento (mm/mm)]]/$I$2</f>
        <v>3.3003999999999999E-2</v>
      </c>
      <c r="D376" s="13">
        <v>34.53</v>
      </c>
      <c r="E376" s="1">
        <f>Tabela15[[#This Row],[Força (N)]]/$I$5</f>
        <v>714405.41731579695</v>
      </c>
      <c r="F376" s="1">
        <f>Tabela15[[#This Row],[Tensão (Pa)]]/1000000</f>
        <v>0.71440541731579699</v>
      </c>
    </row>
    <row r="377" spans="1:6" x14ac:dyDescent="0.3">
      <c r="A377" s="13">
        <v>19.983000000000001</v>
      </c>
      <c r="B377" s="13">
        <v>1.6572</v>
      </c>
      <c r="C377" s="1">
        <f>Tabela15[[#This Row],[Alongamento (mm/mm)]]/$I$2</f>
        <v>3.3144E-2</v>
      </c>
      <c r="D377" s="13">
        <v>35.21</v>
      </c>
      <c r="E377" s="1">
        <f>Tabela15[[#This Row],[Força (N)]]/$I$5</f>
        <v>728474.21788847994</v>
      </c>
      <c r="F377" s="1">
        <f>Tabela15[[#This Row],[Tensão (Pa)]]/1000000</f>
        <v>0.72847421788847999</v>
      </c>
    </row>
    <row r="378" spans="1:6" x14ac:dyDescent="0.3">
      <c r="A378" s="13">
        <v>20.067</v>
      </c>
      <c r="B378" s="13">
        <v>1.6641999999999999</v>
      </c>
      <c r="C378" s="1">
        <f>Tabela15[[#This Row],[Alongamento (mm/mm)]]/$I$2</f>
        <v>3.3284000000000001E-2</v>
      </c>
      <c r="D378" s="13">
        <v>35.890999999999998</v>
      </c>
      <c r="E378" s="1">
        <f>Tabela15[[#This Row],[Força (N)]]/$I$5</f>
        <v>742563.70787376969</v>
      </c>
      <c r="F378" s="1">
        <f>Tabela15[[#This Row],[Tensão (Pa)]]/1000000</f>
        <v>0.74256370787376969</v>
      </c>
    </row>
    <row r="379" spans="1:6" x14ac:dyDescent="0.3">
      <c r="A379" s="13">
        <v>20.149999999999999</v>
      </c>
      <c r="B379" s="13">
        <v>1.671</v>
      </c>
      <c r="C379" s="1">
        <f>Tabela15[[#This Row],[Alongamento (mm/mm)]]/$I$2</f>
        <v>3.3419999999999998E-2</v>
      </c>
      <c r="D379" s="13">
        <v>36.570999999999998</v>
      </c>
      <c r="E379" s="1">
        <f>Tabela15[[#This Row],[Força (N)]]/$I$5</f>
        <v>756632.50844645267</v>
      </c>
      <c r="F379" s="1">
        <f>Tabela15[[#This Row],[Tensão (Pa)]]/1000000</f>
        <v>0.75663250844645269</v>
      </c>
    </row>
    <row r="380" spans="1:6" x14ac:dyDescent="0.3">
      <c r="A380" s="13">
        <v>20.216999999999999</v>
      </c>
      <c r="B380" s="13">
        <v>1.6766000000000001</v>
      </c>
      <c r="C380" s="1">
        <f>Tabela15[[#This Row],[Alongamento (mm/mm)]]/$I$2</f>
        <v>3.3531999999999999E-2</v>
      </c>
      <c r="D380" s="13">
        <v>37.252000000000002</v>
      </c>
      <c r="E380" s="1">
        <f>Tabela15[[#This Row],[Força (N)]]/$I$5</f>
        <v>770721.99843174254</v>
      </c>
      <c r="F380" s="1">
        <f>Tabela15[[#This Row],[Tensão (Pa)]]/1000000</f>
        <v>0.77072199843174249</v>
      </c>
    </row>
    <row r="381" spans="1:6" x14ac:dyDescent="0.3">
      <c r="A381" s="13">
        <v>20.3</v>
      </c>
      <c r="B381" s="13">
        <v>1.6836</v>
      </c>
      <c r="C381" s="1">
        <f>Tabela15[[#This Row],[Alongamento (mm/mm)]]/$I$2</f>
        <v>3.3672000000000001E-2</v>
      </c>
      <c r="D381" s="13">
        <v>37.932000000000002</v>
      </c>
      <c r="E381" s="1">
        <f>Tabela15[[#This Row],[Força (N)]]/$I$5</f>
        <v>784790.79900442553</v>
      </c>
      <c r="F381" s="1">
        <f>Tabela15[[#This Row],[Tensão (Pa)]]/1000000</f>
        <v>0.7847907990044255</v>
      </c>
    </row>
    <row r="382" spans="1:6" x14ac:dyDescent="0.3">
      <c r="A382" s="13">
        <v>20.382999999999999</v>
      </c>
      <c r="B382" s="13">
        <v>1.6906000000000001</v>
      </c>
      <c r="C382" s="1">
        <f>Tabela15[[#This Row],[Alongamento (mm/mm)]]/$I$2</f>
        <v>3.3812000000000002E-2</v>
      </c>
      <c r="D382" s="13">
        <v>38.612000000000002</v>
      </c>
      <c r="E382" s="1">
        <f>Tabela15[[#This Row],[Força (N)]]/$I$5</f>
        <v>798859.5995771084</v>
      </c>
      <c r="F382" s="1">
        <f>Tabela15[[#This Row],[Tensão (Pa)]]/1000000</f>
        <v>0.79885959957710839</v>
      </c>
    </row>
    <row r="383" spans="1:6" x14ac:dyDescent="0.3">
      <c r="A383" s="13">
        <v>20.45</v>
      </c>
      <c r="B383" s="13">
        <v>1.6960999999999999</v>
      </c>
      <c r="C383" s="1">
        <f>Tabela15[[#This Row],[Alongamento (mm/mm)]]/$I$2</f>
        <v>3.3922000000000001E-2</v>
      </c>
      <c r="D383" s="13">
        <v>39.292999999999999</v>
      </c>
      <c r="E383" s="1">
        <f>Tabela15[[#This Row],[Força (N)]]/$I$5</f>
        <v>812949.08956239815</v>
      </c>
      <c r="F383" s="1">
        <f>Tabela15[[#This Row],[Tensão (Pa)]]/1000000</f>
        <v>0.8129490895623982</v>
      </c>
    </row>
    <row r="384" spans="1:6" x14ac:dyDescent="0.3">
      <c r="A384" s="13">
        <v>20.533000000000001</v>
      </c>
      <c r="B384" s="13">
        <v>1.7031000000000001</v>
      </c>
      <c r="C384" s="1">
        <f>Tabela15[[#This Row],[Alongamento (mm/mm)]]/$I$2</f>
        <v>3.4062000000000002E-2</v>
      </c>
      <c r="D384" s="13">
        <v>39.972999999999999</v>
      </c>
      <c r="E384" s="1">
        <f>Tabela15[[#This Row],[Força (N)]]/$I$5</f>
        <v>827017.89013508114</v>
      </c>
      <c r="F384" s="1">
        <f>Tabela15[[#This Row],[Tensão (Pa)]]/1000000</f>
        <v>0.82701789013508109</v>
      </c>
    </row>
    <row r="385" spans="1:6" x14ac:dyDescent="0.3">
      <c r="A385" s="13">
        <v>20.6</v>
      </c>
      <c r="B385" s="13">
        <v>1.7084999999999999</v>
      </c>
      <c r="C385" s="1">
        <f>Tabela15[[#This Row],[Alongamento (mm/mm)]]/$I$2</f>
        <v>3.4169999999999999E-2</v>
      </c>
      <c r="D385" s="13">
        <v>40.654000000000003</v>
      </c>
      <c r="E385" s="1">
        <f>Tabela15[[#This Row],[Força (N)]]/$I$5</f>
        <v>841107.380120371</v>
      </c>
      <c r="F385" s="1">
        <f>Tabela15[[#This Row],[Tensão (Pa)]]/1000000</f>
        <v>0.84110738012037101</v>
      </c>
    </row>
    <row r="386" spans="1:6" x14ac:dyDescent="0.3">
      <c r="A386" s="13">
        <v>20.683</v>
      </c>
      <c r="B386" s="13">
        <v>1.7155</v>
      </c>
      <c r="C386" s="1">
        <f>Tabela15[[#This Row],[Alongamento (mm/mm)]]/$I$2</f>
        <v>3.431E-2</v>
      </c>
      <c r="D386" s="13">
        <v>41.334000000000003</v>
      </c>
      <c r="E386" s="1">
        <f>Tabela15[[#This Row],[Força (N)]]/$I$5</f>
        <v>855176.18069305399</v>
      </c>
      <c r="F386" s="1">
        <f>Tabela15[[#This Row],[Tensão (Pa)]]/1000000</f>
        <v>0.85517618069305401</v>
      </c>
    </row>
    <row r="387" spans="1:6" x14ac:dyDescent="0.3">
      <c r="A387" s="13">
        <v>20.75</v>
      </c>
      <c r="B387" s="13">
        <v>1.7211000000000001</v>
      </c>
      <c r="C387" s="1">
        <f>Tabela15[[#This Row],[Alongamento (mm/mm)]]/$I$2</f>
        <v>3.4422000000000001E-2</v>
      </c>
      <c r="D387" s="13">
        <v>42.014000000000003</v>
      </c>
      <c r="E387" s="1">
        <f>Tabela15[[#This Row],[Força (N)]]/$I$5</f>
        <v>869244.98126573686</v>
      </c>
      <c r="F387" s="1">
        <f>Tabela15[[#This Row],[Tensão (Pa)]]/1000000</f>
        <v>0.8692449812657369</v>
      </c>
    </row>
    <row r="388" spans="1:6" x14ac:dyDescent="0.3">
      <c r="A388" s="13">
        <v>20.817</v>
      </c>
      <c r="B388" s="13">
        <v>1.7266999999999999</v>
      </c>
      <c r="C388" s="1">
        <f>Tabela15[[#This Row],[Alongamento (mm/mm)]]/$I$2</f>
        <v>3.4533999999999995E-2</v>
      </c>
      <c r="D388" s="13">
        <v>42.695</v>
      </c>
      <c r="E388" s="1">
        <f>Tabela15[[#This Row],[Força (N)]]/$I$5</f>
        <v>883334.47125102673</v>
      </c>
      <c r="F388" s="1">
        <f>Tabela15[[#This Row],[Tensão (Pa)]]/1000000</f>
        <v>0.88333447125102671</v>
      </c>
    </row>
    <row r="389" spans="1:6" x14ac:dyDescent="0.3">
      <c r="A389" s="13">
        <v>20.882999999999999</v>
      </c>
      <c r="B389" s="13">
        <v>1.7322</v>
      </c>
      <c r="C389" s="1">
        <f>Tabela15[[#This Row],[Alongamento (mm/mm)]]/$I$2</f>
        <v>3.4644000000000001E-2</v>
      </c>
      <c r="D389" s="13">
        <v>43.375</v>
      </c>
      <c r="E389" s="1">
        <f>Tabela15[[#This Row],[Força (N)]]/$I$5</f>
        <v>897403.2718237096</v>
      </c>
      <c r="F389" s="1">
        <f>Tabela15[[#This Row],[Tensão (Pa)]]/1000000</f>
        <v>0.8974032718237096</v>
      </c>
    </row>
    <row r="390" spans="1:6" x14ac:dyDescent="0.3">
      <c r="A390" s="13">
        <v>20.95</v>
      </c>
      <c r="B390" s="13">
        <v>1.7377</v>
      </c>
      <c r="C390" s="1">
        <f>Tabela15[[#This Row],[Alongamento (mm/mm)]]/$I$2</f>
        <v>3.4754E-2</v>
      </c>
      <c r="D390" s="13">
        <v>44.055999999999997</v>
      </c>
      <c r="E390" s="1">
        <f>Tabela15[[#This Row],[Força (N)]]/$I$5</f>
        <v>911492.76180899935</v>
      </c>
      <c r="F390" s="1">
        <f>Tabela15[[#This Row],[Tensão (Pa)]]/1000000</f>
        <v>0.9114927618089993</v>
      </c>
    </row>
    <row r="391" spans="1:6" x14ac:dyDescent="0.3">
      <c r="A391" s="13">
        <v>21.033000000000001</v>
      </c>
      <c r="B391" s="13">
        <v>1.7446999999999999</v>
      </c>
      <c r="C391" s="1">
        <f>Tabela15[[#This Row],[Alongamento (mm/mm)]]/$I$2</f>
        <v>3.4894000000000001E-2</v>
      </c>
      <c r="D391" s="13">
        <v>44.735999999999997</v>
      </c>
      <c r="E391" s="1">
        <f>Tabela15[[#This Row],[Força (N)]]/$I$5</f>
        <v>925561.56238168234</v>
      </c>
      <c r="F391" s="1">
        <f>Tabela15[[#This Row],[Tensão (Pa)]]/1000000</f>
        <v>0.9255615623816823</v>
      </c>
    </row>
    <row r="392" spans="1:6" x14ac:dyDescent="0.3">
      <c r="A392" s="13">
        <v>21.1</v>
      </c>
      <c r="B392" s="13">
        <v>1.7502</v>
      </c>
      <c r="C392" s="1">
        <f>Tabela15[[#This Row],[Alongamento (mm/mm)]]/$I$2</f>
        <v>3.5004E-2</v>
      </c>
      <c r="D392" s="13">
        <v>45.415999999999997</v>
      </c>
      <c r="E392" s="1">
        <f>Tabela15[[#This Row],[Força (N)]]/$I$5</f>
        <v>939630.36295436532</v>
      </c>
      <c r="F392" s="1">
        <f>Tabela15[[#This Row],[Tensão (Pa)]]/1000000</f>
        <v>0.93963036295436531</v>
      </c>
    </row>
    <row r="393" spans="1:6" x14ac:dyDescent="0.3">
      <c r="A393" s="13">
        <v>21.167000000000002</v>
      </c>
      <c r="B393" s="13">
        <v>1.7558</v>
      </c>
      <c r="C393" s="1">
        <f>Tabela15[[#This Row],[Alongamento (mm/mm)]]/$I$2</f>
        <v>3.5116000000000001E-2</v>
      </c>
      <c r="D393" s="13">
        <v>46.097000000000001</v>
      </c>
      <c r="E393" s="1">
        <f>Tabela15[[#This Row],[Força (N)]]/$I$5</f>
        <v>953719.85293965519</v>
      </c>
      <c r="F393" s="1">
        <f>Tabela15[[#This Row],[Tensão (Pa)]]/1000000</f>
        <v>0.95371985293965522</v>
      </c>
    </row>
    <row r="394" spans="1:6" x14ac:dyDescent="0.3">
      <c r="A394" s="13">
        <v>21.233000000000001</v>
      </c>
      <c r="B394" s="13">
        <v>1.7614000000000001</v>
      </c>
      <c r="C394" s="1">
        <f>Tabela15[[#This Row],[Alongamento (mm/mm)]]/$I$2</f>
        <v>3.5228000000000002E-2</v>
      </c>
      <c r="D394" s="13">
        <v>46.777000000000001</v>
      </c>
      <c r="E394" s="1">
        <f>Tabela15[[#This Row],[Força (N)]]/$I$5</f>
        <v>967788.65351233818</v>
      </c>
      <c r="F394" s="1">
        <f>Tabela15[[#This Row],[Tensão (Pa)]]/1000000</f>
        <v>0.96778865351233823</v>
      </c>
    </row>
    <row r="395" spans="1:6" x14ac:dyDescent="0.3">
      <c r="A395" s="13">
        <v>21.3</v>
      </c>
      <c r="B395" s="13">
        <v>1.7669999999999999</v>
      </c>
      <c r="C395" s="1">
        <f>Tabela15[[#This Row],[Alongamento (mm/mm)]]/$I$2</f>
        <v>3.5339999999999996E-2</v>
      </c>
      <c r="D395" s="13">
        <v>47.457999999999998</v>
      </c>
      <c r="E395" s="1">
        <f>Tabela15[[#This Row],[Força (N)]]/$I$5</f>
        <v>981878.14349762793</v>
      </c>
      <c r="F395" s="1">
        <f>Tabela15[[#This Row],[Tensão (Pa)]]/1000000</f>
        <v>0.98187814349762792</v>
      </c>
    </row>
    <row r="396" spans="1:6" x14ac:dyDescent="0.3">
      <c r="A396" s="13">
        <v>21.367000000000001</v>
      </c>
      <c r="B396" s="13">
        <v>1.7726</v>
      </c>
      <c r="C396" s="1">
        <f>Tabela15[[#This Row],[Alongamento (mm/mm)]]/$I$2</f>
        <v>3.5451999999999997E-2</v>
      </c>
      <c r="D396" s="13">
        <v>48.137999999999998</v>
      </c>
      <c r="E396" s="1">
        <f>Tabela15[[#This Row],[Força (N)]]/$I$5</f>
        <v>995946.9440703108</v>
      </c>
      <c r="F396" s="1">
        <f>Tabela15[[#This Row],[Tensão (Pa)]]/1000000</f>
        <v>0.99594694407031081</v>
      </c>
    </row>
    <row r="397" spans="1:6" x14ac:dyDescent="0.3">
      <c r="A397" s="13">
        <v>21.433</v>
      </c>
      <c r="B397" s="13">
        <v>1.7781</v>
      </c>
      <c r="C397" s="1">
        <f>Tabela15[[#This Row],[Alongamento (mm/mm)]]/$I$2</f>
        <v>3.5562000000000003E-2</v>
      </c>
      <c r="D397" s="13">
        <v>48.817999999999998</v>
      </c>
      <c r="E397" s="1">
        <f>Tabela15[[#This Row],[Força (N)]]/$I$5</f>
        <v>1010015.7446429938</v>
      </c>
      <c r="F397" s="1">
        <f>Tabela15[[#This Row],[Tensão (Pa)]]/1000000</f>
        <v>1.0100157446429938</v>
      </c>
    </row>
    <row r="398" spans="1:6" x14ac:dyDescent="0.3">
      <c r="A398" s="13">
        <v>21.5</v>
      </c>
      <c r="B398" s="13">
        <v>1.7835000000000001</v>
      </c>
      <c r="C398" s="1">
        <f>Tabela15[[#This Row],[Alongamento (mm/mm)]]/$I$2</f>
        <v>3.567E-2</v>
      </c>
      <c r="D398" s="13">
        <v>49.499000000000002</v>
      </c>
      <c r="E398" s="1">
        <f>Tabela15[[#This Row],[Força (N)]]/$I$5</f>
        <v>1024105.2346282837</v>
      </c>
      <c r="F398" s="1">
        <f>Tabela15[[#This Row],[Tensão (Pa)]]/1000000</f>
        <v>1.0241052346282837</v>
      </c>
    </row>
    <row r="399" spans="1:6" x14ac:dyDescent="0.3">
      <c r="A399" s="13">
        <v>21.582999999999998</v>
      </c>
      <c r="B399" s="13">
        <v>1.7905</v>
      </c>
      <c r="C399" s="1">
        <f>Tabela15[[#This Row],[Alongamento (mm/mm)]]/$I$2</f>
        <v>3.5810000000000002E-2</v>
      </c>
      <c r="D399" s="13">
        <v>50.179000000000002</v>
      </c>
      <c r="E399" s="1">
        <f>Tabela15[[#This Row],[Força (N)]]/$I$5</f>
        <v>1038174.0352009666</v>
      </c>
      <c r="F399" s="1">
        <f>Tabela15[[#This Row],[Tensão (Pa)]]/1000000</f>
        <v>1.0381740352009667</v>
      </c>
    </row>
    <row r="400" spans="1:6" x14ac:dyDescent="0.3">
      <c r="A400" s="13">
        <v>21.65</v>
      </c>
      <c r="B400" s="13">
        <v>1.7961</v>
      </c>
      <c r="C400" s="1">
        <f>Tabela15[[#This Row],[Alongamento (mm/mm)]]/$I$2</f>
        <v>3.5922000000000003E-2</v>
      </c>
      <c r="D400" s="13">
        <v>50.86</v>
      </c>
      <c r="E400" s="1">
        <f>Tabela15[[#This Row],[Força (N)]]/$I$5</f>
        <v>1052263.5251862565</v>
      </c>
      <c r="F400" s="1">
        <f>Tabela15[[#This Row],[Tensão (Pa)]]/1000000</f>
        <v>1.0522635251862564</v>
      </c>
    </row>
    <row r="401" spans="1:6" x14ac:dyDescent="0.3">
      <c r="A401" s="13">
        <v>21.7</v>
      </c>
      <c r="B401" s="13">
        <v>1.8002</v>
      </c>
      <c r="C401" s="1">
        <f>Tabela15[[#This Row],[Alongamento (mm/mm)]]/$I$2</f>
        <v>3.6004000000000001E-2</v>
      </c>
      <c r="D401" s="13">
        <v>51.54</v>
      </c>
      <c r="E401" s="1">
        <f>Tabela15[[#This Row],[Força (N)]]/$I$5</f>
        <v>1066332.3257589394</v>
      </c>
      <c r="F401" s="1">
        <f>Tabela15[[#This Row],[Tensão (Pa)]]/1000000</f>
        <v>1.0663323257589394</v>
      </c>
    </row>
    <row r="402" spans="1:6" x14ac:dyDescent="0.3">
      <c r="A402" s="13">
        <v>21.783000000000001</v>
      </c>
      <c r="B402" s="13">
        <v>1.8071999999999999</v>
      </c>
      <c r="C402" s="1">
        <f>Tabela15[[#This Row],[Alongamento (mm/mm)]]/$I$2</f>
        <v>3.6143999999999996E-2</v>
      </c>
      <c r="D402" s="13">
        <v>52.22</v>
      </c>
      <c r="E402" s="1">
        <f>Tabela15[[#This Row],[Força (N)]]/$I$5</f>
        <v>1080401.1263316222</v>
      </c>
      <c r="F402" s="1">
        <f>Tabela15[[#This Row],[Tensão (Pa)]]/1000000</f>
        <v>1.0804011263316222</v>
      </c>
    </row>
    <row r="403" spans="1:6" x14ac:dyDescent="0.3">
      <c r="A403" s="13">
        <v>21.85</v>
      </c>
      <c r="B403" s="13">
        <v>1.8128</v>
      </c>
      <c r="C403" s="1">
        <f>Tabela15[[#This Row],[Alongamento (mm/mm)]]/$I$2</f>
        <v>3.6255999999999997E-2</v>
      </c>
      <c r="D403" s="13">
        <v>52.901000000000003</v>
      </c>
      <c r="E403" s="1">
        <f>Tabela15[[#This Row],[Força (N)]]/$I$5</f>
        <v>1094490.6163169122</v>
      </c>
      <c r="F403" s="1">
        <f>Tabela15[[#This Row],[Tensão (Pa)]]/1000000</f>
        <v>1.0944906163169121</v>
      </c>
    </row>
    <row r="404" spans="1:6" x14ac:dyDescent="0.3">
      <c r="A404" s="13">
        <v>21.917000000000002</v>
      </c>
      <c r="B404" s="13">
        <v>1.8184</v>
      </c>
      <c r="C404" s="1">
        <f>Tabela15[[#This Row],[Alongamento (mm/mm)]]/$I$2</f>
        <v>3.6367999999999998E-2</v>
      </c>
      <c r="D404" s="13">
        <v>53.581000000000003</v>
      </c>
      <c r="E404" s="1">
        <f>Tabela15[[#This Row],[Força (N)]]/$I$5</f>
        <v>1108559.4168895951</v>
      </c>
      <c r="F404" s="1">
        <f>Tabela15[[#This Row],[Tensão (Pa)]]/1000000</f>
        <v>1.1085594168895951</v>
      </c>
    </row>
    <row r="405" spans="1:6" x14ac:dyDescent="0.3">
      <c r="A405" s="13">
        <v>21.983000000000001</v>
      </c>
      <c r="B405" s="13">
        <v>1.8239000000000001</v>
      </c>
      <c r="C405" s="1">
        <f>Tabela15[[#This Row],[Alongamento (mm/mm)]]/$I$2</f>
        <v>3.6478000000000003E-2</v>
      </c>
      <c r="D405" s="13">
        <v>54.262</v>
      </c>
      <c r="E405" s="1">
        <f>Tabela15[[#This Row],[Força (N)]]/$I$5</f>
        <v>1122648.9068748849</v>
      </c>
      <c r="F405" s="1">
        <f>Tabela15[[#This Row],[Tensão (Pa)]]/1000000</f>
        <v>1.1226489068748848</v>
      </c>
    </row>
    <row r="406" spans="1:6" x14ac:dyDescent="0.3">
      <c r="A406" s="13">
        <v>22.05</v>
      </c>
      <c r="B406" s="13">
        <v>1.8293999999999999</v>
      </c>
      <c r="C406" s="1">
        <f>Tabela15[[#This Row],[Alongamento (mm/mm)]]/$I$2</f>
        <v>3.6587999999999996E-2</v>
      </c>
      <c r="D406" s="13">
        <v>54.942</v>
      </c>
      <c r="E406" s="1">
        <f>Tabela15[[#This Row],[Força (N)]]/$I$5</f>
        <v>1136717.7074475677</v>
      </c>
      <c r="F406" s="1">
        <f>Tabela15[[#This Row],[Tensão (Pa)]]/1000000</f>
        <v>1.1367177074475676</v>
      </c>
    </row>
    <row r="407" spans="1:6" x14ac:dyDescent="0.3">
      <c r="A407" s="13">
        <v>22.117000000000001</v>
      </c>
      <c r="B407" s="13">
        <v>1.8349</v>
      </c>
      <c r="C407" s="1">
        <f>Tabela15[[#This Row],[Alongamento (mm/mm)]]/$I$2</f>
        <v>3.6698000000000001E-2</v>
      </c>
      <c r="D407" s="13">
        <v>55.622</v>
      </c>
      <c r="E407" s="1">
        <f>Tabela15[[#This Row],[Força (N)]]/$I$5</f>
        <v>1150786.5080202508</v>
      </c>
      <c r="F407" s="1">
        <f>Tabela15[[#This Row],[Tensão (Pa)]]/1000000</f>
        <v>1.1507865080202508</v>
      </c>
    </row>
    <row r="408" spans="1:6" x14ac:dyDescent="0.3">
      <c r="A408" s="13">
        <v>22.183</v>
      </c>
      <c r="B408" s="13">
        <v>1.8405</v>
      </c>
      <c r="C408" s="1">
        <f>Tabela15[[#This Row],[Alongamento (mm/mm)]]/$I$2</f>
        <v>3.6810000000000002E-2</v>
      </c>
      <c r="D408" s="13">
        <v>56.302999999999997</v>
      </c>
      <c r="E408" s="1">
        <f>Tabela15[[#This Row],[Força (N)]]/$I$5</f>
        <v>1164875.9980055406</v>
      </c>
      <c r="F408" s="1">
        <f>Tabela15[[#This Row],[Tensão (Pa)]]/1000000</f>
        <v>1.1648759980055405</v>
      </c>
    </row>
    <row r="409" spans="1:6" x14ac:dyDescent="0.3">
      <c r="A409" s="13">
        <v>22.25</v>
      </c>
      <c r="B409" s="13">
        <v>1.8461000000000001</v>
      </c>
      <c r="C409" s="1">
        <f>Tabela15[[#This Row],[Alongamento (mm/mm)]]/$I$2</f>
        <v>3.6922000000000003E-2</v>
      </c>
      <c r="D409" s="13">
        <v>56.982999999999997</v>
      </c>
      <c r="E409" s="1">
        <f>Tabela15[[#This Row],[Força (N)]]/$I$5</f>
        <v>1178944.7985782234</v>
      </c>
      <c r="F409" s="1">
        <f>Tabela15[[#This Row],[Tensão (Pa)]]/1000000</f>
        <v>1.1789447985782235</v>
      </c>
    </row>
    <row r="410" spans="1:6" x14ac:dyDescent="0.3">
      <c r="A410" s="13">
        <v>22.317</v>
      </c>
      <c r="B410" s="13">
        <v>1.8515999999999999</v>
      </c>
      <c r="C410" s="1">
        <f>Tabela15[[#This Row],[Alongamento (mm/mm)]]/$I$2</f>
        <v>3.7031999999999995E-2</v>
      </c>
      <c r="D410" s="13">
        <v>57.662999999999997</v>
      </c>
      <c r="E410" s="1">
        <f>Tabela15[[#This Row],[Força (N)]]/$I$5</f>
        <v>1193013.5991509063</v>
      </c>
      <c r="F410" s="1">
        <f>Tabela15[[#This Row],[Tensão (Pa)]]/1000000</f>
        <v>1.1930135991509063</v>
      </c>
    </row>
    <row r="411" spans="1:6" x14ac:dyDescent="0.3">
      <c r="A411" s="13">
        <v>22.382999999999999</v>
      </c>
      <c r="B411" s="13">
        <v>1.8572</v>
      </c>
      <c r="C411" s="1">
        <f>Tabela15[[#This Row],[Alongamento (mm/mm)]]/$I$2</f>
        <v>3.7143999999999996E-2</v>
      </c>
      <c r="D411" s="13">
        <v>58.514000000000003</v>
      </c>
      <c r="E411" s="1">
        <f>Tabela15[[#This Row],[Força (N)]]/$I$5</f>
        <v>1210620.2892793671</v>
      </c>
      <c r="F411" s="1">
        <f>Tabela15[[#This Row],[Tensão (Pa)]]/1000000</f>
        <v>1.2106202892793672</v>
      </c>
    </row>
    <row r="412" spans="1:6" x14ac:dyDescent="0.3">
      <c r="A412" s="13">
        <v>22.466999999999999</v>
      </c>
      <c r="B412" s="13">
        <v>1.8641000000000001</v>
      </c>
      <c r="C412" s="1">
        <f>Tabela15[[#This Row],[Alongamento (mm/mm)]]/$I$2</f>
        <v>3.7282000000000003E-2</v>
      </c>
      <c r="D412" s="13">
        <v>59.363999999999997</v>
      </c>
      <c r="E412" s="1">
        <f>Tabela15[[#This Row],[Força (N)]]/$I$5</f>
        <v>1228206.2899952207</v>
      </c>
      <c r="F412" s="1">
        <f>Tabela15[[#This Row],[Tensão (Pa)]]/1000000</f>
        <v>1.2282062899952206</v>
      </c>
    </row>
    <row r="413" spans="1:6" x14ac:dyDescent="0.3">
      <c r="A413" s="13">
        <v>22.533000000000001</v>
      </c>
      <c r="B413" s="13">
        <v>1.8696999999999999</v>
      </c>
      <c r="C413" s="1">
        <f>Tabela15[[#This Row],[Alongamento (mm/mm)]]/$I$2</f>
        <v>3.7393999999999997E-2</v>
      </c>
      <c r="D413" s="13">
        <v>60.045000000000002</v>
      </c>
      <c r="E413" s="1">
        <f>Tabela15[[#This Row],[Força (N)]]/$I$5</f>
        <v>1242295.7799805105</v>
      </c>
      <c r="F413" s="1">
        <f>Tabela15[[#This Row],[Tensão (Pa)]]/1000000</f>
        <v>1.2422957799805106</v>
      </c>
    </row>
    <row r="414" spans="1:6" x14ac:dyDescent="0.3">
      <c r="A414" s="13">
        <v>22.6</v>
      </c>
      <c r="B414" s="13">
        <v>1.8753</v>
      </c>
      <c r="C414" s="1">
        <f>Tabela15[[#This Row],[Alongamento (mm/mm)]]/$I$2</f>
        <v>3.7505999999999998E-2</v>
      </c>
      <c r="D414" s="13">
        <v>60.725000000000001</v>
      </c>
      <c r="E414" s="1">
        <f>Tabela15[[#This Row],[Força (N)]]/$I$5</f>
        <v>1256364.5805531936</v>
      </c>
      <c r="F414" s="1">
        <f>Tabela15[[#This Row],[Tensão (Pa)]]/1000000</f>
        <v>1.2563645805531936</v>
      </c>
    </row>
    <row r="415" spans="1:6" x14ac:dyDescent="0.3">
      <c r="A415" s="13">
        <v>22.667000000000002</v>
      </c>
      <c r="B415" s="13">
        <v>1.8808</v>
      </c>
      <c r="C415" s="1">
        <f>Tabela15[[#This Row],[Alongamento (mm/mm)]]/$I$2</f>
        <v>3.7616000000000004E-2</v>
      </c>
      <c r="D415" s="13">
        <v>61.405999999999999</v>
      </c>
      <c r="E415" s="1">
        <f>Tabela15[[#This Row],[Força (N)]]/$I$5</f>
        <v>1270454.0705384833</v>
      </c>
      <c r="F415" s="1">
        <f>Tabela15[[#This Row],[Tensão (Pa)]]/1000000</f>
        <v>1.2704540705384832</v>
      </c>
    </row>
    <row r="416" spans="1:6" x14ac:dyDescent="0.3">
      <c r="A416" s="13">
        <v>22.733000000000001</v>
      </c>
      <c r="B416" s="13">
        <v>1.8864000000000001</v>
      </c>
      <c r="C416" s="1">
        <f>Tabela15[[#This Row],[Alongamento (mm/mm)]]/$I$2</f>
        <v>3.7728000000000005E-2</v>
      </c>
      <c r="D416" s="13">
        <v>62.085999999999999</v>
      </c>
      <c r="E416" s="1">
        <f>Tabela15[[#This Row],[Força (N)]]/$I$5</f>
        <v>1284522.8711111662</v>
      </c>
      <c r="F416" s="1">
        <f>Tabela15[[#This Row],[Tensão (Pa)]]/1000000</f>
        <v>1.2845228711111663</v>
      </c>
    </row>
    <row r="417" spans="1:6" x14ac:dyDescent="0.3">
      <c r="A417" s="13">
        <v>22.8</v>
      </c>
      <c r="B417" s="13">
        <v>1.8919999999999999</v>
      </c>
      <c r="C417" s="1">
        <f>Tabela15[[#This Row],[Alongamento (mm/mm)]]/$I$2</f>
        <v>3.7839999999999999E-2</v>
      </c>
      <c r="D417" s="13">
        <v>62.765999999999998</v>
      </c>
      <c r="E417" s="1">
        <f>Tabela15[[#This Row],[Força (N)]]/$I$5</f>
        <v>1298591.6716838491</v>
      </c>
      <c r="F417" s="1">
        <f>Tabela15[[#This Row],[Tensão (Pa)]]/1000000</f>
        <v>1.298591671683849</v>
      </c>
    </row>
    <row r="418" spans="1:6" x14ac:dyDescent="0.3">
      <c r="A418" s="13">
        <v>22.867000000000001</v>
      </c>
      <c r="B418" s="13">
        <v>1.8975</v>
      </c>
      <c r="C418" s="1">
        <f>Tabela15[[#This Row],[Alongamento (mm/mm)]]/$I$2</f>
        <v>3.7949999999999998E-2</v>
      </c>
      <c r="D418" s="13">
        <v>63.616999999999997</v>
      </c>
      <c r="E418" s="1">
        <f>Tabela15[[#This Row],[Força (N)]]/$I$5</f>
        <v>1316198.3618123096</v>
      </c>
      <c r="F418" s="1">
        <f>Tabela15[[#This Row],[Tensão (Pa)]]/1000000</f>
        <v>1.3161983618123096</v>
      </c>
    </row>
    <row r="419" spans="1:6" x14ac:dyDescent="0.3">
      <c r="A419" s="13">
        <v>22.933</v>
      </c>
      <c r="B419" s="13">
        <v>1.9029</v>
      </c>
      <c r="C419" s="1">
        <f>Tabela15[[#This Row],[Alongamento (mm/mm)]]/$I$2</f>
        <v>3.8058000000000002E-2</v>
      </c>
      <c r="D419" s="13">
        <v>64.296999999999997</v>
      </c>
      <c r="E419" s="1">
        <f>Tabela15[[#This Row],[Força (N)]]/$I$5</f>
        <v>1330267.1623849927</v>
      </c>
      <c r="F419" s="1">
        <f>Tabela15[[#This Row],[Tensão (Pa)]]/1000000</f>
        <v>1.3302671623849927</v>
      </c>
    </row>
    <row r="420" spans="1:6" x14ac:dyDescent="0.3">
      <c r="A420" s="13">
        <v>23</v>
      </c>
      <c r="B420" s="13">
        <v>1.9085000000000001</v>
      </c>
      <c r="C420" s="1">
        <f>Tabela15[[#This Row],[Alongamento (mm/mm)]]/$I$2</f>
        <v>3.8170000000000003E-2</v>
      </c>
      <c r="D420" s="13">
        <v>64.977999999999994</v>
      </c>
      <c r="E420" s="1">
        <f>Tabela15[[#This Row],[Força (N)]]/$I$5</f>
        <v>1344356.6523702824</v>
      </c>
      <c r="F420" s="1">
        <f>Tabela15[[#This Row],[Tensão (Pa)]]/1000000</f>
        <v>1.3443566523702823</v>
      </c>
    </row>
    <row r="421" spans="1:6" x14ac:dyDescent="0.3">
      <c r="A421" s="13">
        <v>23.05</v>
      </c>
      <c r="B421" s="13">
        <v>1.9128000000000001</v>
      </c>
      <c r="C421" s="1">
        <f>Tabela15[[#This Row],[Alongamento (mm/mm)]]/$I$2</f>
        <v>3.8255999999999998E-2</v>
      </c>
      <c r="D421" s="13">
        <v>65.658000000000001</v>
      </c>
      <c r="E421" s="1">
        <f>Tabela15[[#This Row],[Força (N)]]/$I$5</f>
        <v>1358425.4529429656</v>
      </c>
      <c r="F421" s="1">
        <f>Tabela15[[#This Row],[Tensão (Pa)]]/1000000</f>
        <v>1.3584254529429656</v>
      </c>
    </row>
    <row r="422" spans="1:6" x14ac:dyDescent="0.3">
      <c r="A422" s="13">
        <v>23.117000000000001</v>
      </c>
      <c r="B422" s="13">
        <v>1.9182999999999999</v>
      </c>
      <c r="C422" s="1">
        <f>Tabela15[[#This Row],[Alongamento (mm/mm)]]/$I$2</f>
        <v>3.8365999999999997E-2</v>
      </c>
      <c r="D422" s="13">
        <v>66.338999999999999</v>
      </c>
      <c r="E422" s="1">
        <f>Tabela15[[#This Row],[Força (N)]]/$I$5</f>
        <v>1372514.9429282553</v>
      </c>
      <c r="F422" s="1">
        <f>Tabela15[[#This Row],[Tensão (Pa)]]/1000000</f>
        <v>1.3725149429282553</v>
      </c>
    </row>
    <row r="423" spans="1:6" x14ac:dyDescent="0.3">
      <c r="A423" s="13">
        <v>23.183</v>
      </c>
      <c r="B423" s="13">
        <v>1.9238</v>
      </c>
      <c r="C423" s="1">
        <f>Tabela15[[#This Row],[Alongamento (mm/mm)]]/$I$2</f>
        <v>3.8475999999999996E-2</v>
      </c>
      <c r="D423" s="13">
        <v>67.188999999999993</v>
      </c>
      <c r="E423" s="1">
        <f>Tabela15[[#This Row],[Força (N)]]/$I$5</f>
        <v>1390100.9436441087</v>
      </c>
      <c r="F423" s="1">
        <f>Tabela15[[#This Row],[Tensão (Pa)]]/1000000</f>
        <v>1.3901009436441087</v>
      </c>
    </row>
    <row r="424" spans="1:6" x14ac:dyDescent="0.3">
      <c r="A424" s="13">
        <v>23.25</v>
      </c>
      <c r="B424" s="13">
        <v>1.9294</v>
      </c>
      <c r="C424" s="1">
        <f>Tabela15[[#This Row],[Alongamento (mm/mm)]]/$I$2</f>
        <v>3.8587999999999997E-2</v>
      </c>
      <c r="D424" s="13">
        <v>67.869</v>
      </c>
      <c r="E424" s="1">
        <f>Tabela15[[#This Row],[Força (N)]]/$I$5</f>
        <v>1404169.7442167918</v>
      </c>
      <c r="F424" s="1">
        <f>Tabela15[[#This Row],[Tensão (Pa)]]/1000000</f>
        <v>1.4041697442167917</v>
      </c>
    </row>
    <row r="425" spans="1:6" x14ac:dyDescent="0.3">
      <c r="A425" s="13">
        <v>23.3</v>
      </c>
      <c r="B425" s="13">
        <v>1.9336</v>
      </c>
      <c r="C425" s="1">
        <f>Tabela15[[#This Row],[Alongamento (mm/mm)]]/$I$2</f>
        <v>3.8671999999999998E-2</v>
      </c>
      <c r="D425" s="13">
        <v>68.55</v>
      </c>
      <c r="E425" s="1">
        <f>Tabela15[[#This Row],[Força (N)]]/$I$5</f>
        <v>1418259.2342020816</v>
      </c>
      <c r="F425" s="1">
        <f>Tabela15[[#This Row],[Tensão (Pa)]]/1000000</f>
        <v>1.4182592342020817</v>
      </c>
    </row>
    <row r="426" spans="1:6" x14ac:dyDescent="0.3">
      <c r="A426" s="13">
        <v>23.367000000000001</v>
      </c>
      <c r="B426" s="13">
        <v>1.9391</v>
      </c>
      <c r="C426" s="1">
        <f>Tabela15[[#This Row],[Alongamento (mm/mm)]]/$I$2</f>
        <v>3.8782000000000004E-2</v>
      </c>
      <c r="D426" s="13">
        <v>69.23</v>
      </c>
      <c r="E426" s="1">
        <f>Tabela15[[#This Row],[Força (N)]]/$I$5</f>
        <v>1432328.0347747647</v>
      </c>
      <c r="F426" s="1">
        <f>Tabela15[[#This Row],[Tensão (Pa)]]/1000000</f>
        <v>1.4323280347747647</v>
      </c>
    </row>
    <row r="427" spans="1:6" x14ac:dyDescent="0.3">
      <c r="A427" s="13">
        <v>23.417000000000002</v>
      </c>
      <c r="B427" s="13">
        <v>1.9433</v>
      </c>
      <c r="C427" s="1">
        <f>Tabela15[[#This Row],[Alongamento (mm/mm)]]/$I$2</f>
        <v>3.8865999999999998E-2</v>
      </c>
      <c r="D427" s="13">
        <v>69.911000000000001</v>
      </c>
      <c r="E427" s="1">
        <f>Tabela15[[#This Row],[Força (N)]]/$I$5</f>
        <v>1446417.5247600544</v>
      </c>
      <c r="F427" s="1">
        <f>Tabela15[[#This Row],[Tensão (Pa)]]/1000000</f>
        <v>1.4464175247600544</v>
      </c>
    </row>
    <row r="428" spans="1:6" x14ac:dyDescent="0.3">
      <c r="A428" s="13">
        <v>23.483000000000001</v>
      </c>
      <c r="B428" s="13">
        <v>1.9488000000000001</v>
      </c>
      <c r="C428" s="1">
        <f>Tabela15[[#This Row],[Alongamento (mm/mm)]]/$I$2</f>
        <v>3.8976000000000004E-2</v>
      </c>
      <c r="D428" s="13">
        <v>70.590999999999994</v>
      </c>
      <c r="E428" s="1">
        <f>Tabela15[[#This Row],[Força (N)]]/$I$5</f>
        <v>1460486.3253327373</v>
      </c>
      <c r="F428" s="1">
        <f>Tabela15[[#This Row],[Tensão (Pa)]]/1000000</f>
        <v>1.4604863253327374</v>
      </c>
    </row>
    <row r="429" spans="1:6" x14ac:dyDescent="0.3">
      <c r="A429" s="13">
        <v>23.533000000000001</v>
      </c>
      <c r="B429" s="13">
        <v>1.9531000000000001</v>
      </c>
      <c r="C429" s="1">
        <f>Tabela15[[#This Row],[Alongamento (mm/mm)]]/$I$2</f>
        <v>3.9061999999999999E-2</v>
      </c>
      <c r="D429" s="13">
        <v>71.271000000000001</v>
      </c>
      <c r="E429" s="1">
        <f>Tabela15[[#This Row],[Força (N)]]/$I$5</f>
        <v>1474555.1259054204</v>
      </c>
      <c r="F429" s="1">
        <f>Tabela15[[#This Row],[Tensão (Pa)]]/1000000</f>
        <v>1.4745551259054204</v>
      </c>
    </row>
    <row r="430" spans="1:6" x14ac:dyDescent="0.3">
      <c r="A430" s="13">
        <v>23.6</v>
      </c>
      <c r="B430" s="13">
        <v>1.9585999999999999</v>
      </c>
      <c r="C430" s="1">
        <f>Tabela15[[#This Row],[Alongamento (mm/mm)]]/$I$2</f>
        <v>3.9171999999999998E-2</v>
      </c>
      <c r="D430" s="13">
        <v>72.122</v>
      </c>
      <c r="E430" s="1">
        <f>Tabela15[[#This Row],[Força (N)]]/$I$5</f>
        <v>1492161.8160338809</v>
      </c>
      <c r="F430" s="1">
        <f>Tabela15[[#This Row],[Tensão (Pa)]]/1000000</f>
        <v>1.492161816033881</v>
      </c>
    </row>
    <row r="431" spans="1:6" x14ac:dyDescent="0.3">
      <c r="A431" s="13">
        <v>23.667000000000002</v>
      </c>
      <c r="B431" s="13">
        <v>1.9641999999999999</v>
      </c>
      <c r="C431" s="1">
        <f>Tabela15[[#This Row],[Alongamento (mm/mm)]]/$I$2</f>
        <v>3.9283999999999999E-2</v>
      </c>
      <c r="D431" s="13">
        <v>72.802000000000007</v>
      </c>
      <c r="E431" s="1">
        <f>Tabela15[[#This Row],[Força (N)]]/$I$5</f>
        <v>1506230.616606564</v>
      </c>
      <c r="F431" s="1">
        <f>Tabela15[[#This Row],[Tensão (Pa)]]/1000000</f>
        <v>1.506230616606564</v>
      </c>
    </row>
    <row r="432" spans="1:6" x14ac:dyDescent="0.3">
      <c r="A432" s="13">
        <v>23.716999999999999</v>
      </c>
      <c r="B432" s="13">
        <v>1.9683999999999999</v>
      </c>
      <c r="C432" s="1">
        <f>Tabela15[[#This Row],[Alongamento (mm/mm)]]/$I$2</f>
        <v>3.9368E-2</v>
      </c>
      <c r="D432" s="13">
        <v>73.483000000000004</v>
      </c>
      <c r="E432" s="1">
        <f>Tabela15[[#This Row],[Força (N)]]/$I$5</f>
        <v>1520320.1065918538</v>
      </c>
      <c r="F432" s="1">
        <f>Tabela15[[#This Row],[Tensão (Pa)]]/1000000</f>
        <v>1.5203201065918537</v>
      </c>
    </row>
    <row r="433" spans="1:6" x14ac:dyDescent="0.3">
      <c r="A433" s="13">
        <v>23.766999999999999</v>
      </c>
      <c r="B433" s="13">
        <v>1.9724999999999999</v>
      </c>
      <c r="C433" s="1">
        <f>Tabela15[[#This Row],[Alongamento (mm/mm)]]/$I$2</f>
        <v>3.9449999999999999E-2</v>
      </c>
      <c r="D433" s="13">
        <v>74.162999999999997</v>
      </c>
      <c r="E433" s="1">
        <f>Tabela15[[#This Row],[Força (N)]]/$I$5</f>
        <v>1534388.9071645366</v>
      </c>
      <c r="F433" s="1">
        <f>Tabela15[[#This Row],[Tensão (Pa)]]/1000000</f>
        <v>1.5343889071645367</v>
      </c>
    </row>
    <row r="434" spans="1:6" x14ac:dyDescent="0.3">
      <c r="A434" s="13">
        <v>23.832999999999998</v>
      </c>
      <c r="B434" s="13">
        <v>1.978</v>
      </c>
      <c r="C434" s="1">
        <f>Tabela15[[#This Row],[Alongamento (mm/mm)]]/$I$2</f>
        <v>3.9559999999999998E-2</v>
      </c>
      <c r="D434" s="13">
        <v>74.843000000000004</v>
      </c>
      <c r="E434" s="1">
        <f>Tabela15[[#This Row],[Força (N)]]/$I$5</f>
        <v>1548457.7077372198</v>
      </c>
      <c r="F434" s="1">
        <f>Tabela15[[#This Row],[Tensão (Pa)]]/1000000</f>
        <v>1.5484577077372197</v>
      </c>
    </row>
    <row r="435" spans="1:6" x14ac:dyDescent="0.3">
      <c r="A435" s="13">
        <v>23.882999999999999</v>
      </c>
      <c r="B435" s="13">
        <v>1.9822</v>
      </c>
      <c r="C435" s="1">
        <f>Tabela15[[#This Row],[Alongamento (mm/mm)]]/$I$2</f>
        <v>3.9643999999999999E-2</v>
      </c>
      <c r="D435" s="13">
        <v>75.524000000000001</v>
      </c>
      <c r="E435" s="1">
        <f>Tabela15[[#This Row],[Força (N)]]/$I$5</f>
        <v>1562547.1977225095</v>
      </c>
      <c r="F435" s="1">
        <f>Tabela15[[#This Row],[Tensão (Pa)]]/1000000</f>
        <v>1.5625471977225096</v>
      </c>
    </row>
    <row r="436" spans="1:6" x14ac:dyDescent="0.3">
      <c r="A436" s="13">
        <v>23.933</v>
      </c>
      <c r="B436" s="13">
        <v>1.9863</v>
      </c>
      <c r="C436" s="1">
        <f>Tabela15[[#This Row],[Alongamento (mm/mm)]]/$I$2</f>
        <v>3.9725999999999997E-2</v>
      </c>
      <c r="D436" s="13">
        <v>76.203999999999994</v>
      </c>
      <c r="E436" s="1">
        <f>Tabela15[[#This Row],[Força (N)]]/$I$5</f>
        <v>1576615.9982951921</v>
      </c>
      <c r="F436" s="1">
        <f>Tabela15[[#This Row],[Tensão (Pa)]]/1000000</f>
        <v>1.5766159982951922</v>
      </c>
    </row>
    <row r="437" spans="1:6" x14ac:dyDescent="0.3">
      <c r="A437" s="13">
        <v>24</v>
      </c>
      <c r="B437" s="13">
        <v>1.9919</v>
      </c>
      <c r="C437" s="1">
        <f>Tabela15[[#This Row],[Alongamento (mm/mm)]]/$I$2</f>
        <v>3.9837999999999998E-2</v>
      </c>
      <c r="D437" s="13">
        <v>76.885000000000005</v>
      </c>
      <c r="E437" s="1">
        <f>Tabela15[[#This Row],[Força (N)]]/$I$5</f>
        <v>1590705.4882804824</v>
      </c>
      <c r="F437" s="1">
        <f>Tabela15[[#This Row],[Tensão (Pa)]]/1000000</f>
        <v>1.5907054882804823</v>
      </c>
    </row>
    <row r="438" spans="1:6" x14ac:dyDescent="0.3">
      <c r="A438" s="13">
        <v>24.05</v>
      </c>
      <c r="B438" s="13">
        <v>1.996</v>
      </c>
      <c r="C438" s="1">
        <f>Tabela15[[#This Row],[Alongamento (mm/mm)]]/$I$2</f>
        <v>3.9919999999999997E-2</v>
      </c>
      <c r="D438" s="13">
        <v>77.564999999999998</v>
      </c>
      <c r="E438" s="1">
        <f>Tabela15[[#This Row],[Força (N)]]/$I$5</f>
        <v>1604774.288853165</v>
      </c>
      <c r="F438" s="1">
        <f>Tabela15[[#This Row],[Tensão (Pa)]]/1000000</f>
        <v>1.6047742888531651</v>
      </c>
    </row>
    <row r="439" spans="1:6" x14ac:dyDescent="0.3">
      <c r="A439" s="13">
        <v>24.1</v>
      </c>
      <c r="B439" s="13">
        <v>2.0003000000000002</v>
      </c>
      <c r="C439" s="1">
        <f>Tabela15[[#This Row],[Alongamento (mm/mm)]]/$I$2</f>
        <v>4.0006000000000007E-2</v>
      </c>
      <c r="D439" s="13">
        <v>78.245000000000005</v>
      </c>
      <c r="E439" s="1">
        <f>Tabela15[[#This Row],[Força (N)]]/$I$5</f>
        <v>1618843.0894258481</v>
      </c>
      <c r="F439" s="1">
        <f>Tabela15[[#This Row],[Tensão (Pa)]]/1000000</f>
        <v>1.6188430894258481</v>
      </c>
    </row>
    <row r="440" spans="1:6" x14ac:dyDescent="0.3">
      <c r="A440" s="13">
        <v>24.15</v>
      </c>
      <c r="B440" s="13">
        <v>2.0045000000000002</v>
      </c>
      <c r="C440" s="1">
        <f>Tabela15[[#This Row],[Alongamento (mm/mm)]]/$I$2</f>
        <v>4.0090000000000001E-2</v>
      </c>
      <c r="D440" s="13">
        <v>78.926000000000002</v>
      </c>
      <c r="E440" s="1">
        <f>Tabela15[[#This Row],[Força (N)]]/$I$5</f>
        <v>1632932.5794111378</v>
      </c>
      <c r="F440" s="1">
        <f>Tabela15[[#This Row],[Tensão (Pa)]]/1000000</f>
        <v>1.6329325794111378</v>
      </c>
    </row>
    <row r="441" spans="1:6" x14ac:dyDescent="0.3">
      <c r="A441" s="13">
        <v>24.216999999999999</v>
      </c>
      <c r="B441" s="13">
        <v>2.0099999999999998</v>
      </c>
      <c r="C441" s="1">
        <f>Tabela15[[#This Row],[Alongamento (mm/mm)]]/$I$2</f>
        <v>4.0199999999999993E-2</v>
      </c>
      <c r="D441" s="13">
        <v>79.775999999999996</v>
      </c>
      <c r="E441" s="1">
        <f>Tabela15[[#This Row],[Força (N)]]/$I$5</f>
        <v>1650518.5801269915</v>
      </c>
      <c r="F441" s="1">
        <f>Tabela15[[#This Row],[Tensão (Pa)]]/1000000</f>
        <v>1.6505185801269915</v>
      </c>
    </row>
    <row r="442" spans="1:6" x14ac:dyDescent="0.3">
      <c r="A442" s="13">
        <v>24.283000000000001</v>
      </c>
      <c r="B442" s="13">
        <v>2.0154999999999998</v>
      </c>
      <c r="C442" s="1">
        <f>Tabela15[[#This Row],[Alongamento (mm/mm)]]/$I$2</f>
        <v>4.0309999999999999E-2</v>
      </c>
      <c r="D442" s="13">
        <v>80.626999999999995</v>
      </c>
      <c r="E442" s="1">
        <f>Tabela15[[#This Row],[Força (N)]]/$I$5</f>
        <v>1668125.270255452</v>
      </c>
      <c r="F442" s="1">
        <f>Tabela15[[#This Row],[Tensão (Pa)]]/1000000</f>
        <v>1.6681252702554521</v>
      </c>
    </row>
    <row r="443" spans="1:6" x14ac:dyDescent="0.3">
      <c r="A443" s="13">
        <v>24.35</v>
      </c>
      <c r="B443" s="13">
        <v>2.0209999999999999</v>
      </c>
      <c r="C443" s="1">
        <f>Tabela15[[#This Row],[Alongamento (mm/mm)]]/$I$2</f>
        <v>4.0419999999999998E-2</v>
      </c>
      <c r="D443" s="13">
        <v>81.477000000000004</v>
      </c>
      <c r="E443" s="1">
        <f>Tabela15[[#This Row],[Força (N)]]/$I$5</f>
        <v>1685711.2709713059</v>
      </c>
      <c r="F443" s="1">
        <f>Tabela15[[#This Row],[Tensão (Pa)]]/1000000</f>
        <v>1.6857112709713058</v>
      </c>
    </row>
    <row r="444" spans="1:6" x14ac:dyDescent="0.3">
      <c r="A444" s="13">
        <v>24.417000000000002</v>
      </c>
      <c r="B444" s="13">
        <v>2.0266000000000002</v>
      </c>
      <c r="C444" s="1">
        <f>Tabela15[[#This Row],[Alongamento (mm/mm)]]/$I$2</f>
        <v>4.0532000000000006E-2</v>
      </c>
      <c r="D444" s="13">
        <v>82.158000000000001</v>
      </c>
      <c r="E444" s="1">
        <f>Tabela15[[#This Row],[Força (N)]]/$I$5</f>
        <v>1699800.7609565957</v>
      </c>
      <c r="F444" s="1">
        <f>Tabela15[[#This Row],[Tensão (Pa)]]/1000000</f>
        <v>1.6998007609565957</v>
      </c>
    </row>
    <row r="445" spans="1:6" x14ac:dyDescent="0.3">
      <c r="A445" s="13">
        <v>24.466999999999999</v>
      </c>
      <c r="B445" s="13">
        <v>2.0308000000000002</v>
      </c>
      <c r="C445" s="1">
        <f>Tabela15[[#This Row],[Alongamento (mm/mm)]]/$I$2</f>
        <v>4.0616000000000006E-2</v>
      </c>
      <c r="D445" s="13">
        <v>82.837999999999994</v>
      </c>
      <c r="E445" s="1">
        <f>Tabela15[[#This Row],[Força (N)]]/$I$5</f>
        <v>1713869.5615292785</v>
      </c>
      <c r="F445" s="1">
        <f>Tabela15[[#This Row],[Tensão (Pa)]]/1000000</f>
        <v>1.7138695615292785</v>
      </c>
    </row>
    <row r="446" spans="1:6" x14ac:dyDescent="0.3">
      <c r="A446" s="13">
        <v>24.516999999999999</v>
      </c>
      <c r="B446" s="13">
        <v>2.0350000000000001</v>
      </c>
      <c r="C446" s="1">
        <f>Tabela15[[#This Row],[Alongamento (mm/mm)]]/$I$2</f>
        <v>4.07E-2</v>
      </c>
      <c r="D446" s="13">
        <v>83.519000000000005</v>
      </c>
      <c r="E446" s="1">
        <f>Tabela15[[#This Row],[Força (N)]]/$I$5</f>
        <v>1727959.0515145685</v>
      </c>
      <c r="F446" s="1">
        <f>Tabela15[[#This Row],[Tensão (Pa)]]/1000000</f>
        <v>1.7279590515145684</v>
      </c>
    </row>
    <row r="447" spans="1:6" x14ac:dyDescent="0.3">
      <c r="A447" s="13">
        <v>24.567</v>
      </c>
      <c r="B447" s="13">
        <v>2.0392000000000001</v>
      </c>
      <c r="C447" s="1">
        <f>Tabela15[[#This Row],[Alongamento (mm/mm)]]/$I$2</f>
        <v>4.0784000000000001E-2</v>
      </c>
      <c r="D447" s="13">
        <v>84.198999999999998</v>
      </c>
      <c r="E447" s="1">
        <f>Tabela15[[#This Row],[Força (N)]]/$I$5</f>
        <v>1742027.8520872514</v>
      </c>
      <c r="F447" s="1">
        <f>Tabela15[[#This Row],[Tensão (Pa)]]/1000000</f>
        <v>1.7420278520872514</v>
      </c>
    </row>
    <row r="448" spans="1:6" x14ac:dyDescent="0.3">
      <c r="A448" s="13">
        <v>24.617000000000001</v>
      </c>
      <c r="B448" s="13">
        <v>2.0432999999999999</v>
      </c>
      <c r="C448" s="1">
        <f>Tabela15[[#This Row],[Alongamento (mm/mm)]]/$I$2</f>
        <v>4.0866E-2</v>
      </c>
      <c r="D448" s="13">
        <v>84.879000000000005</v>
      </c>
      <c r="E448" s="1">
        <f>Tabela15[[#This Row],[Força (N)]]/$I$5</f>
        <v>1756096.6526599345</v>
      </c>
      <c r="F448" s="1">
        <f>Tabela15[[#This Row],[Tensão (Pa)]]/1000000</f>
        <v>1.7560966526599344</v>
      </c>
    </row>
    <row r="449" spans="1:6" x14ac:dyDescent="0.3">
      <c r="A449" s="13">
        <v>24.667000000000002</v>
      </c>
      <c r="B449" s="13">
        <v>2.0474999999999999</v>
      </c>
      <c r="C449" s="1">
        <f>Tabela15[[#This Row],[Alongamento (mm/mm)]]/$I$2</f>
        <v>4.095E-2</v>
      </c>
      <c r="D449" s="13">
        <v>85.56</v>
      </c>
      <c r="E449" s="1">
        <f>Tabela15[[#This Row],[Força (N)]]/$I$5</f>
        <v>1770186.1426452242</v>
      </c>
      <c r="F449" s="1">
        <f>Tabela15[[#This Row],[Tensão (Pa)]]/1000000</f>
        <v>1.7701861426452243</v>
      </c>
    </row>
    <row r="450" spans="1:6" x14ac:dyDescent="0.3">
      <c r="A450" s="13">
        <v>24.716999999999999</v>
      </c>
      <c r="B450" s="13">
        <v>2.0516000000000001</v>
      </c>
      <c r="C450" s="1">
        <f>Tabela15[[#This Row],[Alongamento (mm/mm)]]/$I$2</f>
        <v>4.1031999999999999E-2</v>
      </c>
      <c r="D450" s="13">
        <v>86.24</v>
      </c>
      <c r="E450" s="1">
        <f>Tabela15[[#This Row],[Força (N)]]/$I$5</f>
        <v>1784254.9432179069</v>
      </c>
      <c r="F450" s="1">
        <f>Tabela15[[#This Row],[Tensão (Pa)]]/1000000</f>
        <v>1.7842549432179069</v>
      </c>
    </row>
    <row r="451" spans="1:6" x14ac:dyDescent="0.3">
      <c r="A451" s="13">
        <v>24.766999999999999</v>
      </c>
      <c r="B451" s="13">
        <v>2.0558000000000001</v>
      </c>
      <c r="C451" s="1">
        <f>Tabela15[[#This Row],[Alongamento (mm/mm)]]/$I$2</f>
        <v>4.1116E-2</v>
      </c>
      <c r="D451" s="13">
        <v>86.92</v>
      </c>
      <c r="E451" s="1">
        <f>Tabela15[[#This Row],[Força (N)]]/$I$5</f>
        <v>1798323.74379059</v>
      </c>
      <c r="F451" s="1">
        <f>Tabela15[[#This Row],[Tensão (Pa)]]/1000000</f>
        <v>1.7983237437905899</v>
      </c>
    </row>
    <row r="452" spans="1:6" x14ac:dyDescent="0.3">
      <c r="A452" s="13">
        <v>24.817</v>
      </c>
      <c r="B452" s="13">
        <v>2.0598999999999998</v>
      </c>
      <c r="C452" s="1">
        <f>Tabela15[[#This Row],[Alongamento (mm/mm)]]/$I$2</f>
        <v>4.1197999999999999E-2</v>
      </c>
      <c r="D452" s="13">
        <v>87.600999999999999</v>
      </c>
      <c r="E452" s="1">
        <f>Tabela15[[#This Row],[Força (N)]]/$I$5</f>
        <v>1812413.2337758797</v>
      </c>
      <c r="F452" s="1">
        <f>Tabela15[[#This Row],[Tensão (Pa)]]/1000000</f>
        <v>1.8124132337758798</v>
      </c>
    </row>
    <row r="453" spans="1:6" x14ac:dyDescent="0.3">
      <c r="A453" s="13">
        <v>24.867000000000001</v>
      </c>
      <c r="B453" s="13">
        <v>2.0640999999999998</v>
      </c>
      <c r="C453" s="1">
        <f>Tabela15[[#This Row],[Alongamento (mm/mm)]]/$I$2</f>
        <v>4.1281999999999999E-2</v>
      </c>
      <c r="D453" s="13">
        <v>88.281000000000006</v>
      </c>
      <c r="E453" s="1">
        <f>Tabela15[[#This Row],[Força (N)]]/$I$5</f>
        <v>1826482.0343485628</v>
      </c>
      <c r="F453" s="1">
        <f>Tabela15[[#This Row],[Tensão (Pa)]]/1000000</f>
        <v>1.8264820343485628</v>
      </c>
    </row>
    <row r="454" spans="1:6" x14ac:dyDescent="0.3">
      <c r="A454" s="13">
        <v>24.917000000000002</v>
      </c>
      <c r="B454" s="13">
        <v>2.0682999999999998</v>
      </c>
      <c r="C454" s="1">
        <f>Tabela15[[#This Row],[Alongamento (mm/mm)]]/$I$2</f>
        <v>4.1365999999999993E-2</v>
      </c>
      <c r="D454" s="13">
        <v>88.962000000000003</v>
      </c>
      <c r="E454" s="1">
        <f>Tabela15[[#This Row],[Força (N)]]/$I$5</f>
        <v>1840571.5243338526</v>
      </c>
      <c r="F454" s="1">
        <f>Tabela15[[#This Row],[Tensão (Pa)]]/1000000</f>
        <v>1.8405715243338525</v>
      </c>
    </row>
    <row r="455" spans="1:6" x14ac:dyDescent="0.3">
      <c r="A455" s="13">
        <v>24.966999999999999</v>
      </c>
      <c r="B455" s="13">
        <v>2.0724999999999998</v>
      </c>
      <c r="C455" s="1">
        <f>Tabela15[[#This Row],[Alongamento (mm/mm)]]/$I$2</f>
        <v>4.1449999999999994E-2</v>
      </c>
      <c r="D455" s="13">
        <v>89.641999999999996</v>
      </c>
      <c r="E455" s="1">
        <f>Tabela15[[#This Row],[Força (N)]]/$I$5</f>
        <v>1854640.3249065354</v>
      </c>
      <c r="F455" s="1">
        <f>Tabela15[[#This Row],[Tensão (Pa)]]/1000000</f>
        <v>1.8546403249065355</v>
      </c>
    </row>
    <row r="456" spans="1:6" x14ac:dyDescent="0.3">
      <c r="A456" s="13">
        <v>25.016999999999999</v>
      </c>
      <c r="B456" s="13">
        <v>2.0767000000000002</v>
      </c>
      <c r="C456" s="1">
        <f>Tabela15[[#This Row],[Alongamento (mm/mm)]]/$I$2</f>
        <v>4.1534000000000001E-2</v>
      </c>
      <c r="D456" s="13">
        <v>90.322000000000003</v>
      </c>
      <c r="E456" s="1">
        <f>Tabela15[[#This Row],[Força (N)]]/$I$5</f>
        <v>1868709.1254792186</v>
      </c>
      <c r="F456" s="1">
        <f>Tabela15[[#This Row],[Tensão (Pa)]]/1000000</f>
        <v>1.8687091254792185</v>
      </c>
    </row>
    <row r="457" spans="1:6" x14ac:dyDescent="0.3">
      <c r="A457" s="13">
        <v>25.067</v>
      </c>
      <c r="B457" s="13">
        <v>2.0808</v>
      </c>
      <c r="C457" s="1">
        <f>Tabela15[[#This Row],[Alongamento (mm/mm)]]/$I$2</f>
        <v>4.1616E-2</v>
      </c>
      <c r="D457" s="13">
        <v>91.003</v>
      </c>
      <c r="E457" s="1">
        <f>Tabela15[[#This Row],[Força (N)]]/$I$5</f>
        <v>1882798.6154645083</v>
      </c>
      <c r="F457" s="1">
        <f>Tabela15[[#This Row],[Tensão (Pa)]]/1000000</f>
        <v>1.8827986154645082</v>
      </c>
    </row>
    <row r="458" spans="1:6" x14ac:dyDescent="0.3">
      <c r="A458" s="13">
        <v>25.117000000000001</v>
      </c>
      <c r="B458" s="13">
        <v>2.085</v>
      </c>
      <c r="C458" s="1">
        <f>Tabela15[[#This Row],[Alongamento (mm/mm)]]/$I$2</f>
        <v>4.1700000000000001E-2</v>
      </c>
      <c r="D458" s="13">
        <v>91.683000000000007</v>
      </c>
      <c r="E458" s="1">
        <f>Tabela15[[#This Row],[Força (N)]]/$I$5</f>
        <v>1896867.4160371914</v>
      </c>
      <c r="F458" s="1">
        <f>Tabela15[[#This Row],[Tensão (Pa)]]/1000000</f>
        <v>1.8968674160371914</v>
      </c>
    </row>
    <row r="459" spans="1:6" x14ac:dyDescent="0.3">
      <c r="A459" s="13">
        <v>25.167000000000002</v>
      </c>
      <c r="B459" s="13">
        <v>2.0891000000000002</v>
      </c>
      <c r="C459" s="1">
        <f>Tabela15[[#This Row],[Alongamento (mm/mm)]]/$I$2</f>
        <v>4.1782000000000007E-2</v>
      </c>
      <c r="D459" s="13">
        <v>92.534000000000006</v>
      </c>
      <c r="E459" s="1">
        <f>Tabela15[[#This Row],[Força (N)]]/$I$5</f>
        <v>1914474.1061656519</v>
      </c>
      <c r="F459" s="1">
        <f>Tabela15[[#This Row],[Tensão (Pa)]]/1000000</f>
        <v>1.9144741061656518</v>
      </c>
    </row>
    <row r="460" spans="1:6" x14ac:dyDescent="0.3">
      <c r="A460" s="13">
        <v>25.216999999999999</v>
      </c>
      <c r="B460" s="13">
        <v>2.0933000000000002</v>
      </c>
      <c r="C460" s="1">
        <f>Tabela15[[#This Row],[Alongamento (mm/mm)]]/$I$2</f>
        <v>4.1866E-2</v>
      </c>
      <c r="D460" s="13">
        <v>93.213999999999999</v>
      </c>
      <c r="E460" s="1">
        <f>Tabela15[[#This Row],[Força (N)]]/$I$5</f>
        <v>1928542.9067383348</v>
      </c>
      <c r="F460" s="1">
        <f>Tabela15[[#This Row],[Tensão (Pa)]]/1000000</f>
        <v>1.9285429067383348</v>
      </c>
    </row>
    <row r="461" spans="1:6" x14ac:dyDescent="0.3">
      <c r="A461" s="13">
        <v>25.266999999999999</v>
      </c>
      <c r="B461" s="13">
        <v>2.0975000000000001</v>
      </c>
      <c r="C461" s="1">
        <f>Tabela15[[#This Row],[Alongamento (mm/mm)]]/$I$2</f>
        <v>4.1950000000000001E-2</v>
      </c>
      <c r="D461" s="13">
        <v>93.894999999999996</v>
      </c>
      <c r="E461" s="1">
        <f>Tabela15[[#This Row],[Força (N)]]/$I$5</f>
        <v>1942632.3967236246</v>
      </c>
      <c r="F461" s="1">
        <f>Tabela15[[#This Row],[Tensão (Pa)]]/1000000</f>
        <v>1.9426323967236245</v>
      </c>
    </row>
    <row r="462" spans="1:6" x14ac:dyDescent="0.3">
      <c r="A462" s="13">
        <v>25.317</v>
      </c>
      <c r="B462" s="13">
        <v>2.1017000000000001</v>
      </c>
      <c r="C462" s="1">
        <f>Tabela15[[#This Row],[Alongamento (mm/mm)]]/$I$2</f>
        <v>4.2034000000000002E-2</v>
      </c>
      <c r="D462" s="13">
        <v>94.575000000000003</v>
      </c>
      <c r="E462" s="1">
        <f>Tabela15[[#This Row],[Força (N)]]/$I$5</f>
        <v>1956701.1972963077</v>
      </c>
      <c r="F462" s="1">
        <f>Tabela15[[#This Row],[Tensão (Pa)]]/1000000</f>
        <v>1.9567011972963078</v>
      </c>
    </row>
    <row r="463" spans="1:6" x14ac:dyDescent="0.3">
      <c r="A463" s="13">
        <v>25.367000000000001</v>
      </c>
      <c r="B463" s="13">
        <v>2.1057999999999999</v>
      </c>
      <c r="C463" s="1">
        <f>Tabela15[[#This Row],[Alongamento (mm/mm)]]/$I$2</f>
        <v>4.2116000000000001E-2</v>
      </c>
      <c r="D463" s="13">
        <v>95.424999999999997</v>
      </c>
      <c r="E463" s="1">
        <f>Tabela15[[#This Row],[Força (N)]]/$I$5</f>
        <v>1974287.1980121611</v>
      </c>
      <c r="F463" s="1">
        <f>Tabela15[[#This Row],[Tensão (Pa)]]/1000000</f>
        <v>1.974287198012161</v>
      </c>
    </row>
    <row r="464" spans="1:6" x14ac:dyDescent="0.3">
      <c r="A464" s="13">
        <v>25.417000000000002</v>
      </c>
      <c r="B464" s="13">
        <v>2.1099000000000001</v>
      </c>
      <c r="C464" s="1">
        <f>Tabela15[[#This Row],[Alongamento (mm/mm)]]/$I$2</f>
        <v>4.2197999999999999E-2</v>
      </c>
      <c r="D464" s="13">
        <v>96.105999999999995</v>
      </c>
      <c r="E464" s="1">
        <f>Tabela15[[#This Row],[Força (N)]]/$I$5</f>
        <v>1988376.6879974508</v>
      </c>
      <c r="F464" s="1">
        <f>Tabela15[[#This Row],[Tensão (Pa)]]/1000000</f>
        <v>1.9883766879974507</v>
      </c>
    </row>
    <row r="465" spans="1:6" x14ac:dyDescent="0.3">
      <c r="A465" s="13">
        <v>25.466999999999999</v>
      </c>
      <c r="B465" s="13">
        <v>2.1141000000000001</v>
      </c>
      <c r="C465" s="1">
        <f>Tabela15[[#This Row],[Alongamento (mm/mm)]]/$I$2</f>
        <v>4.2282E-2</v>
      </c>
      <c r="D465" s="13">
        <v>96.956000000000003</v>
      </c>
      <c r="E465" s="1">
        <f>Tabela15[[#This Row],[Força (N)]]/$I$5</f>
        <v>2005962.6887133047</v>
      </c>
      <c r="F465" s="1">
        <f>Tabela15[[#This Row],[Tensão (Pa)]]/1000000</f>
        <v>2.0059626887133049</v>
      </c>
    </row>
    <row r="466" spans="1:6" x14ac:dyDescent="0.3">
      <c r="A466" s="13">
        <v>25.516999999999999</v>
      </c>
      <c r="B466" s="13">
        <v>2.1183000000000001</v>
      </c>
      <c r="C466" s="1">
        <f>Tabela15[[#This Row],[Alongamento (mm/mm)]]/$I$2</f>
        <v>4.2366000000000001E-2</v>
      </c>
      <c r="D466" s="13">
        <v>97.637</v>
      </c>
      <c r="E466" s="1">
        <f>Tabela15[[#This Row],[Força (N)]]/$I$5</f>
        <v>2020052.1786985944</v>
      </c>
      <c r="F466" s="1">
        <f>Tabela15[[#This Row],[Tensão (Pa)]]/1000000</f>
        <v>2.0200521786985943</v>
      </c>
    </row>
    <row r="467" spans="1:6" x14ac:dyDescent="0.3">
      <c r="A467" s="13">
        <v>25.567</v>
      </c>
      <c r="B467" s="13">
        <v>2.1225000000000001</v>
      </c>
      <c r="C467" s="1">
        <f>Tabela15[[#This Row],[Alongamento (mm/mm)]]/$I$2</f>
        <v>4.2450000000000002E-2</v>
      </c>
      <c r="D467" s="13">
        <v>98.316999999999993</v>
      </c>
      <c r="E467" s="1">
        <f>Tabela15[[#This Row],[Força (N)]]/$I$5</f>
        <v>2034120.9792712773</v>
      </c>
      <c r="F467" s="1">
        <f>Tabela15[[#This Row],[Tensão (Pa)]]/1000000</f>
        <v>2.0341209792712771</v>
      </c>
    </row>
    <row r="468" spans="1:6" x14ac:dyDescent="0.3">
      <c r="A468" s="13">
        <v>25.617000000000001</v>
      </c>
      <c r="B468" s="13">
        <v>2.1267</v>
      </c>
      <c r="C468" s="1">
        <f>Tabela15[[#This Row],[Alongamento (mm/mm)]]/$I$2</f>
        <v>4.2534000000000002E-2</v>
      </c>
      <c r="D468" s="13">
        <v>99.168000000000006</v>
      </c>
      <c r="E468" s="1">
        <f>Tabela15[[#This Row],[Força (N)]]/$I$5</f>
        <v>2051727.6693997381</v>
      </c>
      <c r="F468" s="1">
        <f>Tabela15[[#This Row],[Tensão (Pa)]]/1000000</f>
        <v>2.0517276693997379</v>
      </c>
    </row>
    <row r="469" spans="1:6" x14ac:dyDescent="0.3">
      <c r="A469" s="13">
        <v>25.667000000000002</v>
      </c>
      <c r="B469" s="13">
        <v>2.1307</v>
      </c>
      <c r="C469" s="1">
        <f>Tabela15[[#This Row],[Alongamento (mm/mm)]]/$I$2</f>
        <v>4.2613999999999999E-2</v>
      </c>
      <c r="D469" s="13">
        <v>99.847999999999999</v>
      </c>
      <c r="E469" s="1">
        <f>Tabela15[[#This Row],[Força (N)]]/$I$5</f>
        <v>2065796.4699724209</v>
      </c>
      <c r="F469" s="1">
        <f>Tabela15[[#This Row],[Tensão (Pa)]]/1000000</f>
        <v>2.0657964699724212</v>
      </c>
    </row>
    <row r="470" spans="1:6" x14ac:dyDescent="0.3">
      <c r="A470" s="13">
        <v>25.716999999999999</v>
      </c>
      <c r="B470" s="13">
        <v>2.1349</v>
      </c>
      <c r="C470" s="1">
        <f>Tabela15[[#This Row],[Alongamento (mm/mm)]]/$I$2</f>
        <v>4.2698E-2</v>
      </c>
      <c r="D470" s="13">
        <v>100.7</v>
      </c>
      <c r="E470" s="1">
        <f>Tabela15[[#This Row],[Força (N)]]/$I$5</f>
        <v>2083423.8495134884</v>
      </c>
      <c r="F470" s="1">
        <f>Tabela15[[#This Row],[Tensão (Pa)]]/1000000</f>
        <v>2.0834238495134882</v>
      </c>
    </row>
    <row r="471" spans="1:6" x14ac:dyDescent="0.3">
      <c r="A471" s="13">
        <v>25.766999999999999</v>
      </c>
      <c r="B471" s="13">
        <v>2.1392000000000002</v>
      </c>
      <c r="C471" s="1">
        <f>Tabela15[[#This Row],[Alongamento (mm/mm)]]/$I$2</f>
        <v>4.2784000000000003E-2</v>
      </c>
      <c r="D471" s="13">
        <v>101.38</v>
      </c>
      <c r="E471" s="1">
        <f>Tabela15[[#This Row],[Força (N)]]/$I$5</f>
        <v>2097492.6500861715</v>
      </c>
      <c r="F471" s="1">
        <f>Tabela15[[#This Row],[Tensão (Pa)]]/1000000</f>
        <v>2.0974926500861715</v>
      </c>
    </row>
    <row r="472" spans="1:6" x14ac:dyDescent="0.3">
      <c r="A472" s="13">
        <v>25.817</v>
      </c>
      <c r="B472" s="13">
        <v>2.1433</v>
      </c>
      <c r="C472" s="1">
        <f>Tabela15[[#This Row],[Alongamento (mm/mm)]]/$I$2</f>
        <v>4.2866000000000001E-2</v>
      </c>
      <c r="D472" s="13">
        <v>102.23</v>
      </c>
      <c r="E472" s="1">
        <f>Tabela15[[#This Row],[Força (N)]]/$I$5</f>
        <v>2115078.6508020251</v>
      </c>
      <c r="F472" s="1">
        <f>Tabela15[[#This Row],[Tensão (Pa)]]/1000000</f>
        <v>2.1150786508020252</v>
      </c>
    </row>
    <row r="473" spans="1:6" x14ac:dyDescent="0.3">
      <c r="A473" s="13">
        <v>25.867000000000001</v>
      </c>
      <c r="B473" s="13">
        <v>2.1475</v>
      </c>
      <c r="C473" s="1">
        <f>Tabela15[[#This Row],[Alongamento (mm/mm)]]/$I$2</f>
        <v>4.2950000000000002E-2</v>
      </c>
      <c r="D473" s="13">
        <v>102.91</v>
      </c>
      <c r="E473" s="1">
        <f>Tabela15[[#This Row],[Força (N)]]/$I$5</f>
        <v>2129147.4513747077</v>
      </c>
      <c r="F473" s="1">
        <f>Tabela15[[#This Row],[Tensão (Pa)]]/1000000</f>
        <v>2.129147451374708</v>
      </c>
    </row>
    <row r="474" spans="1:6" x14ac:dyDescent="0.3">
      <c r="A474" s="13">
        <v>25.917000000000002</v>
      </c>
      <c r="B474" s="13">
        <v>2.1516000000000002</v>
      </c>
      <c r="C474" s="1">
        <f>Tabela15[[#This Row],[Alongamento (mm/mm)]]/$I$2</f>
        <v>4.3032000000000001E-2</v>
      </c>
      <c r="D474" s="13">
        <v>103.76</v>
      </c>
      <c r="E474" s="1">
        <f>Tabela15[[#This Row],[Força (N)]]/$I$5</f>
        <v>2146733.4520905619</v>
      </c>
      <c r="F474" s="1">
        <f>Tabela15[[#This Row],[Tensão (Pa)]]/1000000</f>
        <v>2.1467334520905617</v>
      </c>
    </row>
    <row r="475" spans="1:6" x14ac:dyDescent="0.3">
      <c r="A475" s="13">
        <v>25.966999999999999</v>
      </c>
      <c r="B475" s="13">
        <v>2.1558000000000002</v>
      </c>
      <c r="C475" s="1">
        <f>Tabela15[[#This Row],[Alongamento (mm/mm)]]/$I$2</f>
        <v>4.3116000000000002E-2</v>
      </c>
      <c r="D475" s="13">
        <v>104.44</v>
      </c>
      <c r="E475" s="1">
        <f>Tabela15[[#This Row],[Força (N)]]/$I$5</f>
        <v>2160802.2526632445</v>
      </c>
      <c r="F475" s="1">
        <f>Tabela15[[#This Row],[Tensão (Pa)]]/1000000</f>
        <v>2.1608022526632444</v>
      </c>
    </row>
    <row r="476" spans="1:6" x14ac:dyDescent="0.3">
      <c r="A476" s="13">
        <v>26</v>
      </c>
      <c r="B476" s="13">
        <v>2.1585999999999999</v>
      </c>
      <c r="C476" s="1">
        <f>Tabela15[[#This Row],[Alongamento (mm/mm)]]/$I$2</f>
        <v>4.3171999999999995E-2</v>
      </c>
      <c r="D476" s="13">
        <v>105.12</v>
      </c>
      <c r="E476" s="1">
        <f>Tabela15[[#This Row],[Força (N)]]/$I$5</f>
        <v>2174871.0532359276</v>
      </c>
      <c r="F476" s="1">
        <f>Tabela15[[#This Row],[Tensão (Pa)]]/1000000</f>
        <v>2.1748710532359277</v>
      </c>
    </row>
    <row r="477" spans="1:6" x14ac:dyDescent="0.3">
      <c r="A477" s="13">
        <v>26.05</v>
      </c>
      <c r="B477" s="13">
        <v>2.1627999999999998</v>
      </c>
      <c r="C477" s="1">
        <f>Tabela15[[#This Row],[Alongamento (mm/mm)]]/$I$2</f>
        <v>4.3255999999999996E-2</v>
      </c>
      <c r="D477" s="13">
        <v>105.8</v>
      </c>
      <c r="E477" s="1">
        <f>Tabela15[[#This Row],[Força (N)]]/$I$5</f>
        <v>2188939.8538086102</v>
      </c>
      <c r="F477" s="1">
        <f>Tabela15[[#This Row],[Tensão (Pa)]]/1000000</f>
        <v>2.1889398538086104</v>
      </c>
    </row>
    <row r="478" spans="1:6" x14ac:dyDescent="0.3">
      <c r="A478" s="13">
        <v>26.1</v>
      </c>
      <c r="B478" s="13">
        <v>2.1669</v>
      </c>
      <c r="C478" s="1">
        <f>Tabela15[[#This Row],[Alongamento (mm/mm)]]/$I$2</f>
        <v>4.3338000000000002E-2</v>
      </c>
      <c r="D478" s="13">
        <v>106.65</v>
      </c>
      <c r="E478" s="1">
        <f>Tabela15[[#This Row],[Força (N)]]/$I$5</f>
        <v>2206525.8545244643</v>
      </c>
      <c r="F478" s="1">
        <f>Tabela15[[#This Row],[Tensão (Pa)]]/1000000</f>
        <v>2.2065258545244641</v>
      </c>
    </row>
    <row r="479" spans="1:6" x14ac:dyDescent="0.3">
      <c r="A479" s="13">
        <v>26.15</v>
      </c>
      <c r="B479" s="13">
        <v>2.1711</v>
      </c>
      <c r="C479" s="1">
        <f>Tabela15[[#This Row],[Alongamento (mm/mm)]]/$I$2</f>
        <v>4.3422000000000002E-2</v>
      </c>
      <c r="D479" s="13">
        <v>107.33</v>
      </c>
      <c r="E479" s="1">
        <f>Tabela15[[#This Row],[Força (N)]]/$I$5</f>
        <v>2220594.655097147</v>
      </c>
      <c r="F479" s="1">
        <f>Tabela15[[#This Row],[Tensão (Pa)]]/1000000</f>
        <v>2.2205946550971469</v>
      </c>
    </row>
    <row r="480" spans="1:6" x14ac:dyDescent="0.3">
      <c r="A480" s="13">
        <v>26.2</v>
      </c>
      <c r="B480" s="13">
        <v>2.1751999999999998</v>
      </c>
      <c r="C480" s="1">
        <f>Tabela15[[#This Row],[Alongamento (mm/mm)]]/$I$2</f>
        <v>4.3503999999999994E-2</v>
      </c>
      <c r="D480" s="13">
        <v>108.18</v>
      </c>
      <c r="E480" s="1">
        <f>Tabela15[[#This Row],[Força (N)]]/$I$5</f>
        <v>2238180.6558130011</v>
      </c>
      <c r="F480" s="1">
        <f>Tabela15[[#This Row],[Tensão (Pa)]]/1000000</f>
        <v>2.2381806558130011</v>
      </c>
    </row>
    <row r="481" spans="1:6" x14ac:dyDescent="0.3">
      <c r="A481" s="13">
        <v>26.25</v>
      </c>
      <c r="B481" s="13">
        <v>2.1793999999999998</v>
      </c>
      <c r="C481" s="1">
        <f>Tabela15[[#This Row],[Alongamento (mm/mm)]]/$I$2</f>
        <v>4.3587999999999995E-2</v>
      </c>
      <c r="D481" s="13">
        <v>109.03</v>
      </c>
      <c r="E481" s="1">
        <f>Tabela15[[#This Row],[Força (N)]]/$I$5</f>
        <v>2255766.6565288543</v>
      </c>
      <c r="F481" s="1">
        <f>Tabela15[[#This Row],[Tensão (Pa)]]/1000000</f>
        <v>2.2557666565288543</v>
      </c>
    </row>
    <row r="482" spans="1:6" x14ac:dyDescent="0.3">
      <c r="A482" s="13">
        <v>26.3</v>
      </c>
      <c r="B482" s="13">
        <v>2.1836000000000002</v>
      </c>
      <c r="C482" s="1">
        <f>Tabela15[[#This Row],[Alongamento (mm/mm)]]/$I$2</f>
        <v>4.3672000000000002E-2</v>
      </c>
      <c r="D482" s="13">
        <v>109.88</v>
      </c>
      <c r="E482" s="1">
        <f>Tabela15[[#This Row],[Força (N)]]/$I$5</f>
        <v>2273352.6572447079</v>
      </c>
      <c r="F482" s="1">
        <f>Tabela15[[#This Row],[Tensão (Pa)]]/1000000</f>
        <v>2.273352657244708</v>
      </c>
    </row>
    <row r="483" spans="1:6" x14ac:dyDescent="0.3">
      <c r="A483" s="13">
        <v>26.35</v>
      </c>
      <c r="B483" s="13">
        <v>2.1877</v>
      </c>
      <c r="C483" s="1">
        <f>Tabela15[[#This Row],[Alongamento (mm/mm)]]/$I$2</f>
        <v>4.3754000000000001E-2</v>
      </c>
      <c r="D483" s="13">
        <v>110.56</v>
      </c>
      <c r="E483" s="1">
        <f>Tabela15[[#This Row],[Força (N)]]/$I$5</f>
        <v>2287421.457817391</v>
      </c>
      <c r="F483" s="1">
        <f>Tabela15[[#This Row],[Tensão (Pa)]]/1000000</f>
        <v>2.2874214578173908</v>
      </c>
    </row>
    <row r="484" spans="1:6" x14ac:dyDescent="0.3">
      <c r="A484" s="13">
        <v>26.382999999999999</v>
      </c>
      <c r="B484" s="13">
        <v>2.1905999999999999</v>
      </c>
      <c r="C484" s="1">
        <f>Tabela15[[#This Row],[Alongamento (mm/mm)]]/$I$2</f>
        <v>4.3811999999999997E-2</v>
      </c>
      <c r="D484" s="13">
        <v>111.24</v>
      </c>
      <c r="E484" s="1">
        <f>Tabela15[[#This Row],[Força (N)]]/$I$5</f>
        <v>2301490.2583900737</v>
      </c>
      <c r="F484" s="1">
        <f>Tabela15[[#This Row],[Tensão (Pa)]]/1000000</f>
        <v>2.3014902583900736</v>
      </c>
    </row>
    <row r="485" spans="1:6" x14ac:dyDescent="0.3">
      <c r="A485" s="13">
        <v>26.433</v>
      </c>
      <c r="B485" s="13">
        <v>2.1947999999999999</v>
      </c>
      <c r="C485" s="1">
        <f>Tabela15[[#This Row],[Alongamento (mm/mm)]]/$I$2</f>
        <v>4.3895999999999998E-2</v>
      </c>
      <c r="D485" s="13">
        <v>112.1</v>
      </c>
      <c r="E485" s="1">
        <f>Tabela15[[#This Row],[Força (N)]]/$I$5</f>
        <v>2319283.1532319966</v>
      </c>
      <c r="F485" s="1">
        <f>Tabela15[[#This Row],[Tensão (Pa)]]/1000000</f>
        <v>2.3192831532319964</v>
      </c>
    </row>
    <row r="486" spans="1:6" x14ac:dyDescent="0.3">
      <c r="A486" s="13">
        <v>26.483000000000001</v>
      </c>
      <c r="B486" s="13">
        <v>2.1989000000000001</v>
      </c>
      <c r="C486" s="1">
        <f>Tabela15[[#This Row],[Alongamento (mm/mm)]]/$I$2</f>
        <v>4.3978000000000003E-2</v>
      </c>
      <c r="D486" s="13">
        <v>112.95</v>
      </c>
      <c r="E486" s="1">
        <f>Tabela15[[#This Row],[Força (N)]]/$I$5</f>
        <v>2336869.1539478502</v>
      </c>
      <c r="F486" s="1">
        <f>Tabela15[[#This Row],[Tensão (Pa)]]/1000000</f>
        <v>2.3368691539478501</v>
      </c>
    </row>
    <row r="487" spans="1:6" x14ac:dyDescent="0.3">
      <c r="A487" s="13">
        <v>26.533000000000001</v>
      </c>
      <c r="B487" s="13">
        <v>2.2029999999999998</v>
      </c>
      <c r="C487" s="1">
        <f>Tabela15[[#This Row],[Alongamento (mm/mm)]]/$I$2</f>
        <v>4.4059999999999995E-2</v>
      </c>
      <c r="D487" s="13">
        <v>113.8</v>
      </c>
      <c r="E487" s="1">
        <f>Tabela15[[#This Row],[Força (N)]]/$I$5</f>
        <v>2354455.1546637039</v>
      </c>
      <c r="F487" s="1">
        <f>Tabela15[[#This Row],[Tensão (Pa)]]/1000000</f>
        <v>2.3544551546637038</v>
      </c>
    </row>
    <row r="488" spans="1:6" x14ac:dyDescent="0.3">
      <c r="A488" s="13">
        <v>26.582999999999998</v>
      </c>
      <c r="B488" s="13">
        <v>2.2071000000000001</v>
      </c>
      <c r="C488" s="1">
        <f>Tabela15[[#This Row],[Alongamento (mm/mm)]]/$I$2</f>
        <v>4.4142000000000001E-2</v>
      </c>
      <c r="D488" s="13">
        <v>114.65</v>
      </c>
      <c r="E488" s="1">
        <f>Tabela15[[#This Row],[Força (N)]]/$I$5</f>
        <v>2372041.1553795575</v>
      </c>
      <c r="F488" s="1">
        <f>Tabela15[[#This Row],[Tensão (Pa)]]/1000000</f>
        <v>2.3720411553795575</v>
      </c>
    </row>
    <row r="489" spans="1:6" x14ac:dyDescent="0.3">
      <c r="A489" s="13">
        <v>26.632999999999999</v>
      </c>
      <c r="B489" s="13">
        <v>2.2113</v>
      </c>
      <c r="C489" s="1">
        <f>Tabela15[[#This Row],[Alongamento (mm/mm)]]/$I$2</f>
        <v>4.4226000000000001E-2</v>
      </c>
      <c r="D489" s="13">
        <v>115.5</v>
      </c>
      <c r="E489" s="1">
        <f>Tabela15[[#This Row],[Força (N)]]/$I$5</f>
        <v>2389627.1560954112</v>
      </c>
      <c r="F489" s="1">
        <f>Tabela15[[#This Row],[Tensão (Pa)]]/1000000</f>
        <v>2.3896271560954112</v>
      </c>
    </row>
    <row r="490" spans="1:6" x14ac:dyDescent="0.3">
      <c r="A490" s="13">
        <v>26.683</v>
      </c>
      <c r="B490" s="13">
        <v>2.2155</v>
      </c>
      <c r="C490" s="1">
        <f>Tabela15[[#This Row],[Alongamento (mm/mm)]]/$I$2</f>
        <v>4.4310000000000002E-2</v>
      </c>
      <c r="D490" s="13">
        <v>116.35</v>
      </c>
      <c r="E490" s="1">
        <f>Tabela15[[#This Row],[Força (N)]]/$I$5</f>
        <v>2407213.1568112648</v>
      </c>
      <c r="F490" s="1">
        <f>Tabela15[[#This Row],[Tensão (Pa)]]/1000000</f>
        <v>2.4072131568112649</v>
      </c>
    </row>
    <row r="491" spans="1:6" x14ac:dyDescent="0.3">
      <c r="A491" s="13">
        <v>26.733000000000001</v>
      </c>
      <c r="B491" s="13">
        <v>2.2197</v>
      </c>
      <c r="C491" s="1">
        <f>Tabela15[[#This Row],[Alongamento (mm/mm)]]/$I$2</f>
        <v>4.4394000000000003E-2</v>
      </c>
      <c r="D491" s="13">
        <v>117.2</v>
      </c>
      <c r="E491" s="1">
        <f>Tabela15[[#This Row],[Força (N)]]/$I$5</f>
        <v>2424799.1575271185</v>
      </c>
      <c r="F491" s="1">
        <f>Tabela15[[#This Row],[Tensão (Pa)]]/1000000</f>
        <v>2.4247991575271186</v>
      </c>
    </row>
    <row r="492" spans="1:6" x14ac:dyDescent="0.3">
      <c r="A492" s="13">
        <v>26.766999999999999</v>
      </c>
      <c r="B492" s="13">
        <v>2.2225000000000001</v>
      </c>
      <c r="C492" s="1">
        <f>Tabela15[[#This Row],[Alongamento (mm/mm)]]/$I$2</f>
        <v>4.4450000000000003E-2</v>
      </c>
      <c r="D492" s="13">
        <v>117.88</v>
      </c>
      <c r="E492" s="1">
        <f>Tabela15[[#This Row],[Força (N)]]/$I$5</f>
        <v>2438867.9580998016</v>
      </c>
      <c r="F492" s="1">
        <f>Tabela15[[#This Row],[Tensão (Pa)]]/1000000</f>
        <v>2.4388679580998014</v>
      </c>
    </row>
    <row r="493" spans="1:6" x14ac:dyDescent="0.3">
      <c r="A493" s="13">
        <v>26.817</v>
      </c>
      <c r="B493" s="13">
        <v>2.2267000000000001</v>
      </c>
      <c r="C493" s="1">
        <f>Tabela15[[#This Row],[Alongamento (mm/mm)]]/$I$2</f>
        <v>4.4534000000000004E-2</v>
      </c>
      <c r="D493" s="13">
        <v>118.73</v>
      </c>
      <c r="E493" s="1">
        <f>Tabela15[[#This Row],[Força (N)]]/$I$5</f>
        <v>2456453.9588156552</v>
      </c>
      <c r="F493" s="1">
        <f>Tabela15[[#This Row],[Tensão (Pa)]]/1000000</f>
        <v>2.4564539588156551</v>
      </c>
    </row>
    <row r="494" spans="1:6" x14ac:dyDescent="0.3">
      <c r="A494" s="13">
        <v>26.867000000000001</v>
      </c>
      <c r="B494" s="13">
        <v>2.2309000000000001</v>
      </c>
      <c r="C494" s="1">
        <f>Tabela15[[#This Row],[Alongamento (mm/mm)]]/$I$2</f>
        <v>4.4618000000000005E-2</v>
      </c>
      <c r="D494" s="13">
        <v>119.58</v>
      </c>
      <c r="E494" s="1">
        <f>Tabela15[[#This Row],[Força (N)]]/$I$5</f>
        <v>2474039.9595315089</v>
      </c>
      <c r="F494" s="1">
        <f>Tabela15[[#This Row],[Tensão (Pa)]]/1000000</f>
        <v>2.4740399595315088</v>
      </c>
    </row>
    <row r="495" spans="1:6" x14ac:dyDescent="0.3">
      <c r="A495" s="13">
        <v>26.917000000000002</v>
      </c>
      <c r="B495" s="13">
        <v>2.2349999999999999</v>
      </c>
      <c r="C495" s="1">
        <f>Tabela15[[#This Row],[Alongamento (mm/mm)]]/$I$2</f>
        <v>4.4699999999999997E-2</v>
      </c>
      <c r="D495" s="13">
        <v>120.43</v>
      </c>
      <c r="E495" s="1">
        <f>Tabela15[[#This Row],[Força (N)]]/$I$5</f>
        <v>2491625.9602473625</v>
      </c>
      <c r="F495" s="1">
        <f>Tabela15[[#This Row],[Tensão (Pa)]]/1000000</f>
        <v>2.4916259602473625</v>
      </c>
    </row>
    <row r="496" spans="1:6" x14ac:dyDescent="0.3">
      <c r="A496" s="13">
        <v>26.95</v>
      </c>
      <c r="B496" s="13">
        <v>2.2378</v>
      </c>
      <c r="C496" s="1">
        <f>Tabela15[[#This Row],[Alongamento (mm/mm)]]/$I$2</f>
        <v>4.4755999999999997E-2</v>
      </c>
      <c r="D496" s="13">
        <v>121.11</v>
      </c>
      <c r="E496" s="1">
        <f>Tabela15[[#This Row],[Força (N)]]/$I$5</f>
        <v>2505694.7608200456</v>
      </c>
      <c r="F496" s="1">
        <f>Tabela15[[#This Row],[Tensão (Pa)]]/1000000</f>
        <v>2.5056947608200457</v>
      </c>
    </row>
    <row r="497" spans="1:6" x14ac:dyDescent="0.3">
      <c r="A497" s="13">
        <v>27</v>
      </c>
      <c r="B497" s="13">
        <v>2.242</v>
      </c>
      <c r="C497" s="1">
        <f>Tabela15[[#This Row],[Alongamento (mm/mm)]]/$I$2</f>
        <v>4.4839999999999998E-2</v>
      </c>
      <c r="D497" s="13">
        <v>121.96</v>
      </c>
      <c r="E497" s="1">
        <f>Tabela15[[#This Row],[Força (N)]]/$I$5</f>
        <v>2523280.7615358992</v>
      </c>
      <c r="F497" s="1">
        <f>Tabela15[[#This Row],[Tensão (Pa)]]/1000000</f>
        <v>2.5232807615358994</v>
      </c>
    </row>
    <row r="498" spans="1:6" x14ac:dyDescent="0.3">
      <c r="A498" s="13">
        <v>27.05</v>
      </c>
      <c r="B498" s="13">
        <v>2.2461000000000002</v>
      </c>
      <c r="C498" s="1">
        <f>Tabela15[[#This Row],[Alongamento (mm/mm)]]/$I$2</f>
        <v>4.4922000000000004E-2</v>
      </c>
      <c r="D498" s="13">
        <v>122.81</v>
      </c>
      <c r="E498" s="1">
        <f>Tabela15[[#This Row],[Força (N)]]/$I$5</f>
        <v>2540866.7622517529</v>
      </c>
      <c r="F498" s="1">
        <f>Tabela15[[#This Row],[Tensão (Pa)]]/1000000</f>
        <v>2.5408667622517527</v>
      </c>
    </row>
    <row r="499" spans="1:6" x14ac:dyDescent="0.3">
      <c r="A499" s="13">
        <v>27.082999999999998</v>
      </c>
      <c r="B499" s="13">
        <v>2.2488999999999999</v>
      </c>
      <c r="C499" s="1">
        <f>Tabela15[[#This Row],[Alongamento (mm/mm)]]/$I$2</f>
        <v>4.4977999999999997E-2</v>
      </c>
      <c r="D499" s="13">
        <v>123.49</v>
      </c>
      <c r="E499" s="1">
        <f>Tabela15[[#This Row],[Força (N)]]/$I$5</f>
        <v>2554935.5628244355</v>
      </c>
      <c r="F499" s="1">
        <f>Tabela15[[#This Row],[Tensão (Pa)]]/1000000</f>
        <v>2.5549355628244355</v>
      </c>
    </row>
    <row r="500" spans="1:6" x14ac:dyDescent="0.3">
      <c r="A500" s="13">
        <v>27.132999999999999</v>
      </c>
      <c r="B500" s="13">
        <v>2.2530000000000001</v>
      </c>
      <c r="C500" s="1">
        <f>Tabela15[[#This Row],[Alongamento (mm/mm)]]/$I$2</f>
        <v>4.5060000000000003E-2</v>
      </c>
      <c r="D500" s="13">
        <v>124.34</v>
      </c>
      <c r="E500" s="1">
        <f>Tabela15[[#This Row],[Força (N)]]/$I$5</f>
        <v>2572521.5635402896</v>
      </c>
      <c r="F500" s="1">
        <f>Tabela15[[#This Row],[Tensão (Pa)]]/1000000</f>
        <v>2.5725215635402896</v>
      </c>
    </row>
    <row r="501" spans="1:6" x14ac:dyDescent="0.3">
      <c r="A501" s="13">
        <v>27.183</v>
      </c>
      <c r="B501" s="13">
        <v>2.2572000000000001</v>
      </c>
      <c r="C501" s="1">
        <f>Tabela15[[#This Row],[Alongamento (mm/mm)]]/$I$2</f>
        <v>4.5144000000000004E-2</v>
      </c>
      <c r="D501" s="13">
        <v>125.19</v>
      </c>
      <c r="E501" s="1">
        <f>Tabela15[[#This Row],[Força (N)]]/$I$5</f>
        <v>2590107.5642561433</v>
      </c>
      <c r="F501" s="1">
        <f>Tabela15[[#This Row],[Tensão (Pa)]]/1000000</f>
        <v>2.5901075642561433</v>
      </c>
    </row>
    <row r="502" spans="1:6" x14ac:dyDescent="0.3">
      <c r="A502" s="13">
        <v>27.233000000000001</v>
      </c>
      <c r="B502" s="13">
        <v>2.2614000000000001</v>
      </c>
      <c r="C502" s="1">
        <f>Tabela15[[#This Row],[Alongamento (mm/mm)]]/$I$2</f>
        <v>4.5228000000000004E-2</v>
      </c>
      <c r="D502" s="13">
        <v>126.04</v>
      </c>
      <c r="E502" s="1">
        <f>Tabela15[[#This Row],[Força (N)]]/$I$5</f>
        <v>2607693.5649719969</v>
      </c>
      <c r="F502" s="1">
        <f>Tabela15[[#This Row],[Tensão (Pa)]]/1000000</f>
        <v>2.607693564971997</v>
      </c>
    </row>
    <row r="503" spans="1:6" x14ac:dyDescent="0.3">
      <c r="A503" s="13">
        <v>27.266999999999999</v>
      </c>
      <c r="B503" s="13">
        <v>2.2641</v>
      </c>
      <c r="C503" s="1">
        <f>Tabela15[[#This Row],[Alongamento (mm/mm)]]/$I$2</f>
        <v>4.5282000000000003E-2</v>
      </c>
      <c r="D503" s="13">
        <v>126.72</v>
      </c>
      <c r="E503" s="1">
        <f>Tabela15[[#This Row],[Força (N)]]/$I$5</f>
        <v>2621762.3655446796</v>
      </c>
      <c r="F503" s="1">
        <f>Tabela15[[#This Row],[Tensão (Pa)]]/1000000</f>
        <v>2.6217623655446798</v>
      </c>
    </row>
    <row r="504" spans="1:6" x14ac:dyDescent="0.3">
      <c r="A504" s="13">
        <v>27.317</v>
      </c>
      <c r="B504" s="13">
        <v>2.2683</v>
      </c>
      <c r="C504" s="1">
        <f>Tabela15[[#This Row],[Alongamento (mm/mm)]]/$I$2</f>
        <v>4.5365999999999997E-2</v>
      </c>
      <c r="D504" s="13">
        <v>127.57</v>
      </c>
      <c r="E504" s="1">
        <f>Tabela15[[#This Row],[Força (N)]]/$I$5</f>
        <v>2639348.3662605332</v>
      </c>
      <c r="F504" s="1">
        <f>Tabela15[[#This Row],[Tensão (Pa)]]/1000000</f>
        <v>2.639348366260533</v>
      </c>
    </row>
    <row r="505" spans="1:6" x14ac:dyDescent="0.3">
      <c r="A505" s="13">
        <v>27.35</v>
      </c>
      <c r="B505" s="13">
        <v>2.2711000000000001</v>
      </c>
      <c r="C505" s="1">
        <f>Tabela15[[#This Row],[Alongamento (mm/mm)]]/$I$2</f>
        <v>4.5422000000000004E-2</v>
      </c>
      <c r="D505" s="13">
        <v>128.25</v>
      </c>
      <c r="E505" s="1">
        <f>Tabela15[[#This Row],[Força (N)]]/$I$5</f>
        <v>2653417.1668332163</v>
      </c>
      <c r="F505" s="1">
        <f>Tabela15[[#This Row],[Tensão (Pa)]]/1000000</f>
        <v>2.6534171668332163</v>
      </c>
    </row>
    <row r="506" spans="1:6" x14ac:dyDescent="0.3">
      <c r="A506" s="13">
        <v>27.4</v>
      </c>
      <c r="B506" s="13">
        <v>2.2751999999999999</v>
      </c>
      <c r="C506" s="1">
        <f>Tabela15[[#This Row],[Alongamento (mm/mm)]]/$I$2</f>
        <v>4.5503999999999996E-2</v>
      </c>
      <c r="D506" s="13">
        <v>129.1</v>
      </c>
      <c r="E506" s="1">
        <f>Tabela15[[#This Row],[Força (N)]]/$I$5</f>
        <v>2671003.16754907</v>
      </c>
      <c r="F506" s="1">
        <f>Tabela15[[#This Row],[Tensão (Pa)]]/1000000</f>
        <v>2.67100316754907</v>
      </c>
    </row>
    <row r="507" spans="1:6" x14ac:dyDescent="0.3">
      <c r="A507" s="13">
        <v>27.45</v>
      </c>
      <c r="B507" s="13">
        <v>2.2795000000000001</v>
      </c>
      <c r="C507" s="1">
        <f>Tabela15[[#This Row],[Alongamento (mm/mm)]]/$I$2</f>
        <v>4.5589999999999999E-2</v>
      </c>
      <c r="D507" s="13">
        <v>129.96</v>
      </c>
      <c r="E507" s="1">
        <f>Tabela15[[#This Row],[Força (N)]]/$I$5</f>
        <v>2688796.0623909929</v>
      </c>
      <c r="F507" s="1">
        <f>Tabela15[[#This Row],[Tensão (Pa)]]/1000000</f>
        <v>2.6887960623909928</v>
      </c>
    </row>
    <row r="508" spans="1:6" x14ac:dyDescent="0.3">
      <c r="A508" s="13">
        <v>27.483000000000001</v>
      </c>
      <c r="B508" s="13">
        <v>2.2822</v>
      </c>
      <c r="C508" s="1">
        <f>Tabela15[[#This Row],[Alongamento (mm/mm)]]/$I$2</f>
        <v>4.5643999999999997E-2</v>
      </c>
      <c r="D508" s="13">
        <v>130.63999999999999</v>
      </c>
      <c r="E508" s="1">
        <f>Tabela15[[#This Row],[Força (N)]]/$I$5</f>
        <v>2702864.8629636751</v>
      </c>
      <c r="F508" s="1">
        <f>Tabela15[[#This Row],[Tensão (Pa)]]/1000000</f>
        <v>2.7028648629636751</v>
      </c>
    </row>
    <row r="509" spans="1:6" x14ac:dyDescent="0.3">
      <c r="A509" s="13">
        <v>27.55</v>
      </c>
      <c r="B509" s="13">
        <v>2.2877999999999998</v>
      </c>
      <c r="C509" s="1">
        <f>Tabela15[[#This Row],[Alongamento (mm/mm)]]/$I$2</f>
        <v>4.5755999999999998E-2</v>
      </c>
      <c r="D509" s="13">
        <v>131.83000000000001</v>
      </c>
      <c r="E509" s="1">
        <f>Tabela15[[#This Row],[Força (N)]]/$I$5</f>
        <v>2727485.2639658707</v>
      </c>
      <c r="F509" s="1">
        <f>Tabela15[[#This Row],[Tensão (Pa)]]/1000000</f>
        <v>2.7274852639658707</v>
      </c>
    </row>
    <row r="510" spans="1:6" x14ac:dyDescent="0.3">
      <c r="A510" s="13">
        <v>27.617000000000001</v>
      </c>
      <c r="B510" s="13">
        <v>2.2932999999999999</v>
      </c>
      <c r="C510" s="1">
        <f>Tabela15[[#This Row],[Alongamento (mm/mm)]]/$I$2</f>
        <v>4.5865999999999997E-2</v>
      </c>
      <c r="D510" s="13">
        <v>133.02000000000001</v>
      </c>
      <c r="E510" s="1">
        <f>Tabela15[[#This Row],[Força (N)]]/$I$5</f>
        <v>2752105.6649680659</v>
      </c>
      <c r="F510" s="1">
        <f>Tabela15[[#This Row],[Tensão (Pa)]]/1000000</f>
        <v>2.7521056649680657</v>
      </c>
    </row>
    <row r="511" spans="1:6" x14ac:dyDescent="0.3">
      <c r="A511" s="13">
        <v>27.667000000000002</v>
      </c>
      <c r="B511" s="13">
        <v>2.2974999999999999</v>
      </c>
      <c r="C511" s="1">
        <f>Tabela15[[#This Row],[Alongamento (mm/mm)]]/$I$2</f>
        <v>4.5949999999999998E-2</v>
      </c>
      <c r="D511" s="13">
        <v>134.04</v>
      </c>
      <c r="E511" s="1">
        <f>Tabela15[[#This Row],[Força (N)]]/$I$5</f>
        <v>2773208.8658270901</v>
      </c>
      <c r="F511" s="1">
        <f>Tabela15[[#This Row],[Tensão (Pa)]]/1000000</f>
        <v>2.7732088658270899</v>
      </c>
    </row>
    <row r="512" spans="1:6" x14ac:dyDescent="0.3">
      <c r="A512" s="13">
        <v>27.733000000000001</v>
      </c>
      <c r="B512" s="13">
        <v>2.3031000000000001</v>
      </c>
      <c r="C512" s="1">
        <f>Tabela15[[#This Row],[Alongamento (mm/mm)]]/$I$2</f>
        <v>4.6062000000000006E-2</v>
      </c>
      <c r="D512" s="13">
        <v>135.22999999999999</v>
      </c>
      <c r="E512" s="1">
        <f>Tabela15[[#This Row],[Força (N)]]/$I$5</f>
        <v>2797829.2668292853</v>
      </c>
      <c r="F512" s="1">
        <f>Tabela15[[#This Row],[Tensão (Pa)]]/1000000</f>
        <v>2.7978292668292855</v>
      </c>
    </row>
    <row r="513" spans="1:6" x14ac:dyDescent="0.3">
      <c r="A513" s="13">
        <v>27.783000000000001</v>
      </c>
      <c r="B513" s="13">
        <v>2.3071999999999999</v>
      </c>
      <c r="C513" s="1">
        <f>Tabela15[[#This Row],[Alongamento (mm/mm)]]/$I$2</f>
        <v>4.6143999999999998E-2</v>
      </c>
      <c r="D513" s="13">
        <v>136.25</v>
      </c>
      <c r="E513" s="1">
        <f>Tabela15[[#This Row],[Força (N)]]/$I$5</f>
        <v>2818932.46768831</v>
      </c>
      <c r="F513" s="1">
        <f>Tabela15[[#This Row],[Tensão (Pa)]]/1000000</f>
        <v>2.8189324676883101</v>
      </c>
    </row>
    <row r="514" spans="1:6" x14ac:dyDescent="0.3">
      <c r="A514" s="13">
        <v>27.85</v>
      </c>
      <c r="B514" s="13">
        <v>2.3128000000000002</v>
      </c>
      <c r="C514" s="1">
        <f>Tabela15[[#This Row],[Alongamento (mm/mm)]]/$I$2</f>
        <v>4.6256000000000005E-2</v>
      </c>
      <c r="D514" s="13">
        <v>137.44</v>
      </c>
      <c r="E514" s="1">
        <f>Tabela15[[#This Row],[Força (N)]]/$I$5</f>
        <v>2843552.8686905047</v>
      </c>
      <c r="F514" s="1">
        <f>Tabela15[[#This Row],[Tensão (Pa)]]/1000000</f>
        <v>2.8435528686905047</v>
      </c>
    </row>
    <row r="515" spans="1:6" x14ac:dyDescent="0.3">
      <c r="A515" s="13">
        <v>27.917000000000002</v>
      </c>
      <c r="B515" s="13">
        <v>2.3184</v>
      </c>
      <c r="C515" s="1">
        <f>Tabela15[[#This Row],[Alongamento (mm/mm)]]/$I$2</f>
        <v>4.6367999999999999E-2</v>
      </c>
      <c r="D515" s="13">
        <v>138.63</v>
      </c>
      <c r="E515" s="1">
        <f>Tabela15[[#This Row],[Força (N)]]/$I$5</f>
        <v>2868173.2696926999</v>
      </c>
      <c r="F515" s="1">
        <f>Tabela15[[#This Row],[Tensão (Pa)]]/1000000</f>
        <v>2.8681732696926998</v>
      </c>
    </row>
    <row r="516" spans="1:6" x14ac:dyDescent="0.3">
      <c r="A516" s="13">
        <v>27.966999999999999</v>
      </c>
      <c r="B516" s="13">
        <v>2.3224</v>
      </c>
      <c r="C516" s="1">
        <f>Tabela15[[#This Row],[Alongamento (mm/mm)]]/$I$2</f>
        <v>4.6448000000000003E-2</v>
      </c>
      <c r="D516" s="13">
        <v>139.65</v>
      </c>
      <c r="E516" s="1">
        <f>Tabela15[[#This Row],[Força (N)]]/$I$5</f>
        <v>2889276.4705517245</v>
      </c>
      <c r="F516" s="1">
        <f>Tabela15[[#This Row],[Tensão (Pa)]]/1000000</f>
        <v>2.8892764705517244</v>
      </c>
    </row>
    <row r="517" spans="1:6" x14ac:dyDescent="0.3">
      <c r="A517" s="13">
        <v>28.033000000000001</v>
      </c>
      <c r="B517" s="13">
        <v>2.3279999999999998</v>
      </c>
      <c r="C517" s="1">
        <f>Tabela15[[#This Row],[Alongamento (mm/mm)]]/$I$2</f>
        <v>4.6559999999999997E-2</v>
      </c>
      <c r="D517" s="13">
        <v>140.84</v>
      </c>
      <c r="E517" s="1">
        <f>Tabela15[[#This Row],[Força (N)]]/$I$5</f>
        <v>2913896.8715539197</v>
      </c>
      <c r="F517" s="1">
        <f>Tabela15[[#This Row],[Tensão (Pa)]]/1000000</f>
        <v>2.91389687155392</v>
      </c>
    </row>
    <row r="518" spans="1:6" x14ac:dyDescent="0.3">
      <c r="A518" s="13">
        <v>28.082999999999998</v>
      </c>
      <c r="B518" s="13">
        <v>2.3321999999999998</v>
      </c>
      <c r="C518" s="1">
        <f>Tabela15[[#This Row],[Alongamento (mm/mm)]]/$I$2</f>
        <v>4.6643999999999998E-2</v>
      </c>
      <c r="D518" s="13">
        <v>141.86000000000001</v>
      </c>
      <c r="E518" s="1">
        <f>Tabela15[[#This Row],[Força (N)]]/$I$5</f>
        <v>2935000.0724129444</v>
      </c>
      <c r="F518" s="1">
        <f>Tabela15[[#This Row],[Tensão (Pa)]]/1000000</f>
        <v>2.9350000724129446</v>
      </c>
    </row>
    <row r="519" spans="1:6" x14ac:dyDescent="0.3">
      <c r="A519" s="13">
        <v>28.15</v>
      </c>
      <c r="B519" s="13">
        <v>2.3376999999999999</v>
      </c>
      <c r="C519" s="1">
        <f>Tabela15[[#This Row],[Alongamento (mm/mm)]]/$I$2</f>
        <v>4.6753999999999997E-2</v>
      </c>
      <c r="D519" s="13">
        <v>143.05000000000001</v>
      </c>
      <c r="E519" s="1">
        <f>Tabela15[[#This Row],[Força (N)]]/$I$5</f>
        <v>2959620.4734151396</v>
      </c>
      <c r="F519" s="1">
        <f>Tabela15[[#This Row],[Tensão (Pa)]]/1000000</f>
        <v>2.9596204734151397</v>
      </c>
    </row>
    <row r="520" spans="1:6" x14ac:dyDescent="0.3">
      <c r="A520" s="13">
        <v>28.2</v>
      </c>
      <c r="B520" s="13">
        <v>2.3418999999999999</v>
      </c>
      <c r="C520" s="1">
        <f>Tabela15[[#This Row],[Alongamento (mm/mm)]]/$I$2</f>
        <v>4.6837999999999998E-2</v>
      </c>
      <c r="D520" s="13">
        <v>144.07</v>
      </c>
      <c r="E520" s="1">
        <f>Tabela15[[#This Row],[Força (N)]]/$I$5</f>
        <v>2980723.6742741633</v>
      </c>
      <c r="F520" s="1">
        <f>Tabela15[[#This Row],[Tensão (Pa)]]/1000000</f>
        <v>2.9807236742741634</v>
      </c>
    </row>
    <row r="521" spans="1:6" x14ac:dyDescent="0.3">
      <c r="A521" s="13">
        <v>28.266999999999999</v>
      </c>
      <c r="B521" s="13">
        <v>2.3475000000000001</v>
      </c>
      <c r="C521" s="1">
        <f>Tabela15[[#This Row],[Alongamento (mm/mm)]]/$I$2</f>
        <v>4.6950000000000006E-2</v>
      </c>
      <c r="D521" s="13">
        <v>145.26</v>
      </c>
      <c r="E521" s="1">
        <f>Tabela15[[#This Row],[Força (N)]]/$I$5</f>
        <v>3005344.0752763585</v>
      </c>
      <c r="F521" s="1">
        <f>Tabela15[[#This Row],[Tensão (Pa)]]/1000000</f>
        <v>3.0053440752763585</v>
      </c>
    </row>
    <row r="522" spans="1:6" x14ac:dyDescent="0.3">
      <c r="A522" s="13">
        <v>28.332999999999998</v>
      </c>
      <c r="B522" s="13">
        <v>2.3530000000000002</v>
      </c>
      <c r="C522" s="1">
        <f>Tabela15[[#This Row],[Alongamento (mm/mm)]]/$I$2</f>
        <v>4.7060000000000005E-2</v>
      </c>
      <c r="D522" s="13">
        <v>146.46</v>
      </c>
      <c r="E522" s="1">
        <f>Tabela15[[#This Row],[Força (N)]]/$I$5</f>
        <v>3030171.370404623</v>
      </c>
      <c r="F522" s="1">
        <f>Tabela15[[#This Row],[Tensão (Pa)]]/1000000</f>
        <v>3.0301713704046231</v>
      </c>
    </row>
    <row r="523" spans="1:6" x14ac:dyDescent="0.3">
      <c r="A523" s="13">
        <v>28.382999999999999</v>
      </c>
      <c r="B523" s="13">
        <v>2.3572000000000002</v>
      </c>
      <c r="C523" s="1">
        <f>Tabela15[[#This Row],[Alongamento (mm/mm)]]/$I$2</f>
        <v>4.7144000000000005E-2</v>
      </c>
      <c r="D523" s="13">
        <v>147.47999999999999</v>
      </c>
      <c r="E523" s="1">
        <f>Tabela15[[#This Row],[Força (N)]]/$I$5</f>
        <v>3051274.5712636472</v>
      </c>
      <c r="F523" s="1">
        <f>Tabela15[[#This Row],[Tensão (Pa)]]/1000000</f>
        <v>3.0512745712636473</v>
      </c>
    </row>
    <row r="524" spans="1:6" x14ac:dyDescent="0.3">
      <c r="A524" s="13">
        <v>28.45</v>
      </c>
      <c r="B524" s="13">
        <v>2.3626999999999998</v>
      </c>
      <c r="C524" s="1">
        <f>Tabela15[[#This Row],[Alongamento (mm/mm)]]/$I$2</f>
        <v>4.7253999999999997E-2</v>
      </c>
      <c r="D524" s="13">
        <v>148.66999999999999</v>
      </c>
      <c r="E524" s="1">
        <f>Tabela15[[#This Row],[Força (N)]]/$I$5</f>
        <v>3075894.9722658419</v>
      </c>
      <c r="F524" s="1">
        <f>Tabela15[[#This Row],[Tensão (Pa)]]/1000000</f>
        <v>3.075894972265842</v>
      </c>
    </row>
    <row r="525" spans="1:6" x14ac:dyDescent="0.3">
      <c r="A525" s="13">
        <v>28.5</v>
      </c>
      <c r="B525" s="13">
        <v>2.3668999999999998</v>
      </c>
      <c r="C525" s="1">
        <f>Tabela15[[#This Row],[Alongamento (mm/mm)]]/$I$2</f>
        <v>4.7337999999999998E-2</v>
      </c>
      <c r="D525" s="13">
        <v>149.69</v>
      </c>
      <c r="E525" s="1">
        <f>Tabela15[[#This Row],[Força (N)]]/$I$5</f>
        <v>3096998.1731248666</v>
      </c>
      <c r="F525" s="1">
        <f>Tabela15[[#This Row],[Tensão (Pa)]]/1000000</f>
        <v>3.0969981731248666</v>
      </c>
    </row>
    <row r="526" spans="1:6" x14ac:dyDescent="0.3">
      <c r="A526" s="13">
        <v>28.567</v>
      </c>
      <c r="B526" s="13">
        <v>2.3725000000000001</v>
      </c>
      <c r="C526" s="1">
        <f>Tabela15[[#This Row],[Alongamento (mm/mm)]]/$I$2</f>
        <v>4.7449999999999999E-2</v>
      </c>
      <c r="D526" s="13">
        <v>150.88</v>
      </c>
      <c r="E526" s="1">
        <f>Tabela15[[#This Row],[Força (N)]]/$I$5</f>
        <v>3121618.5741270618</v>
      </c>
      <c r="F526" s="1">
        <f>Tabela15[[#This Row],[Tensão (Pa)]]/1000000</f>
        <v>3.1216185741270617</v>
      </c>
    </row>
    <row r="527" spans="1:6" x14ac:dyDescent="0.3">
      <c r="A527" s="13">
        <v>28.617000000000001</v>
      </c>
      <c r="B527" s="13">
        <v>2.3767</v>
      </c>
      <c r="C527" s="1">
        <f>Tabela15[[#This Row],[Alongamento (mm/mm)]]/$I$2</f>
        <v>4.7534E-2</v>
      </c>
      <c r="D527" s="13">
        <v>151.9</v>
      </c>
      <c r="E527" s="1">
        <f>Tabela15[[#This Row],[Força (N)]]/$I$5</f>
        <v>3142721.7749860864</v>
      </c>
      <c r="F527" s="1">
        <f>Tabela15[[#This Row],[Tensão (Pa)]]/1000000</f>
        <v>3.1427217749860863</v>
      </c>
    </row>
    <row r="528" spans="1:6" x14ac:dyDescent="0.3">
      <c r="A528" s="13">
        <v>28.683</v>
      </c>
      <c r="B528" s="13">
        <v>2.3822999999999999</v>
      </c>
      <c r="C528" s="1">
        <f>Tabela15[[#This Row],[Alongamento (mm/mm)]]/$I$2</f>
        <v>4.7645999999999994E-2</v>
      </c>
      <c r="D528" s="13">
        <v>153.09</v>
      </c>
      <c r="E528" s="1">
        <f>Tabela15[[#This Row],[Força (N)]]/$I$5</f>
        <v>3167342.1759882816</v>
      </c>
      <c r="F528" s="1">
        <f>Tabela15[[#This Row],[Tensão (Pa)]]/1000000</f>
        <v>3.1673421759882818</v>
      </c>
    </row>
    <row r="529" spans="1:6" x14ac:dyDescent="0.3">
      <c r="A529" s="13">
        <v>28.733000000000001</v>
      </c>
      <c r="B529" s="13">
        <v>2.3864000000000001</v>
      </c>
      <c r="C529" s="1">
        <f>Tabela15[[#This Row],[Alongamento (mm/mm)]]/$I$2</f>
        <v>4.7728E-2</v>
      </c>
      <c r="D529" s="13">
        <v>154.11000000000001</v>
      </c>
      <c r="E529" s="1">
        <f>Tabela15[[#This Row],[Força (N)]]/$I$5</f>
        <v>3188445.3768473063</v>
      </c>
      <c r="F529" s="1">
        <f>Tabela15[[#This Row],[Tensão (Pa)]]/1000000</f>
        <v>3.1884453768473064</v>
      </c>
    </row>
    <row r="530" spans="1:6" x14ac:dyDescent="0.3">
      <c r="A530" s="13">
        <v>28.8</v>
      </c>
      <c r="B530" s="13">
        <v>2.3919000000000001</v>
      </c>
      <c r="C530" s="1">
        <f>Tabela15[[#This Row],[Alongamento (mm/mm)]]/$I$2</f>
        <v>4.7838000000000006E-2</v>
      </c>
      <c r="D530" s="13">
        <v>155.30000000000001</v>
      </c>
      <c r="E530" s="1">
        <f>Tabela15[[#This Row],[Força (N)]]/$I$5</f>
        <v>3213065.777849501</v>
      </c>
      <c r="F530" s="1">
        <f>Tabela15[[#This Row],[Tensão (Pa)]]/1000000</f>
        <v>3.2130657778495011</v>
      </c>
    </row>
    <row r="531" spans="1:6" x14ac:dyDescent="0.3">
      <c r="A531" s="13">
        <v>28.85</v>
      </c>
      <c r="B531" s="13">
        <v>2.3961999999999999</v>
      </c>
      <c r="C531" s="1">
        <f>Tabela15[[#This Row],[Alongamento (mm/mm)]]/$I$2</f>
        <v>4.7923999999999994E-2</v>
      </c>
      <c r="D531" s="13">
        <v>156.32</v>
      </c>
      <c r="E531" s="1">
        <f>Tabela15[[#This Row],[Força (N)]]/$I$5</f>
        <v>3234168.9787085252</v>
      </c>
      <c r="F531" s="1">
        <f>Tabela15[[#This Row],[Tensão (Pa)]]/1000000</f>
        <v>3.2341689787085253</v>
      </c>
    </row>
    <row r="532" spans="1:6" x14ac:dyDescent="0.3">
      <c r="A532" s="13">
        <v>28.917000000000002</v>
      </c>
      <c r="B532" s="13">
        <v>2.4016000000000002</v>
      </c>
      <c r="C532" s="1">
        <f>Tabela15[[#This Row],[Alongamento (mm/mm)]]/$I$2</f>
        <v>4.8032000000000005E-2</v>
      </c>
      <c r="D532" s="13">
        <v>157.51</v>
      </c>
      <c r="E532" s="1">
        <f>Tabela15[[#This Row],[Força (N)]]/$I$5</f>
        <v>3258789.3797107204</v>
      </c>
      <c r="F532" s="1">
        <f>Tabela15[[#This Row],[Tensão (Pa)]]/1000000</f>
        <v>3.2587893797107204</v>
      </c>
    </row>
    <row r="533" spans="1:6" x14ac:dyDescent="0.3">
      <c r="A533" s="13">
        <v>28.966999999999999</v>
      </c>
      <c r="B533" s="13">
        <v>2.4058000000000002</v>
      </c>
      <c r="C533" s="1">
        <f>Tabela15[[#This Row],[Alongamento (mm/mm)]]/$I$2</f>
        <v>4.8116000000000006E-2</v>
      </c>
      <c r="D533" s="13">
        <v>158.53</v>
      </c>
      <c r="E533" s="1">
        <f>Tabela15[[#This Row],[Força (N)]]/$I$5</f>
        <v>3279892.580569745</v>
      </c>
      <c r="F533" s="1">
        <f>Tabela15[[#This Row],[Tensão (Pa)]]/1000000</f>
        <v>3.279892580569745</v>
      </c>
    </row>
    <row r="534" spans="1:6" x14ac:dyDescent="0.3">
      <c r="A534" s="13">
        <v>29.016999999999999</v>
      </c>
      <c r="B534" s="13">
        <v>2.4098999999999999</v>
      </c>
      <c r="C534" s="1">
        <f>Tabela15[[#This Row],[Alongamento (mm/mm)]]/$I$2</f>
        <v>4.8197999999999998E-2</v>
      </c>
      <c r="D534" s="13">
        <v>159.55000000000001</v>
      </c>
      <c r="E534" s="1">
        <f>Tabela15[[#This Row],[Força (N)]]/$I$5</f>
        <v>3300995.7814287697</v>
      </c>
      <c r="F534" s="1">
        <f>Tabela15[[#This Row],[Tensão (Pa)]]/1000000</f>
        <v>3.3009957814287696</v>
      </c>
    </row>
    <row r="535" spans="1:6" x14ac:dyDescent="0.3">
      <c r="A535" s="13">
        <v>29.067</v>
      </c>
      <c r="B535" s="13">
        <v>2.4140999999999999</v>
      </c>
      <c r="C535" s="1">
        <f>Tabela15[[#This Row],[Alongamento (mm/mm)]]/$I$2</f>
        <v>4.8281999999999999E-2</v>
      </c>
      <c r="D535" s="13">
        <v>160.57</v>
      </c>
      <c r="E535" s="1">
        <f>Tabela15[[#This Row],[Força (N)]]/$I$5</f>
        <v>3322098.9822877934</v>
      </c>
      <c r="F535" s="1">
        <f>Tabela15[[#This Row],[Tensão (Pa)]]/1000000</f>
        <v>3.3220989822877933</v>
      </c>
    </row>
    <row r="536" spans="1:6" x14ac:dyDescent="0.3">
      <c r="A536" s="13">
        <v>29.132999999999999</v>
      </c>
      <c r="B536" s="13">
        <v>2.4197000000000002</v>
      </c>
      <c r="C536" s="1">
        <f>Tabela15[[#This Row],[Alongamento (mm/mm)]]/$I$2</f>
        <v>4.8394000000000006E-2</v>
      </c>
      <c r="D536" s="13">
        <v>161.76</v>
      </c>
      <c r="E536" s="1">
        <f>Tabela15[[#This Row],[Força (N)]]/$I$5</f>
        <v>3346719.3832899886</v>
      </c>
      <c r="F536" s="1">
        <f>Tabela15[[#This Row],[Tensão (Pa)]]/1000000</f>
        <v>3.3467193832899884</v>
      </c>
    </row>
    <row r="537" spans="1:6" x14ac:dyDescent="0.3">
      <c r="A537" s="13">
        <v>29.183</v>
      </c>
      <c r="B537" s="13">
        <v>2.4239000000000002</v>
      </c>
      <c r="C537" s="1">
        <f>Tabela15[[#This Row],[Alongamento (mm/mm)]]/$I$2</f>
        <v>4.8478E-2</v>
      </c>
      <c r="D537" s="13">
        <v>162.78</v>
      </c>
      <c r="E537" s="1">
        <f>Tabela15[[#This Row],[Força (N)]]/$I$5</f>
        <v>3367822.5841490133</v>
      </c>
      <c r="F537" s="1">
        <f>Tabela15[[#This Row],[Tensão (Pa)]]/1000000</f>
        <v>3.3678225841490135</v>
      </c>
    </row>
    <row r="538" spans="1:6" x14ac:dyDescent="0.3">
      <c r="A538" s="13">
        <v>29.233000000000001</v>
      </c>
      <c r="B538" s="13">
        <v>2.4281000000000001</v>
      </c>
      <c r="C538" s="1">
        <f>Tabela15[[#This Row],[Alongamento (mm/mm)]]/$I$2</f>
        <v>4.8562000000000001E-2</v>
      </c>
      <c r="D538" s="13">
        <v>163.81</v>
      </c>
      <c r="E538" s="1">
        <f>Tabela15[[#This Row],[Força (N)]]/$I$5</f>
        <v>3389132.6791341067</v>
      </c>
      <c r="F538" s="1">
        <f>Tabela15[[#This Row],[Tensão (Pa)]]/1000000</f>
        <v>3.3891326791341068</v>
      </c>
    </row>
    <row r="539" spans="1:6" x14ac:dyDescent="0.3">
      <c r="A539" s="13">
        <v>29.3</v>
      </c>
      <c r="B539" s="13">
        <v>2.4337</v>
      </c>
      <c r="C539" s="1">
        <f>Tabela15[[#This Row],[Alongamento (mm/mm)]]/$I$2</f>
        <v>4.8674000000000002E-2</v>
      </c>
      <c r="D539" s="13">
        <v>165</v>
      </c>
      <c r="E539" s="1">
        <f>Tabela15[[#This Row],[Força (N)]]/$I$5</f>
        <v>3413753.0801363019</v>
      </c>
      <c r="F539" s="1">
        <f>Tabela15[[#This Row],[Tensão (Pa)]]/1000000</f>
        <v>3.4137530801363019</v>
      </c>
    </row>
    <row r="540" spans="1:6" x14ac:dyDescent="0.3">
      <c r="A540" s="13">
        <v>29.35</v>
      </c>
      <c r="B540" s="13">
        <v>2.4377</v>
      </c>
      <c r="C540" s="1">
        <f>Tabela15[[#This Row],[Alongamento (mm/mm)]]/$I$2</f>
        <v>4.8753999999999999E-2</v>
      </c>
      <c r="D540" s="13">
        <v>166.02</v>
      </c>
      <c r="E540" s="1">
        <f>Tabela15[[#This Row],[Força (N)]]/$I$5</f>
        <v>3434856.2809953266</v>
      </c>
      <c r="F540" s="1">
        <f>Tabela15[[#This Row],[Tensão (Pa)]]/1000000</f>
        <v>3.4348562809953265</v>
      </c>
    </row>
    <row r="541" spans="1:6" x14ac:dyDescent="0.3">
      <c r="A541" s="13">
        <v>29.4</v>
      </c>
      <c r="B541" s="13">
        <v>2.4419</v>
      </c>
      <c r="C541" s="1">
        <f>Tabela15[[#This Row],[Alongamento (mm/mm)]]/$I$2</f>
        <v>4.8837999999999999E-2</v>
      </c>
      <c r="D541" s="13">
        <v>167.04</v>
      </c>
      <c r="E541" s="1">
        <f>Tabela15[[#This Row],[Força (N)]]/$I$5</f>
        <v>3455959.4818543503</v>
      </c>
      <c r="F541" s="1">
        <f>Tabela15[[#This Row],[Tensão (Pa)]]/1000000</f>
        <v>3.4559594818543502</v>
      </c>
    </row>
    <row r="542" spans="1:6" x14ac:dyDescent="0.3">
      <c r="A542" s="13">
        <v>29.45</v>
      </c>
      <c r="B542" s="13">
        <v>2.4460000000000002</v>
      </c>
      <c r="C542" s="1">
        <f>Tabela15[[#This Row],[Alongamento (mm/mm)]]/$I$2</f>
        <v>4.8920000000000005E-2</v>
      </c>
      <c r="D542" s="13">
        <v>168.06</v>
      </c>
      <c r="E542" s="1">
        <f>Tabela15[[#This Row],[Força (N)]]/$I$5</f>
        <v>3477062.682713375</v>
      </c>
      <c r="F542" s="1">
        <f>Tabela15[[#This Row],[Tensão (Pa)]]/1000000</f>
        <v>3.4770626827133748</v>
      </c>
    </row>
    <row r="543" spans="1:6" x14ac:dyDescent="0.3">
      <c r="A543" s="13">
        <v>29.516999999999999</v>
      </c>
      <c r="B543" s="13">
        <v>2.4516</v>
      </c>
      <c r="C543" s="1">
        <f>Tabela15[[#This Row],[Alongamento (mm/mm)]]/$I$2</f>
        <v>4.9031999999999999E-2</v>
      </c>
      <c r="D543" s="13">
        <v>169.25</v>
      </c>
      <c r="E543" s="1">
        <f>Tabela15[[#This Row],[Força (N)]]/$I$5</f>
        <v>3501683.0837155702</v>
      </c>
      <c r="F543" s="1">
        <f>Tabela15[[#This Row],[Tensão (Pa)]]/1000000</f>
        <v>3.5016830837155704</v>
      </c>
    </row>
    <row r="544" spans="1:6" x14ac:dyDescent="0.3">
      <c r="A544" s="13">
        <v>29.567</v>
      </c>
      <c r="B544" s="13">
        <v>2.4558</v>
      </c>
      <c r="C544" s="1">
        <f>Tabela15[[#This Row],[Alongamento (mm/mm)]]/$I$2</f>
        <v>4.9116E-2</v>
      </c>
      <c r="D544" s="13">
        <v>170.27</v>
      </c>
      <c r="E544" s="1">
        <f>Tabela15[[#This Row],[Força (N)]]/$I$5</f>
        <v>3522786.2845745948</v>
      </c>
      <c r="F544" s="1">
        <f>Tabela15[[#This Row],[Tensão (Pa)]]/1000000</f>
        <v>3.522786284574595</v>
      </c>
    </row>
    <row r="545" spans="1:6" x14ac:dyDescent="0.3">
      <c r="A545" s="13">
        <v>29.617000000000001</v>
      </c>
      <c r="B545" s="13">
        <v>2.46</v>
      </c>
      <c r="C545" s="1">
        <f>Tabela15[[#This Row],[Alongamento (mm/mm)]]/$I$2</f>
        <v>4.9200000000000001E-2</v>
      </c>
      <c r="D545" s="13">
        <v>171.29</v>
      </c>
      <c r="E545" s="1">
        <f>Tabela15[[#This Row],[Força (N)]]/$I$5</f>
        <v>3543889.485433619</v>
      </c>
      <c r="F545" s="1">
        <f>Tabela15[[#This Row],[Tensão (Pa)]]/1000000</f>
        <v>3.5438894854336191</v>
      </c>
    </row>
    <row r="546" spans="1:6" x14ac:dyDescent="0.3">
      <c r="A546" s="13">
        <v>29.667000000000002</v>
      </c>
      <c r="B546" s="13">
        <v>2.4641999999999999</v>
      </c>
      <c r="C546" s="1">
        <f>Tabela15[[#This Row],[Alongamento (mm/mm)]]/$I$2</f>
        <v>4.9284000000000001E-2</v>
      </c>
      <c r="D546" s="13">
        <v>172.31</v>
      </c>
      <c r="E546" s="1">
        <f>Tabela15[[#This Row],[Força (N)]]/$I$5</f>
        <v>3564992.6862926432</v>
      </c>
      <c r="F546" s="1">
        <f>Tabela15[[#This Row],[Tensão (Pa)]]/1000000</f>
        <v>3.5649926862926433</v>
      </c>
    </row>
    <row r="547" spans="1:6" x14ac:dyDescent="0.3">
      <c r="A547" s="13">
        <v>29.716999999999999</v>
      </c>
      <c r="B547" s="13">
        <v>2.4683999999999999</v>
      </c>
      <c r="C547" s="1">
        <f>Tabela15[[#This Row],[Alongamento (mm/mm)]]/$I$2</f>
        <v>4.9367999999999995E-2</v>
      </c>
      <c r="D547" s="13">
        <v>173.33</v>
      </c>
      <c r="E547" s="1">
        <f>Tabela15[[#This Row],[Força (N)]]/$I$5</f>
        <v>3586095.8871516678</v>
      </c>
      <c r="F547" s="1">
        <f>Tabela15[[#This Row],[Tensão (Pa)]]/1000000</f>
        <v>3.5860958871516679</v>
      </c>
    </row>
    <row r="548" spans="1:6" x14ac:dyDescent="0.3">
      <c r="A548" s="13">
        <v>29.766999999999999</v>
      </c>
      <c r="B548" s="13">
        <v>2.4725000000000001</v>
      </c>
      <c r="C548" s="1">
        <f>Tabela15[[#This Row],[Alongamento (mm/mm)]]/$I$2</f>
        <v>4.9450000000000001E-2</v>
      </c>
      <c r="D548" s="13">
        <v>174.35</v>
      </c>
      <c r="E548" s="1">
        <f>Tabela15[[#This Row],[Força (N)]]/$I$5</f>
        <v>3607199.088010692</v>
      </c>
      <c r="F548" s="1">
        <f>Tabela15[[#This Row],[Tensão (Pa)]]/1000000</f>
        <v>3.6071990880106921</v>
      </c>
    </row>
    <row r="549" spans="1:6" x14ac:dyDescent="0.3">
      <c r="A549" s="13">
        <v>29.832999999999998</v>
      </c>
      <c r="B549" s="13">
        <v>2.4779</v>
      </c>
      <c r="C549" s="1">
        <f>Tabela15[[#This Row],[Alongamento (mm/mm)]]/$I$2</f>
        <v>4.9557999999999998E-2</v>
      </c>
      <c r="D549" s="13">
        <v>175.71</v>
      </c>
      <c r="E549" s="1">
        <f>Tabela15[[#This Row],[Força (N)]]/$I$5</f>
        <v>3635336.6891560582</v>
      </c>
      <c r="F549" s="1">
        <f>Tabela15[[#This Row],[Tensão (Pa)]]/1000000</f>
        <v>3.6353366891560581</v>
      </c>
    </row>
    <row r="550" spans="1:6" x14ac:dyDescent="0.3">
      <c r="A550" s="13">
        <v>29.9</v>
      </c>
      <c r="B550" s="13">
        <v>2.4834999999999998</v>
      </c>
      <c r="C550" s="1">
        <f>Tabela15[[#This Row],[Alongamento (mm/mm)]]/$I$2</f>
        <v>4.9669999999999999E-2</v>
      </c>
      <c r="D550" s="13">
        <v>177.07</v>
      </c>
      <c r="E550" s="1">
        <f>Tabela15[[#This Row],[Força (N)]]/$I$5</f>
        <v>3663474.290301424</v>
      </c>
      <c r="F550" s="1">
        <f>Tabela15[[#This Row],[Tensão (Pa)]]/1000000</f>
        <v>3.6634742903014241</v>
      </c>
    </row>
    <row r="551" spans="1:6" x14ac:dyDescent="0.3">
      <c r="A551" s="13">
        <v>29.966999999999999</v>
      </c>
      <c r="B551" s="13">
        <v>2.4891000000000001</v>
      </c>
      <c r="C551" s="1">
        <f>Tabela15[[#This Row],[Alongamento (mm/mm)]]/$I$2</f>
        <v>4.9782E-2</v>
      </c>
      <c r="D551" s="13">
        <v>178.43</v>
      </c>
      <c r="E551" s="1">
        <f>Tabela15[[#This Row],[Força (N)]]/$I$5</f>
        <v>3691611.8914467897</v>
      </c>
      <c r="F551" s="1">
        <f>Tabela15[[#This Row],[Tensão (Pa)]]/1000000</f>
        <v>3.6916118914467897</v>
      </c>
    </row>
    <row r="552" spans="1:6" x14ac:dyDescent="0.3">
      <c r="A552" s="13">
        <v>30.033000000000001</v>
      </c>
      <c r="B552" s="13">
        <v>2.4946999999999999</v>
      </c>
      <c r="C552" s="1">
        <f>Tabela15[[#This Row],[Alongamento (mm/mm)]]/$I$2</f>
        <v>4.9894000000000001E-2</v>
      </c>
      <c r="D552" s="13">
        <v>179.79</v>
      </c>
      <c r="E552" s="1">
        <f>Tabela15[[#This Row],[Força (N)]]/$I$5</f>
        <v>3719749.4925921555</v>
      </c>
      <c r="F552" s="1">
        <f>Tabela15[[#This Row],[Tensão (Pa)]]/1000000</f>
        <v>3.7197494925921553</v>
      </c>
    </row>
    <row r="553" spans="1:6" x14ac:dyDescent="0.3">
      <c r="A553" s="13">
        <v>30.1</v>
      </c>
      <c r="B553" s="13">
        <v>2.5002</v>
      </c>
      <c r="C553" s="1">
        <f>Tabela15[[#This Row],[Alongamento (mm/mm)]]/$I$2</f>
        <v>5.0004E-2</v>
      </c>
      <c r="D553" s="13">
        <v>181.33</v>
      </c>
      <c r="E553" s="1">
        <f>Tabela15[[#This Row],[Força (N)]]/$I$5</f>
        <v>3751611.1880067615</v>
      </c>
      <c r="F553" s="1">
        <f>Tabela15[[#This Row],[Tensão (Pa)]]/1000000</f>
        <v>3.7516111880067613</v>
      </c>
    </row>
    <row r="554" spans="1:6" x14ac:dyDescent="0.3">
      <c r="A554" s="13">
        <v>30.167000000000002</v>
      </c>
      <c r="B554" s="13">
        <v>2.5059</v>
      </c>
      <c r="C554" s="1">
        <f>Tabela15[[#This Row],[Alongamento (mm/mm)]]/$I$2</f>
        <v>5.0118000000000003E-2</v>
      </c>
      <c r="D554" s="13">
        <v>182.69</v>
      </c>
      <c r="E554" s="1">
        <f>Tabela15[[#This Row],[Força (N)]]/$I$5</f>
        <v>3779748.7891521272</v>
      </c>
      <c r="F554" s="1">
        <f>Tabela15[[#This Row],[Tensão (Pa)]]/1000000</f>
        <v>3.7797487891521273</v>
      </c>
    </row>
    <row r="555" spans="1:6" x14ac:dyDescent="0.3">
      <c r="A555" s="13">
        <v>30.233000000000001</v>
      </c>
      <c r="B555" s="13">
        <v>2.5114000000000001</v>
      </c>
      <c r="C555" s="1">
        <f>Tabela15[[#This Row],[Alongamento (mm/mm)]]/$I$2</f>
        <v>5.0228000000000002E-2</v>
      </c>
      <c r="D555" s="13">
        <v>184.22</v>
      </c>
      <c r="E555" s="1">
        <f>Tabela15[[#This Row],[Força (N)]]/$I$5</f>
        <v>3811403.5904406635</v>
      </c>
      <c r="F555" s="1">
        <f>Tabela15[[#This Row],[Tensão (Pa)]]/1000000</f>
        <v>3.8114035904406633</v>
      </c>
    </row>
    <row r="556" spans="1:6" x14ac:dyDescent="0.3">
      <c r="A556" s="13">
        <v>30.3</v>
      </c>
      <c r="B556" s="13">
        <v>2.5169000000000001</v>
      </c>
      <c r="C556" s="1">
        <f>Tabela15[[#This Row],[Alongamento (mm/mm)]]/$I$2</f>
        <v>5.0338000000000001E-2</v>
      </c>
      <c r="D556" s="13">
        <v>185.58</v>
      </c>
      <c r="E556" s="1">
        <f>Tabela15[[#This Row],[Força (N)]]/$I$5</f>
        <v>3839541.1915860297</v>
      </c>
      <c r="F556" s="1">
        <f>Tabela15[[#This Row],[Tensão (Pa)]]/1000000</f>
        <v>3.8395411915860298</v>
      </c>
    </row>
    <row r="557" spans="1:6" x14ac:dyDescent="0.3">
      <c r="A557" s="13">
        <v>30.367000000000001</v>
      </c>
      <c r="B557" s="13">
        <v>2.5225</v>
      </c>
      <c r="C557" s="1">
        <f>Tabela15[[#This Row],[Alongamento (mm/mm)]]/$I$2</f>
        <v>5.0450000000000002E-2</v>
      </c>
      <c r="D557" s="13">
        <v>187.11</v>
      </c>
      <c r="E557" s="1">
        <f>Tabela15[[#This Row],[Força (N)]]/$I$5</f>
        <v>3871195.9928745665</v>
      </c>
      <c r="F557" s="1">
        <f>Tabela15[[#This Row],[Tensão (Pa)]]/1000000</f>
        <v>3.8711959928745663</v>
      </c>
    </row>
    <row r="558" spans="1:6" x14ac:dyDescent="0.3">
      <c r="A558" s="13">
        <v>30.433</v>
      </c>
      <c r="B558" s="13">
        <v>2.528</v>
      </c>
      <c r="C558" s="1">
        <f>Tabela15[[#This Row],[Alongamento (mm/mm)]]/$I$2</f>
        <v>5.0560000000000001E-2</v>
      </c>
      <c r="D558" s="13">
        <v>188.47</v>
      </c>
      <c r="E558" s="1">
        <f>Tabela15[[#This Row],[Força (N)]]/$I$5</f>
        <v>3899333.5940199322</v>
      </c>
      <c r="F558" s="1">
        <f>Tabela15[[#This Row],[Tensão (Pa)]]/1000000</f>
        <v>3.8993335940199323</v>
      </c>
    </row>
    <row r="559" spans="1:6" x14ac:dyDescent="0.3">
      <c r="A559" s="13">
        <v>30.5</v>
      </c>
      <c r="B559" s="13">
        <v>2.5335000000000001</v>
      </c>
      <c r="C559" s="1">
        <f>Tabela15[[#This Row],[Alongamento (mm/mm)]]/$I$2</f>
        <v>5.067E-2</v>
      </c>
      <c r="D559" s="13">
        <v>189.83</v>
      </c>
      <c r="E559" s="1">
        <f>Tabela15[[#This Row],[Força (N)]]/$I$5</f>
        <v>3927471.1951652984</v>
      </c>
      <c r="F559" s="1">
        <f>Tabela15[[#This Row],[Tensão (Pa)]]/1000000</f>
        <v>3.9274711951652983</v>
      </c>
    </row>
    <row r="560" spans="1:6" x14ac:dyDescent="0.3">
      <c r="A560" s="13">
        <v>30.567</v>
      </c>
      <c r="B560" s="13">
        <v>2.5390999999999999</v>
      </c>
      <c r="C560" s="1">
        <f>Tabela15[[#This Row],[Alongamento (mm/mm)]]/$I$2</f>
        <v>5.0782000000000001E-2</v>
      </c>
      <c r="D560" s="13">
        <v>191.36</v>
      </c>
      <c r="E560" s="1">
        <f>Tabela15[[#This Row],[Força (N)]]/$I$5</f>
        <v>3959125.9964538347</v>
      </c>
      <c r="F560" s="1">
        <f>Tabela15[[#This Row],[Tensão (Pa)]]/1000000</f>
        <v>3.9591259964538348</v>
      </c>
    </row>
    <row r="561" spans="1:6" x14ac:dyDescent="0.3">
      <c r="A561" s="13">
        <v>30.632999999999999</v>
      </c>
      <c r="B561" s="13">
        <v>2.5447000000000002</v>
      </c>
      <c r="C561" s="1">
        <f>Tabela15[[#This Row],[Alongamento (mm/mm)]]/$I$2</f>
        <v>5.0894000000000002E-2</v>
      </c>
      <c r="D561" s="13">
        <v>192.72</v>
      </c>
      <c r="E561" s="1">
        <f>Tabela15[[#This Row],[Força (N)]]/$I$5</f>
        <v>3987263.5975992004</v>
      </c>
      <c r="F561" s="1">
        <f>Tabela15[[#This Row],[Tensão (Pa)]]/1000000</f>
        <v>3.9872635975992003</v>
      </c>
    </row>
    <row r="562" spans="1:6" x14ac:dyDescent="0.3">
      <c r="A562" s="13">
        <v>30.7</v>
      </c>
      <c r="B562" s="13">
        <v>2.5503</v>
      </c>
      <c r="C562" s="1">
        <f>Tabela15[[#This Row],[Alongamento (mm/mm)]]/$I$2</f>
        <v>5.1006000000000003E-2</v>
      </c>
      <c r="D562" s="13">
        <v>194.25</v>
      </c>
      <c r="E562" s="1">
        <f>Tabela15[[#This Row],[Força (N)]]/$I$5</f>
        <v>4018918.3988877372</v>
      </c>
      <c r="F562" s="1">
        <f>Tabela15[[#This Row],[Tensão (Pa)]]/1000000</f>
        <v>4.0189183988877373</v>
      </c>
    </row>
    <row r="563" spans="1:6" x14ac:dyDescent="0.3">
      <c r="A563" s="13">
        <v>30.766999999999999</v>
      </c>
      <c r="B563" s="13">
        <v>2.5558000000000001</v>
      </c>
      <c r="C563" s="1">
        <f>Tabela15[[#This Row],[Alongamento (mm/mm)]]/$I$2</f>
        <v>5.1116000000000002E-2</v>
      </c>
      <c r="D563" s="13">
        <v>195.78</v>
      </c>
      <c r="E563" s="1">
        <f>Tabela15[[#This Row],[Força (N)]]/$I$5</f>
        <v>4050573.2001762735</v>
      </c>
      <c r="F563" s="1">
        <f>Tabela15[[#This Row],[Tensão (Pa)]]/1000000</f>
        <v>4.0505732001762738</v>
      </c>
    </row>
    <row r="564" spans="1:6" x14ac:dyDescent="0.3">
      <c r="A564" s="13">
        <v>30.832999999999998</v>
      </c>
      <c r="B564" s="13">
        <v>2.5613000000000001</v>
      </c>
      <c r="C564" s="1">
        <f>Tabela15[[#This Row],[Alongamento (mm/mm)]]/$I$2</f>
        <v>5.1226000000000001E-2</v>
      </c>
      <c r="D564" s="13">
        <v>197.14</v>
      </c>
      <c r="E564" s="1">
        <f>Tabela15[[#This Row],[Força (N)]]/$I$5</f>
        <v>4078710.8013216392</v>
      </c>
      <c r="F564" s="1">
        <f>Tabela15[[#This Row],[Tensão (Pa)]]/1000000</f>
        <v>4.0787108013216393</v>
      </c>
    </row>
    <row r="565" spans="1:6" x14ac:dyDescent="0.3">
      <c r="A565" s="13">
        <v>30.9</v>
      </c>
      <c r="B565" s="13">
        <v>2.5669</v>
      </c>
      <c r="C565" s="1">
        <f>Tabela15[[#This Row],[Alongamento (mm/mm)]]/$I$2</f>
        <v>5.1338000000000002E-2</v>
      </c>
      <c r="D565" s="13">
        <v>198.68</v>
      </c>
      <c r="E565" s="1">
        <f>Tabela15[[#This Row],[Força (N)]]/$I$5</f>
        <v>4110572.4967362452</v>
      </c>
      <c r="F565" s="1">
        <f>Tabela15[[#This Row],[Tensão (Pa)]]/1000000</f>
        <v>4.1105724967362454</v>
      </c>
    </row>
    <row r="566" spans="1:6" x14ac:dyDescent="0.3">
      <c r="A566" s="13">
        <v>30.966999999999999</v>
      </c>
      <c r="B566" s="13">
        <v>2.5724999999999998</v>
      </c>
      <c r="C566" s="1">
        <f>Tabela15[[#This Row],[Alongamento (mm/mm)]]/$I$2</f>
        <v>5.1449999999999996E-2</v>
      </c>
      <c r="D566" s="13">
        <v>200.21</v>
      </c>
      <c r="E566" s="1">
        <f>Tabela15[[#This Row],[Força (N)]]/$I$5</f>
        <v>4142227.298024782</v>
      </c>
      <c r="F566" s="1">
        <f>Tabela15[[#This Row],[Tensão (Pa)]]/1000000</f>
        <v>4.1422272980247818</v>
      </c>
    </row>
    <row r="567" spans="1:6" x14ac:dyDescent="0.3">
      <c r="A567" s="13">
        <v>31.033000000000001</v>
      </c>
      <c r="B567" s="13">
        <v>2.5779999999999998</v>
      </c>
      <c r="C567" s="1">
        <f>Tabela15[[#This Row],[Alongamento (mm/mm)]]/$I$2</f>
        <v>5.1559999999999995E-2</v>
      </c>
      <c r="D567" s="13">
        <v>201.74</v>
      </c>
      <c r="E567" s="1">
        <f>Tabela15[[#This Row],[Força (N)]]/$I$5</f>
        <v>4173882.0993133183</v>
      </c>
      <c r="F567" s="1">
        <f>Tabela15[[#This Row],[Tensão (Pa)]]/1000000</f>
        <v>4.1738820993133183</v>
      </c>
    </row>
    <row r="568" spans="1:6" x14ac:dyDescent="0.3">
      <c r="A568" s="13">
        <v>31.1</v>
      </c>
      <c r="B568" s="13">
        <v>2.5836000000000001</v>
      </c>
      <c r="C568" s="1">
        <f>Tabela15[[#This Row],[Alongamento (mm/mm)]]/$I$2</f>
        <v>5.1672000000000003E-2</v>
      </c>
      <c r="D568" s="13">
        <v>203.27</v>
      </c>
      <c r="E568" s="1">
        <f>Tabela15[[#This Row],[Força (N)]]/$I$5</f>
        <v>4205536.9006018555</v>
      </c>
      <c r="F568" s="1">
        <f>Tabela15[[#This Row],[Tensão (Pa)]]/1000000</f>
        <v>4.2055369006018557</v>
      </c>
    </row>
    <row r="569" spans="1:6" x14ac:dyDescent="0.3">
      <c r="A569" s="13">
        <v>31.167000000000002</v>
      </c>
      <c r="B569" s="13">
        <v>2.5891999999999999</v>
      </c>
      <c r="C569" s="1">
        <f>Tabela15[[#This Row],[Alongamento (mm/mm)]]/$I$2</f>
        <v>5.1783999999999997E-2</v>
      </c>
      <c r="D569" s="13">
        <v>204.8</v>
      </c>
      <c r="E569" s="1">
        <f>Tabela15[[#This Row],[Força (N)]]/$I$5</f>
        <v>4237191.7018903913</v>
      </c>
      <c r="F569" s="1">
        <f>Tabela15[[#This Row],[Tensão (Pa)]]/1000000</f>
        <v>4.2371917018903913</v>
      </c>
    </row>
    <row r="570" spans="1:6" x14ac:dyDescent="0.3">
      <c r="A570" s="13">
        <v>31.233000000000001</v>
      </c>
      <c r="B570" s="13">
        <v>2.5945999999999998</v>
      </c>
      <c r="C570" s="1">
        <f>Tabela15[[#This Row],[Alongamento (mm/mm)]]/$I$2</f>
        <v>5.1891999999999994E-2</v>
      </c>
      <c r="D570" s="13">
        <v>206.33</v>
      </c>
      <c r="E570" s="1">
        <f>Tabela15[[#This Row],[Força (N)]]/$I$5</f>
        <v>4268846.503178928</v>
      </c>
      <c r="F570" s="1">
        <f>Tabela15[[#This Row],[Tensão (Pa)]]/1000000</f>
        <v>4.2688465031789278</v>
      </c>
    </row>
    <row r="571" spans="1:6" x14ac:dyDescent="0.3">
      <c r="A571" s="13">
        <v>31.3</v>
      </c>
      <c r="B571" s="13">
        <v>2.6002000000000001</v>
      </c>
      <c r="C571" s="1">
        <f>Tabela15[[#This Row],[Alongamento (mm/mm)]]/$I$2</f>
        <v>5.2004000000000002E-2</v>
      </c>
      <c r="D571" s="13">
        <v>207.86</v>
      </c>
      <c r="E571" s="1">
        <f>Tabela15[[#This Row],[Força (N)]]/$I$5</f>
        <v>4300501.3044674648</v>
      </c>
      <c r="F571" s="1">
        <f>Tabela15[[#This Row],[Tensão (Pa)]]/1000000</f>
        <v>4.3005013044674651</v>
      </c>
    </row>
    <row r="572" spans="1:6" x14ac:dyDescent="0.3">
      <c r="A572" s="13">
        <v>31.367000000000001</v>
      </c>
      <c r="B572" s="13">
        <v>2.6057999999999999</v>
      </c>
      <c r="C572" s="1">
        <f>Tabela15[[#This Row],[Alongamento (mm/mm)]]/$I$2</f>
        <v>5.2115999999999996E-2</v>
      </c>
      <c r="D572" s="13">
        <v>209.39</v>
      </c>
      <c r="E572" s="1">
        <f>Tabela15[[#This Row],[Força (N)]]/$I$5</f>
        <v>4332156.1057560006</v>
      </c>
      <c r="F572" s="1">
        <f>Tabela15[[#This Row],[Tensão (Pa)]]/1000000</f>
        <v>4.3321561057560007</v>
      </c>
    </row>
    <row r="573" spans="1:6" x14ac:dyDescent="0.3">
      <c r="A573" s="13">
        <v>31.433</v>
      </c>
      <c r="B573" s="13">
        <v>2.6113</v>
      </c>
      <c r="C573" s="1">
        <f>Tabela15[[#This Row],[Alongamento (mm/mm)]]/$I$2</f>
        <v>5.2226000000000002E-2</v>
      </c>
      <c r="D573" s="13">
        <v>210.92</v>
      </c>
      <c r="E573" s="1">
        <f>Tabela15[[#This Row],[Força (N)]]/$I$5</f>
        <v>4363810.9070445374</v>
      </c>
      <c r="F573" s="1">
        <f>Tabela15[[#This Row],[Tensão (Pa)]]/1000000</f>
        <v>4.3638109070445372</v>
      </c>
    </row>
    <row r="574" spans="1:6" x14ac:dyDescent="0.3">
      <c r="A574" s="13">
        <v>31.5</v>
      </c>
      <c r="B574" s="13">
        <v>2.6168999999999998</v>
      </c>
      <c r="C574" s="1">
        <f>Tabela15[[#This Row],[Alongamento (mm/mm)]]/$I$2</f>
        <v>5.2337999999999996E-2</v>
      </c>
      <c r="D574" s="13">
        <v>212.45</v>
      </c>
      <c r="E574" s="1">
        <f>Tabela15[[#This Row],[Força (N)]]/$I$5</f>
        <v>4395465.7083330741</v>
      </c>
      <c r="F574" s="1">
        <f>Tabela15[[#This Row],[Tensão (Pa)]]/1000000</f>
        <v>4.3954657083330737</v>
      </c>
    </row>
    <row r="575" spans="1:6" x14ac:dyDescent="0.3">
      <c r="A575" s="13">
        <v>31.567</v>
      </c>
      <c r="B575" s="13">
        <v>2.6225000000000001</v>
      </c>
      <c r="C575" s="1">
        <f>Tabela15[[#This Row],[Alongamento (mm/mm)]]/$I$2</f>
        <v>5.2450000000000004E-2</v>
      </c>
      <c r="D575" s="13">
        <v>213.98</v>
      </c>
      <c r="E575" s="1">
        <f>Tabela15[[#This Row],[Força (N)]]/$I$5</f>
        <v>4427120.5096216109</v>
      </c>
      <c r="F575" s="1">
        <f>Tabela15[[#This Row],[Tensão (Pa)]]/1000000</f>
        <v>4.4271205096216111</v>
      </c>
    </row>
    <row r="576" spans="1:6" x14ac:dyDescent="0.3">
      <c r="A576" s="13">
        <v>31.632999999999999</v>
      </c>
      <c r="B576" s="13">
        <v>2.6280999999999999</v>
      </c>
      <c r="C576" s="1">
        <f>Tabela15[[#This Row],[Alongamento (mm/mm)]]/$I$2</f>
        <v>5.2561999999999998E-2</v>
      </c>
      <c r="D576" s="13">
        <v>215.52</v>
      </c>
      <c r="E576" s="1">
        <f>Tabela15[[#This Row],[Força (N)]]/$I$5</f>
        <v>4458982.2050362173</v>
      </c>
      <c r="F576" s="1">
        <f>Tabela15[[#This Row],[Tensão (Pa)]]/1000000</f>
        <v>4.4589822050362171</v>
      </c>
    </row>
    <row r="577" spans="1:6" x14ac:dyDescent="0.3">
      <c r="A577" s="13">
        <v>31.7</v>
      </c>
      <c r="B577" s="13">
        <v>2.6335999999999999</v>
      </c>
      <c r="C577" s="1">
        <f>Tabela15[[#This Row],[Alongamento (mm/mm)]]/$I$2</f>
        <v>5.2671999999999997E-2</v>
      </c>
      <c r="D577" s="13">
        <v>217.05</v>
      </c>
      <c r="E577" s="1">
        <f>Tabela15[[#This Row],[Força (N)]]/$I$5</f>
        <v>4490637.0063247532</v>
      </c>
      <c r="F577" s="1">
        <f>Tabela15[[#This Row],[Tensão (Pa)]]/1000000</f>
        <v>4.4906370063247536</v>
      </c>
    </row>
    <row r="578" spans="1:6" x14ac:dyDescent="0.3">
      <c r="A578" s="13">
        <v>31.766999999999999</v>
      </c>
      <c r="B578" s="13">
        <v>2.6391</v>
      </c>
      <c r="C578" s="1">
        <f>Tabela15[[#This Row],[Alongamento (mm/mm)]]/$I$2</f>
        <v>5.2782000000000003E-2</v>
      </c>
      <c r="D578" s="13">
        <v>218.58</v>
      </c>
      <c r="E578" s="1">
        <f>Tabela15[[#This Row],[Força (N)]]/$I$5</f>
        <v>4522291.8076132899</v>
      </c>
      <c r="F578" s="1">
        <f>Tabela15[[#This Row],[Tensão (Pa)]]/1000000</f>
        <v>4.5222918076132901</v>
      </c>
    </row>
    <row r="579" spans="1:6" x14ac:dyDescent="0.3">
      <c r="A579" s="13">
        <v>31.85</v>
      </c>
      <c r="B579" s="13">
        <v>2.6461000000000001</v>
      </c>
      <c r="C579" s="1">
        <f>Tabela15[[#This Row],[Alongamento (mm/mm)]]/$I$2</f>
        <v>5.2922000000000004E-2</v>
      </c>
      <c r="D579" s="13">
        <v>220.45</v>
      </c>
      <c r="E579" s="1">
        <f>Tabela15[[#This Row],[Força (N)]]/$I$5</f>
        <v>4560981.0091881678</v>
      </c>
      <c r="F579" s="1">
        <f>Tabela15[[#This Row],[Tensão (Pa)]]/1000000</f>
        <v>4.5609810091881675</v>
      </c>
    </row>
    <row r="580" spans="1:6" x14ac:dyDescent="0.3">
      <c r="A580" s="13">
        <v>31.933</v>
      </c>
      <c r="B580" s="13">
        <v>2.653</v>
      </c>
      <c r="C580" s="1">
        <f>Tabela15[[#This Row],[Alongamento (mm/mm)]]/$I$2</f>
        <v>5.3060000000000003E-2</v>
      </c>
      <c r="D580" s="13">
        <v>222.49</v>
      </c>
      <c r="E580" s="1">
        <f>Tabela15[[#This Row],[Força (N)]]/$I$5</f>
        <v>4603187.4109062171</v>
      </c>
      <c r="F580" s="1">
        <f>Tabela15[[#This Row],[Tensão (Pa)]]/1000000</f>
        <v>4.6031874109062167</v>
      </c>
    </row>
    <row r="581" spans="1:6" x14ac:dyDescent="0.3">
      <c r="A581" s="13">
        <v>32.017000000000003</v>
      </c>
      <c r="B581" s="13">
        <v>2.66</v>
      </c>
      <c r="C581" s="1">
        <f>Tabela15[[#This Row],[Alongamento (mm/mm)]]/$I$2</f>
        <v>5.3200000000000004E-2</v>
      </c>
      <c r="D581" s="13">
        <v>224.53</v>
      </c>
      <c r="E581" s="1">
        <f>Tabela15[[#This Row],[Força (N)]]/$I$5</f>
        <v>4645393.8126242654</v>
      </c>
      <c r="F581" s="1">
        <f>Tabela15[[#This Row],[Tensão (Pa)]]/1000000</f>
        <v>4.6453938126242651</v>
      </c>
    </row>
    <row r="582" spans="1:6" x14ac:dyDescent="0.3">
      <c r="A582" s="13">
        <v>32.1</v>
      </c>
      <c r="B582" s="13">
        <v>2.6669</v>
      </c>
      <c r="C582" s="1">
        <f>Tabela15[[#This Row],[Alongamento (mm/mm)]]/$I$2</f>
        <v>5.3338000000000003E-2</v>
      </c>
      <c r="D582" s="13">
        <v>226.4</v>
      </c>
      <c r="E582" s="1">
        <f>Tabela15[[#This Row],[Força (N)]]/$I$5</f>
        <v>4684083.0141991442</v>
      </c>
      <c r="F582" s="1">
        <f>Tabela15[[#This Row],[Tensão (Pa)]]/1000000</f>
        <v>4.6840830141991443</v>
      </c>
    </row>
    <row r="583" spans="1:6" x14ac:dyDescent="0.3">
      <c r="A583" s="13">
        <v>32.167000000000002</v>
      </c>
      <c r="B583" s="13">
        <v>2.6724000000000001</v>
      </c>
      <c r="C583" s="1">
        <f>Tabela15[[#This Row],[Alongamento (mm/mm)]]/$I$2</f>
        <v>5.3448000000000002E-2</v>
      </c>
      <c r="D583" s="13">
        <v>228.1</v>
      </c>
      <c r="E583" s="1">
        <f>Tabela15[[#This Row],[Força (N)]]/$I$5</f>
        <v>4719255.0156308506</v>
      </c>
      <c r="F583" s="1">
        <f>Tabela15[[#This Row],[Tensão (Pa)]]/1000000</f>
        <v>4.7192550156308508</v>
      </c>
    </row>
    <row r="584" spans="1:6" x14ac:dyDescent="0.3">
      <c r="A584" s="13">
        <v>32.232999999999997</v>
      </c>
      <c r="B584" s="13">
        <v>2.6779999999999999</v>
      </c>
      <c r="C584" s="1">
        <f>Tabela15[[#This Row],[Alongamento (mm/mm)]]/$I$2</f>
        <v>5.3559999999999997E-2</v>
      </c>
      <c r="D584" s="13">
        <v>229.8</v>
      </c>
      <c r="E584" s="1">
        <f>Tabela15[[#This Row],[Força (N)]]/$I$5</f>
        <v>4754427.0170625588</v>
      </c>
      <c r="F584" s="1">
        <f>Tabela15[[#This Row],[Tensão (Pa)]]/1000000</f>
        <v>4.7544270170625591</v>
      </c>
    </row>
    <row r="585" spans="1:6" x14ac:dyDescent="0.3">
      <c r="A585" s="13">
        <v>32.317</v>
      </c>
      <c r="B585" s="13">
        <v>2.6848999999999998</v>
      </c>
      <c r="C585" s="1">
        <f>Tabela15[[#This Row],[Alongamento (mm/mm)]]/$I$2</f>
        <v>5.3697999999999996E-2</v>
      </c>
      <c r="D585" s="13">
        <v>231.84</v>
      </c>
      <c r="E585" s="1">
        <f>Tabela15[[#This Row],[Força (N)]]/$I$5</f>
        <v>4796633.4187806072</v>
      </c>
      <c r="F585" s="1">
        <f>Tabela15[[#This Row],[Tensão (Pa)]]/1000000</f>
        <v>4.7966334187806074</v>
      </c>
    </row>
    <row r="586" spans="1:6" x14ac:dyDescent="0.3">
      <c r="A586" s="13">
        <v>32.4</v>
      </c>
      <c r="B586" s="13">
        <v>2.6920000000000002</v>
      </c>
      <c r="C586" s="1">
        <f>Tabela15[[#This Row],[Alongamento (mm/mm)]]/$I$2</f>
        <v>5.3840000000000006E-2</v>
      </c>
      <c r="D586" s="13">
        <v>233.89</v>
      </c>
      <c r="E586" s="1">
        <f>Tabela15[[#This Row],[Força (N)]]/$I$5</f>
        <v>4839046.7146247244</v>
      </c>
      <c r="F586" s="1">
        <f>Tabela15[[#This Row],[Tensão (Pa)]]/1000000</f>
        <v>4.8390467146247245</v>
      </c>
    </row>
    <row r="587" spans="1:6" x14ac:dyDescent="0.3">
      <c r="A587" s="13">
        <v>32.466999999999999</v>
      </c>
      <c r="B587" s="13">
        <v>2.6976</v>
      </c>
      <c r="C587" s="1">
        <f>Tabela15[[#This Row],[Alongamento (mm/mm)]]/$I$2</f>
        <v>5.3952E-2</v>
      </c>
      <c r="D587" s="13">
        <v>235.59</v>
      </c>
      <c r="E587" s="1">
        <f>Tabela15[[#This Row],[Força (N)]]/$I$5</f>
        <v>4874218.7160564326</v>
      </c>
      <c r="F587" s="1">
        <f>Tabela15[[#This Row],[Tensão (Pa)]]/1000000</f>
        <v>4.8742187160564328</v>
      </c>
    </row>
    <row r="588" spans="1:6" x14ac:dyDescent="0.3">
      <c r="A588" s="13">
        <v>32.533000000000001</v>
      </c>
      <c r="B588" s="13">
        <v>2.7031000000000001</v>
      </c>
      <c r="C588" s="1">
        <f>Tabela15[[#This Row],[Alongamento (mm/mm)]]/$I$2</f>
        <v>5.4061999999999999E-2</v>
      </c>
      <c r="D588" s="13">
        <v>237.29</v>
      </c>
      <c r="E588" s="1">
        <f>Tabela15[[#This Row],[Força (N)]]/$I$5</f>
        <v>4909390.7174881399</v>
      </c>
      <c r="F588" s="1">
        <f>Tabela15[[#This Row],[Tensão (Pa)]]/1000000</f>
        <v>4.9093907174881402</v>
      </c>
    </row>
    <row r="589" spans="1:6" x14ac:dyDescent="0.3">
      <c r="A589" s="13">
        <v>32.6</v>
      </c>
      <c r="B589" s="13">
        <v>2.7084999999999999</v>
      </c>
      <c r="C589" s="1">
        <f>Tabela15[[#This Row],[Alongamento (mm/mm)]]/$I$2</f>
        <v>5.4169999999999996E-2</v>
      </c>
      <c r="D589" s="13">
        <v>238.99</v>
      </c>
      <c r="E589" s="1">
        <f>Tabela15[[#This Row],[Força (N)]]/$I$5</f>
        <v>4944562.7189198472</v>
      </c>
      <c r="F589" s="1">
        <f>Tabela15[[#This Row],[Tensão (Pa)]]/1000000</f>
        <v>4.9445627189198476</v>
      </c>
    </row>
    <row r="590" spans="1:6" x14ac:dyDescent="0.3">
      <c r="A590" s="13">
        <v>32.683</v>
      </c>
      <c r="B590" s="13">
        <v>2.7155</v>
      </c>
      <c r="C590" s="1">
        <f>Tabela15[[#This Row],[Alongamento (mm/mm)]]/$I$2</f>
        <v>5.4309999999999997E-2</v>
      </c>
      <c r="D590" s="13">
        <v>241.03</v>
      </c>
      <c r="E590" s="1">
        <f>Tabela15[[#This Row],[Força (N)]]/$I$5</f>
        <v>4986769.1206378955</v>
      </c>
      <c r="F590" s="1">
        <f>Tabela15[[#This Row],[Tensão (Pa)]]/1000000</f>
        <v>4.9867691206378959</v>
      </c>
    </row>
    <row r="591" spans="1:6" x14ac:dyDescent="0.3">
      <c r="A591" s="13">
        <v>32.75</v>
      </c>
      <c r="B591" s="13">
        <v>2.7210999999999999</v>
      </c>
      <c r="C591" s="1">
        <f>Tabela15[[#This Row],[Alongamento (mm/mm)]]/$I$2</f>
        <v>5.4421999999999998E-2</v>
      </c>
      <c r="D591" s="13">
        <v>242.73</v>
      </c>
      <c r="E591" s="1">
        <f>Tabela15[[#This Row],[Força (N)]]/$I$5</f>
        <v>5021941.1220696028</v>
      </c>
      <c r="F591" s="1">
        <f>Tabela15[[#This Row],[Tensão (Pa)]]/1000000</f>
        <v>5.0219411220696024</v>
      </c>
    </row>
    <row r="592" spans="1:6" x14ac:dyDescent="0.3">
      <c r="A592" s="13">
        <v>32.817</v>
      </c>
      <c r="B592" s="13">
        <v>2.7265999999999999</v>
      </c>
      <c r="C592" s="1">
        <f>Tabela15[[#This Row],[Alongamento (mm/mm)]]/$I$2</f>
        <v>5.4531999999999997E-2</v>
      </c>
      <c r="D592" s="13">
        <v>244.43</v>
      </c>
      <c r="E592" s="1">
        <f>Tabela15[[#This Row],[Força (N)]]/$I$5</f>
        <v>5057113.1235013111</v>
      </c>
      <c r="F592" s="1">
        <f>Tabela15[[#This Row],[Tensão (Pa)]]/1000000</f>
        <v>5.0571131235013107</v>
      </c>
    </row>
    <row r="593" spans="1:6" x14ac:dyDescent="0.3">
      <c r="A593" s="13">
        <v>32.883000000000003</v>
      </c>
      <c r="B593" s="13">
        <v>2.7322000000000002</v>
      </c>
      <c r="C593" s="1">
        <f>Tabela15[[#This Row],[Alongamento (mm/mm)]]/$I$2</f>
        <v>5.4644000000000005E-2</v>
      </c>
      <c r="D593" s="13">
        <v>246.13</v>
      </c>
      <c r="E593" s="1">
        <f>Tabela15[[#This Row],[Força (N)]]/$I$5</f>
        <v>5092285.1249330174</v>
      </c>
      <c r="F593" s="1">
        <f>Tabela15[[#This Row],[Tensão (Pa)]]/1000000</f>
        <v>5.0922851249330172</v>
      </c>
    </row>
    <row r="594" spans="1:6" x14ac:dyDescent="0.3">
      <c r="A594" s="13">
        <v>32.950000000000003</v>
      </c>
      <c r="B594" s="13">
        <v>2.7378</v>
      </c>
      <c r="C594" s="1">
        <f>Tabela15[[#This Row],[Alongamento (mm/mm)]]/$I$2</f>
        <v>5.4755999999999999E-2</v>
      </c>
      <c r="D594" s="13">
        <v>247.83</v>
      </c>
      <c r="E594" s="1">
        <f>Tabela15[[#This Row],[Força (N)]]/$I$5</f>
        <v>5127457.1263647256</v>
      </c>
      <c r="F594" s="1">
        <f>Tabela15[[#This Row],[Tensão (Pa)]]/1000000</f>
        <v>5.1274571263647255</v>
      </c>
    </row>
    <row r="595" spans="1:6" x14ac:dyDescent="0.3">
      <c r="A595" s="13">
        <v>33.017000000000003</v>
      </c>
      <c r="B595" s="13">
        <v>2.7433000000000001</v>
      </c>
      <c r="C595" s="1">
        <f>Tabela15[[#This Row],[Alongamento (mm/mm)]]/$I$2</f>
        <v>5.4865999999999998E-2</v>
      </c>
      <c r="D595" s="13">
        <v>249.53</v>
      </c>
      <c r="E595" s="1">
        <f>Tabela15[[#This Row],[Força (N)]]/$I$5</f>
        <v>5162629.1277964329</v>
      </c>
      <c r="F595" s="1">
        <f>Tabela15[[#This Row],[Tensão (Pa)]]/1000000</f>
        <v>5.1626291277964329</v>
      </c>
    </row>
    <row r="596" spans="1:6" x14ac:dyDescent="0.3">
      <c r="A596" s="13">
        <v>33.082999999999998</v>
      </c>
      <c r="B596" s="13">
        <v>2.7488999999999999</v>
      </c>
      <c r="C596" s="1">
        <f>Tabela15[[#This Row],[Alongamento (mm/mm)]]/$I$2</f>
        <v>5.4977999999999999E-2</v>
      </c>
      <c r="D596" s="13">
        <v>251.24</v>
      </c>
      <c r="E596" s="1">
        <f>Tabela15[[#This Row],[Força (N)]]/$I$5</f>
        <v>5198008.023354209</v>
      </c>
      <c r="F596" s="1">
        <f>Tabela15[[#This Row],[Tensão (Pa)]]/1000000</f>
        <v>5.198008023354209</v>
      </c>
    </row>
    <row r="597" spans="1:6" x14ac:dyDescent="0.3">
      <c r="A597" s="13">
        <v>33.15</v>
      </c>
      <c r="B597" s="13">
        <v>2.7544</v>
      </c>
      <c r="C597" s="1">
        <f>Tabela15[[#This Row],[Alongamento (mm/mm)]]/$I$2</f>
        <v>5.5087999999999998E-2</v>
      </c>
      <c r="D597" s="13">
        <v>252.94</v>
      </c>
      <c r="E597" s="1">
        <f>Tabela15[[#This Row],[Força (N)]]/$I$5</f>
        <v>5233180.0247859163</v>
      </c>
      <c r="F597" s="1">
        <f>Tabela15[[#This Row],[Tensão (Pa)]]/1000000</f>
        <v>5.2331800247859164</v>
      </c>
    </row>
    <row r="598" spans="1:6" x14ac:dyDescent="0.3">
      <c r="A598" s="13">
        <v>33.216999999999999</v>
      </c>
      <c r="B598" s="13">
        <v>2.76</v>
      </c>
      <c r="C598" s="1">
        <f>Tabela15[[#This Row],[Alongamento (mm/mm)]]/$I$2</f>
        <v>5.5199999999999999E-2</v>
      </c>
      <c r="D598" s="13">
        <v>254.81</v>
      </c>
      <c r="E598" s="1">
        <f>Tabela15[[#This Row],[Força (N)]]/$I$5</f>
        <v>5271869.2263607942</v>
      </c>
      <c r="F598" s="1">
        <f>Tabela15[[#This Row],[Tensão (Pa)]]/1000000</f>
        <v>5.2718692263607938</v>
      </c>
    </row>
    <row r="599" spans="1:6" x14ac:dyDescent="0.3">
      <c r="A599" s="13">
        <v>33.283000000000001</v>
      </c>
      <c r="B599" s="13">
        <v>2.7654999999999998</v>
      </c>
      <c r="C599" s="1">
        <f>Tabela15[[#This Row],[Alongamento (mm/mm)]]/$I$2</f>
        <v>5.5309999999999998E-2</v>
      </c>
      <c r="D599" s="13">
        <v>256.51</v>
      </c>
      <c r="E599" s="1">
        <f>Tabela15[[#This Row],[Força (N)]]/$I$5</f>
        <v>5307041.2277925014</v>
      </c>
      <c r="F599" s="1">
        <f>Tabela15[[#This Row],[Tensão (Pa)]]/1000000</f>
        <v>5.3070412277925012</v>
      </c>
    </row>
    <row r="600" spans="1:6" x14ac:dyDescent="0.3">
      <c r="A600" s="13">
        <v>33.35</v>
      </c>
      <c r="B600" s="13">
        <v>2.7711000000000001</v>
      </c>
      <c r="C600" s="1">
        <f>Tabela15[[#This Row],[Alongamento (mm/mm)]]/$I$2</f>
        <v>5.5421999999999999E-2</v>
      </c>
      <c r="D600" s="13">
        <v>258.20999999999998</v>
      </c>
      <c r="E600" s="1">
        <f>Tabela15[[#This Row],[Força (N)]]/$I$5</f>
        <v>5342213.2292242087</v>
      </c>
      <c r="F600" s="1">
        <f>Tabela15[[#This Row],[Tensão (Pa)]]/1000000</f>
        <v>5.3422132292242086</v>
      </c>
    </row>
    <row r="601" spans="1:6" x14ac:dyDescent="0.3">
      <c r="A601" s="13">
        <v>33.417000000000002</v>
      </c>
      <c r="B601" s="13">
        <v>2.7766000000000002</v>
      </c>
      <c r="C601" s="1">
        <f>Tabela15[[#This Row],[Alongamento (mm/mm)]]/$I$2</f>
        <v>5.5532000000000005E-2</v>
      </c>
      <c r="D601" s="13">
        <v>260.08</v>
      </c>
      <c r="E601" s="1">
        <f>Tabela15[[#This Row],[Força (N)]]/$I$5</f>
        <v>5380902.4307990866</v>
      </c>
      <c r="F601" s="1">
        <f>Tabela15[[#This Row],[Tensão (Pa)]]/1000000</f>
        <v>5.3809024307990869</v>
      </c>
    </row>
    <row r="602" spans="1:6" x14ac:dyDescent="0.3">
      <c r="A602" s="13">
        <v>33.482999999999997</v>
      </c>
      <c r="B602" s="13">
        <v>2.7822</v>
      </c>
      <c r="C602" s="1">
        <f>Tabela15[[#This Row],[Alongamento (mm/mm)]]/$I$2</f>
        <v>5.5643999999999999E-2</v>
      </c>
      <c r="D602" s="13">
        <v>261.77999999999997</v>
      </c>
      <c r="E602" s="1">
        <f>Tabela15[[#This Row],[Força (N)]]/$I$5</f>
        <v>5416074.4322307939</v>
      </c>
      <c r="F602" s="1">
        <f>Tabela15[[#This Row],[Tensão (Pa)]]/1000000</f>
        <v>5.4160744322307934</v>
      </c>
    </row>
    <row r="603" spans="1:6" x14ac:dyDescent="0.3">
      <c r="A603" s="13">
        <v>33.567</v>
      </c>
      <c r="B603" s="13">
        <v>2.7892000000000001</v>
      </c>
      <c r="C603" s="1">
        <f>Tabela15[[#This Row],[Alongamento (mm/mm)]]/$I$2</f>
        <v>5.5784E-2</v>
      </c>
      <c r="D603" s="13">
        <v>263.99</v>
      </c>
      <c r="E603" s="1">
        <f>Tabela15[[#This Row],[Força (N)]]/$I$5</f>
        <v>5461798.0340920137</v>
      </c>
      <c r="F603" s="1">
        <f>Tabela15[[#This Row],[Tensão (Pa)]]/1000000</f>
        <v>5.4617980340920136</v>
      </c>
    </row>
    <row r="604" spans="1:6" x14ac:dyDescent="0.3">
      <c r="A604" s="13">
        <v>33.65</v>
      </c>
      <c r="B604" s="13">
        <v>2.7961</v>
      </c>
      <c r="C604" s="1">
        <f>Tabela15[[#This Row],[Alongamento (mm/mm)]]/$I$2</f>
        <v>5.5921999999999999E-2</v>
      </c>
      <c r="D604" s="13">
        <v>266.2</v>
      </c>
      <c r="E604" s="1">
        <f>Tabela15[[#This Row],[Força (N)]]/$I$5</f>
        <v>5507521.6359532336</v>
      </c>
      <c r="F604" s="1">
        <f>Tabela15[[#This Row],[Tensão (Pa)]]/1000000</f>
        <v>5.5075216359532337</v>
      </c>
    </row>
    <row r="605" spans="1:6" x14ac:dyDescent="0.3">
      <c r="A605" s="13">
        <v>33.732999999999997</v>
      </c>
      <c r="B605" s="13">
        <v>2.8029999999999999</v>
      </c>
      <c r="C605" s="1">
        <f>Tabela15[[#This Row],[Alongamento (mm/mm)]]/$I$2</f>
        <v>5.6059999999999999E-2</v>
      </c>
      <c r="D605" s="13">
        <v>268.58999999999997</v>
      </c>
      <c r="E605" s="1">
        <f>Tabela15[[#This Row],[Força (N)]]/$I$5</f>
        <v>5556969.3320836918</v>
      </c>
      <c r="F605" s="1">
        <f>Tabela15[[#This Row],[Tensão (Pa)]]/1000000</f>
        <v>5.5569693320836917</v>
      </c>
    </row>
    <row r="606" spans="1:6" x14ac:dyDescent="0.3">
      <c r="A606" s="13">
        <v>33.817</v>
      </c>
      <c r="B606" s="13">
        <v>2.81</v>
      </c>
      <c r="C606" s="1">
        <f>Tabela15[[#This Row],[Alongamento (mm/mm)]]/$I$2</f>
        <v>5.62E-2</v>
      </c>
      <c r="D606" s="13">
        <v>270.8</v>
      </c>
      <c r="E606" s="1">
        <f>Tabela15[[#This Row],[Força (N)]]/$I$5</f>
        <v>5602692.9339449126</v>
      </c>
      <c r="F606" s="1">
        <f>Tabela15[[#This Row],[Tensão (Pa)]]/1000000</f>
        <v>5.6026929339449127</v>
      </c>
    </row>
    <row r="607" spans="1:6" x14ac:dyDescent="0.3">
      <c r="A607" s="13">
        <v>33.9</v>
      </c>
      <c r="B607" s="13">
        <v>2.8170000000000002</v>
      </c>
      <c r="C607" s="1">
        <f>Tabela15[[#This Row],[Alongamento (mm/mm)]]/$I$2</f>
        <v>5.6340000000000001E-2</v>
      </c>
      <c r="D607" s="13">
        <v>273.01</v>
      </c>
      <c r="E607" s="1">
        <f>Tabela15[[#This Row],[Força (N)]]/$I$5</f>
        <v>5648416.5358061315</v>
      </c>
      <c r="F607" s="1">
        <f>Tabela15[[#This Row],[Tensão (Pa)]]/1000000</f>
        <v>5.6484165358061311</v>
      </c>
    </row>
    <row r="608" spans="1:6" x14ac:dyDescent="0.3">
      <c r="A608" s="13">
        <v>33.982999999999997</v>
      </c>
      <c r="B608" s="13">
        <v>2.8237999999999999</v>
      </c>
      <c r="C608" s="1">
        <f>Tabela15[[#This Row],[Alongamento (mm/mm)]]/$I$2</f>
        <v>5.6475999999999998E-2</v>
      </c>
      <c r="D608" s="13">
        <v>275.22000000000003</v>
      </c>
      <c r="E608" s="1">
        <f>Tabela15[[#This Row],[Força (N)]]/$I$5</f>
        <v>5694140.1376673523</v>
      </c>
      <c r="F608" s="1">
        <f>Tabela15[[#This Row],[Tensão (Pa)]]/1000000</f>
        <v>5.6941401376673522</v>
      </c>
    </row>
    <row r="609" spans="1:6" x14ac:dyDescent="0.3">
      <c r="A609" s="13">
        <v>34.067</v>
      </c>
      <c r="B609" s="13">
        <v>2.8308</v>
      </c>
      <c r="C609" s="1">
        <f>Tabela15[[#This Row],[Alongamento (mm/mm)]]/$I$2</f>
        <v>5.6616E-2</v>
      </c>
      <c r="D609" s="13">
        <v>277.43</v>
      </c>
      <c r="E609" s="1">
        <f>Tabela15[[#This Row],[Força (N)]]/$I$5</f>
        <v>5739863.7395285713</v>
      </c>
      <c r="F609" s="1">
        <f>Tabela15[[#This Row],[Tensão (Pa)]]/1000000</f>
        <v>5.7398637395285714</v>
      </c>
    </row>
    <row r="610" spans="1:6" x14ac:dyDescent="0.3">
      <c r="A610" s="13">
        <v>34.15</v>
      </c>
      <c r="B610" s="13">
        <v>2.8378000000000001</v>
      </c>
      <c r="C610" s="1">
        <f>Tabela15[[#This Row],[Alongamento (mm/mm)]]/$I$2</f>
        <v>5.6756000000000001E-2</v>
      </c>
      <c r="D610" s="13">
        <v>279.81</v>
      </c>
      <c r="E610" s="1">
        <f>Tabela15[[#This Row],[Força (N)]]/$I$5</f>
        <v>5789104.5415329617</v>
      </c>
      <c r="F610" s="1">
        <f>Tabela15[[#This Row],[Tensão (Pa)]]/1000000</f>
        <v>5.7891045415329616</v>
      </c>
    </row>
    <row r="611" spans="1:6" x14ac:dyDescent="0.3">
      <c r="A611" s="13">
        <v>34.232999999999997</v>
      </c>
      <c r="B611" s="13">
        <v>2.8447</v>
      </c>
      <c r="C611" s="1">
        <f>Tabela15[[#This Row],[Alongamento (mm/mm)]]/$I$2</f>
        <v>5.6894E-2</v>
      </c>
      <c r="D611" s="13">
        <v>282.02</v>
      </c>
      <c r="E611" s="1">
        <f>Tabela15[[#This Row],[Força (N)]]/$I$5</f>
        <v>5834828.1433941806</v>
      </c>
      <c r="F611" s="1">
        <f>Tabela15[[#This Row],[Tensão (Pa)]]/1000000</f>
        <v>5.8348281433941809</v>
      </c>
    </row>
    <row r="612" spans="1:6" x14ac:dyDescent="0.3">
      <c r="A612" s="13">
        <v>34.299999999999997</v>
      </c>
      <c r="B612" s="13">
        <v>2.8502000000000001</v>
      </c>
      <c r="C612" s="1">
        <f>Tabela15[[#This Row],[Alongamento (mm/mm)]]/$I$2</f>
        <v>5.7003999999999999E-2</v>
      </c>
      <c r="D612" s="13">
        <v>284.07</v>
      </c>
      <c r="E612" s="1">
        <f>Tabela15[[#This Row],[Força (N)]]/$I$5</f>
        <v>5877241.4392382987</v>
      </c>
      <c r="F612" s="1">
        <f>Tabela15[[#This Row],[Tensão (Pa)]]/1000000</f>
        <v>5.8772414392382988</v>
      </c>
    </row>
    <row r="613" spans="1:6" x14ac:dyDescent="0.3">
      <c r="A613" s="13">
        <v>34.383000000000003</v>
      </c>
      <c r="B613" s="13">
        <v>2.8572000000000002</v>
      </c>
      <c r="C613" s="1">
        <f>Tabela15[[#This Row],[Alongamento (mm/mm)]]/$I$2</f>
        <v>5.7144E-2</v>
      </c>
      <c r="D613" s="13">
        <v>286.27999999999997</v>
      </c>
      <c r="E613" s="1">
        <f>Tabela15[[#This Row],[Força (N)]]/$I$5</f>
        <v>5922965.0410995176</v>
      </c>
      <c r="F613" s="1">
        <f>Tabela15[[#This Row],[Tensão (Pa)]]/1000000</f>
        <v>5.922965041099518</v>
      </c>
    </row>
    <row r="614" spans="1:6" x14ac:dyDescent="0.3">
      <c r="A614" s="13">
        <v>34.450000000000003</v>
      </c>
      <c r="B614" s="13">
        <v>2.8626999999999998</v>
      </c>
      <c r="C614" s="1">
        <f>Tabela15[[#This Row],[Alongamento (mm/mm)]]/$I$2</f>
        <v>5.7253999999999999E-2</v>
      </c>
      <c r="D614" s="13">
        <v>288.32</v>
      </c>
      <c r="E614" s="1">
        <f>Tabela15[[#This Row],[Força (N)]]/$I$5</f>
        <v>5965171.4428175669</v>
      </c>
      <c r="F614" s="1">
        <f>Tabela15[[#This Row],[Tensão (Pa)]]/1000000</f>
        <v>5.9651714428175673</v>
      </c>
    </row>
    <row r="615" spans="1:6" x14ac:dyDescent="0.3">
      <c r="A615" s="13">
        <v>34.533000000000001</v>
      </c>
      <c r="B615" s="13">
        <v>2.8696000000000002</v>
      </c>
      <c r="C615" s="1">
        <f>Tabela15[[#This Row],[Alongamento (mm/mm)]]/$I$2</f>
        <v>5.7392000000000006E-2</v>
      </c>
      <c r="D615" s="13">
        <v>290.52999999999997</v>
      </c>
      <c r="E615" s="1">
        <f>Tabela15[[#This Row],[Força (N)]]/$I$5</f>
        <v>6010895.0446787858</v>
      </c>
      <c r="F615" s="1">
        <f>Tabela15[[#This Row],[Tensão (Pa)]]/1000000</f>
        <v>6.0108950446787857</v>
      </c>
    </row>
    <row r="616" spans="1:6" x14ac:dyDescent="0.3">
      <c r="A616" s="13">
        <v>34.616999999999997</v>
      </c>
      <c r="B616" s="13">
        <v>2.8767</v>
      </c>
      <c r="C616" s="1">
        <f>Tabela15[[#This Row],[Alongamento (mm/mm)]]/$I$2</f>
        <v>5.7534000000000002E-2</v>
      </c>
      <c r="D616" s="13">
        <v>292.91000000000003</v>
      </c>
      <c r="E616" s="1">
        <f>Tabela15[[#This Row],[Força (N)]]/$I$5</f>
        <v>6060135.8466831772</v>
      </c>
      <c r="F616" s="1">
        <f>Tabela15[[#This Row],[Tensão (Pa)]]/1000000</f>
        <v>6.0601358466831767</v>
      </c>
    </row>
    <row r="617" spans="1:6" x14ac:dyDescent="0.3">
      <c r="A617" s="13">
        <v>34.700000000000003</v>
      </c>
      <c r="B617" s="13">
        <v>2.8837000000000002</v>
      </c>
      <c r="C617" s="1">
        <f>Tabela15[[#This Row],[Alongamento (mm/mm)]]/$I$2</f>
        <v>5.7674000000000003E-2</v>
      </c>
      <c r="D617" s="13">
        <v>295.29000000000002</v>
      </c>
      <c r="E617" s="1">
        <f>Tabela15[[#This Row],[Força (N)]]/$I$5</f>
        <v>6109376.6486875676</v>
      </c>
      <c r="F617" s="1">
        <f>Tabela15[[#This Row],[Tensão (Pa)]]/1000000</f>
        <v>6.1093766486875678</v>
      </c>
    </row>
    <row r="618" spans="1:6" x14ac:dyDescent="0.3">
      <c r="A618" s="13">
        <v>34.783000000000001</v>
      </c>
      <c r="B618" s="13">
        <v>2.8904999999999998</v>
      </c>
      <c r="C618" s="1">
        <f>Tabela15[[#This Row],[Alongamento (mm/mm)]]/$I$2</f>
        <v>5.781E-2</v>
      </c>
      <c r="D618" s="13">
        <v>297.67</v>
      </c>
      <c r="E618" s="1">
        <f>Tabela15[[#This Row],[Força (N)]]/$I$5</f>
        <v>6158617.450691958</v>
      </c>
      <c r="F618" s="1">
        <f>Tabela15[[#This Row],[Tensão (Pa)]]/1000000</f>
        <v>6.158617450691958</v>
      </c>
    </row>
    <row r="619" spans="1:6" x14ac:dyDescent="0.3">
      <c r="A619" s="13">
        <v>34.866999999999997</v>
      </c>
      <c r="B619" s="13">
        <v>2.8975</v>
      </c>
      <c r="C619" s="1">
        <f>Tabela15[[#This Row],[Alongamento (mm/mm)]]/$I$2</f>
        <v>5.7950000000000002E-2</v>
      </c>
      <c r="D619" s="13">
        <v>299.88</v>
      </c>
      <c r="E619" s="1">
        <f>Tabela15[[#This Row],[Força (N)]]/$I$5</f>
        <v>6204341.0525531769</v>
      </c>
      <c r="F619" s="1">
        <f>Tabela15[[#This Row],[Tensão (Pa)]]/1000000</f>
        <v>6.2043410525531772</v>
      </c>
    </row>
    <row r="620" spans="1:6" x14ac:dyDescent="0.3">
      <c r="A620" s="13">
        <v>34.950000000000003</v>
      </c>
      <c r="B620" s="13">
        <v>2.9043999999999999</v>
      </c>
      <c r="C620" s="1">
        <f>Tabela15[[#This Row],[Alongamento (mm/mm)]]/$I$2</f>
        <v>5.8088000000000001E-2</v>
      </c>
      <c r="D620" s="13">
        <v>302.27</v>
      </c>
      <c r="E620" s="1">
        <f>Tabela15[[#This Row],[Força (N)]]/$I$5</f>
        <v>6253788.7486836351</v>
      </c>
      <c r="F620" s="1">
        <f>Tabela15[[#This Row],[Tensão (Pa)]]/1000000</f>
        <v>6.2537887486836352</v>
      </c>
    </row>
    <row r="621" spans="1:6" x14ac:dyDescent="0.3">
      <c r="A621" s="13">
        <v>35.033000000000001</v>
      </c>
      <c r="B621" s="13">
        <v>2.9113000000000002</v>
      </c>
      <c r="C621" s="1">
        <f>Tabela15[[#This Row],[Alongamento (mm/mm)]]/$I$2</f>
        <v>5.8226000000000007E-2</v>
      </c>
      <c r="D621" s="13">
        <v>304.64999999999998</v>
      </c>
      <c r="E621" s="1">
        <f>Tabela15[[#This Row],[Força (N)]]/$I$5</f>
        <v>6303029.5506880255</v>
      </c>
      <c r="F621" s="1">
        <f>Tabela15[[#This Row],[Tensão (Pa)]]/1000000</f>
        <v>6.3030295506880254</v>
      </c>
    </row>
    <row r="622" spans="1:6" x14ac:dyDescent="0.3">
      <c r="A622" s="13">
        <v>35.116999999999997</v>
      </c>
      <c r="B622" s="13">
        <v>2.9182999999999999</v>
      </c>
      <c r="C622" s="1">
        <f>Tabela15[[#This Row],[Alongamento (mm/mm)]]/$I$2</f>
        <v>5.8366000000000001E-2</v>
      </c>
      <c r="D622" s="13">
        <v>306.86</v>
      </c>
      <c r="E622" s="1">
        <f>Tabela15[[#This Row],[Força (N)]]/$I$5</f>
        <v>6348753.1525492463</v>
      </c>
      <c r="F622" s="1">
        <f>Tabela15[[#This Row],[Tensão (Pa)]]/1000000</f>
        <v>6.3487531525492464</v>
      </c>
    </row>
    <row r="623" spans="1:6" x14ac:dyDescent="0.3">
      <c r="A623" s="13">
        <v>35.200000000000003</v>
      </c>
      <c r="B623" s="13">
        <v>2.9253</v>
      </c>
      <c r="C623" s="1">
        <f>Tabela15[[#This Row],[Alongamento (mm/mm)]]/$I$2</f>
        <v>5.8506000000000002E-2</v>
      </c>
      <c r="D623" s="13">
        <v>309.24</v>
      </c>
      <c r="E623" s="1">
        <f>Tabela15[[#This Row],[Força (N)]]/$I$5</f>
        <v>6397993.9545536358</v>
      </c>
      <c r="F623" s="1">
        <f>Tabela15[[#This Row],[Tensão (Pa)]]/1000000</f>
        <v>6.3979939545536357</v>
      </c>
    </row>
    <row r="624" spans="1:6" x14ac:dyDescent="0.3">
      <c r="A624" s="13">
        <v>35.283000000000001</v>
      </c>
      <c r="B624" s="13">
        <v>2.9321999999999999</v>
      </c>
      <c r="C624" s="1">
        <f>Tabela15[[#This Row],[Alongamento (mm/mm)]]/$I$2</f>
        <v>5.8644000000000002E-2</v>
      </c>
      <c r="D624" s="13">
        <v>311.79000000000002</v>
      </c>
      <c r="E624" s="1">
        <f>Tabela15[[#This Row],[Força (N)]]/$I$5</f>
        <v>6450751.9567011977</v>
      </c>
      <c r="F624" s="1">
        <f>Tabela15[[#This Row],[Tensão (Pa)]]/1000000</f>
        <v>6.4507519567011977</v>
      </c>
    </row>
    <row r="625" spans="1:6" x14ac:dyDescent="0.3">
      <c r="A625" s="13">
        <v>35.366999999999997</v>
      </c>
      <c r="B625" s="13">
        <v>2.9390999999999998</v>
      </c>
      <c r="C625" s="1">
        <f>Tabela15[[#This Row],[Alongamento (mm/mm)]]/$I$2</f>
        <v>5.8781999999999994E-2</v>
      </c>
      <c r="D625" s="13">
        <v>314.17</v>
      </c>
      <c r="E625" s="1">
        <f>Tabela15[[#This Row],[Força (N)]]/$I$5</f>
        <v>6499992.7587055881</v>
      </c>
      <c r="F625" s="1">
        <f>Tabela15[[#This Row],[Tensão (Pa)]]/1000000</f>
        <v>6.4999927587055879</v>
      </c>
    </row>
    <row r="626" spans="1:6" x14ac:dyDescent="0.3">
      <c r="A626" s="13">
        <v>35.450000000000003</v>
      </c>
      <c r="B626" s="13">
        <v>2.9460999999999999</v>
      </c>
      <c r="C626" s="1">
        <f>Tabela15[[#This Row],[Alongamento (mm/mm)]]/$I$2</f>
        <v>5.8922000000000002E-2</v>
      </c>
      <c r="D626" s="13">
        <v>316.55</v>
      </c>
      <c r="E626" s="1">
        <f>Tabela15[[#This Row],[Força (N)]]/$I$5</f>
        <v>6549233.5607099775</v>
      </c>
      <c r="F626" s="1">
        <f>Tabela15[[#This Row],[Tensão (Pa)]]/1000000</f>
        <v>6.5492335607099772</v>
      </c>
    </row>
    <row r="627" spans="1:6" x14ac:dyDescent="0.3">
      <c r="A627" s="13">
        <v>35.533000000000001</v>
      </c>
      <c r="B627" s="13">
        <v>2.9529999999999998</v>
      </c>
      <c r="C627" s="1">
        <f>Tabela15[[#This Row],[Alongamento (mm/mm)]]/$I$2</f>
        <v>5.9059999999999994E-2</v>
      </c>
      <c r="D627" s="13">
        <v>318.94</v>
      </c>
      <c r="E627" s="1">
        <f>Tabela15[[#This Row],[Força (N)]]/$I$5</f>
        <v>6598681.2568404367</v>
      </c>
      <c r="F627" s="1">
        <f>Tabela15[[#This Row],[Tensão (Pa)]]/1000000</f>
        <v>6.5986812568404369</v>
      </c>
    </row>
    <row r="628" spans="1:6" x14ac:dyDescent="0.3">
      <c r="A628" s="13">
        <v>35.616999999999997</v>
      </c>
      <c r="B628" s="13">
        <v>2.96</v>
      </c>
      <c r="C628" s="1">
        <f>Tabela15[[#This Row],[Alongamento (mm/mm)]]/$I$2</f>
        <v>5.9200000000000003E-2</v>
      </c>
      <c r="D628" s="13">
        <v>321.32</v>
      </c>
      <c r="E628" s="1">
        <f>Tabela15[[#This Row],[Força (N)]]/$I$5</f>
        <v>6647922.0588448271</v>
      </c>
      <c r="F628" s="1">
        <f>Tabela15[[#This Row],[Tensão (Pa)]]/1000000</f>
        <v>6.6479220588448271</v>
      </c>
    </row>
    <row r="629" spans="1:6" x14ac:dyDescent="0.3">
      <c r="A629" s="13">
        <v>35.700000000000003</v>
      </c>
      <c r="B629" s="13">
        <v>2.9668999999999999</v>
      </c>
      <c r="C629" s="1">
        <f>Tabela15[[#This Row],[Alongamento (mm/mm)]]/$I$2</f>
        <v>5.9337999999999995E-2</v>
      </c>
      <c r="D629" s="13">
        <v>323.87</v>
      </c>
      <c r="E629" s="1">
        <f>Tabela15[[#This Row],[Força (N)]]/$I$5</f>
        <v>6700680.0609923881</v>
      </c>
      <c r="F629" s="1">
        <f>Tabela15[[#This Row],[Tensão (Pa)]]/1000000</f>
        <v>6.7006800609923882</v>
      </c>
    </row>
    <row r="630" spans="1:6" x14ac:dyDescent="0.3">
      <c r="A630" s="13">
        <v>35.783000000000001</v>
      </c>
      <c r="B630" s="13">
        <v>2.9739</v>
      </c>
      <c r="C630" s="1">
        <f>Tabela15[[#This Row],[Alongamento (mm/mm)]]/$I$2</f>
        <v>5.9478000000000003E-2</v>
      </c>
      <c r="D630" s="13">
        <v>326.25</v>
      </c>
      <c r="E630" s="1">
        <f>Tabela15[[#This Row],[Força (N)]]/$I$5</f>
        <v>6749920.8629967785</v>
      </c>
      <c r="F630" s="1">
        <f>Tabela15[[#This Row],[Tensão (Pa)]]/1000000</f>
        <v>6.7499208629967784</v>
      </c>
    </row>
    <row r="631" spans="1:6" x14ac:dyDescent="0.3">
      <c r="A631" s="13">
        <v>35.866999999999997</v>
      </c>
      <c r="B631" s="13">
        <v>2.9807999999999999</v>
      </c>
      <c r="C631" s="1">
        <f>Tabela15[[#This Row],[Alongamento (mm/mm)]]/$I$2</f>
        <v>5.9615999999999995E-2</v>
      </c>
      <c r="D631" s="13">
        <v>328.8</v>
      </c>
      <c r="E631" s="1">
        <f>Tabela15[[#This Row],[Força (N)]]/$I$5</f>
        <v>6802678.8651443394</v>
      </c>
      <c r="F631" s="1">
        <f>Tabela15[[#This Row],[Tensão (Pa)]]/1000000</f>
        <v>6.8026788651443395</v>
      </c>
    </row>
    <row r="632" spans="1:6" x14ac:dyDescent="0.3">
      <c r="A632" s="13">
        <v>35.950000000000003</v>
      </c>
      <c r="B632" s="13">
        <v>2.9876999999999998</v>
      </c>
      <c r="C632" s="1">
        <f>Tabela15[[#This Row],[Alongamento (mm/mm)]]/$I$2</f>
        <v>5.9753999999999995E-2</v>
      </c>
      <c r="D632" s="13">
        <v>331.18</v>
      </c>
      <c r="E632" s="1">
        <f>Tabela15[[#This Row],[Força (N)]]/$I$5</f>
        <v>6851919.6671487298</v>
      </c>
      <c r="F632" s="1">
        <f>Tabela15[[#This Row],[Tensão (Pa)]]/1000000</f>
        <v>6.8519196671487297</v>
      </c>
    </row>
    <row r="633" spans="1:6" x14ac:dyDescent="0.3">
      <c r="A633" s="13">
        <v>36.033000000000001</v>
      </c>
      <c r="B633" s="13">
        <v>2.9946999999999999</v>
      </c>
      <c r="C633" s="1">
        <f>Tabela15[[#This Row],[Alongamento (mm/mm)]]/$I$2</f>
        <v>5.9893999999999996E-2</v>
      </c>
      <c r="D633" s="13">
        <v>333.56</v>
      </c>
      <c r="E633" s="1">
        <f>Tabela15[[#This Row],[Força (N)]]/$I$5</f>
        <v>6901160.4691531202</v>
      </c>
      <c r="F633" s="1">
        <f>Tabela15[[#This Row],[Tensão (Pa)]]/1000000</f>
        <v>6.9011604691531199</v>
      </c>
    </row>
    <row r="634" spans="1:6" x14ac:dyDescent="0.3">
      <c r="A634" s="13">
        <v>36.116999999999997</v>
      </c>
      <c r="B634" s="13">
        <v>3.0017</v>
      </c>
      <c r="C634" s="1">
        <f>Tabela15[[#This Row],[Alongamento (mm/mm)]]/$I$2</f>
        <v>6.0034000000000004E-2</v>
      </c>
      <c r="D634" s="13">
        <v>336.12</v>
      </c>
      <c r="E634" s="1">
        <f>Tabela15[[#This Row],[Força (N)]]/$I$5</f>
        <v>6954125.3654267499</v>
      </c>
      <c r="F634" s="1">
        <f>Tabela15[[#This Row],[Tensão (Pa)]]/1000000</f>
        <v>6.9541253654267496</v>
      </c>
    </row>
    <row r="635" spans="1:6" x14ac:dyDescent="0.3">
      <c r="A635" s="13">
        <v>36.200000000000003</v>
      </c>
      <c r="B635" s="13">
        <v>3.0085999999999999</v>
      </c>
      <c r="C635" s="1">
        <f>Tabela15[[#This Row],[Alongamento (mm/mm)]]/$I$2</f>
        <v>6.0171999999999996E-2</v>
      </c>
      <c r="D635" s="13">
        <v>338.5</v>
      </c>
      <c r="E635" s="1">
        <f>Tabela15[[#This Row],[Força (N)]]/$I$5</f>
        <v>7003366.1674311403</v>
      </c>
      <c r="F635" s="1">
        <f>Tabela15[[#This Row],[Tensão (Pa)]]/1000000</f>
        <v>7.0033661674311407</v>
      </c>
    </row>
    <row r="636" spans="1:6" x14ac:dyDescent="0.3">
      <c r="A636" s="13">
        <v>36.283000000000001</v>
      </c>
      <c r="B636" s="13">
        <v>3.0154999999999998</v>
      </c>
      <c r="C636" s="1">
        <f>Tabela15[[#This Row],[Alongamento (mm/mm)]]/$I$2</f>
        <v>6.0309999999999996E-2</v>
      </c>
      <c r="D636" s="13">
        <v>340.88</v>
      </c>
      <c r="E636" s="1">
        <f>Tabela15[[#This Row],[Força (N)]]/$I$5</f>
        <v>7052606.9694355307</v>
      </c>
      <c r="F636" s="1">
        <f>Tabela15[[#This Row],[Tensão (Pa)]]/1000000</f>
        <v>7.0526069694355309</v>
      </c>
    </row>
    <row r="637" spans="1:6" x14ac:dyDescent="0.3">
      <c r="A637" s="13">
        <v>36.366999999999997</v>
      </c>
      <c r="B637" s="13">
        <v>3.0225</v>
      </c>
      <c r="C637" s="1">
        <f>Tabela15[[#This Row],[Alongamento (mm/mm)]]/$I$2</f>
        <v>6.0449999999999997E-2</v>
      </c>
      <c r="D637" s="13">
        <v>343.43</v>
      </c>
      <c r="E637" s="1">
        <f>Tabela15[[#This Row],[Força (N)]]/$I$5</f>
        <v>7105364.9715830917</v>
      </c>
      <c r="F637" s="1">
        <f>Tabela15[[#This Row],[Tensão (Pa)]]/1000000</f>
        <v>7.105364971583092</v>
      </c>
    </row>
    <row r="638" spans="1:6" x14ac:dyDescent="0.3">
      <c r="A638" s="13">
        <v>36.450000000000003</v>
      </c>
      <c r="B638" s="13">
        <v>3.0293999999999999</v>
      </c>
      <c r="C638" s="1">
        <f>Tabela15[[#This Row],[Alongamento (mm/mm)]]/$I$2</f>
        <v>6.0587999999999996E-2</v>
      </c>
      <c r="D638" s="13">
        <v>345.81</v>
      </c>
      <c r="E638" s="1">
        <f>Tabela15[[#This Row],[Força (N)]]/$I$5</f>
        <v>7154605.7735874821</v>
      </c>
      <c r="F638" s="1">
        <f>Tabela15[[#This Row],[Tensão (Pa)]]/1000000</f>
        <v>7.1546057735874822</v>
      </c>
    </row>
    <row r="639" spans="1:6" x14ac:dyDescent="0.3">
      <c r="A639" s="13">
        <v>36.533000000000001</v>
      </c>
      <c r="B639" s="13">
        <v>3.0363000000000002</v>
      </c>
      <c r="C639" s="1">
        <f>Tabela15[[#This Row],[Alongamento (mm/mm)]]/$I$2</f>
        <v>6.0726000000000002E-2</v>
      </c>
      <c r="D639" s="13">
        <v>348.36</v>
      </c>
      <c r="E639" s="1">
        <f>Tabela15[[#This Row],[Força (N)]]/$I$5</f>
        <v>7207363.775735043</v>
      </c>
      <c r="F639" s="1">
        <f>Tabela15[[#This Row],[Tensão (Pa)]]/1000000</f>
        <v>7.2073637757350433</v>
      </c>
    </row>
    <row r="640" spans="1:6" x14ac:dyDescent="0.3">
      <c r="A640" s="13">
        <v>36.633000000000003</v>
      </c>
      <c r="B640" s="13">
        <v>3.0447000000000002</v>
      </c>
      <c r="C640" s="1">
        <f>Tabela15[[#This Row],[Alongamento (mm/mm)]]/$I$2</f>
        <v>6.0894000000000004E-2</v>
      </c>
      <c r="D640" s="13">
        <v>351.42</v>
      </c>
      <c r="E640" s="1">
        <f>Tabela15[[#This Row],[Força (N)]]/$I$5</f>
        <v>7270673.3783121165</v>
      </c>
      <c r="F640" s="1">
        <f>Tabela15[[#This Row],[Tensão (Pa)]]/1000000</f>
        <v>7.2706733783121162</v>
      </c>
    </row>
    <row r="641" spans="1:6" x14ac:dyDescent="0.3">
      <c r="A641" s="13">
        <v>36.732999999999997</v>
      </c>
      <c r="B641" s="13">
        <v>3.0529999999999999</v>
      </c>
      <c r="C641" s="1">
        <f>Tabela15[[#This Row],[Alongamento (mm/mm)]]/$I$2</f>
        <v>6.1059999999999996E-2</v>
      </c>
      <c r="D641" s="13">
        <v>354.49</v>
      </c>
      <c r="E641" s="1">
        <f>Tabela15[[#This Row],[Força (N)]]/$I$5</f>
        <v>7334189.8750152588</v>
      </c>
      <c r="F641" s="1">
        <f>Tabela15[[#This Row],[Tensão (Pa)]]/1000000</f>
        <v>7.3341898750152588</v>
      </c>
    </row>
    <row r="642" spans="1:6" x14ac:dyDescent="0.3">
      <c r="A642" s="13">
        <v>36.832999999999998</v>
      </c>
      <c r="B642" s="13">
        <v>3.0613000000000001</v>
      </c>
      <c r="C642" s="1">
        <f>Tabela15[[#This Row],[Alongamento (mm/mm)]]/$I$2</f>
        <v>6.1226000000000003E-2</v>
      </c>
      <c r="D642" s="13">
        <v>357.55</v>
      </c>
      <c r="E642" s="1">
        <f>Tabela15[[#This Row],[Força (N)]]/$I$5</f>
        <v>7397499.4775923314</v>
      </c>
      <c r="F642" s="1">
        <f>Tabela15[[#This Row],[Tensão (Pa)]]/1000000</f>
        <v>7.3974994775923317</v>
      </c>
    </row>
    <row r="643" spans="1:6" x14ac:dyDescent="0.3">
      <c r="A643" s="13">
        <v>36.933</v>
      </c>
      <c r="B643" s="13">
        <v>3.0697999999999999</v>
      </c>
      <c r="C643" s="1">
        <f>Tabela15[[#This Row],[Alongamento (mm/mm)]]/$I$2</f>
        <v>6.1395999999999999E-2</v>
      </c>
      <c r="D643" s="13">
        <v>360.61</v>
      </c>
      <c r="E643" s="1">
        <f>Tabela15[[#This Row],[Força (N)]]/$I$5</f>
        <v>7460809.0801694049</v>
      </c>
      <c r="F643" s="1">
        <f>Tabela15[[#This Row],[Tensão (Pa)]]/1000000</f>
        <v>7.4608090801694047</v>
      </c>
    </row>
    <row r="644" spans="1:6" x14ac:dyDescent="0.3">
      <c r="A644" s="13">
        <v>37.033000000000001</v>
      </c>
      <c r="B644" s="13">
        <v>3.0781000000000001</v>
      </c>
      <c r="C644" s="1">
        <f>Tabela15[[#This Row],[Alongamento (mm/mm)]]/$I$2</f>
        <v>6.1561999999999999E-2</v>
      </c>
      <c r="D644" s="13">
        <v>363.5</v>
      </c>
      <c r="E644" s="1">
        <f>Tabela15[[#This Row],[Força (N)]]/$I$5</f>
        <v>7520601.4826033069</v>
      </c>
      <c r="F644" s="1">
        <f>Tabela15[[#This Row],[Tensão (Pa)]]/1000000</f>
        <v>7.5206014826033067</v>
      </c>
    </row>
    <row r="645" spans="1:6" x14ac:dyDescent="0.3">
      <c r="A645" s="13">
        <v>37.133000000000003</v>
      </c>
      <c r="B645" s="13">
        <v>3.0863999999999998</v>
      </c>
      <c r="C645" s="1">
        <f>Tabela15[[#This Row],[Alongamento (mm/mm)]]/$I$2</f>
        <v>6.1727999999999998E-2</v>
      </c>
      <c r="D645" s="13">
        <v>366.56</v>
      </c>
      <c r="E645" s="1">
        <f>Tabela15[[#This Row],[Força (N)]]/$I$5</f>
        <v>7583911.0851803804</v>
      </c>
      <c r="F645" s="1">
        <f>Tabela15[[#This Row],[Tensão (Pa)]]/1000000</f>
        <v>7.5839110851803806</v>
      </c>
    </row>
    <row r="646" spans="1:6" x14ac:dyDescent="0.3">
      <c r="A646" s="13">
        <v>37.232999999999997</v>
      </c>
      <c r="B646" s="13">
        <v>3.0947</v>
      </c>
      <c r="C646" s="1">
        <f>Tabela15[[#This Row],[Alongamento (mm/mm)]]/$I$2</f>
        <v>6.1893999999999998E-2</v>
      </c>
      <c r="D646" s="13">
        <v>369.62</v>
      </c>
      <c r="E646" s="1">
        <f>Tabela15[[#This Row],[Força (N)]]/$I$5</f>
        <v>7647220.6877574539</v>
      </c>
      <c r="F646" s="1">
        <f>Tabela15[[#This Row],[Tensão (Pa)]]/1000000</f>
        <v>7.6472206877574536</v>
      </c>
    </row>
    <row r="647" spans="1:6" x14ac:dyDescent="0.3">
      <c r="A647" s="13">
        <v>37.332999999999998</v>
      </c>
      <c r="B647" s="13">
        <v>3.1030000000000002</v>
      </c>
      <c r="C647" s="1">
        <f>Tabela15[[#This Row],[Alongamento (mm/mm)]]/$I$2</f>
        <v>6.2060000000000004E-2</v>
      </c>
      <c r="D647" s="13">
        <v>372.69</v>
      </c>
      <c r="E647" s="1">
        <f>Tabela15[[#This Row],[Força (N)]]/$I$5</f>
        <v>7710737.1844605953</v>
      </c>
      <c r="F647" s="1">
        <f>Tabela15[[#This Row],[Tensão (Pa)]]/1000000</f>
        <v>7.7107371844605952</v>
      </c>
    </row>
    <row r="648" spans="1:6" x14ac:dyDescent="0.3">
      <c r="A648" s="13">
        <v>37.433</v>
      </c>
      <c r="B648" s="13">
        <v>3.1114000000000002</v>
      </c>
      <c r="C648" s="1">
        <f>Tabela15[[#This Row],[Alongamento (mm/mm)]]/$I$2</f>
        <v>6.2228000000000006E-2</v>
      </c>
      <c r="D648" s="13">
        <v>375.75</v>
      </c>
      <c r="E648" s="1">
        <f>Tabela15[[#This Row],[Força (N)]]/$I$5</f>
        <v>7774046.7870376687</v>
      </c>
      <c r="F648" s="1">
        <f>Tabela15[[#This Row],[Tensão (Pa)]]/1000000</f>
        <v>7.774046787037669</v>
      </c>
    </row>
    <row r="649" spans="1:6" x14ac:dyDescent="0.3">
      <c r="A649" s="13">
        <v>37.517000000000003</v>
      </c>
      <c r="B649" s="13">
        <v>3.1183000000000001</v>
      </c>
      <c r="C649" s="1">
        <f>Tabela15[[#This Row],[Alongamento (mm/mm)]]/$I$2</f>
        <v>6.2366000000000005E-2</v>
      </c>
      <c r="D649" s="13">
        <v>378.47</v>
      </c>
      <c r="E649" s="1">
        <f>Tabela15[[#This Row],[Força (N)]]/$I$5</f>
        <v>7830321.9893284012</v>
      </c>
      <c r="F649" s="1">
        <f>Tabela15[[#This Row],[Tensão (Pa)]]/1000000</f>
        <v>7.8303219893284011</v>
      </c>
    </row>
    <row r="650" spans="1:6" x14ac:dyDescent="0.3">
      <c r="A650" s="13">
        <v>37.616999999999997</v>
      </c>
      <c r="B650" s="13">
        <v>3.1267</v>
      </c>
      <c r="C650" s="1">
        <f>Tabela15[[#This Row],[Alongamento (mm/mm)]]/$I$2</f>
        <v>6.2534000000000006E-2</v>
      </c>
      <c r="D650" s="13">
        <v>381.53</v>
      </c>
      <c r="E650" s="1">
        <f>Tabela15[[#This Row],[Força (N)]]/$I$5</f>
        <v>7893631.5919054737</v>
      </c>
      <c r="F650" s="1">
        <f>Tabela15[[#This Row],[Tensão (Pa)]]/1000000</f>
        <v>7.893631591905474</v>
      </c>
    </row>
    <row r="651" spans="1:6" x14ac:dyDescent="0.3">
      <c r="A651" s="13">
        <v>37.716999999999999</v>
      </c>
      <c r="B651" s="13">
        <v>3.1349</v>
      </c>
      <c r="C651" s="1">
        <f>Tabela15[[#This Row],[Alongamento (mm/mm)]]/$I$2</f>
        <v>6.2698000000000004E-2</v>
      </c>
      <c r="D651" s="13">
        <v>384.59</v>
      </c>
      <c r="E651" s="1">
        <f>Tabela15[[#This Row],[Força (N)]]/$I$5</f>
        <v>7956941.1944825463</v>
      </c>
      <c r="F651" s="1">
        <f>Tabela15[[#This Row],[Tensão (Pa)]]/1000000</f>
        <v>7.9569411944825461</v>
      </c>
    </row>
    <row r="652" spans="1:6" x14ac:dyDescent="0.3">
      <c r="A652" s="13">
        <v>37.817</v>
      </c>
      <c r="B652" s="13">
        <v>3.1433</v>
      </c>
      <c r="C652" s="1">
        <f>Tabela15[[#This Row],[Alongamento (mm/mm)]]/$I$2</f>
        <v>6.2866000000000005E-2</v>
      </c>
      <c r="D652" s="13">
        <v>387.66</v>
      </c>
      <c r="E652" s="1">
        <f>Tabela15[[#This Row],[Força (N)]]/$I$5</f>
        <v>8020457.6911856895</v>
      </c>
      <c r="F652" s="1">
        <f>Tabela15[[#This Row],[Tensão (Pa)]]/1000000</f>
        <v>8.0204576911856904</v>
      </c>
    </row>
    <row r="653" spans="1:6" x14ac:dyDescent="0.3">
      <c r="A653" s="13">
        <v>37.9</v>
      </c>
      <c r="B653" s="13">
        <v>3.1501999999999999</v>
      </c>
      <c r="C653" s="1">
        <f>Tabela15[[#This Row],[Alongamento (mm/mm)]]/$I$2</f>
        <v>6.3004000000000004E-2</v>
      </c>
      <c r="D653" s="13">
        <v>390.38</v>
      </c>
      <c r="E653" s="1">
        <f>Tabela15[[#This Row],[Força (N)]]/$I$5</f>
        <v>8076732.893476421</v>
      </c>
      <c r="F653" s="1">
        <f>Tabela15[[#This Row],[Tensão (Pa)]]/1000000</f>
        <v>8.0767328934764215</v>
      </c>
    </row>
    <row r="654" spans="1:6" x14ac:dyDescent="0.3">
      <c r="A654" s="13">
        <v>38</v>
      </c>
      <c r="B654" s="13">
        <v>3.1585999999999999</v>
      </c>
      <c r="C654" s="1">
        <f>Tabela15[[#This Row],[Alongamento (mm/mm)]]/$I$2</f>
        <v>6.3171999999999992E-2</v>
      </c>
      <c r="D654" s="13">
        <v>393.61</v>
      </c>
      <c r="E654" s="1">
        <f>Tabela15[[#This Row],[Força (N)]]/$I$5</f>
        <v>8143559.6961966651</v>
      </c>
      <c r="F654" s="1">
        <f>Tabela15[[#This Row],[Tensão (Pa)]]/1000000</f>
        <v>8.1435596961966645</v>
      </c>
    </row>
    <row r="655" spans="1:6" x14ac:dyDescent="0.3">
      <c r="A655" s="13">
        <v>38.1</v>
      </c>
      <c r="B655" s="13">
        <v>3.1669</v>
      </c>
      <c r="C655" s="1">
        <f>Tabela15[[#This Row],[Alongamento (mm/mm)]]/$I$2</f>
        <v>6.3338000000000005E-2</v>
      </c>
      <c r="D655" s="13">
        <v>396.84</v>
      </c>
      <c r="E655" s="1">
        <f>Tabela15[[#This Row],[Força (N)]]/$I$5</f>
        <v>8210386.4989169082</v>
      </c>
      <c r="F655" s="1">
        <f>Tabela15[[#This Row],[Tensão (Pa)]]/1000000</f>
        <v>8.2103864989169075</v>
      </c>
    </row>
    <row r="656" spans="1:6" x14ac:dyDescent="0.3">
      <c r="A656" s="13">
        <v>38.200000000000003</v>
      </c>
      <c r="B656" s="13">
        <v>3.1751999999999998</v>
      </c>
      <c r="C656" s="1">
        <f>Tabela15[[#This Row],[Alongamento (mm/mm)]]/$I$2</f>
        <v>6.3503999999999991E-2</v>
      </c>
      <c r="D656" s="13">
        <v>399.9</v>
      </c>
      <c r="E656" s="1">
        <f>Tabela15[[#This Row],[Força (N)]]/$I$5</f>
        <v>8273696.1014939817</v>
      </c>
      <c r="F656" s="1">
        <f>Tabela15[[#This Row],[Tensão (Pa)]]/1000000</f>
        <v>8.2736961014939823</v>
      </c>
    </row>
    <row r="657" spans="1:6" x14ac:dyDescent="0.3">
      <c r="A657" s="13">
        <v>38.299999999999997</v>
      </c>
      <c r="B657" s="13">
        <v>3.1836000000000002</v>
      </c>
      <c r="C657" s="1">
        <f>Tabela15[[#This Row],[Alongamento (mm/mm)]]/$I$2</f>
        <v>6.3672000000000006E-2</v>
      </c>
      <c r="D657" s="13">
        <v>403.13</v>
      </c>
      <c r="E657" s="1">
        <f>Tabela15[[#This Row],[Força (N)]]/$I$5</f>
        <v>8340522.9042142257</v>
      </c>
      <c r="F657" s="1">
        <f>Tabela15[[#This Row],[Tensão (Pa)]]/1000000</f>
        <v>8.3405229042142253</v>
      </c>
    </row>
    <row r="658" spans="1:6" x14ac:dyDescent="0.3">
      <c r="A658" s="13">
        <v>38.4</v>
      </c>
      <c r="B658" s="13">
        <v>3.1919</v>
      </c>
      <c r="C658" s="1">
        <f>Tabela15[[#This Row],[Alongamento (mm/mm)]]/$I$2</f>
        <v>6.3838000000000006E-2</v>
      </c>
      <c r="D658" s="13">
        <v>406.2</v>
      </c>
      <c r="E658" s="1">
        <f>Tabela15[[#This Row],[Força (N)]]/$I$5</f>
        <v>8404039.400917368</v>
      </c>
      <c r="F658" s="1">
        <f>Tabela15[[#This Row],[Tensão (Pa)]]/1000000</f>
        <v>8.4040394009173678</v>
      </c>
    </row>
    <row r="659" spans="1:6" x14ac:dyDescent="0.3">
      <c r="A659" s="13">
        <v>38.5</v>
      </c>
      <c r="B659" s="13">
        <v>3.2002999999999999</v>
      </c>
      <c r="C659" s="1">
        <f>Tabela15[[#This Row],[Alongamento (mm/mm)]]/$I$2</f>
        <v>6.4005999999999993E-2</v>
      </c>
      <c r="D659" s="13">
        <v>409.43</v>
      </c>
      <c r="E659" s="1">
        <f>Tabela15[[#This Row],[Força (N)]]/$I$5</f>
        <v>8470866.203637613</v>
      </c>
      <c r="F659" s="1">
        <f>Tabela15[[#This Row],[Tensão (Pa)]]/1000000</f>
        <v>8.4708662036376126</v>
      </c>
    </row>
    <row r="660" spans="1:6" x14ac:dyDescent="0.3">
      <c r="A660" s="13">
        <v>38.6</v>
      </c>
      <c r="B660" s="13">
        <v>3.2086000000000001</v>
      </c>
      <c r="C660" s="1">
        <f>Tabela15[[#This Row],[Alongamento (mm/mm)]]/$I$2</f>
        <v>6.4172000000000007E-2</v>
      </c>
      <c r="D660" s="13">
        <v>412.66</v>
      </c>
      <c r="E660" s="1">
        <f>Tabela15[[#This Row],[Força (N)]]/$I$5</f>
        <v>8537693.0063578561</v>
      </c>
      <c r="F660" s="1">
        <f>Tabela15[[#This Row],[Tensão (Pa)]]/1000000</f>
        <v>8.5376930063578556</v>
      </c>
    </row>
    <row r="661" spans="1:6" x14ac:dyDescent="0.3">
      <c r="A661" s="13">
        <v>38.700000000000003</v>
      </c>
      <c r="B661" s="13">
        <v>3.2168999999999999</v>
      </c>
      <c r="C661" s="1">
        <f>Tabela15[[#This Row],[Alongamento (mm/mm)]]/$I$2</f>
        <v>6.4337999999999992E-2</v>
      </c>
      <c r="D661" s="13">
        <v>415.89</v>
      </c>
      <c r="E661" s="1">
        <f>Tabela15[[#This Row],[Força (N)]]/$I$5</f>
        <v>8604519.8090780992</v>
      </c>
      <c r="F661" s="1">
        <f>Tabela15[[#This Row],[Tensão (Pa)]]/1000000</f>
        <v>8.6045198090780985</v>
      </c>
    </row>
    <row r="662" spans="1:6" x14ac:dyDescent="0.3">
      <c r="A662" s="13">
        <v>38.799999999999997</v>
      </c>
      <c r="B662" s="13">
        <v>3.2252999999999998</v>
      </c>
      <c r="C662" s="1">
        <f>Tabela15[[#This Row],[Alongamento (mm/mm)]]/$I$2</f>
        <v>6.4505999999999994E-2</v>
      </c>
      <c r="D662" s="13">
        <v>419.12</v>
      </c>
      <c r="E662" s="1">
        <f>Tabela15[[#This Row],[Força (N)]]/$I$5</f>
        <v>8671346.6117983442</v>
      </c>
      <c r="F662" s="1">
        <f>Tabela15[[#This Row],[Tensão (Pa)]]/1000000</f>
        <v>8.6713466117983433</v>
      </c>
    </row>
    <row r="663" spans="1:6" x14ac:dyDescent="0.3">
      <c r="A663" s="13">
        <v>38.9</v>
      </c>
      <c r="B663" s="13">
        <v>3.2336</v>
      </c>
      <c r="C663" s="1">
        <f>Tabela15[[#This Row],[Alongamento (mm/mm)]]/$I$2</f>
        <v>6.4672000000000007E-2</v>
      </c>
      <c r="D663" s="13">
        <v>422.36</v>
      </c>
      <c r="E663" s="1">
        <f>Tabela15[[#This Row],[Força (N)]]/$I$5</f>
        <v>8738380.308644658</v>
      </c>
      <c r="F663" s="1">
        <f>Tabela15[[#This Row],[Tensão (Pa)]]/1000000</f>
        <v>8.7383803086446576</v>
      </c>
    </row>
    <row r="664" spans="1:6" x14ac:dyDescent="0.3">
      <c r="A664" s="13">
        <v>39</v>
      </c>
      <c r="B664" s="13">
        <v>3.2418999999999998</v>
      </c>
      <c r="C664" s="1">
        <f>Tabela15[[#This Row],[Alongamento (mm/mm)]]/$I$2</f>
        <v>6.4837999999999993E-2</v>
      </c>
      <c r="D664" s="13">
        <v>425.76</v>
      </c>
      <c r="E664" s="1">
        <f>Tabela15[[#This Row],[Força (N)]]/$I$5</f>
        <v>8808724.3115080707</v>
      </c>
      <c r="F664" s="1">
        <f>Tabela15[[#This Row],[Tensão (Pa)]]/1000000</f>
        <v>8.8087243115080707</v>
      </c>
    </row>
    <row r="665" spans="1:6" x14ac:dyDescent="0.3">
      <c r="A665" s="13">
        <v>39.1</v>
      </c>
      <c r="B665" s="13">
        <v>3.2503000000000002</v>
      </c>
      <c r="C665" s="1">
        <f>Tabela15[[#This Row],[Alongamento (mm/mm)]]/$I$2</f>
        <v>6.5006000000000008E-2</v>
      </c>
      <c r="D665" s="13">
        <v>428.99</v>
      </c>
      <c r="E665" s="1">
        <f>Tabela15[[#This Row],[Força (N)]]/$I$5</f>
        <v>8875551.1142283157</v>
      </c>
      <c r="F665" s="1">
        <f>Tabela15[[#This Row],[Tensão (Pa)]]/1000000</f>
        <v>8.8755511142283154</v>
      </c>
    </row>
    <row r="666" spans="1:6" x14ac:dyDescent="0.3">
      <c r="A666" s="13">
        <v>39.200000000000003</v>
      </c>
      <c r="B666" s="13">
        <v>3.2585999999999999</v>
      </c>
      <c r="C666" s="1">
        <f>Tabela15[[#This Row],[Alongamento (mm/mm)]]/$I$2</f>
        <v>6.5171999999999994E-2</v>
      </c>
      <c r="D666" s="13">
        <v>432.22</v>
      </c>
      <c r="E666" s="1">
        <f>Tabela15[[#This Row],[Força (N)]]/$I$5</f>
        <v>8942377.9169485606</v>
      </c>
      <c r="F666" s="1">
        <f>Tabela15[[#This Row],[Tensão (Pa)]]/1000000</f>
        <v>8.9423779169485602</v>
      </c>
    </row>
    <row r="667" spans="1:6" x14ac:dyDescent="0.3">
      <c r="A667" s="13">
        <v>39.299999999999997</v>
      </c>
      <c r="B667" s="13">
        <v>3.2669000000000001</v>
      </c>
      <c r="C667" s="1">
        <f>Tabela15[[#This Row],[Alongamento (mm/mm)]]/$I$2</f>
        <v>6.5338000000000007E-2</v>
      </c>
      <c r="D667" s="13">
        <v>435.62</v>
      </c>
      <c r="E667" s="1">
        <f>Tabela15[[#This Row],[Força (N)]]/$I$5</f>
        <v>9012721.9198119752</v>
      </c>
      <c r="F667" s="1">
        <f>Tabela15[[#This Row],[Tensão (Pa)]]/1000000</f>
        <v>9.012721919811975</v>
      </c>
    </row>
    <row r="668" spans="1:6" x14ac:dyDescent="0.3">
      <c r="A668" s="13">
        <v>39.417000000000002</v>
      </c>
      <c r="B668" s="13">
        <v>3.2766999999999999</v>
      </c>
      <c r="C668" s="1">
        <f>Tabela15[[#This Row],[Alongamento (mm/mm)]]/$I$2</f>
        <v>6.5533999999999995E-2</v>
      </c>
      <c r="D668" s="13">
        <v>439.54</v>
      </c>
      <c r="E668" s="1">
        <f>Tabela15[[#This Row],[Força (N)]]/$I$5</f>
        <v>9093824.4172309712</v>
      </c>
      <c r="F668" s="1">
        <f>Tabela15[[#This Row],[Tensão (Pa)]]/1000000</f>
        <v>9.0938244172309712</v>
      </c>
    </row>
    <row r="669" spans="1:6" x14ac:dyDescent="0.3">
      <c r="A669" s="13">
        <v>39.533000000000001</v>
      </c>
      <c r="B669" s="13">
        <v>3.2864</v>
      </c>
      <c r="C669" s="1">
        <f>Tabela15[[#This Row],[Alongamento (mm/mm)]]/$I$2</f>
        <v>6.5727999999999995E-2</v>
      </c>
      <c r="D669" s="13">
        <v>443.28</v>
      </c>
      <c r="E669" s="1">
        <f>Tabela15[[#This Row],[Força (N)]]/$I$5</f>
        <v>9171202.820380725</v>
      </c>
      <c r="F669" s="1">
        <f>Tabela15[[#This Row],[Tensão (Pa)]]/1000000</f>
        <v>9.1712028203807243</v>
      </c>
    </row>
    <row r="670" spans="1:6" x14ac:dyDescent="0.3">
      <c r="A670" s="13">
        <v>39.633000000000003</v>
      </c>
      <c r="B670" s="13">
        <v>3.2947000000000002</v>
      </c>
      <c r="C670" s="1">
        <f>Tabela15[[#This Row],[Alongamento (mm/mm)]]/$I$2</f>
        <v>6.5894000000000008E-2</v>
      </c>
      <c r="D670" s="13">
        <v>446.68</v>
      </c>
      <c r="E670" s="1">
        <f>Tabela15[[#This Row],[Força (N)]]/$I$5</f>
        <v>9241546.8232441414</v>
      </c>
      <c r="F670" s="1">
        <f>Tabela15[[#This Row],[Tensão (Pa)]]/1000000</f>
        <v>9.2415468232441409</v>
      </c>
    </row>
    <row r="671" spans="1:6" x14ac:dyDescent="0.3">
      <c r="A671" s="13">
        <v>39.75</v>
      </c>
      <c r="B671" s="13">
        <v>3.3043999999999998</v>
      </c>
      <c r="C671" s="1">
        <f>Tabela15[[#This Row],[Alongamento (mm/mm)]]/$I$2</f>
        <v>6.6087999999999994E-2</v>
      </c>
      <c r="D671" s="13">
        <v>450.59</v>
      </c>
      <c r="E671" s="1">
        <f>Tabela15[[#This Row],[Força (N)]]/$I$5</f>
        <v>9322442.4265370667</v>
      </c>
      <c r="F671" s="1">
        <f>Tabela15[[#This Row],[Tensão (Pa)]]/1000000</f>
        <v>9.3224424265370676</v>
      </c>
    </row>
    <row r="672" spans="1:6" x14ac:dyDescent="0.3">
      <c r="A672" s="13">
        <v>39.85</v>
      </c>
      <c r="B672" s="13">
        <v>3.3128000000000002</v>
      </c>
      <c r="C672" s="1">
        <f>Tabela15[[#This Row],[Alongamento (mm/mm)]]/$I$2</f>
        <v>6.6256000000000009E-2</v>
      </c>
      <c r="D672" s="13">
        <v>453.99</v>
      </c>
      <c r="E672" s="1">
        <f>Tabela15[[#This Row],[Força (N)]]/$I$5</f>
        <v>9392786.4294004831</v>
      </c>
      <c r="F672" s="1">
        <f>Tabela15[[#This Row],[Tensão (Pa)]]/1000000</f>
        <v>9.3927864294004824</v>
      </c>
    </row>
    <row r="673" spans="1:6" x14ac:dyDescent="0.3">
      <c r="A673" s="13">
        <v>39.966999999999999</v>
      </c>
      <c r="B673" s="13">
        <v>3.3224</v>
      </c>
      <c r="C673" s="1">
        <f>Tabela15[[#This Row],[Alongamento (mm/mm)]]/$I$2</f>
        <v>6.6448000000000007E-2</v>
      </c>
      <c r="D673" s="13">
        <v>457.74</v>
      </c>
      <c r="E673" s="1">
        <f>Tabela15[[#This Row],[Força (N)]]/$I$5</f>
        <v>9470371.7266763076</v>
      </c>
      <c r="F673" s="1">
        <f>Tabela15[[#This Row],[Tensão (Pa)]]/1000000</f>
        <v>9.4703717266763068</v>
      </c>
    </row>
    <row r="674" spans="1:6" x14ac:dyDescent="0.3">
      <c r="A674" s="13">
        <v>40.067</v>
      </c>
      <c r="B674" s="13">
        <v>3.3307000000000002</v>
      </c>
      <c r="C674" s="1">
        <f>Tabela15[[#This Row],[Alongamento (mm/mm)]]/$I$2</f>
        <v>6.6614000000000007E-2</v>
      </c>
      <c r="D674" s="13">
        <v>461.14</v>
      </c>
      <c r="E674" s="1">
        <f>Tabela15[[#This Row],[Força (N)]]/$I$5</f>
        <v>9540715.7295397222</v>
      </c>
      <c r="F674" s="1">
        <f>Tabela15[[#This Row],[Tensão (Pa)]]/1000000</f>
        <v>9.5407157295397216</v>
      </c>
    </row>
    <row r="675" spans="1:6" x14ac:dyDescent="0.3">
      <c r="A675" s="13">
        <v>40.167000000000002</v>
      </c>
      <c r="B675" s="13">
        <v>3.3391000000000002</v>
      </c>
      <c r="C675" s="1">
        <f>Tabela15[[#This Row],[Alongamento (mm/mm)]]/$I$2</f>
        <v>6.6782000000000008E-2</v>
      </c>
      <c r="D675" s="13">
        <v>464.54</v>
      </c>
      <c r="E675" s="1">
        <f>Tabela15[[#This Row],[Força (N)]]/$I$5</f>
        <v>9611059.7324031368</v>
      </c>
      <c r="F675" s="1">
        <f>Tabela15[[#This Row],[Tensão (Pa)]]/1000000</f>
        <v>9.6110597324031364</v>
      </c>
    </row>
    <row r="676" spans="1:6" x14ac:dyDescent="0.3">
      <c r="A676" s="13">
        <v>40.267000000000003</v>
      </c>
      <c r="B676" s="13">
        <v>3.3475000000000001</v>
      </c>
      <c r="C676" s="1">
        <f>Tabela15[[#This Row],[Alongamento (mm/mm)]]/$I$2</f>
        <v>6.695000000000001E-2</v>
      </c>
      <c r="D676" s="13">
        <v>467.94</v>
      </c>
      <c r="E676" s="1">
        <f>Tabela15[[#This Row],[Força (N)]]/$I$5</f>
        <v>9681403.7352665514</v>
      </c>
      <c r="F676" s="1">
        <f>Tabela15[[#This Row],[Tensão (Pa)]]/1000000</f>
        <v>9.6814037352665512</v>
      </c>
    </row>
    <row r="677" spans="1:6" x14ac:dyDescent="0.3">
      <c r="A677" s="13">
        <v>40.366999999999997</v>
      </c>
      <c r="B677" s="13">
        <v>3.3557999999999999</v>
      </c>
      <c r="C677" s="1">
        <f>Tabela15[[#This Row],[Alongamento (mm/mm)]]/$I$2</f>
        <v>6.7115999999999995E-2</v>
      </c>
      <c r="D677" s="13">
        <v>471.34</v>
      </c>
      <c r="E677" s="1">
        <f>Tabela15[[#This Row],[Força (N)]]/$I$5</f>
        <v>9751747.738129966</v>
      </c>
      <c r="F677" s="1">
        <f>Tabela15[[#This Row],[Tensão (Pa)]]/1000000</f>
        <v>9.751747738129966</v>
      </c>
    </row>
    <row r="678" spans="1:6" x14ac:dyDescent="0.3">
      <c r="A678" s="13">
        <v>40.466999999999999</v>
      </c>
      <c r="B678" s="13">
        <v>3.3641000000000001</v>
      </c>
      <c r="C678" s="1">
        <f>Tabela15[[#This Row],[Alongamento (mm/mm)]]/$I$2</f>
        <v>6.7282000000000008E-2</v>
      </c>
      <c r="D678" s="13">
        <v>474.75</v>
      </c>
      <c r="E678" s="1">
        <f>Tabela15[[#This Row],[Força (N)]]/$I$5</f>
        <v>9822298.6351194493</v>
      </c>
      <c r="F678" s="1">
        <f>Tabela15[[#This Row],[Tensão (Pa)]]/1000000</f>
        <v>9.8222986351194486</v>
      </c>
    </row>
    <row r="679" spans="1:6" x14ac:dyDescent="0.3">
      <c r="A679" s="13">
        <v>40.582999999999998</v>
      </c>
      <c r="B679" s="13">
        <v>3.3738999999999999</v>
      </c>
      <c r="C679" s="1">
        <f>Tabela15[[#This Row],[Alongamento (mm/mm)]]/$I$2</f>
        <v>6.7477999999999996E-2</v>
      </c>
      <c r="D679" s="13">
        <v>478.49</v>
      </c>
      <c r="E679" s="1">
        <f>Tabela15[[#This Row],[Força (N)]]/$I$5</f>
        <v>9899677.0382692069</v>
      </c>
      <c r="F679" s="1">
        <f>Tabela15[[#This Row],[Tensão (Pa)]]/1000000</f>
        <v>9.899677038269207</v>
      </c>
    </row>
    <row r="680" spans="1:6" x14ac:dyDescent="0.3">
      <c r="A680" s="13">
        <v>40.683</v>
      </c>
      <c r="B680" s="13">
        <v>3.3822000000000001</v>
      </c>
      <c r="C680" s="1">
        <f>Tabela15[[#This Row],[Alongamento (mm/mm)]]/$I$2</f>
        <v>6.7643999999999996E-2</v>
      </c>
      <c r="D680" s="13">
        <v>481.89</v>
      </c>
      <c r="E680" s="1">
        <f>Tabela15[[#This Row],[Força (N)]]/$I$5</f>
        <v>9970021.0411326215</v>
      </c>
      <c r="F680" s="1">
        <f>Tabela15[[#This Row],[Tensão (Pa)]]/1000000</f>
        <v>9.9700210411326218</v>
      </c>
    </row>
    <row r="681" spans="1:6" x14ac:dyDescent="0.3">
      <c r="A681" s="13">
        <v>40.799999999999997</v>
      </c>
      <c r="B681" s="13">
        <v>3.3919000000000001</v>
      </c>
      <c r="C681" s="1">
        <f>Tabela15[[#This Row],[Alongamento (mm/mm)]]/$I$2</f>
        <v>6.7838000000000009E-2</v>
      </c>
      <c r="D681" s="13">
        <v>485.8</v>
      </c>
      <c r="E681" s="1">
        <f>Tabela15[[#This Row],[Força (N)]]/$I$5</f>
        <v>10050916.644425549</v>
      </c>
      <c r="F681" s="1">
        <f>Tabela15[[#This Row],[Tensão (Pa)]]/1000000</f>
        <v>10.050916644425548</v>
      </c>
    </row>
    <row r="682" spans="1:6" x14ac:dyDescent="0.3">
      <c r="A682" s="13">
        <v>40.917000000000002</v>
      </c>
      <c r="B682" s="13">
        <v>3.4016000000000002</v>
      </c>
      <c r="C682" s="1">
        <f>Tabela15[[#This Row],[Alongamento (mm/mm)]]/$I$2</f>
        <v>6.8032000000000009E-2</v>
      </c>
      <c r="D682" s="13">
        <v>489.71</v>
      </c>
      <c r="E682" s="1">
        <f>Tabela15[[#This Row],[Força (N)]]/$I$5</f>
        <v>10131812.247718474</v>
      </c>
      <c r="F682" s="1">
        <f>Tabela15[[#This Row],[Tensão (Pa)]]/1000000</f>
        <v>10.131812247718473</v>
      </c>
    </row>
    <row r="683" spans="1:6" x14ac:dyDescent="0.3">
      <c r="A683" s="13">
        <v>41.033000000000001</v>
      </c>
      <c r="B683" s="13">
        <v>3.4114</v>
      </c>
      <c r="C683" s="1">
        <f>Tabela15[[#This Row],[Alongamento (mm/mm)]]/$I$2</f>
        <v>6.8227999999999997E-2</v>
      </c>
      <c r="D683" s="13">
        <v>493.63</v>
      </c>
      <c r="E683" s="1">
        <f>Tabela15[[#This Row],[Força (N)]]/$I$5</f>
        <v>10212914.74513747</v>
      </c>
      <c r="F683" s="1">
        <f>Tabela15[[#This Row],[Tensão (Pa)]]/1000000</f>
        <v>10.21291474513747</v>
      </c>
    </row>
    <row r="684" spans="1:6" x14ac:dyDescent="0.3">
      <c r="A684" s="13">
        <v>41.15</v>
      </c>
      <c r="B684" s="13">
        <v>3.4211</v>
      </c>
      <c r="C684" s="1">
        <f>Tabela15[[#This Row],[Alongamento (mm/mm)]]/$I$2</f>
        <v>6.8421999999999997E-2</v>
      </c>
      <c r="D684" s="13">
        <v>497.71</v>
      </c>
      <c r="E684" s="1">
        <f>Tabela15[[#This Row],[Força (N)]]/$I$5</f>
        <v>10297327.548573568</v>
      </c>
      <c r="F684" s="1">
        <f>Tabela15[[#This Row],[Tensão (Pa)]]/1000000</f>
        <v>10.297327548573568</v>
      </c>
    </row>
    <row r="685" spans="1:6" x14ac:dyDescent="0.3">
      <c r="A685" s="13">
        <v>41.267000000000003</v>
      </c>
      <c r="B685" s="13">
        <v>3.4308000000000001</v>
      </c>
      <c r="C685" s="1">
        <f>Tabela15[[#This Row],[Alongamento (mm/mm)]]/$I$2</f>
        <v>6.8615999999999996E-2</v>
      </c>
      <c r="D685" s="13">
        <v>501.79</v>
      </c>
      <c r="E685" s="1">
        <f>Tabela15[[#This Row],[Força (N)]]/$I$5</f>
        <v>10381740.352009667</v>
      </c>
      <c r="F685" s="1">
        <f>Tabela15[[#This Row],[Tensão (Pa)]]/1000000</f>
        <v>10.381740352009666</v>
      </c>
    </row>
    <row r="686" spans="1:6" x14ac:dyDescent="0.3">
      <c r="A686" s="13">
        <v>41.383000000000003</v>
      </c>
      <c r="B686" s="13">
        <v>3.4405000000000001</v>
      </c>
      <c r="C686" s="1">
        <f>Tabela15[[#This Row],[Alongamento (mm/mm)]]/$I$2</f>
        <v>6.8809999999999996E-2</v>
      </c>
      <c r="D686" s="13">
        <v>505.7</v>
      </c>
      <c r="E686" s="1">
        <f>Tabela15[[#This Row],[Força (N)]]/$I$5</f>
        <v>10462635.955302592</v>
      </c>
      <c r="F686" s="1">
        <f>Tabela15[[#This Row],[Tensão (Pa)]]/1000000</f>
        <v>10.462635955302593</v>
      </c>
    </row>
    <row r="687" spans="1:6" x14ac:dyDescent="0.3">
      <c r="A687" s="13">
        <v>41.5</v>
      </c>
      <c r="B687" s="13">
        <v>3.4502999999999999</v>
      </c>
      <c r="C687" s="1">
        <f>Tabela15[[#This Row],[Alongamento (mm/mm)]]/$I$2</f>
        <v>6.9005999999999998E-2</v>
      </c>
      <c r="D687" s="13">
        <v>509.79</v>
      </c>
      <c r="E687" s="1">
        <f>Tabela15[[#This Row],[Força (N)]]/$I$5</f>
        <v>10547255.65286476</v>
      </c>
      <c r="F687" s="1">
        <f>Tabela15[[#This Row],[Tensão (Pa)]]/1000000</f>
        <v>10.547255652864759</v>
      </c>
    </row>
    <row r="688" spans="1:6" x14ac:dyDescent="0.3">
      <c r="A688" s="13">
        <v>41.616999999999997</v>
      </c>
      <c r="B688" s="13">
        <v>3.4599000000000002</v>
      </c>
      <c r="C688" s="1">
        <f>Tabela15[[#This Row],[Alongamento (mm/mm)]]/$I$2</f>
        <v>6.919800000000001E-2</v>
      </c>
      <c r="D688" s="13">
        <v>513.70000000000005</v>
      </c>
      <c r="E688" s="1">
        <f>Tabela15[[#This Row],[Força (N)]]/$I$5</f>
        <v>10628151.256157687</v>
      </c>
      <c r="F688" s="1">
        <f>Tabela15[[#This Row],[Tensão (Pa)]]/1000000</f>
        <v>10.628151256157686</v>
      </c>
    </row>
    <row r="689" spans="1:6" x14ac:dyDescent="0.3">
      <c r="A689" s="13">
        <v>41.732999999999997</v>
      </c>
      <c r="B689" s="13">
        <v>3.4697</v>
      </c>
      <c r="C689" s="1">
        <f>Tabela15[[#This Row],[Alongamento (mm/mm)]]/$I$2</f>
        <v>6.9393999999999997E-2</v>
      </c>
      <c r="D689" s="13">
        <v>517.78</v>
      </c>
      <c r="E689" s="1">
        <f>Tabela15[[#This Row],[Força (N)]]/$I$5</f>
        <v>10712564.059593784</v>
      </c>
      <c r="F689" s="1">
        <f>Tabela15[[#This Row],[Tensão (Pa)]]/1000000</f>
        <v>10.712564059593785</v>
      </c>
    </row>
    <row r="690" spans="1:6" x14ac:dyDescent="0.3">
      <c r="A690" s="13">
        <v>41.85</v>
      </c>
      <c r="B690" s="13">
        <v>3.4792999999999998</v>
      </c>
      <c r="C690" s="1">
        <f>Tabela15[[#This Row],[Alongamento (mm/mm)]]/$I$2</f>
        <v>6.9585999999999995E-2</v>
      </c>
      <c r="D690" s="13">
        <v>521.69000000000005</v>
      </c>
      <c r="E690" s="1">
        <f>Tabela15[[#This Row],[Força (N)]]/$I$5</f>
        <v>10793459.662886713</v>
      </c>
      <c r="F690" s="1">
        <f>Tabela15[[#This Row],[Tensão (Pa)]]/1000000</f>
        <v>10.793459662886713</v>
      </c>
    </row>
    <row r="691" spans="1:6" x14ac:dyDescent="0.3">
      <c r="A691" s="13">
        <v>41.966999999999999</v>
      </c>
      <c r="B691" s="13">
        <v>3.4891999999999999</v>
      </c>
      <c r="C691" s="1">
        <f>Tabela15[[#This Row],[Alongamento (mm/mm)]]/$I$2</f>
        <v>6.9783999999999999E-2</v>
      </c>
      <c r="D691" s="13">
        <v>525.78</v>
      </c>
      <c r="E691" s="1">
        <f>Tabela15[[#This Row],[Força (N)]]/$I$5</f>
        <v>10878079.360448876</v>
      </c>
      <c r="F691" s="1">
        <f>Tabela15[[#This Row],[Tensão (Pa)]]/1000000</f>
        <v>10.878079360448876</v>
      </c>
    </row>
    <row r="692" spans="1:6" x14ac:dyDescent="0.3">
      <c r="A692" s="13">
        <v>42.082999999999998</v>
      </c>
      <c r="B692" s="13">
        <v>3.4988999999999999</v>
      </c>
      <c r="C692" s="1">
        <f>Tabela15[[#This Row],[Alongamento (mm/mm)]]/$I$2</f>
        <v>6.9977999999999999E-2</v>
      </c>
      <c r="D692" s="13">
        <v>529.86</v>
      </c>
      <c r="E692" s="1">
        <f>Tabela15[[#This Row],[Força (N)]]/$I$5</f>
        <v>10962492.163884975</v>
      </c>
      <c r="F692" s="1">
        <f>Tabela15[[#This Row],[Tensão (Pa)]]/1000000</f>
        <v>10.962492163884974</v>
      </c>
    </row>
    <row r="693" spans="1:6" x14ac:dyDescent="0.3">
      <c r="A693" s="13">
        <v>42.2</v>
      </c>
      <c r="B693" s="13">
        <v>3.5085999999999999</v>
      </c>
      <c r="C693" s="1">
        <f>Tabela15[[#This Row],[Alongamento (mm/mm)]]/$I$2</f>
        <v>7.0171999999999998E-2</v>
      </c>
      <c r="D693" s="13">
        <v>533.94000000000005</v>
      </c>
      <c r="E693" s="1">
        <f>Tabela15[[#This Row],[Força (N)]]/$I$5</f>
        <v>11046904.967321074</v>
      </c>
      <c r="F693" s="1">
        <f>Tabela15[[#This Row],[Tensão (Pa)]]/1000000</f>
        <v>11.046904967321074</v>
      </c>
    </row>
    <row r="694" spans="1:6" x14ac:dyDescent="0.3">
      <c r="A694" s="13">
        <v>42.317</v>
      </c>
      <c r="B694" s="13">
        <v>3.5183</v>
      </c>
      <c r="C694" s="1">
        <f>Tabela15[[#This Row],[Alongamento (mm/mm)]]/$I$2</f>
        <v>7.0365999999999998E-2</v>
      </c>
      <c r="D694" s="13">
        <v>538.02</v>
      </c>
      <c r="E694" s="1">
        <f>Tabela15[[#This Row],[Força (N)]]/$I$5</f>
        <v>11131317.77075717</v>
      </c>
      <c r="F694" s="1">
        <f>Tabela15[[#This Row],[Tensão (Pa)]]/1000000</f>
        <v>11.131317770757171</v>
      </c>
    </row>
    <row r="695" spans="1:6" x14ac:dyDescent="0.3">
      <c r="A695" s="13">
        <v>42.433</v>
      </c>
      <c r="B695" s="13">
        <v>3.528</v>
      </c>
      <c r="C695" s="1">
        <f>Tabela15[[#This Row],[Alongamento (mm/mm)]]/$I$2</f>
        <v>7.0559999999999998E-2</v>
      </c>
      <c r="D695" s="13">
        <v>542.1</v>
      </c>
      <c r="E695" s="1">
        <f>Tabela15[[#This Row],[Força (N)]]/$I$5</f>
        <v>11215730.574193269</v>
      </c>
      <c r="F695" s="1">
        <f>Tabela15[[#This Row],[Tensão (Pa)]]/1000000</f>
        <v>11.21573057419327</v>
      </c>
    </row>
    <row r="696" spans="1:6" x14ac:dyDescent="0.3">
      <c r="A696" s="13">
        <v>42.55</v>
      </c>
      <c r="B696" s="13">
        <v>3.5377999999999998</v>
      </c>
      <c r="C696" s="1">
        <f>Tabela15[[#This Row],[Alongamento (mm/mm)]]/$I$2</f>
        <v>7.0755999999999999E-2</v>
      </c>
      <c r="D696" s="13">
        <v>546.19000000000005</v>
      </c>
      <c r="E696" s="1">
        <f>Tabela15[[#This Row],[Força (N)]]/$I$5</f>
        <v>11300350.271755435</v>
      </c>
      <c r="F696" s="1">
        <f>Tabela15[[#This Row],[Tensão (Pa)]]/1000000</f>
        <v>11.300350271755434</v>
      </c>
    </row>
    <row r="697" spans="1:6" x14ac:dyDescent="0.3">
      <c r="A697" s="13">
        <v>42.667000000000002</v>
      </c>
      <c r="B697" s="13">
        <v>3.5474999999999999</v>
      </c>
      <c r="C697" s="1">
        <f>Tabela15[[#This Row],[Alongamento (mm/mm)]]/$I$2</f>
        <v>7.0949999999999999E-2</v>
      </c>
      <c r="D697" s="13">
        <v>550.27</v>
      </c>
      <c r="E697" s="1">
        <f>Tabela15[[#This Row],[Força (N)]]/$I$5</f>
        <v>11384763.075191531</v>
      </c>
      <c r="F697" s="1">
        <f>Tabela15[[#This Row],[Tensão (Pa)]]/1000000</f>
        <v>11.384763075191531</v>
      </c>
    </row>
    <row r="698" spans="1:6" x14ac:dyDescent="0.3">
      <c r="A698" s="13">
        <v>42.783000000000001</v>
      </c>
      <c r="B698" s="13">
        <v>3.5571999999999999</v>
      </c>
      <c r="C698" s="1">
        <f>Tabela15[[#This Row],[Alongamento (mm/mm)]]/$I$2</f>
        <v>7.1143999999999999E-2</v>
      </c>
      <c r="D698" s="13">
        <v>554.35</v>
      </c>
      <c r="E698" s="1">
        <f>Tabela15[[#This Row],[Força (N)]]/$I$5</f>
        <v>11469175.87862763</v>
      </c>
      <c r="F698" s="1">
        <f>Tabela15[[#This Row],[Tensão (Pa)]]/1000000</f>
        <v>11.469175878627629</v>
      </c>
    </row>
    <row r="699" spans="1:6" x14ac:dyDescent="0.3">
      <c r="A699" s="13">
        <v>42.9</v>
      </c>
      <c r="B699" s="13">
        <v>3.5669</v>
      </c>
      <c r="C699" s="1">
        <f>Tabela15[[#This Row],[Alongamento (mm/mm)]]/$I$2</f>
        <v>7.1337999999999999E-2</v>
      </c>
      <c r="D699" s="13">
        <v>558.42999999999995</v>
      </c>
      <c r="E699" s="1">
        <f>Tabela15[[#This Row],[Força (N)]]/$I$5</f>
        <v>11553588.682063727</v>
      </c>
      <c r="F699" s="1">
        <f>Tabela15[[#This Row],[Tensão (Pa)]]/1000000</f>
        <v>11.553588682063726</v>
      </c>
    </row>
    <row r="700" spans="1:6" x14ac:dyDescent="0.3">
      <c r="A700" s="13">
        <v>43.017000000000003</v>
      </c>
      <c r="B700" s="13">
        <v>3.5767000000000002</v>
      </c>
      <c r="C700" s="1">
        <f>Tabela15[[#This Row],[Alongamento (mm/mm)]]/$I$2</f>
        <v>7.1534E-2</v>
      </c>
      <c r="D700" s="13">
        <v>562.52</v>
      </c>
      <c r="E700" s="1">
        <f>Tabela15[[#This Row],[Força (N)]]/$I$5</f>
        <v>11638208.379625894</v>
      </c>
      <c r="F700" s="1">
        <f>Tabela15[[#This Row],[Tensão (Pa)]]/1000000</f>
        <v>11.638208379625894</v>
      </c>
    </row>
    <row r="701" spans="1:6" x14ac:dyDescent="0.3">
      <c r="A701" s="13">
        <v>43.133000000000003</v>
      </c>
      <c r="B701" s="13">
        <v>3.5863999999999998</v>
      </c>
      <c r="C701" s="1">
        <f>Tabela15[[#This Row],[Alongamento (mm/mm)]]/$I$2</f>
        <v>7.1728E-2</v>
      </c>
      <c r="D701" s="13">
        <v>566.77</v>
      </c>
      <c r="E701" s="1">
        <f>Tabela15[[#This Row],[Força (N)]]/$I$5</f>
        <v>11726138.383205162</v>
      </c>
      <c r="F701" s="1">
        <f>Tabela15[[#This Row],[Tensão (Pa)]]/1000000</f>
        <v>11.726138383205162</v>
      </c>
    </row>
    <row r="702" spans="1:6" x14ac:dyDescent="0.3">
      <c r="A702" s="13">
        <v>43.267000000000003</v>
      </c>
      <c r="B702" s="13">
        <v>3.5975000000000001</v>
      </c>
      <c r="C702" s="1">
        <f>Tabela15[[#This Row],[Alongamento (mm/mm)]]/$I$2</f>
        <v>7.195E-2</v>
      </c>
      <c r="D702" s="13">
        <v>571.53</v>
      </c>
      <c r="E702" s="1">
        <f>Tabela15[[#This Row],[Força (N)]]/$I$5</f>
        <v>11824619.987213941</v>
      </c>
      <c r="F702" s="1">
        <f>Tabela15[[#This Row],[Tensão (Pa)]]/1000000</f>
        <v>11.824619987213941</v>
      </c>
    </row>
    <row r="703" spans="1:6" x14ac:dyDescent="0.3">
      <c r="A703" s="13">
        <v>43.4</v>
      </c>
      <c r="B703" s="13">
        <v>3.6084999999999998</v>
      </c>
      <c r="C703" s="1">
        <f>Tabela15[[#This Row],[Alongamento (mm/mm)]]/$I$2</f>
        <v>7.2169999999999998E-2</v>
      </c>
      <c r="D703" s="13">
        <v>576.29</v>
      </c>
      <c r="E703" s="1">
        <f>Tabela15[[#This Row],[Força (N)]]/$I$5</f>
        <v>11923101.591222722</v>
      </c>
      <c r="F703" s="1">
        <f>Tabela15[[#This Row],[Tensão (Pa)]]/1000000</f>
        <v>11.923101591222721</v>
      </c>
    </row>
    <row r="704" spans="1:6" x14ac:dyDescent="0.3">
      <c r="A704" s="13">
        <v>43.533000000000001</v>
      </c>
      <c r="B704" s="13">
        <v>3.6196999999999999</v>
      </c>
      <c r="C704" s="1">
        <f>Tabela15[[#This Row],[Alongamento (mm/mm)]]/$I$2</f>
        <v>7.2394E-2</v>
      </c>
      <c r="D704" s="13">
        <v>581.23</v>
      </c>
      <c r="E704" s="1">
        <f>Tabela15[[#This Row],[Força (N)]]/$I$5</f>
        <v>12025307.289500743</v>
      </c>
      <c r="F704" s="1">
        <f>Tabela15[[#This Row],[Tensão (Pa)]]/1000000</f>
        <v>12.025307289500743</v>
      </c>
    </row>
    <row r="705" spans="1:6" x14ac:dyDescent="0.3">
      <c r="A705" s="13">
        <v>43.667000000000002</v>
      </c>
      <c r="B705" s="13">
        <v>3.6307999999999998</v>
      </c>
      <c r="C705" s="1">
        <f>Tabela15[[#This Row],[Alongamento (mm/mm)]]/$I$2</f>
        <v>7.2616E-2</v>
      </c>
      <c r="D705" s="13">
        <v>586.16</v>
      </c>
      <c r="E705" s="1">
        <f>Tabela15[[#This Row],[Força (N)]]/$I$5</f>
        <v>12127306.093652694</v>
      </c>
      <c r="F705" s="1">
        <f>Tabela15[[#This Row],[Tensão (Pa)]]/1000000</f>
        <v>12.127306093652694</v>
      </c>
    </row>
    <row r="706" spans="1:6" x14ac:dyDescent="0.3">
      <c r="A706" s="13">
        <v>43.8</v>
      </c>
      <c r="B706" s="13">
        <v>3.6419000000000001</v>
      </c>
      <c r="C706" s="1">
        <f>Tabela15[[#This Row],[Alongamento (mm/mm)]]/$I$2</f>
        <v>7.2838E-2</v>
      </c>
      <c r="D706" s="13">
        <v>591.09</v>
      </c>
      <c r="E706" s="1">
        <f>Tabela15[[#This Row],[Força (N)]]/$I$5</f>
        <v>12229304.897804646</v>
      </c>
      <c r="F706" s="1">
        <f>Tabela15[[#This Row],[Tensão (Pa)]]/1000000</f>
        <v>12.229304897804646</v>
      </c>
    </row>
    <row r="707" spans="1:6" x14ac:dyDescent="0.3">
      <c r="A707" s="13">
        <v>43.933</v>
      </c>
      <c r="B707" s="13">
        <v>3.6530999999999998</v>
      </c>
      <c r="C707" s="1">
        <f>Tabela15[[#This Row],[Alongamento (mm/mm)]]/$I$2</f>
        <v>7.3062000000000002E-2</v>
      </c>
      <c r="D707" s="13">
        <v>596.03</v>
      </c>
      <c r="E707" s="1">
        <f>Tabela15[[#This Row],[Força (N)]]/$I$5</f>
        <v>12331510.596082665</v>
      </c>
      <c r="F707" s="1">
        <f>Tabela15[[#This Row],[Tensão (Pa)]]/1000000</f>
        <v>12.331510596082666</v>
      </c>
    </row>
    <row r="708" spans="1:6" x14ac:dyDescent="0.3">
      <c r="A708" s="13">
        <v>44.067</v>
      </c>
      <c r="B708" s="13">
        <v>3.6642000000000001</v>
      </c>
      <c r="C708" s="1">
        <f>Tabela15[[#This Row],[Alongamento (mm/mm)]]/$I$2</f>
        <v>7.3284000000000002E-2</v>
      </c>
      <c r="D708" s="13">
        <v>600.96</v>
      </c>
      <c r="E708" s="1">
        <f>Tabela15[[#This Row],[Força (N)]]/$I$5</f>
        <v>12433509.400234619</v>
      </c>
      <c r="F708" s="1">
        <f>Tabela15[[#This Row],[Tensão (Pa)]]/1000000</f>
        <v>12.43350940023462</v>
      </c>
    </row>
    <row r="709" spans="1:6" x14ac:dyDescent="0.3">
      <c r="A709" s="13">
        <v>44.2</v>
      </c>
      <c r="B709" s="13">
        <v>3.6753</v>
      </c>
      <c r="C709" s="1">
        <f>Tabela15[[#This Row],[Alongamento (mm/mm)]]/$I$2</f>
        <v>7.3506000000000002E-2</v>
      </c>
      <c r="D709" s="13">
        <v>605.89</v>
      </c>
      <c r="E709" s="1">
        <f>Tabela15[[#This Row],[Força (N)]]/$I$5</f>
        <v>12535508.204386568</v>
      </c>
      <c r="F709" s="1">
        <f>Tabela15[[#This Row],[Tensão (Pa)]]/1000000</f>
        <v>12.535508204386568</v>
      </c>
    </row>
    <row r="710" spans="1:6" x14ac:dyDescent="0.3">
      <c r="A710" s="13">
        <v>44.317</v>
      </c>
      <c r="B710" s="13">
        <v>3.6850000000000001</v>
      </c>
      <c r="C710" s="1">
        <f>Tabela15[[#This Row],[Alongamento (mm/mm)]]/$I$2</f>
        <v>7.3700000000000002E-2</v>
      </c>
      <c r="D710" s="13">
        <v>610.30999999999995</v>
      </c>
      <c r="E710" s="1">
        <f>Tabela15[[#This Row],[Força (N)]]/$I$5</f>
        <v>12626955.408109007</v>
      </c>
      <c r="F710" s="1">
        <f>Tabela15[[#This Row],[Tensão (Pa)]]/1000000</f>
        <v>12.626955408109007</v>
      </c>
    </row>
    <row r="711" spans="1:6" x14ac:dyDescent="0.3">
      <c r="A711" s="13">
        <v>44.45</v>
      </c>
      <c r="B711" s="13">
        <v>3.6960999999999999</v>
      </c>
      <c r="C711" s="1">
        <f>Tabela15[[#This Row],[Alongamento (mm/mm)]]/$I$2</f>
        <v>7.3922000000000002E-2</v>
      </c>
      <c r="D711" s="13">
        <v>615.25</v>
      </c>
      <c r="E711" s="1">
        <f>Tabela15[[#This Row],[Força (N)]]/$I$5</f>
        <v>12729161.106387028</v>
      </c>
      <c r="F711" s="1">
        <f>Tabela15[[#This Row],[Tensão (Pa)]]/1000000</f>
        <v>12.729161106387028</v>
      </c>
    </row>
    <row r="712" spans="1:6" x14ac:dyDescent="0.3">
      <c r="A712" s="13">
        <v>44.582999999999998</v>
      </c>
      <c r="B712" s="13">
        <v>3.7071999999999998</v>
      </c>
      <c r="C712" s="1">
        <f>Tabela15[[#This Row],[Alongamento (mm/mm)]]/$I$2</f>
        <v>7.4144000000000002E-2</v>
      </c>
      <c r="D712" s="13">
        <v>620.35</v>
      </c>
      <c r="E712" s="1">
        <f>Tabela15[[#This Row],[Força (N)]]/$I$5</f>
        <v>12834677.11068215</v>
      </c>
      <c r="F712" s="1">
        <f>Tabela15[[#This Row],[Tensão (Pa)]]/1000000</f>
        <v>12.834677110682151</v>
      </c>
    </row>
    <row r="713" spans="1:6" x14ac:dyDescent="0.3">
      <c r="A713" s="13">
        <v>44.716999999999999</v>
      </c>
      <c r="B713" s="13">
        <v>3.7181999999999999</v>
      </c>
      <c r="C713" s="1">
        <f>Tabela15[[#This Row],[Alongamento (mm/mm)]]/$I$2</f>
        <v>7.4364E-2</v>
      </c>
      <c r="D713" s="13">
        <v>625.45000000000005</v>
      </c>
      <c r="E713" s="1">
        <f>Tabela15[[#This Row],[Força (N)]]/$I$5</f>
        <v>12940193.114977274</v>
      </c>
      <c r="F713" s="1">
        <f>Tabela15[[#This Row],[Tensão (Pa)]]/1000000</f>
        <v>12.940193114977275</v>
      </c>
    </row>
    <row r="714" spans="1:6" x14ac:dyDescent="0.3">
      <c r="A714" s="13">
        <v>44.85</v>
      </c>
      <c r="B714" s="13">
        <v>3.7294999999999998</v>
      </c>
      <c r="C714" s="1">
        <f>Tabela15[[#This Row],[Alongamento (mm/mm)]]/$I$2</f>
        <v>7.458999999999999E-2</v>
      </c>
      <c r="D714" s="13">
        <v>630.55999999999995</v>
      </c>
      <c r="E714" s="1">
        <f>Tabela15[[#This Row],[Força (N)]]/$I$5</f>
        <v>13045916.013398463</v>
      </c>
      <c r="F714" s="1">
        <f>Tabela15[[#This Row],[Tensão (Pa)]]/1000000</f>
        <v>13.045916013398463</v>
      </c>
    </row>
    <row r="715" spans="1:6" x14ac:dyDescent="0.3">
      <c r="A715" s="13">
        <v>44.982999999999997</v>
      </c>
      <c r="B715" s="13">
        <v>3.7406000000000001</v>
      </c>
      <c r="C715" s="1">
        <f>Tabela15[[#This Row],[Alongamento (mm/mm)]]/$I$2</f>
        <v>7.4812000000000003E-2</v>
      </c>
      <c r="D715" s="13">
        <v>635.66</v>
      </c>
      <c r="E715" s="1">
        <f>Tabela15[[#This Row],[Força (N)]]/$I$5</f>
        <v>13151432.017693585</v>
      </c>
      <c r="F715" s="1">
        <f>Tabela15[[#This Row],[Tensão (Pa)]]/1000000</f>
        <v>13.151432017693585</v>
      </c>
    </row>
    <row r="716" spans="1:6" x14ac:dyDescent="0.3">
      <c r="A716" s="13">
        <v>45.116999999999997</v>
      </c>
      <c r="B716" s="13">
        <v>3.7515999999999998</v>
      </c>
      <c r="C716" s="1">
        <f>Tabela15[[#This Row],[Alongamento (mm/mm)]]/$I$2</f>
        <v>7.5032000000000001E-2</v>
      </c>
      <c r="D716" s="13">
        <v>640.76</v>
      </c>
      <c r="E716" s="1">
        <f>Tabela15[[#This Row],[Força (N)]]/$I$5</f>
        <v>13256948.021988707</v>
      </c>
      <c r="F716" s="1">
        <f>Tabela15[[#This Row],[Tensão (Pa)]]/1000000</f>
        <v>13.256948021988707</v>
      </c>
    </row>
    <row r="717" spans="1:6" x14ac:dyDescent="0.3">
      <c r="A717" s="13">
        <v>45.25</v>
      </c>
      <c r="B717" s="13">
        <v>3.7627999999999999</v>
      </c>
      <c r="C717" s="1">
        <f>Tabela15[[#This Row],[Alongamento (mm/mm)]]/$I$2</f>
        <v>7.5256000000000003E-2</v>
      </c>
      <c r="D717" s="13">
        <v>645.87</v>
      </c>
      <c r="E717" s="1">
        <f>Tabela15[[#This Row],[Força (N)]]/$I$5</f>
        <v>13362670.920409899</v>
      </c>
      <c r="F717" s="1">
        <f>Tabela15[[#This Row],[Tensão (Pa)]]/1000000</f>
        <v>13.362670920409899</v>
      </c>
    </row>
    <row r="718" spans="1:6" x14ac:dyDescent="0.3">
      <c r="A718" s="13">
        <v>45.383000000000003</v>
      </c>
      <c r="B718" s="13">
        <v>3.7738999999999998</v>
      </c>
      <c r="C718" s="1">
        <f>Tabela15[[#This Row],[Alongamento (mm/mm)]]/$I$2</f>
        <v>7.547799999999999E-2</v>
      </c>
      <c r="D718" s="13">
        <v>650.97</v>
      </c>
      <c r="E718" s="1">
        <f>Tabela15[[#This Row],[Força (N)]]/$I$5</f>
        <v>13468186.924705021</v>
      </c>
      <c r="F718" s="1">
        <f>Tabela15[[#This Row],[Tensão (Pa)]]/1000000</f>
        <v>13.468186924705021</v>
      </c>
    </row>
    <row r="719" spans="1:6" x14ac:dyDescent="0.3">
      <c r="A719" s="13">
        <v>45.517000000000003</v>
      </c>
      <c r="B719" s="13">
        <v>3.7848999999999999</v>
      </c>
      <c r="C719" s="1">
        <f>Tabela15[[#This Row],[Alongamento (mm/mm)]]/$I$2</f>
        <v>7.5698000000000001E-2</v>
      </c>
      <c r="D719" s="13">
        <v>656.07</v>
      </c>
      <c r="E719" s="1">
        <f>Tabela15[[#This Row],[Força (N)]]/$I$5</f>
        <v>13573702.929000143</v>
      </c>
      <c r="F719" s="1">
        <f>Tabela15[[#This Row],[Tensão (Pa)]]/1000000</f>
        <v>13.573702929000143</v>
      </c>
    </row>
    <row r="720" spans="1:6" x14ac:dyDescent="0.3">
      <c r="A720" s="13">
        <v>45.65</v>
      </c>
      <c r="B720" s="13">
        <v>3.7959999999999998</v>
      </c>
      <c r="C720" s="1">
        <f>Tabela15[[#This Row],[Alongamento (mm/mm)]]/$I$2</f>
        <v>7.5920000000000001E-2</v>
      </c>
      <c r="D720" s="13">
        <v>661.17</v>
      </c>
      <c r="E720" s="1">
        <f>Tabela15[[#This Row],[Força (N)]]/$I$5</f>
        <v>13679218.933295263</v>
      </c>
      <c r="F720" s="1">
        <f>Tabela15[[#This Row],[Tensão (Pa)]]/1000000</f>
        <v>13.679218933295264</v>
      </c>
    </row>
    <row r="721" spans="1:6" x14ac:dyDescent="0.3">
      <c r="A721" s="13">
        <v>45.783000000000001</v>
      </c>
      <c r="B721" s="13">
        <v>3.8071999999999999</v>
      </c>
      <c r="C721" s="1">
        <f>Tabela15[[#This Row],[Alongamento (mm/mm)]]/$I$2</f>
        <v>7.6144000000000003E-2</v>
      </c>
      <c r="D721" s="13">
        <v>666.45</v>
      </c>
      <c r="E721" s="1">
        <f>Tabela15[[#This Row],[Força (N)]]/$I$5</f>
        <v>13788459.031859627</v>
      </c>
      <c r="F721" s="1">
        <f>Tabela15[[#This Row],[Tensão (Pa)]]/1000000</f>
        <v>13.788459031859627</v>
      </c>
    </row>
    <row r="722" spans="1:6" x14ac:dyDescent="0.3">
      <c r="A722" s="13">
        <v>45.917000000000002</v>
      </c>
      <c r="B722" s="13">
        <v>3.8184</v>
      </c>
      <c r="C722" s="1">
        <f>Tabela15[[#This Row],[Alongamento (mm/mm)]]/$I$2</f>
        <v>7.6368000000000005E-2</v>
      </c>
      <c r="D722" s="13">
        <v>671.55</v>
      </c>
      <c r="E722" s="1">
        <f>Tabela15[[#This Row],[Força (N)]]/$I$5</f>
        <v>13893975.036154747</v>
      </c>
      <c r="F722" s="1">
        <f>Tabela15[[#This Row],[Tensão (Pa)]]/1000000</f>
        <v>13.893975036154748</v>
      </c>
    </row>
    <row r="723" spans="1:6" x14ac:dyDescent="0.3">
      <c r="A723" s="13">
        <v>46.05</v>
      </c>
      <c r="B723" s="13">
        <v>3.8294000000000001</v>
      </c>
      <c r="C723" s="1">
        <f>Tabela15[[#This Row],[Alongamento (mm/mm)]]/$I$2</f>
        <v>7.6588000000000003E-2</v>
      </c>
      <c r="D723" s="13">
        <v>676.65</v>
      </c>
      <c r="E723" s="1">
        <f>Tabela15[[#This Row],[Força (N)]]/$I$5</f>
        <v>13999491.040449869</v>
      </c>
      <c r="F723" s="1">
        <f>Tabela15[[#This Row],[Tensão (Pa)]]/1000000</f>
        <v>13.999491040449868</v>
      </c>
    </row>
    <row r="724" spans="1:6" x14ac:dyDescent="0.3">
      <c r="A724" s="13">
        <v>46.183</v>
      </c>
      <c r="B724" s="13">
        <v>3.8405</v>
      </c>
      <c r="C724" s="1">
        <f>Tabela15[[#This Row],[Alongamento (mm/mm)]]/$I$2</f>
        <v>7.6810000000000003E-2</v>
      </c>
      <c r="D724" s="13">
        <v>681.93</v>
      </c>
      <c r="E724" s="1">
        <f>Tabela15[[#This Row],[Força (N)]]/$I$5</f>
        <v>14108731.139014231</v>
      </c>
      <c r="F724" s="1">
        <f>Tabela15[[#This Row],[Tensão (Pa)]]/1000000</f>
        <v>14.108731139014232</v>
      </c>
    </row>
    <row r="725" spans="1:6" x14ac:dyDescent="0.3">
      <c r="A725" s="13">
        <v>46.317</v>
      </c>
      <c r="B725" s="13">
        <v>3.8515999999999999</v>
      </c>
      <c r="C725" s="1">
        <f>Tabela15[[#This Row],[Alongamento (mm/mm)]]/$I$2</f>
        <v>7.7032000000000003E-2</v>
      </c>
      <c r="D725" s="13">
        <v>687.03</v>
      </c>
      <c r="E725" s="1">
        <f>Tabela15[[#This Row],[Força (N)]]/$I$5</f>
        <v>14214247.143309353</v>
      </c>
      <c r="F725" s="1">
        <f>Tabela15[[#This Row],[Tensão (Pa)]]/1000000</f>
        <v>14.214247143309352</v>
      </c>
    </row>
    <row r="726" spans="1:6" x14ac:dyDescent="0.3">
      <c r="A726" s="13">
        <v>46.45</v>
      </c>
      <c r="B726" s="13">
        <v>3.8626999999999998</v>
      </c>
      <c r="C726" s="1">
        <f>Tabela15[[#This Row],[Alongamento (mm/mm)]]/$I$2</f>
        <v>7.7253999999999989E-2</v>
      </c>
      <c r="D726" s="13">
        <v>692.13</v>
      </c>
      <c r="E726" s="1">
        <f>Tabela15[[#This Row],[Força (N)]]/$I$5</f>
        <v>14319763.147604477</v>
      </c>
      <c r="F726" s="1">
        <f>Tabela15[[#This Row],[Tensão (Pa)]]/1000000</f>
        <v>14.319763147604476</v>
      </c>
    </row>
    <row r="727" spans="1:6" x14ac:dyDescent="0.3">
      <c r="A727" s="13">
        <v>46.582999999999998</v>
      </c>
      <c r="B727" s="13">
        <v>3.8738000000000001</v>
      </c>
      <c r="C727" s="1">
        <f>Tabela15[[#This Row],[Alongamento (mm/mm)]]/$I$2</f>
        <v>7.7476000000000003E-2</v>
      </c>
      <c r="D727" s="13">
        <v>697.41</v>
      </c>
      <c r="E727" s="1">
        <f>Tabela15[[#This Row],[Força (N)]]/$I$5</f>
        <v>14429003.246168837</v>
      </c>
      <c r="F727" s="1">
        <f>Tabela15[[#This Row],[Tensão (Pa)]]/1000000</f>
        <v>14.429003246168836</v>
      </c>
    </row>
    <row r="728" spans="1:6" x14ac:dyDescent="0.3">
      <c r="A728" s="13">
        <v>46.732999999999997</v>
      </c>
      <c r="B728" s="13">
        <v>3.8864000000000001</v>
      </c>
      <c r="C728" s="1">
        <f>Tabela15[[#This Row],[Alongamento (mm/mm)]]/$I$2</f>
        <v>7.7728000000000005E-2</v>
      </c>
      <c r="D728" s="13">
        <v>703.19</v>
      </c>
      <c r="E728" s="1">
        <f>Tabela15[[#This Row],[Força (N)]]/$I$5</f>
        <v>14548588.051036643</v>
      </c>
      <c r="F728" s="1">
        <f>Tabela15[[#This Row],[Tensão (Pa)]]/1000000</f>
        <v>14.548588051036642</v>
      </c>
    </row>
    <row r="729" spans="1:6" x14ac:dyDescent="0.3">
      <c r="A729" s="13">
        <v>46.883000000000003</v>
      </c>
      <c r="B729" s="13">
        <v>3.8988999999999998</v>
      </c>
      <c r="C729" s="1">
        <f>Tabela15[[#This Row],[Alongamento (mm/mm)]]/$I$2</f>
        <v>7.7977999999999992E-2</v>
      </c>
      <c r="D729" s="13">
        <v>709.14</v>
      </c>
      <c r="E729" s="1">
        <f>Tabela15[[#This Row],[Força (N)]]/$I$5</f>
        <v>14671690.056047618</v>
      </c>
      <c r="F729" s="1">
        <f>Tabela15[[#This Row],[Tensão (Pa)]]/1000000</f>
        <v>14.671690056047618</v>
      </c>
    </row>
    <row r="730" spans="1:6" x14ac:dyDescent="0.3">
      <c r="A730" s="13">
        <v>47.033000000000001</v>
      </c>
      <c r="B730" s="13">
        <v>3.9114</v>
      </c>
      <c r="C730" s="1">
        <f>Tabela15[[#This Row],[Alongamento (mm/mm)]]/$I$2</f>
        <v>7.8228000000000006E-2</v>
      </c>
      <c r="D730" s="13">
        <v>714.93</v>
      </c>
      <c r="E730" s="1">
        <f>Tabela15[[#This Row],[Força (N)]]/$I$5</f>
        <v>14791481.755041491</v>
      </c>
      <c r="F730" s="1">
        <f>Tabela15[[#This Row],[Tensão (Pa)]]/1000000</f>
        <v>14.791481755041492</v>
      </c>
    </row>
    <row r="731" spans="1:6" x14ac:dyDescent="0.3">
      <c r="A731" s="13">
        <v>47.183</v>
      </c>
      <c r="B731" s="13">
        <v>3.9239000000000002</v>
      </c>
      <c r="C731" s="1">
        <f>Tabela15[[#This Row],[Alongamento (mm/mm)]]/$I$2</f>
        <v>7.8478000000000006E-2</v>
      </c>
      <c r="D731" s="13">
        <v>720.88</v>
      </c>
      <c r="E731" s="1">
        <f>Tabela15[[#This Row],[Força (N)]]/$I$5</f>
        <v>14914583.760052469</v>
      </c>
      <c r="F731" s="1">
        <f>Tabela15[[#This Row],[Tensão (Pa)]]/1000000</f>
        <v>14.914583760052469</v>
      </c>
    </row>
    <row r="732" spans="1:6" x14ac:dyDescent="0.3">
      <c r="A732" s="13">
        <v>47.332999999999998</v>
      </c>
      <c r="B732" s="13">
        <v>3.9363999999999999</v>
      </c>
      <c r="C732" s="1">
        <f>Tabela15[[#This Row],[Alongamento (mm/mm)]]/$I$2</f>
        <v>7.8727999999999992E-2</v>
      </c>
      <c r="D732" s="13">
        <v>726.66</v>
      </c>
      <c r="E732" s="1">
        <f>Tabela15[[#This Row],[Força (N)]]/$I$5</f>
        <v>15034168.564920273</v>
      </c>
      <c r="F732" s="1">
        <f>Tabela15[[#This Row],[Tensão (Pa)]]/1000000</f>
        <v>15.034168564920273</v>
      </c>
    </row>
    <row r="733" spans="1:6" x14ac:dyDescent="0.3">
      <c r="A733" s="13">
        <v>47.482999999999997</v>
      </c>
      <c r="B733" s="13">
        <v>3.9489000000000001</v>
      </c>
      <c r="C733" s="1">
        <f>Tabela15[[#This Row],[Alongamento (mm/mm)]]/$I$2</f>
        <v>7.8978000000000007E-2</v>
      </c>
      <c r="D733" s="13">
        <v>732.45</v>
      </c>
      <c r="E733" s="1">
        <f>Tabela15[[#This Row],[Força (N)]]/$I$5</f>
        <v>15153960.263914147</v>
      </c>
      <c r="F733" s="1">
        <f>Tabela15[[#This Row],[Tensão (Pa)]]/1000000</f>
        <v>15.153960263914147</v>
      </c>
    </row>
    <row r="734" spans="1:6" x14ac:dyDescent="0.3">
      <c r="A734" s="13">
        <v>47.633000000000003</v>
      </c>
      <c r="B734" s="13">
        <v>3.9613999999999998</v>
      </c>
      <c r="C734" s="1">
        <f>Tabela15[[#This Row],[Alongamento (mm/mm)]]/$I$2</f>
        <v>7.9227999999999993E-2</v>
      </c>
      <c r="D734" s="13">
        <v>738.23</v>
      </c>
      <c r="E734" s="1">
        <f>Tabela15[[#This Row],[Força (N)]]/$I$5</f>
        <v>15273545.068781951</v>
      </c>
      <c r="F734" s="1">
        <f>Tabela15[[#This Row],[Tensão (Pa)]]/1000000</f>
        <v>15.273545068781951</v>
      </c>
    </row>
    <row r="735" spans="1:6" x14ac:dyDescent="0.3">
      <c r="A735" s="13">
        <v>47.783000000000001</v>
      </c>
      <c r="B735" s="13">
        <v>3.9739</v>
      </c>
      <c r="C735" s="1">
        <f>Tabela15[[#This Row],[Alongamento (mm/mm)]]/$I$2</f>
        <v>7.9477999999999993E-2</v>
      </c>
      <c r="D735" s="13">
        <v>744.18</v>
      </c>
      <c r="E735" s="1">
        <f>Tabela15[[#This Row],[Força (N)]]/$I$5</f>
        <v>15396647.073792927</v>
      </c>
      <c r="F735" s="1">
        <f>Tabela15[[#This Row],[Tensão (Pa)]]/1000000</f>
        <v>15.396647073792927</v>
      </c>
    </row>
    <row r="736" spans="1:6" x14ac:dyDescent="0.3">
      <c r="A736" s="13">
        <v>47.933</v>
      </c>
      <c r="B736" s="13">
        <v>3.9863</v>
      </c>
      <c r="C736" s="1">
        <f>Tabela15[[#This Row],[Alongamento (mm/mm)]]/$I$2</f>
        <v>7.9726000000000005E-2</v>
      </c>
      <c r="D736" s="13">
        <v>750.14</v>
      </c>
      <c r="E736" s="1">
        <f>Tabela15[[#This Row],[Força (N)]]/$I$5</f>
        <v>15519955.972929971</v>
      </c>
      <c r="F736" s="1">
        <f>Tabela15[[#This Row],[Tensão (Pa)]]/1000000</f>
        <v>15.519955972929971</v>
      </c>
    </row>
    <row r="737" spans="1:6" x14ac:dyDescent="0.3">
      <c r="A737" s="13">
        <v>48.082999999999998</v>
      </c>
      <c r="B737" s="13">
        <v>3.9988999999999999</v>
      </c>
      <c r="C737" s="1">
        <f>Tabela15[[#This Row],[Alongamento (mm/mm)]]/$I$2</f>
        <v>7.9977999999999994E-2</v>
      </c>
      <c r="D737" s="13">
        <v>756.09</v>
      </c>
      <c r="E737" s="1">
        <f>Tabela15[[#This Row],[Força (N)]]/$I$5</f>
        <v>15643057.977940949</v>
      </c>
      <c r="F737" s="1">
        <f>Tabela15[[#This Row],[Tensão (Pa)]]/1000000</f>
        <v>15.643057977940948</v>
      </c>
    </row>
    <row r="738" spans="1:6" x14ac:dyDescent="0.3">
      <c r="A738" s="13">
        <v>48.232999999999997</v>
      </c>
      <c r="B738" s="13">
        <v>4.0114000000000001</v>
      </c>
      <c r="C738" s="1">
        <f>Tabela15[[#This Row],[Alongamento (mm/mm)]]/$I$2</f>
        <v>8.0228000000000008E-2</v>
      </c>
      <c r="D738" s="13">
        <v>762.04</v>
      </c>
      <c r="E738" s="1">
        <f>Tabela15[[#This Row],[Força (N)]]/$I$5</f>
        <v>15766159.982951922</v>
      </c>
      <c r="F738" s="1">
        <f>Tabela15[[#This Row],[Tensão (Pa)]]/1000000</f>
        <v>15.766159982951923</v>
      </c>
    </row>
    <row r="739" spans="1:6" x14ac:dyDescent="0.3">
      <c r="A739" s="13">
        <v>48.383000000000003</v>
      </c>
      <c r="B739" s="13">
        <v>4.0237999999999996</v>
      </c>
      <c r="C739" s="1">
        <f>Tabela15[[#This Row],[Alongamento (mm/mm)]]/$I$2</f>
        <v>8.0475999999999992E-2</v>
      </c>
      <c r="D739" s="13">
        <v>768.17</v>
      </c>
      <c r="E739" s="1">
        <f>Tabela15[[#This Row],[Força (N)]]/$I$5</f>
        <v>15892986.082232138</v>
      </c>
      <c r="F739" s="1">
        <f>Tabela15[[#This Row],[Tensão (Pa)]]/1000000</f>
        <v>15.892986082232138</v>
      </c>
    </row>
    <row r="740" spans="1:6" x14ac:dyDescent="0.3">
      <c r="A740" s="13">
        <v>48.533000000000001</v>
      </c>
      <c r="B740" s="13">
        <v>4.0364000000000004</v>
      </c>
      <c r="C740" s="1">
        <f>Tabela15[[#This Row],[Alongamento (mm/mm)]]/$I$2</f>
        <v>8.0728000000000008E-2</v>
      </c>
      <c r="D740" s="13">
        <v>774.12</v>
      </c>
      <c r="E740" s="1">
        <f>Tabela15[[#This Row],[Força (N)]]/$I$5</f>
        <v>16016088.087243116</v>
      </c>
      <c r="F740" s="1">
        <f>Tabela15[[#This Row],[Tensão (Pa)]]/1000000</f>
        <v>16.016088087243116</v>
      </c>
    </row>
    <row r="741" spans="1:6" x14ac:dyDescent="0.3">
      <c r="A741" s="13">
        <v>48.683</v>
      </c>
      <c r="B741" s="13">
        <v>4.0488999999999997</v>
      </c>
      <c r="C741" s="1">
        <f>Tabela15[[#This Row],[Alongamento (mm/mm)]]/$I$2</f>
        <v>8.0977999999999994E-2</v>
      </c>
      <c r="D741" s="13">
        <v>780.07</v>
      </c>
      <c r="E741" s="1">
        <f>Tabela15[[#This Row],[Força (N)]]/$I$5</f>
        <v>16139190.092254091</v>
      </c>
      <c r="F741" s="1">
        <f>Tabela15[[#This Row],[Tensão (Pa)]]/1000000</f>
        <v>16.13919009225409</v>
      </c>
    </row>
    <row r="742" spans="1:6" x14ac:dyDescent="0.3">
      <c r="A742" s="13">
        <v>48.832999999999998</v>
      </c>
      <c r="B742" s="13">
        <v>4.0613000000000001</v>
      </c>
      <c r="C742" s="1">
        <f>Tabela15[[#This Row],[Alongamento (mm/mm)]]/$I$2</f>
        <v>8.1226000000000007E-2</v>
      </c>
      <c r="D742" s="13">
        <v>786.2</v>
      </c>
      <c r="E742" s="1">
        <f>Tabela15[[#This Row],[Força (N)]]/$I$5</f>
        <v>16266016.191534307</v>
      </c>
      <c r="F742" s="1">
        <f>Tabela15[[#This Row],[Tensão (Pa)]]/1000000</f>
        <v>16.266016191534305</v>
      </c>
    </row>
    <row r="743" spans="1:6" x14ac:dyDescent="0.3">
      <c r="A743" s="13">
        <v>48.982999999999997</v>
      </c>
      <c r="B743" s="13">
        <v>4.0738000000000003</v>
      </c>
      <c r="C743" s="1">
        <f>Tabela15[[#This Row],[Alongamento (mm/mm)]]/$I$2</f>
        <v>8.1476000000000007E-2</v>
      </c>
      <c r="D743" s="13">
        <v>792.32</v>
      </c>
      <c r="E743" s="1">
        <f>Tabela15[[#This Row],[Força (N)]]/$I$5</f>
        <v>16392635.396688454</v>
      </c>
      <c r="F743" s="1">
        <f>Tabela15[[#This Row],[Tensão (Pa)]]/1000000</f>
        <v>16.392635396688455</v>
      </c>
    </row>
    <row r="744" spans="1:6" x14ac:dyDescent="0.3">
      <c r="A744" s="13">
        <v>49.133000000000003</v>
      </c>
      <c r="B744" s="13">
        <v>4.0864000000000003</v>
      </c>
      <c r="C744" s="1">
        <f>Tabela15[[#This Row],[Alongamento (mm/mm)]]/$I$2</f>
        <v>8.1728000000000009E-2</v>
      </c>
      <c r="D744" s="13">
        <v>798.44</v>
      </c>
      <c r="E744" s="1">
        <f>Tabela15[[#This Row],[Força (N)]]/$I$5</f>
        <v>16519254.601842599</v>
      </c>
      <c r="F744" s="1">
        <f>Tabela15[[#This Row],[Tensão (Pa)]]/1000000</f>
        <v>16.519254601842601</v>
      </c>
    </row>
    <row r="745" spans="1:6" x14ac:dyDescent="0.3">
      <c r="A745" s="13">
        <v>49.3</v>
      </c>
      <c r="B745" s="13">
        <v>4.1002000000000001</v>
      </c>
      <c r="C745" s="1">
        <f>Tabela15[[#This Row],[Alongamento (mm/mm)]]/$I$2</f>
        <v>8.2004000000000007E-2</v>
      </c>
      <c r="D745" s="13">
        <v>805.08</v>
      </c>
      <c r="E745" s="1">
        <f>Tabela15[[#This Row],[Força (N)]]/$I$5</f>
        <v>16656632.301552327</v>
      </c>
      <c r="F745" s="1">
        <f>Tabela15[[#This Row],[Tensão (Pa)]]/1000000</f>
        <v>16.656632301552328</v>
      </c>
    </row>
    <row r="746" spans="1:6" x14ac:dyDescent="0.3">
      <c r="A746" s="13">
        <v>49.45</v>
      </c>
      <c r="B746" s="13">
        <v>4.1128</v>
      </c>
      <c r="C746" s="1">
        <f>Tabela15[[#This Row],[Alongamento (mm/mm)]]/$I$2</f>
        <v>8.2255999999999996E-2</v>
      </c>
      <c r="D746" s="13">
        <v>811.2</v>
      </c>
      <c r="E746" s="1">
        <f>Tabela15[[#This Row],[Força (N)]]/$I$5</f>
        <v>16783251.506706472</v>
      </c>
      <c r="F746" s="1">
        <f>Tabela15[[#This Row],[Tensão (Pa)]]/1000000</f>
        <v>16.783251506706474</v>
      </c>
    </row>
    <row r="747" spans="1:6" x14ac:dyDescent="0.3">
      <c r="A747" s="13">
        <v>49.616999999999997</v>
      </c>
      <c r="B747" s="13">
        <v>4.1265999999999998</v>
      </c>
      <c r="C747" s="1">
        <f>Tabela15[[#This Row],[Alongamento (mm/mm)]]/$I$2</f>
        <v>8.2531999999999994E-2</v>
      </c>
      <c r="D747" s="13">
        <v>817.84</v>
      </c>
      <c r="E747" s="1">
        <f>Tabela15[[#This Row],[Força (N)]]/$I$5</f>
        <v>16920629.206416201</v>
      </c>
      <c r="F747" s="1">
        <f>Tabela15[[#This Row],[Tensão (Pa)]]/1000000</f>
        <v>16.920629206416201</v>
      </c>
    </row>
    <row r="748" spans="1:6" x14ac:dyDescent="0.3">
      <c r="A748" s="13">
        <v>49.767000000000003</v>
      </c>
      <c r="B748" s="13">
        <v>4.1391999999999998</v>
      </c>
      <c r="C748" s="1">
        <f>Tabela15[[#This Row],[Alongamento (mm/mm)]]/$I$2</f>
        <v>8.2783999999999996E-2</v>
      </c>
      <c r="D748" s="13">
        <v>823.96</v>
      </c>
      <c r="E748" s="1">
        <f>Tabela15[[#This Row],[Força (N)]]/$I$5</f>
        <v>17047248.411570348</v>
      </c>
      <c r="F748" s="1">
        <f>Tabela15[[#This Row],[Tensão (Pa)]]/1000000</f>
        <v>17.047248411570347</v>
      </c>
    </row>
    <row r="749" spans="1:6" x14ac:dyDescent="0.3">
      <c r="A749" s="13">
        <v>49.917000000000002</v>
      </c>
      <c r="B749" s="13">
        <v>4.1516000000000002</v>
      </c>
      <c r="C749" s="1">
        <f>Tabela15[[#This Row],[Alongamento (mm/mm)]]/$I$2</f>
        <v>8.3032000000000009E-2</v>
      </c>
      <c r="D749" s="13">
        <v>830.08</v>
      </c>
      <c r="E749" s="1">
        <f>Tabela15[[#This Row],[Força (N)]]/$I$5</f>
        <v>17173867.616724495</v>
      </c>
      <c r="F749" s="1">
        <f>Tabela15[[#This Row],[Tensão (Pa)]]/1000000</f>
        <v>17.173867616724493</v>
      </c>
    </row>
    <row r="750" spans="1:6" x14ac:dyDescent="0.3">
      <c r="A750" s="13">
        <v>50.082999999999998</v>
      </c>
      <c r="B750" s="13">
        <v>4.1656000000000004</v>
      </c>
      <c r="C750" s="1">
        <f>Tabela15[[#This Row],[Alongamento (mm/mm)]]/$I$2</f>
        <v>8.3312000000000011E-2</v>
      </c>
      <c r="D750" s="13">
        <v>837.06</v>
      </c>
      <c r="E750" s="1">
        <f>Tabela15[[#This Row],[Força (N)]]/$I$5</f>
        <v>17318279.716720562</v>
      </c>
      <c r="F750" s="1">
        <f>Tabela15[[#This Row],[Tensão (Pa)]]/1000000</f>
        <v>17.318279716720561</v>
      </c>
    </row>
    <row r="751" spans="1:6" x14ac:dyDescent="0.3">
      <c r="A751" s="13">
        <v>50.25</v>
      </c>
      <c r="B751" s="13">
        <v>4.1794000000000002</v>
      </c>
      <c r="C751" s="1">
        <f>Tabela15[[#This Row],[Alongamento (mm/mm)]]/$I$2</f>
        <v>8.358800000000001E-2</v>
      </c>
      <c r="D751" s="13">
        <v>844.03</v>
      </c>
      <c r="E751" s="1">
        <f>Tabela15[[#This Row],[Força (N)]]/$I$5</f>
        <v>17462484.922590561</v>
      </c>
      <c r="F751" s="1">
        <f>Tabela15[[#This Row],[Tensão (Pa)]]/1000000</f>
        <v>17.462484922590562</v>
      </c>
    </row>
    <row r="752" spans="1:6" x14ac:dyDescent="0.3">
      <c r="A752" s="13">
        <v>50.417000000000002</v>
      </c>
      <c r="B752" s="13">
        <v>4.1932999999999998</v>
      </c>
      <c r="C752" s="1">
        <f>Tabela15[[#This Row],[Alongamento (mm/mm)]]/$I$2</f>
        <v>8.3865999999999996E-2</v>
      </c>
      <c r="D752" s="13">
        <v>851</v>
      </c>
      <c r="E752" s="1">
        <f>Tabela15[[#This Row],[Força (N)]]/$I$5</f>
        <v>17606690.128460564</v>
      </c>
      <c r="F752" s="1">
        <f>Tabela15[[#This Row],[Tensão (Pa)]]/1000000</f>
        <v>17.606690128460563</v>
      </c>
    </row>
    <row r="753" spans="1:6" x14ac:dyDescent="0.3">
      <c r="A753" s="13">
        <v>50.582999999999998</v>
      </c>
      <c r="B753" s="13">
        <v>4.2072000000000003</v>
      </c>
      <c r="C753" s="1">
        <f>Tabela15[[#This Row],[Alongamento (mm/mm)]]/$I$2</f>
        <v>8.414400000000001E-2</v>
      </c>
      <c r="D753" s="13">
        <v>857.98</v>
      </c>
      <c r="E753" s="1">
        <f>Tabela15[[#This Row],[Força (N)]]/$I$5</f>
        <v>17751102.228456631</v>
      </c>
      <c r="F753" s="1">
        <f>Tabela15[[#This Row],[Tensão (Pa)]]/1000000</f>
        <v>17.751102228456631</v>
      </c>
    </row>
    <row r="754" spans="1:6" x14ac:dyDescent="0.3">
      <c r="A754" s="13">
        <v>50.732999999999997</v>
      </c>
      <c r="B754" s="13">
        <v>4.2195999999999998</v>
      </c>
      <c r="C754" s="1">
        <f>Tabela15[[#This Row],[Alongamento (mm/mm)]]/$I$2</f>
        <v>8.4391999999999995E-2</v>
      </c>
      <c r="D754" s="13">
        <v>864.44</v>
      </c>
      <c r="E754" s="1">
        <f>Tabela15[[#This Row],[Força (N)]]/$I$5</f>
        <v>17884755.833897121</v>
      </c>
      <c r="F754" s="1">
        <f>Tabela15[[#This Row],[Tensão (Pa)]]/1000000</f>
        <v>17.88475583389712</v>
      </c>
    </row>
    <row r="755" spans="1:6" x14ac:dyDescent="0.3">
      <c r="A755" s="13">
        <v>50.883000000000003</v>
      </c>
      <c r="B755" s="13">
        <v>4.2323000000000004</v>
      </c>
      <c r="C755" s="1">
        <f>Tabela15[[#This Row],[Alongamento (mm/mm)]]/$I$2</f>
        <v>8.4646000000000013E-2</v>
      </c>
      <c r="D755" s="13">
        <v>870.91</v>
      </c>
      <c r="E755" s="1">
        <f>Tabela15[[#This Row],[Força (N)]]/$I$5</f>
        <v>18018616.333463676</v>
      </c>
      <c r="F755" s="1">
        <f>Tabela15[[#This Row],[Tensão (Pa)]]/1000000</f>
        <v>18.018616333463676</v>
      </c>
    </row>
    <row r="756" spans="1:6" x14ac:dyDescent="0.3">
      <c r="A756" s="13">
        <v>51.05</v>
      </c>
      <c r="B756" s="13">
        <v>4.2461000000000002</v>
      </c>
      <c r="C756" s="1">
        <f>Tabela15[[#This Row],[Alongamento (mm/mm)]]/$I$2</f>
        <v>8.4921999999999997E-2</v>
      </c>
      <c r="D756" s="13">
        <v>878.05</v>
      </c>
      <c r="E756" s="1">
        <f>Tabela15[[#This Row],[Força (N)]]/$I$5</f>
        <v>18166338.739476845</v>
      </c>
      <c r="F756" s="1">
        <f>Tabela15[[#This Row],[Tensão (Pa)]]/1000000</f>
        <v>18.166338739476846</v>
      </c>
    </row>
    <row r="757" spans="1:6" x14ac:dyDescent="0.3">
      <c r="A757" s="13">
        <v>51.216999999999999</v>
      </c>
      <c r="B757" s="13">
        <v>4.2599</v>
      </c>
      <c r="C757" s="1">
        <f>Tabela15[[#This Row],[Alongamento (mm/mm)]]/$I$2</f>
        <v>8.5197999999999996E-2</v>
      </c>
      <c r="D757" s="13">
        <v>885.36</v>
      </c>
      <c r="E757" s="1">
        <f>Tabela15[[#This Row],[Força (N)]]/$I$5</f>
        <v>18317578.34563319</v>
      </c>
      <c r="F757" s="1">
        <f>Tabela15[[#This Row],[Tensão (Pa)]]/1000000</f>
        <v>18.317578345633191</v>
      </c>
    </row>
    <row r="758" spans="1:6" x14ac:dyDescent="0.3">
      <c r="A758" s="13">
        <v>51.383000000000003</v>
      </c>
      <c r="B758" s="13">
        <v>4.2739000000000003</v>
      </c>
      <c r="C758" s="1">
        <f>Tabela15[[#This Row],[Alongamento (mm/mm)]]/$I$2</f>
        <v>8.5477999999999998E-2</v>
      </c>
      <c r="D758" s="13">
        <v>892.51</v>
      </c>
      <c r="E758" s="1">
        <f>Tabela15[[#This Row],[Força (N)]]/$I$5</f>
        <v>18465507.645772427</v>
      </c>
      <c r="F758" s="1">
        <f>Tabela15[[#This Row],[Tensão (Pa)]]/1000000</f>
        <v>18.465507645772426</v>
      </c>
    </row>
    <row r="759" spans="1:6" x14ac:dyDescent="0.3">
      <c r="A759" s="13">
        <v>51.55</v>
      </c>
      <c r="B759" s="13">
        <v>4.2877999999999998</v>
      </c>
      <c r="C759" s="1">
        <f>Tabela15[[#This Row],[Alongamento (mm/mm)]]/$I$2</f>
        <v>8.5755999999999999E-2</v>
      </c>
      <c r="D759" s="13">
        <v>899.82</v>
      </c>
      <c r="E759" s="1">
        <f>Tabela15[[#This Row],[Força (N)]]/$I$5</f>
        <v>18616747.251928773</v>
      </c>
      <c r="F759" s="1">
        <f>Tabela15[[#This Row],[Tensão (Pa)]]/1000000</f>
        <v>18.616747251928771</v>
      </c>
    </row>
    <row r="760" spans="1:6" x14ac:dyDescent="0.3">
      <c r="A760" s="13">
        <v>51.716999999999999</v>
      </c>
      <c r="B760" s="13">
        <v>4.3015999999999996</v>
      </c>
      <c r="C760" s="1">
        <f>Tabela15[[#This Row],[Alongamento (mm/mm)]]/$I$2</f>
        <v>8.6031999999999997E-2</v>
      </c>
      <c r="D760" s="13">
        <v>907.14</v>
      </c>
      <c r="E760" s="1">
        <f>Tabela15[[#This Row],[Força (N)]]/$I$5</f>
        <v>18768193.75221118</v>
      </c>
      <c r="F760" s="1">
        <f>Tabela15[[#This Row],[Tensão (Pa)]]/1000000</f>
        <v>18.768193752211179</v>
      </c>
    </row>
    <row r="761" spans="1:6" x14ac:dyDescent="0.3">
      <c r="A761" s="13">
        <v>51.883000000000003</v>
      </c>
      <c r="B761" s="13">
        <v>4.3155999999999999</v>
      </c>
      <c r="C761" s="1">
        <f>Tabela15[[#This Row],[Alongamento (mm/mm)]]/$I$2</f>
        <v>8.6312E-2</v>
      </c>
      <c r="D761" s="13">
        <v>914.11</v>
      </c>
      <c r="E761" s="1">
        <f>Tabela15[[#This Row],[Força (N)]]/$I$5</f>
        <v>18912398.958081182</v>
      </c>
      <c r="F761" s="1">
        <f>Tabela15[[#This Row],[Tensão (Pa)]]/1000000</f>
        <v>18.912398958081184</v>
      </c>
    </row>
    <row r="762" spans="1:6" x14ac:dyDescent="0.3">
      <c r="A762" s="13">
        <v>52.05</v>
      </c>
      <c r="B762" s="13">
        <v>4.3293999999999997</v>
      </c>
      <c r="C762" s="1">
        <f>Tabela15[[#This Row],[Alongamento (mm/mm)]]/$I$2</f>
        <v>8.6587999999999998E-2</v>
      </c>
      <c r="D762" s="13">
        <v>921.43</v>
      </c>
      <c r="E762" s="1">
        <f>Tabela15[[#This Row],[Força (N)]]/$I$5</f>
        <v>19063845.458363589</v>
      </c>
      <c r="F762" s="1">
        <f>Tabela15[[#This Row],[Tensão (Pa)]]/1000000</f>
        <v>19.063845458363588</v>
      </c>
    </row>
    <row r="763" spans="1:6" x14ac:dyDescent="0.3">
      <c r="A763" s="13">
        <v>52.216999999999999</v>
      </c>
      <c r="B763" s="13">
        <v>4.3433000000000002</v>
      </c>
      <c r="C763" s="1">
        <f>Tabela15[[#This Row],[Alongamento (mm/mm)]]/$I$2</f>
        <v>8.6865999999999999E-2</v>
      </c>
      <c r="D763" s="13">
        <v>928.74</v>
      </c>
      <c r="E763" s="1">
        <f>Tabela15[[#This Row],[Força (N)]]/$I$5</f>
        <v>19215085.064519934</v>
      </c>
      <c r="F763" s="1">
        <f>Tabela15[[#This Row],[Tensão (Pa)]]/1000000</f>
        <v>19.215085064519933</v>
      </c>
    </row>
    <row r="764" spans="1:6" x14ac:dyDescent="0.3">
      <c r="A764" s="13">
        <v>52.383000000000003</v>
      </c>
      <c r="B764" s="13">
        <v>4.3573000000000004</v>
      </c>
      <c r="C764" s="1">
        <f>Tabela15[[#This Row],[Alongamento (mm/mm)]]/$I$2</f>
        <v>8.7146000000000001E-2</v>
      </c>
      <c r="D764" s="13">
        <v>936.05</v>
      </c>
      <c r="E764" s="1">
        <f>Tabela15[[#This Row],[Força (N)]]/$I$5</f>
        <v>19366324.670676272</v>
      </c>
      <c r="F764" s="1">
        <f>Tabela15[[#This Row],[Tensão (Pa)]]/1000000</f>
        <v>19.366324670676271</v>
      </c>
    </row>
    <row r="765" spans="1:6" x14ac:dyDescent="0.3">
      <c r="A765" s="13">
        <v>52.55</v>
      </c>
      <c r="B765" s="13">
        <v>4.3711000000000002</v>
      </c>
      <c r="C765" s="1">
        <f>Tabela15[[#This Row],[Alongamento (mm/mm)]]/$I$2</f>
        <v>8.7422E-2</v>
      </c>
      <c r="D765" s="13">
        <v>943.2</v>
      </c>
      <c r="E765" s="1">
        <f>Tabela15[[#This Row],[Força (N)]]/$I$5</f>
        <v>19514253.970815513</v>
      </c>
      <c r="F765" s="1">
        <f>Tabela15[[#This Row],[Tensão (Pa)]]/1000000</f>
        <v>19.514253970815513</v>
      </c>
    </row>
    <row r="766" spans="1:6" x14ac:dyDescent="0.3">
      <c r="A766" s="13">
        <v>52.716999999999999</v>
      </c>
      <c r="B766" s="13">
        <v>4.3849</v>
      </c>
      <c r="C766" s="1">
        <f>Tabela15[[#This Row],[Alongamento (mm/mm)]]/$I$2</f>
        <v>8.7697999999999998E-2</v>
      </c>
      <c r="D766" s="13">
        <v>950.51</v>
      </c>
      <c r="E766" s="1">
        <f>Tabela15[[#This Row],[Força (N)]]/$I$5</f>
        <v>19665493.576971855</v>
      </c>
      <c r="F766" s="1">
        <f>Tabela15[[#This Row],[Tensão (Pa)]]/1000000</f>
        <v>19.665493576971855</v>
      </c>
    </row>
    <row r="767" spans="1:6" x14ac:dyDescent="0.3">
      <c r="A767" s="13">
        <v>52.883000000000003</v>
      </c>
      <c r="B767" s="13">
        <v>4.3989000000000003</v>
      </c>
      <c r="C767" s="1">
        <f>Tabela15[[#This Row],[Alongamento (mm/mm)]]/$I$2</f>
        <v>8.7978000000000001E-2</v>
      </c>
      <c r="D767" s="13">
        <v>957.66</v>
      </c>
      <c r="E767" s="1">
        <f>Tabela15[[#This Row],[Força (N)]]/$I$5</f>
        <v>19813422.877111096</v>
      </c>
      <c r="F767" s="1">
        <f>Tabela15[[#This Row],[Tensão (Pa)]]/1000000</f>
        <v>19.813422877111098</v>
      </c>
    </row>
    <row r="768" spans="1:6" x14ac:dyDescent="0.3">
      <c r="A768" s="13">
        <v>53.05</v>
      </c>
      <c r="B768" s="13">
        <v>4.4127999999999998</v>
      </c>
      <c r="C768" s="1">
        <f>Tabela15[[#This Row],[Alongamento (mm/mm)]]/$I$2</f>
        <v>8.8256000000000001E-2</v>
      </c>
      <c r="D768" s="13">
        <v>964.8</v>
      </c>
      <c r="E768" s="1">
        <f>Tabela15[[#This Row],[Força (N)]]/$I$5</f>
        <v>19961145.283124264</v>
      </c>
      <c r="F768" s="1">
        <f>Tabela15[[#This Row],[Tensão (Pa)]]/1000000</f>
        <v>19.961145283124264</v>
      </c>
    </row>
    <row r="769" spans="1:6" x14ac:dyDescent="0.3">
      <c r="A769" s="13">
        <v>53.232999999999997</v>
      </c>
      <c r="B769" s="13">
        <v>4.4280999999999997</v>
      </c>
      <c r="C769" s="1">
        <f>Tabela15[[#This Row],[Alongamento (mm/mm)]]/$I$2</f>
        <v>8.8561999999999988E-2</v>
      </c>
      <c r="D769" s="13">
        <v>972.63</v>
      </c>
      <c r="E769" s="1">
        <f>Tabela15[[#This Row],[Força (N)]]/$I$5</f>
        <v>20123143.383836187</v>
      </c>
      <c r="F769" s="1">
        <f>Tabela15[[#This Row],[Tensão (Pa)]]/1000000</f>
        <v>20.123143383836187</v>
      </c>
    </row>
    <row r="770" spans="1:6" x14ac:dyDescent="0.3">
      <c r="A770" s="13">
        <v>53.417000000000002</v>
      </c>
      <c r="B770" s="13">
        <v>4.4432999999999998</v>
      </c>
      <c r="C770" s="1">
        <f>Tabela15[[#This Row],[Alongamento (mm/mm)]]/$I$2</f>
        <v>8.8866000000000001E-2</v>
      </c>
      <c r="D770" s="13">
        <v>980.45</v>
      </c>
      <c r="E770" s="1">
        <f>Tabela15[[#This Row],[Força (N)]]/$I$5</f>
        <v>20284934.590422045</v>
      </c>
      <c r="F770" s="1">
        <f>Tabela15[[#This Row],[Tensão (Pa)]]/1000000</f>
        <v>20.284934590422047</v>
      </c>
    </row>
    <row r="771" spans="1:6" x14ac:dyDescent="0.3">
      <c r="A771" s="13">
        <v>53.6</v>
      </c>
      <c r="B771" s="13">
        <v>4.4585999999999997</v>
      </c>
      <c r="C771" s="1">
        <f>Tabela15[[#This Row],[Alongamento (mm/mm)]]/$I$2</f>
        <v>8.9171999999999987E-2</v>
      </c>
      <c r="D771" s="13">
        <v>988.27</v>
      </c>
      <c r="E771" s="1">
        <f>Tabela15[[#This Row],[Força (N)]]/$I$5</f>
        <v>20446725.797007896</v>
      </c>
      <c r="F771" s="1">
        <f>Tabela15[[#This Row],[Tensão (Pa)]]/1000000</f>
        <v>20.446725797007897</v>
      </c>
    </row>
    <row r="772" spans="1:6" x14ac:dyDescent="0.3">
      <c r="A772" s="13">
        <v>53.783000000000001</v>
      </c>
      <c r="B772" s="13">
        <v>4.4739000000000004</v>
      </c>
      <c r="C772" s="1">
        <f>Tabela15[[#This Row],[Alongamento (mm/mm)]]/$I$2</f>
        <v>8.9478000000000002E-2</v>
      </c>
      <c r="D772" s="13">
        <v>996.1</v>
      </c>
      <c r="E772" s="1">
        <f>Tabela15[[#This Row],[Força (N)]]/$I$5</f>
        <v>20608723.897719819</v>
      </c>
      <c r="F772" s="1">
        <f>Tabela15[[#This Row],[Tensão (Pa)]]/1000000</f>
        <v>20.60872389771982</v>
      </c>
    </row>
    <row r="773" spans="1:6" x14ac:dyDescent="0.3">
      <c r="A773" s="13">
        <v>53.966999999999999</v>
      </c>
      <c r="B773" s="13">
        <v>4.4890999999999996</v>
      </c>
      <c r="C773" s="1">
        <f>Tabela15[[#This Row],[Alongamento (mm/mm)]]/$I$2</f>
        <v>8.9781999999999987E-2</v>
      </c>
      <c r="D773" s="13">
        <v>1003.9</v>
      </c>
      <c r="E773" s="1">
        <f>Tabela15[[#This Row],[Força (N)]]/$I$5</f>
        <v>20770101.316053536</v>
      </c>
      <c r="F773" s="1">
        <f>Tabela15[[#This Row],[Tensão (Pa)]]/1000000</f>
        <v>20.770101316053537</v>
      </c>
    </row>
    <row r="774" spans="1:6" x14ac:dyDescent="0.3">
      <c r="A774" s="13">
        <v>54.15</v>
      </c>
      <c r="B774" s="13">
        <v>4.5044000000000004</v>
      </c>
      <c r="C774" s="1">
        <f>Tabela15[[#This Row],[Alongamento (mm/mm)]]/$I$2</f>
        <v>9.0088000000000001E-2</v>
      </c>
      <c r="D774" s="13">
        <v>1011.7</v>
      </c>
      <c r="E774" s="1">
        <f>Tabela15[[#This Row],[Força (N)]]/$I$5</f>
        <v>20931478.734387252</v>
      </c>
      <c r="F774" s="1">
        <f>Tabela15[[#This Row],[Tensão (Pa)]]/1000000</f>
        <v>20.931478734387252</v>
      </c>
    </row>
    <row r="775" spans="1:6" x14ac:dyDescent="0.3">
      <c r="A775" s="13">
        <v>54.332999999999998</v>
      </c>
      <c r="B775" s="13">
        <v>4.5197000000000003</v>
      </c>
      <c r="C775" s="1">
        <f>Tabela15[[#This Row],[Alongamento (mm/mm)]]/$I$2</f>
        <v>9.0394000000000002E-2</v>
      </c>
      <c r="D775" s="13">
        <v>1019.7</v>
      </c>
      <c r="E775" s="1">
        <f>Tabela15[[#This Row],[Força (N)]]/$I$5</f>
        <v>21096994.035242345</v>
      </c>
      <c r="F775" s="1">
        <f>Tabela15[[#This Row],[Tensão (Pa)]]/1000000</f>
        <v>21.096994035242346</v>
      </c>
    </row>
    <row r="776" spans="1:6" x14ac:dyDescent="0.3">
      <c r="A776" s="13">
        <v>54.517000000000003</v>
      </c>
      <c r="B776" s="13">
        <v>4.5349000000000004</v>
      </c>
      <c r="C776" s="1">
        <f>Tabela15[[#This Row],[Alongamento (mm/mm)]]/$I$2</f>
        <v>9.0698000000000001E-2</v>
      </c>
      <c r="D776" s="13">
        <v>1027.5999999999999</v>
      </c>
      <c r="E776" s="1">
        <f>Tabela15[[#This Row],[Força (N)]]/$I$5</f>
        <v>21260440.394836746</v>
      </c>
      <c r="F776" s="1">
        <f>Tabela15[[#This Row],[Tensão (Pa)]]/1000000</f>
        <v>21.260440394836746</v>
      </c>
    </row>
    <row r="777" spans="1:6" x14ac:dyDescent="0.3">
      <c r="A777" s="13">
        <v>54.7</v>
      </c>
      <c r="B777" s="13">
        <v>4.5503</v>
      </c>
      <c r="C777" s="1">
        <f>Tabela15[[#This Row],[Alongamento (mm/mm)]]/$I$2</f>
        <v>9.1006000000000004E-2</v>
      </c>
      <c r="D777" s="13">
        <v>1035.5999999999999</v>
      </c>
      <c r="E777" s="1">
        <f>Tabela15[[#This Row],[Força (N)]]/$I$5</f>
        <v>21425955.695691843</v>
      </c>
      <c r="F777" s="1">
        <f>Tabela15[[#This Row],[Tensão (Pa)]]/1000000</f>
        <v>21.425955695691844</v>
      </c>
    </row>
    <row r="778" spans="1:6" x14ac:dyDescent="0.3">
      <c r="A778" s="13">
        <v>54.883000000000003</v>
      </c>
      <c r="B778" s="13">
        <v>4.5655000000000001</v>
      </c>
      <c r="C778" s="1">
        <f>Tabela15[[#This Row],[Alongamento (mm/mm)]]/$I$2</f>
        <v>9.1310000000000002E-2</v>
      </c>
      <c r="D778" s="13">
        <v>1043.5999999999999</v>
      </c>
      <c r="E778" s="1">
        <f>Tabela15[[#This Row],[Força (N)]]/$I$5</f>
        <v>21591470.996546935</v>
      </c>
      <c r="F778" s="1">
        <f>Tabela15[[#This Row],[Tensão (Pa)]]/1000000</f>
        <v>21.591470996546935</v>
      </c>
    </row>
    <row r="779" spans="1:6" x14ac:dyDescent="0.3">
      <c r="A779" s="13">
        <v>55.067</v>
      </c>
      <c r="B779" s="13">
        <v>4.5808</v>
      </c>
      <c r="C779" s="1">
        <f>Tabela15[[#This Row],[Alongamento (mm/mm)]]/$I$2</f>
        <v>9.1616000000000003E-2</v>
      </c>
      <c r="D779" s="13">
        <v>1051.5999999999999</v>
      </c>
      <c r="E779" s="1">
        <f>Tabela15[[#This Row],[Força (N)]]/$I$5</f>
        <v>21756986.297402028</v>
      </c>
      <c r="F779" s="1">
        <f>Tabela15[[#This Row],[Tensão (Pa)]]/1000000</f>
        <v>21.75698629740203</v>
      </c>
    </row>
    <row r="780" spans="1:6" x14ac:dyDescent="0.3">
      <c r="A780" s="13">
        <v>55.267000000000003</v>
      </c>
      <c r="B780" s="13">
        <v>4.5974000000000004</v>
      </c>
      <c r="C780" s="1">
        <f>Tabela15[[#This Row],[Alongamento (mm/mm)]]/$I$2</f>
        <v>9.1948000000000002E-2</v>
      </c>
      <c r="D780" s="13">
        <v>1060.2</v>
      </c>
      <c r="E780" s="1">
        <f>Tabela15[[#This Row],[Força (N)]]/$I$5</f>
        <v>21934915.245821256</v>
      </c>
      <c r="F780" s="1">
        <f>Tabela15[[#This Row],[Tensão (Pa)]]/1000000</f>
        <v>21.934915245821255</v>
      </c>
    </row>
    <row r="781" spans="1:6" x14ac:dyDescent="0.3">
      <c r="A781" s="13">
        <v>55.466999999999999</v>
      </c>
      <c r="B781" s="13">
        <v>4.6142000000000003</v>
      </c>
      <c r="C781" s="1">
        <f>Tabela15[[#This Row],[Alongamento (mm/mm)]]/$I$2</f>
        <v>9.2284000000000005E-2</v>
      </c>
      <c r="D781" s="13">
        <v>1068.9000000000001</v>
      </c>
      <c r="E781" s="1">
        <f>Tabela15[[#This Row],[Força (N)]]/$I$5</f>
        <v>22114913.135501172</v>
      </c>
      <c r="F781" s="1">
        <f>Tabela15[[#This Row],[Tensão (Pa)]]/1000000</f>
        <v>22.114913135501173</v>
      </c>
    </row>
    <row r="782" spans="1:6" x14ac:dyDescent="0.3">
      <c r="A782" s="13">
        <v>55.65</v>
      </c>
      <c r="B782" s="13">
        <v>4.6294000000000004</v>
      </c>
      <c r="C782" s="1">
        <f>Tabela15[[#This Row],[Alongamento (mm/mm)]]/$I$2</f>
        <v>9.2588000000000004E-2</v>
      </c>
      <c r="D782" s="13">
        <v>1077.0999999999999</v>
      </c>
      <c r="E782" s="1">
        <f>Tabela15[[#This Row],[Força (N)]]/$I$5</f>
        <v>22284566.318877637</v>
      </c>
      <c r="F782" s="1">
        <f>Tabela15[[#This Row],[Tensão (Pa)]]/1000000</f>
        <v>22.284566318877637</v>
      </c>
    </row>
    <row r="783" spans="1:6" x14ac:dyDescent="0.3">
      <c r="A783" s="13">
        <v>55.832999999999998</v>
      </c>
      <c r="B783" s="13">
        <v>4.6447000000000003</v>
      </c>
      <c r="C783" s="1">
        <f>Tabela15[[#This Row],[Alongamento (mm/mm)]]/$I$2</f>
        <v>9.2894000000000004E-2</v>
      </c>
      <c r="D783" s="13">
        <v>1085.2</v>
      </c>
      <c r="E783" s="1">
        <f>Tabela15[[#This Row],[Força (N)]]/$I$5</f>
        <v>22452150.560993422</v>
      </c>
      <c r="F783" s="1">
        <f>Tabela15[[#This Row],[Tensão (Pa)]]/1000000</f>
        <v>22.45215056099342</v>
      </c>
    </row>
    <row r="784" spans="1:6" x14ac:dyDescent="0.3">
      <c r="A784" s="13">
        <v>56.017000000000003</v>
      </c>
      <c r="B784" s="13">
        <v>4.66</v>
      </c>
      <c r="C784" s="1">
        <f>Tabela15[[#This Row],[Alongamento (mm/mm)]]/$I$2</f>
        <v>9.3200000000000005E-2</v>
      </c>
      <c r="D784" s="13">
        <v>1093.4000000000001</v>
      </c>
      <c r="E784" s="1">
        <f>Tabela15[[#This Row],[Força (N)]]/$I$5</f>
        <v>22621803.744369894</v>
      </c>
      <c r="F784" s="1">
        <f>Tabela15[[#This Row],[Tensão (Pa)]]/1000000</f>
        <v>22.621803744369895</v>
      </c>
    </row>
    <row r="785" spans="1:6" x14ac:dyDescent="0.3">
      <c r="A785" s="13">
        <v>56.216999999999999</v>
      </c>
      <c r="B785" s="13">
        <v>4.6767000000000003</v>
      </c>
      <c r="C785" s="1">
        <f>Tabela15[[#This Row],[Alongamento (mm/mm)]]/$I$2</f>
        <v>9.3534000000000006E-2</v>
      </c>
      <c r="D785" s="13">
        <v>1102.2</v>
      </c>
      <c r="E785" s="1">
        <f>Tabela15[[#This Row],[Força (N)]]/$I$5</f>
        <v>22803870.575310495</v>
      </c>
      <c r="F785" s="1">
        <f>Tabela15[[#This Row],[Tensão (Pa)]]/1000000</f>
        <v>22.803870575310494</v>
      </c>
    </row>
    <row r="786" spans="1:6" x14ac:dyDescent="0.3">
      <c r="A786" s="13">
        <v>56.417000000000002</v>
      </c>
      <c r="B786" s="13">
        <v>4.6932999999999998</v>
      </c>
      <c r="C786" s="1">
        <f>Tabela15[[#This Row],[Alongamento (mm/mm)]]/$I$2</f>
        <v>9.3865999999999991E-2</v>
      </c>
      <c r="D786" s="13">
        <v>1111.3</v>
      </c>
      <c r="E786" s="1">
        <f>Tabela15[[#This Row],[Força (N)]]/$I$5</f>
        <v>22992144.230033163</v>
      </c>
      <c r="F786" s="1">
        <f>Tabela15[[#This Row],[Tensão (Pa)]]/1000000</f>
        <v>22.992144230033162</v>
      </c>
    </row>
    <row r="787" spans="1:6" x14ac:dyDescent="0.3">
      <c r="A787" s="13">
        <v>56.616999999999997</v>
      </c>
      <c r="B787" s="13">
        <v>4.7099000000000002</v>
      </c>
      <c r="C787" s="1">
        <f>Tabela15[[#This Row],[Alongamento (mm/mm)]]/$I$2</f>
        <v>9.4198000000000004E-2</v>
      </c>
      <c r="D787" s="13">
        <v>1120.3</v>
      </c>
      <c r="E787" s="1">
        <f>Tabela15[[#This Row],[Força (N)]]/$I$5</f>
        <v>23178348.943495143</v>
      </c>
      <c r="F787" s="1">
        <f>Tabela15[[#This Row],[Tensão (Pa)]]/1000000</f>
        <v>23.178348943495145</v>
      </c>
    </row>
    <row r="788" spans="1:6" x14ac:dyDescent="0.3">
      <c r="A788" s="13">
        <v>56.817</v>
      </c>
      <c r="B788" s="13">
        <v>4.7266000000000004</v>
      </c>
      <c r="C788" s="1">
        <f>Tabela15[[#This Row],[Alongamento (mm/mm)]]/$I$2</f>
        <v>9.4532000000000005E-2</v>
      </c>
      <c r="D788" s="13">
        <v>1129.3</v>
      </c>
      <c r="E788" s="1">
        <f>Tabela15[[#This Row],[Força (N)]]/$I$5</f>
        <v>23364553.656957123</v>
      </c>
      <c r="F788" s="1">
        <f>Tabela15[[#This Row],[Tensão (Pa)]]/1000000</f>
        <v>23.364553656957124</v>
      </c>
    </row>
    <row r="789" spans="1:6" x14ac:dyDescent="0.3">
      <c r="A789" s="13">
        <v>57.017000000000003</v>
      </c>
      <c r="B789" s="13">
        <v>4.7434000000000003</v>
      </c>
      <c r="C789" s="1">
        <f>Tabela15[[#This Row],[Alongamento (mm/mm)]]/$I$2</f>
        <v>9.4868000000000008E-2</v>
      </c>
      <c r="D789" s="13">
        <v>1138.5</v>
      </c>
      <c r="E789" s="1">
        <f>Tabela15[[#This Row],[Força (N)]]/$I$5</f>
        <v>23554896.252940483</v>
      </c>
      <c r="F789" s="1">
        <f>Tabela15[[#This Row],[Tensão (Pa)]]/1000000</f>
        <v>23.554896252940484</v>
      </c>
    </row>
    <row r="790" spans="1:6" x14ac:dyDescent="0.3">
      <c r="A790" s="13">
        <v>57.216999999999999</v>
      </c>
      <c r="B790" s="13">
        <v>4.76</v>
      </c>
      <c r="C790" s="1">
        <f>Tabela15[[#This Row],[Alongamento (mm/mm)]]/$I$2</f>
        <v>9.5199999999999993E-2</v>
      </c>
      <c r="D790" s="13">
        <v>1147.5</v>
      </c>
      <c r="E790" s="1">
        <f>Tabela15[[#This Row],[Força (N)]]/$I$5</f>
        <v>23741100.966402464</v>
      </c>
      <c r="F790" s="1">
        <f>Tabela15[[#This Row],[Tensão (Pa)]]/1000000</f>
        <v>23.741100966402463</v>
      </c>
    </row>
    <row r="791" spans="1:6" x14ac:dyDescent="0.3">
      <c r="A791" s="13">
        <v>57.417000000000002</v>
      </c>
      <c r="B791" s="13">
        <v>4.7766999999999999</v>
      </c>
      <c r="C791" s="1">
        <f>Tabela15[[#This Row],[Alongamento (mm/mm)]]/$I$2</f>
        <v>9.5533999999999994E-2</v>
      </c>
      <c r="D791" s="13">
        <v>1156.7</v>
      </c>
      <c r="E791" s="1">
        <f>Tabela15[[#This Row],[Força (N)]]/$I$5</f>
        <v>23931443.56238582</v>
      </c>
      <c r="F791" s="1">
        <f>Tabela15[[#This Row],[Tensão (Pa)]]/1000000</f>
        <v>23.931443562385819</v>
      </c>
    </row>
    <row r="792" spans="1:6" x14ac:dyDescent="0.3">
      <c r="A792" s="13">
        <v>57.616999999999997</v>
      </c>
      <c r="B792" s="13">
        <v>4.7933000000000003</v>
      </c>
      <c r="C792" s="1">
        <f>Tabela15[[#This Row],[Alongamento (mm/mm)]]/$I$2</f>
        <v>9.5866000000000007E-2</v>
      </c>
      <c r="D792" s="13">
        <v>1165.9000000000001</v>
      </c>
      <c r="E792" s="1">
        <f>Tabela15[[#This Row],[Força (N)]]/$I$5</f>
        <v>24121786.15836918</v>
      </c>
      <c r="F792" s="1">
        <f>Tabela15[[#This Row],[Tensão (Pa)]]/1000000</f>
        <v>24.121786158369179</v>
      </c>
    </row>
    <row r="793" spans="1:6" x14ac:dyDescent="0.3">
      <c r="A793" s="13">
        <v>57.817</v>
      </c>
      <c r="B793" s="13">
        <v>4.8099999999999996</v>
      </c>
      <c r="C793" s="1">
        <f>Tabela15[[#This Row],[Alongamento (mm/mm)]]/$I$2</f>
        <v>9.6199999999999994E-2</v>
      </c>
      <c r="D793" s="13">
        <v>1174.9000000000001</v>
      </c>
      <c r="E793" s="1">
        <f>Tabela15[[#This Row],[Força (N)]]/$I$5</f>
        <v>24307990.87183116</v>
      </c>
      <c r="F793" s="1">
        <f>Tabela15[[#This Row],[Tensão (Pa)]]/1000000</f>
        <v>24.307990871831159</v>
      </c>
    </row>
    <row r="794" spans="1:6" x14ac:dyDescent="0.3">
      <c r="A794" s="13">
        <v>58.017000000000003</v>
      </c>
      <c r="B794" s="13">
        <v>4.8266</v>
      </c>
      <c r="C794" s="1">
        <f>Tabela15[[#This Row],[Alongamento (mm/mm)]]/$I$2</f>
        <v>9.6532000000000007E-2</v>
      </c>
      <c r="D794" s="13">
        <v>1184.0999999999999</v>
      </c>
      <c r="E794" s="1">
        <f>Tabela15[[#This Row],[Força (N)]]/$I$5</f>
        <v>24498333.467814513</v>
      </c>
      <c r="F794" s="1">
        <f>Tabela15[[#This Row],[Tensão (Pa)]]/1000000</f>
        <v>24.498333467814511</v>
      </c>
    </row>
    <row r="795" spans="1:6" x14ac:dyDescent="0.3">
      <c r="A795" s="13">
        <v>58.216999999999999</v>
      </c>
      <c r="B795" s="13">
        <v>4.8433999999999999</v>
      </c>
      <c r="C795" s="1">
        <f>Tabela15[[#This Row],[Alongamento (mm/mm)]]/$I$2</f>
        <v>9.6867999999999996E-2</v>
      </c>
      <c r="D795" s="13">
        <v>1193.2</v>
      </c>
      <c r="E795" s="1">
        <f>Tabela15[[#This Row],[Força (N)]]/$I$5</f>
        <v>24686607.122537185</v>
      </c>
      <c r="F795" s="1">
        <f>Tabela15[[#This Row],[Tensão (Pa)]]/1000000</f>
        <v>24.686607122537186</v>
      </c>
    </row>
    <row r="796" spans="1:6" x14ac:dyDescent="0.3">
      <c r="A796" s="13">
        <v>58.417000000000002</v>
      </c>
      <c r="B796" s="13">
        <v>4.8600000000000003</v>
      </c>
      <c r="C796" s="1">
        <f>Tabela15[[#This Row],[Alongamento (mm/mm)]]/$I$2</f>
        <v>9.7200000000000009E-2</v>
      </c>
      <c r="D796" s="13">
        <v>1202.4000000000001</v>
      </c>
      <c r="E796" s="1">
        <f>Tabela15[[#This Row],[Força (N)]]/$I$5</f>
        <v>24876949.718520541</v>
      </c>
      <c r="F796" s="1">
        <f>Tabela15[[#This Row],[Tensão (Pa)]]/1000000</f>
        <v>24.876949718520542</v>
      </c>
    </row>
    <row r="797" spans="1:6" x14ac:dyDescent="0.3">
      <c r="A797" s="13">
        <v>58.633000000000003</v>
      </c>
      <c r="B797" s="13">
        <v>4.8780999999999999</v>
      </c>
      <c r="C797" s="1">
        <f>Tabela15[[#This Row],[Alongamento (mm/mm)]]/$I$2</f>
        <v>9.7561999999999996E-2</v>
      </c>
      <c r="D797" s="13">
        <v>1212.0999999999999</v>
      </c>
      <c r="E797" s="1">
        <f>Tabela15[[#This Row],[Força (N)]]/$I$5</f>
        <v>25077637.020807341</v>
      </c>
      <c r="F797" s="1">
        <f>Tabela15[[#This Row],[Tensão (Pa)]]/1000000</f>
        <v>25.077637020807341</v>
      </c>
    </row>
    <row r="798" spans="1:6" x14ac:dyDescent="0.3">
      <c r="A798" s="13">
        <v>58.85</v>
      </c>
      <c r="B798" s="13">
        <v>4.8960999999999997</v>
      </c>
      <c r="C798" s="1">
        <f>Tabela15[[#This Row],[Alongamento (mm/mm)]]/$I$2</f>
        <v>9.7921999999999995E-2</v>
      </c>
      <c r="D798" s="13">
        <v>1221.8</v>
      </c>
      <c r="E798" s="1">
        <f>Tabela15[[#This Row],[Força (N)]]/$I$5</f>
        <v>25278324.323094141</v>
      </c>
      <c r="F798" s="1">
        <f>Tabela15[[#This Row],[Tensão (Pa)]]/1000000</f>
        <v>25.278324323094139</v>
      </c>
    </row>
    <row r="799" spans="1:6" x14ac:dyDescent="0.3">
      <c r="A799" s="13">
        <v>59.067</v>
      </c>
      <c r="B799" s="13">
        <v>4.9141000000000004</v>
      </c>
      <c r="C799" s="1">
        <f>Tabela15[[#This Row],[Alongamento (mm/mm)]]/$I$2</f>
        <v>9.8282000000000008E-2</v>
      </c>
      <c r="D799" s="13">
        <v>1231.5</v>
      </c>
      <c r="E799" s="1">
        <f>Tabela15[[#This Row],[Força (N)]]/$I$5</f>
        <v>25479011.625380944</v>
      </c>
      <c r="F799" s="1">
        <f>Tabela15[[#This Row],[Tensão (Pa)]]/1000000</f>
        <v>25.479011625380945</v>
      </c>
    </row>
    <row r="800" spans="1:6" x14ac:dyDescent="0.3">
      <c r="A800" s="13">
        <v>59.283000000000001</v>
      </c>
      <c r="B800" s="13">
        <v>4.9321999999999999</v>
      </c>
      <c r="C800" s="1">
        <f>Tabela15[[#This Row],[Alongamento (mm/mm)]]/$I$2</f>
        <v>9.8643999999999996E-2</v>
      </c>
      <c r="D800" s="13">
        <v>1241.4000000000001</v>
      </c>
      <c r="E800" s="1">
        <f>Tabela15[[#This Row],[Força (N)]]/$I$5</f>
        <v>25683836.810189124</v>
      </c>
      <c r="F800" s="1">
        <f>Tabela15[[#This Row],[Tensão (Pa)]]/1000000</f>
        <v>25.683836810189124</v>
      </c>
    </row>
    <row r="801" spans="1:6" x14ac:dyDescent="0.3">
      <c r="A801" s="13">
        <v>59.5</v>
      </c>
      <c r="B801" s="13">
        <v>4.9501999999999997</v>
      </c>
      <c r="C801" s="1">
        <f>Tabela15[[#This Row],[Alongamento (mm/mm)]]/$I$2</f>
        <v>9.9003999999999995E-2</v>
      </c>
      <c r="D801" s="13">
        <v>1251.0999999999999</v>
      </c>
      <c r="E801" s="1">
        <f>Tabela15[[#This Row],[Força (N)]]/$I$5</f>
        <v>25884524.11247592</v>
      </c>
      <c r="F801" s="1">
        <f>Tabela15[[#This Row],[Tensão (Pa)]]/1000000</f>
        <v>25.884524112475919</v>
      </c>
    </row>
    <row r="802" spans="1:6" x14ac:dyDescent="0.3">
      <c r="A802" s="13">
        <v>59.716999999999999</v>
      </c>
      <c r="B802" s="13">
        <v>4.9683000000000002</v>
      </c>
      <c r="C802" s="1">
        <f>Tabela15[[#This Row],[Alongamento (mm/mm)]]/$I$2</f>
        <v>9.936600000000001E-2</v>
      </c>
      <c r="D802" s="13">
        <v>1260.9000000000001</v>
      </c>
      <c r="E802" s="1">
        <f>Tabela15[[#This Row],[Força (N)]]/$I$5</f>
        <v>26087280.356023412</v>
      </c>
      <c r="F802" s="1">
        <f>Tabela15[[#This Row],[Tensão (Pa)]]/1000000</f>
        <v>26.087280356023413</v>
      </c>
    </row>
    <row r="803" spans="1:6" x14ac:dyDescent="0.3">
      <c r="A803" s="13">
        <v>59.933</v>
      </c>
      <c r="B803" s="13">
        <v>4.9863999999999997</v>
      </c>
      <c r="C803" s="1">
        <f>Tabela15[[#This Row],[Alongamento (mm/mm)]]/$I$2</f>
        <v>9.9727999999999997E-2</v>
      </c>
      <c r="D803" s="13">
        <v>1270.5999999999999</v>
      </c>
      <c r="E803" s="1">
        <f>Tabela15[[#This Row],[Força (N)]]/$I$5</f>
        <v>26287967.658310208</v>
      </c>
      <c r="F803" s="1">
        <f>Tabela15[[#This Row],[Tensão (Pa)]]/1000000</f>
        <v>26.287967658310208</v>
      </c>
    </row>
    <row r="804" spans="1:6" x14ac:dyDescent="0.3">
      <c r="A804" s="13">
        <v>60.167000000000002</v>
      </c>
      <c r="B804" s="13">
        <v>5.0057999999999998</v>
      </c>
      <c r="C804" s="1">
        <f>Tabela15[[#This Row],[Alongamento (mm/mm)]]/$I$2</f>
        <v>0.100116</v>
      </c>
      <c r="D804" s="13">
        <v>1281</v>
      </c>
      <c r="E804" s="1">
        <f>Tabela15[[#This Row],[Força (N)]]/$I$5</f>
        <v>26503137.549421832</v>
      </c>
      <c r="F804" s="1">
        <f>Tabela15[[#This Row],[Tensão (Pa)]]/1000000</f>
        <v>26.503137549421833</v>
      </c>
    </row>
    <row r="805" spans="1:6" x14ac:dyDescent="0.3">
      <c r="A805" s="13">
        <v>60.383000000000003</v>
      </c>
      <c r="B805" s="13">
        <v>5.0239000000000003</v>
      </c>
      <c r="C805" s="1">
        <f>Tabela15[[#This Row],[Alongamento (mm/mm)]]/$I$2</f>
        <v>0.10047800000000001</v>
      </c>
      <c r="D805" s="13">
        <v>1290.9000000000001</v>
      </c>
      <c r="E805" s="1">
        <f>Tabela15[[#This Row],[Força (N)]]/$I$5</f>
        <v>26707962.734230012</v>
      </c>
      <c r="F805" s="1">
        <f>Tabela15[[#This Row],[Tensão (Pa)]]/1000000</f>
        <v>26.707962734230012</v>
      </c>
    </row>
    <row r="806" spans="1:6" x14ac:dyDescent="0.3">
      <c r="A806" s="13">
        <v>60.6</v>
      </c>
      <c r="B806" s="13">
        <v>5.0419999999999998</v>
      </c>
      <c r="C806" s="1">
        <f>Tabela15[[#This Row],[Alongamento (mm/mm)]]/$I$2</f>
        <v>0.10084</v>
      </c>
      <c r="D806" s="13">
        <v>1300.7</v>
      </c>
      <c r="E806" s="1">
        <f>Tabela15[[#This Row],[Força (N)]]/$I$5</f>
        <v>26910718.977777503</v>
      </c>
      <c r="F806" s="1">
        <f>Tabela15[[#This Row],[Tensão (Pa)]]/1000000</f>
        <v>26.910718977777503</v>
      </c>
    </row>
    <row r="807" spans="1:6" x14ac:dyDescent="0.3">
      <c r="A807" s="13">
        <v>60.832999999999998</v>
      </c>
      <c r="B807" s="13">
        <v>5.0613000000000001</v>
      </c>
      <c r="C807" s="1">
        <f>Tabela15[[#This Row],[Alongamento (mm/mm)]]/$I$2</f>
        <v>0.101226</v>
      </c>
      <c r="D807" s="13">
        <v>1311.3</v>
      </c>
      <c r="E807" s="1">
        <f>Tabela15[[#This Row],[Força (N)]]/$I$5</f>
        <v>27130026.751410499</v>
      </c>
      <c r="F807" s="1">
        <f>Tabela15[[#This Row],[Tensão (Pa)]]/1000000</f>
        <v>27.130026751410501</v>
      </c>
    </row>
    <row r="808" spans="1:6" x14ac:dyDescent="0.3">
      <c r="A808" s="13">
        <v>61.067</v>
      </c>
      <c r="B808" s="13">
        <v>5.0808999999999997</v>
      </c>
      <c r="C808" s="1">
        <f>Tabela15[[#This Row],[Alongamento (mm/mm)]]/$I$2</f>
        <v>0.101618</v>
      </c>
      <c r="D808" s="13">
        <v>1321.8</v>
      </c>
      <c r="E808" s="1">
        <f>Tabela15[[#This Row],[Força (N)]]/$I$5</f>
        <v>27347265.583782811</v>
      </c>
      <c r="F808" s="1">
        <f>Tabela15[[#This Row],[Tensão (Pa)]]/1000000</f>
        <v>27.347265583782811</v>
      </c>
    </row>
    <row r="809" spans="1:6" x14ac:dyDescent="0.3">
      <c r="A809" s="13">
        <v>61.3</v>
      </c>
      <c r="B809" s="13">
        <v>5.1002000000000001</v>
      </c>
      <c r="C809" s="1">
        <f>Tabela15[[#This Row],[Alongamento (mm/mm)]]/$I$2</f>
        <v>0.102004</v>
      </c>
      <c r="D809" s="13">
        <v>1332.4</v>
      </c>
      <c r="E809" s="1">
        <f>Tabela15[[#This Row],[Força (N)]]/$I$5</f>
        <v>27566573.35741581</v>
      </c>
      <c r="F809" s="1">
        <f>Tabela15[[#This Row],[Tensão (Pa)]]/1000000</f>
        <v>27.566573357415809</v>
      </c>
    </row>
    <row r="810" spans="1:6" x14ac:dyDescent="0.3">
      <c r="A810" s="13">
        <v>61.533000000000001</v>
      </c>
      <c r="B810" s="13">
        <v>5.1196999999999999</v>
      </c>
      <c r="C810" s="1">
        <f>Tabela15[[#This Row],[Alongamento (mm/mm)]]/$I$2</f>
        <v>0.102394</v>
      </c>
      <c r="D810" s="13">
        <v>1342.9</v>
      </c>
      <c r="E810" s="1">
        <f>Tabela15[[#This Row],[Força (N)]]/$I$5</f>
        <v>27783812.189788122</v>
      </c>
      <c r="F810" s="1">
        <f>Tabela15[[#This Row],[Tensão (Pa)]]/1000000</f>
        <v>27.783812189788122</v>
      </c>
    </row>
    <row r="811" spans="1:6" x14ac:dyDescent="0.3">
      <c r="A811" s="13">
        <v>61.767000000000003</v>
      </c>
      <c r="B811" s="13">
        <v>5.1391</v>
      </c>
      <c r="C811" s="1">
        <f>Tabela15[[#This Row],[Alongamento (mm/mm)]]/$I$2</f>
        <v>0.102782</v>
      </c>
      <c r="D811" s="13">
        <v>1353.3</v>
      </c>
      <c r="E811" s="1">
        <f>Tabela15[[#This Row],[Força (N)]]/$I$5</f>
        <v>27998982.080899738</v>
      </c>
      <c r="F811" s="1">
        <f>Tabela15[[#This Row],[Tensão (Pa)]]/1000000</f>
        <v>27.998982080899737</v>
      </c>
    </row>
    <row r="812" spans="1:6" x14ac:dyDescent="0.3">
      <c r="A812" s="13">
        <v>62.017000000000003</v>
      </c>
      <c r="B812" s="13">
        <v>5.16</v>
      </c>
      <c r="C812" s="1">
        <f>Tabela15[[#This Row],[Alongamento (mm/mm)]]/$I$2</f>
        <v>0.1032</v>
      </c>
      <c r="D812" s="13">
        <v>1364.4</v>
      </c>
      <c r="E812" s="1">
        <f>Tabela15[[#This Row],[Força (N)]]/$I$5</f>
        <v>28228634.560836185</v>
      </c>
      <c r="F812" s="1">
        <f>Tabela15[[#This Row],[Tensão (Pa)]]/1000000</f>
        <v>28.228634560836184</v>
      </c>
    </row>
    <row r="813" spans="1:6" x14ac:dyDescent="0.3">
      <c r="A813" s="13">
        <v>62.25</v>
      </c>
      <c r="B813" s="13">
        <v>5.1794000000000002</v>
      </c>
      <c r="C813" s="1">
        <f>Tabela15[[#This Row],[Alongamento (mm/mm)]]/$I$2</f>
        <v>0.103588</v>
      </c>
      <c r="D813" s="13">
        <v>1374.9</v>
      </c>
      <c r="E813" s="1">
        <f>Tabela15[[#This Row],[Força (N)]]/$I$5</f>
        <v>28445873.393208493</v>
      </c>
      <c r="F813" s="1">
        <f>Tabela15[[#This Row],[Tensão (Pa)]]/1000000</f>
        <v>28.445873393208494</v>
      </c>
    </row>
    <row r="814" spans="1:6" x14ac:dyDescent="0.3">
      <c r="A814" s="13">
        <v>62.482999999999997</v>
      </c>
      <c r="B814" s="13">
        <v>5.1989000000000001</v>
      </c>
      <c r="C814" s="1">
        <f>Tabela15[[#This Row],[Alongamento (mm/mm)]]/$I$2</f>
        <v>0.103978</v>
      </c>
      <c r="D814" s="13">
        <v>1385.6</v>
      </c>
      <c r="E814" s="1">
        <f>Tabela15[[#This Row],[Força (N)]]/$I$5</f>
        <v>28667250.108102176</v>
      </c>
      <c r="F814" s="1">
        <f>Tabela15[[#This Row],[Tensão (Pa)]]/1000000</f>
        <v>28.667250108102177</v>
      </c>
    </row>
    <row r="815" spans="1:6" x14ac:dyDescent="0.3">
      <c r="A815" s="13">
        <v>62.716999999999999</v>
      </c>
      <c r="B815" s="13">
        <v>5.2183000000000002</v>
      </c>
      <c r="C815" s="1">
        <f>Tabela15[[#This Row],[Alongamento (mm/mm)]]/$I$2</f>
        <v>0.104366</v>
      </c>
      <c r="D815" s="13">
        <v>1396.3</v>
      </c>
      <c r="E815" s="1">
        <f>Tabela15[[#This Row],[Força (N)]]/$I$5</f>
        <v>28888626.822995868</v>
      </c>
      <c r="F815" s="1">
        <f>Tabela15[[#This Row],[Tensão (Pa)]]/1000000</f>
        <v>28.888626822995867</v>
      </c>
    </row>
    <row r="816" spans="1:6" x14ac:dyDescent="0.3">
      <c r="A816" s="13">
        <v>62.966999999999999</v>
      </c>
      <c r="B816" s="13">
        <v>5.2392000000000003</v>
      </c>
      <c r="C816" s="1">
        <f>Tabela15[[#This Row],[Alongamento (mm/mm)]]/$I$2</f>
        <v>0.104784</v>
      </c>
      <c r="D816" s="13">
        <v>1407.9</v>
      </c>
      <c r="E816" s="1">
        <f>Tabela15[[#This Row],[Força (N)]]/$I$5</f>
        <v>29128624.009235755</v>
      </c>
      <c r="F816" s="1">
        <f>Tabela15[[#This Row],[Tensão (Pa)]]/1000000</f>
        <v>29.128624009235754</v>
      </c>
    </row>
    <row r="817" spans="1:6" x14ac:dyDescent="0.3">
      <c r="A817" s="13">
        <v>63.216999999999999</v>
      </c>
      <c r="B817" s="13">
        <v>5.26</v>
      </c>
      <c r="C817" s="1">
        <f>Tabela15[[#This Row],[Alongamento (mm/mm)]]/$I$2</f>
        <v>0.1052</v>
      </c>
      <c r="D817" s="13">
        <v>1419.5</v>
      </c>
      <c r="E817" s="1">
        <f>Tabela15[[#This Row],[Força (N)]]/$I$5</f>
        <v>29368621.195475638</v>
      </c>
      <c r="F817" s="1">
        <f>Tabela15[[#This Row],[Tensão (Pa)]]/1000000</f>
        <v>29.368621195475637</v>
      </c>
    </row>
    <row r="818" spans="1:6" x14ac:dyDescent="0.3">
      <c r="A818" s="13">
        <v>63.45</v>
      </c>
      <c r="B818" s="13">
        <v>5.2793999999999999</v>
      </c>
      <c r="C818" s="1">
        <f>Tabela15[[#This Row],[Alongamento (mm/mm)]]/$I$2</f>
        <v>0.105588</v>
      </c>
      <c r="D818" s="13">
        <v>1430.4</v>
      </c>
      <c r="E818" s="1">
        <f>Tabela15[[#This Row],[Força (N)]]/$I$5</f>
        <v>29594135.792890705</v>
      </c>
      <c r="F818" s="1">
        <f>Tabela15[[#This Row],[Tensão (Pa)]]/1000000</f>
        <v>29.594135792890704</v>
      </c>
    </row>
    <row r="819" spans="1:6" x14ac:dyDescent="0.3">
      <c r="A819" s="13">
        <v>63.683</v>
      </c>
      <c r="B819" s="13">
        <v>5.2988</v>
      </c>
      <c r="C819" s="1">
        <f>Tabela15[[#This Row],[Alongamento (mm/mm)]]/$I$2</f>
        <v>0.105976</v>
      </c>
      <c r="D819" s="13">
        <v>1441.4</v>
      </c>
      <c r="E819" s="1">
        <f>Tabela15[[#This Row],[Força (N)]]/$I$5</f>
        <v>29821719.331566457</v>
      </c>
      <c r="F819" s="1">
        <f>Tabela15[[#This Row],[Tensão (Pa)]]/1000000</f>
        <v>29.821719331566456</v>
      </c>
    </row>
    <row r="820" spans="1:6" x14ac:dyDescent="0.3">
      <c r="A820" s="13">
        <v>63.933</v>
      </c>
      <c r="B820" s="13">
        <v>5.3197000000000001</v>
      </c>
      <c r="C820" s="1">
        <f>Tabela15[[#This Row],[Alongamento (mm/mm)]]/$I$2</f>
        <v>0.106394</v>
      </c>
      <c r="D820" s="13">
        <v>1453</v>
      </c>
      <c r="E820" s="1">
        <f>Tabela15[[#This Row],[Força (N)]]/$I$5</f>
        <v>30061716.517806344</v>
      </c>
      <c r="F820" s="1">
        <f>Tabela15[[#This Row],[Tensão (Pa)]]/1000000</f>
        <v>30.061716517806342</v>
      </c>
    </row>
    <row r="821" spans="1:6" x14ac:dyDescent="0.3">
      <c r="A821" s="13">
        <v>64.183000000000007</v>
      </c>
      <c r="B821" s="13">
        <v>5.3404999999999996</v>
      </c>
      <c r="C821" s="1">
        <f>Tabela15[[#This Row],[Alongamento (mm/mm)]]/$I$2</f>
        <v>0.10680999999999999</v>
      </c>
      <c r="D821" s="13">
        <v>1464.6</v>
      </c>
      <c r="E821" s="1">
        <f>Tabela15[[#This Row],[Força (N)]]/$I$5</f>
        <v>30301713.704046227</v>
      </c>
      <c r="F821" s="1">
        <f>Tabela15[[#This Row],[Tensão (Pa)]]/1000000</f>
        <v>30.301713704046229</v>
      </c>
    </row>
    <row r="822" spans="1:6" x14ac:dyDescent="0.3">
      <c r="A822" s="13">
        <v>64.433000000000007</v>
      </c>
      <c r="B822" s="13">
        <v>5.3613999999999997</v>
      </c>
      <c r="C822" s="1">
        <f>Tabela15[[#This Row],[Alongamento (mm/mm)]]/$I$2</f>
        <v>0.10722799999999999</v>
      </c>
      <c r="D822" s="13">
        <v>1476.1</v>
      </c>
      <c r="E822" s="1">
        <f>Tabela15[[#This Row],[Força (N)]]/$I$5</f>
        <v>30539641.949025422</v>
      </c>
      <c r="F822" s="1">
        <f>Tabela15[[#This Row],[Tensão (Pa)]]/1000000</f>
        <v>30.539641949025423</v>
      </c>
    </row>
    <row r="823" spans="1:6" x14ac:dyDescent="0.3">
      <c r="A823" s="13">
        <v>64.683000000000007</v>
      </c>
      <c r="B823" s="13">
        <v>5.3822000000000001</v>
      </c>
      <c r="C823" s="1">
        <f>Tabela15[[#This Row],[Alongamento (mm/mm)]]/$I$2</f>
        <v>0.107644</v>
      </c>
      <c r="D823" s="13">
        <v>1487.5</v>
      </c>
      <c r="E823" s="1">
        <f>Tabela15[[#This Row],[Força (N)]]/$I$5</f>
        <v>30775501.252743933</v>
      </c>
      <c r="F823" s="1">
        <f>Tabela15[[#This Row],[Tensão (Pa)]]/1000000</f>
        <v>30.775501252743933</v>
      </c>
    </row>
    <row r="824" spans="1:6" x14ac:dyDescent="0.3">
      <c r="A824" s="13">
        <v>64.95</v>
      </c>
      <c r="B824" s="13">
        <v>5.4043999999999999</v>
      </c>
      <c r="C824" s="1">
        <f>Tabela15[[#This Row],[Alongamento (mm/mm)]]/$I$2</f>
        <v>0.108088</v>
      </c>
      <c r="D824" s="13">
        <v>1499.8</v>
      </c>
      <c r="E824" s="1">
        <f>Tabela15[[#This Row],[Força (N)]]/$I$5</f>
        <v>31029981.027808636</v>
      </c>
      <c r="F824" s="1">
        <f>Tabela15[[#This Row],[Tensão (Pa)]]/1000000</f>
        <v>31.029981027808635</v>
      </c>
    </row>
    <row r="825" spans="1:6" x14ac:dyDescent="0.3">
      <c r="A825" s="13">
        <v>65.216999999999999</v>
      </c>
      <c r="B825" s="13">
        <v>5.4267000000000003</v>
      </c>
      <c r="C825" s="1">
        <f>Tabela15[[#This Row],[Alongamento (mm/mm)]]/$I$2</f>
        <v>0.10853400000000001</v>
      </c>
      <c r="D825" s="13">
        <v>1511.7</v>
      </c>
      <c r="E825" s="1">
        <f>Tabela15[[#This Row],[Força (N)]]/$I$5</f>
        <v>31276185.037830591</v>
      </c>
      <c r="F825" s="1">
        <f>Tabela15[[#This Row],[Tensão (Pa)]]/1000000</f>
        <v>31.27618503783059</v>
      </c>
    </row>
    <row r="826" spans="1:6" x14ac:dyDescent="0.3">
      <c r="A826" s="13">
        <v>65.483000000000004</v>
      </c>
      <c r="B826" s="13">
        <v>5.4489000000000001</v>
      </c>
      <c r="C826" s="1">
        <f>Tabela15[[#This Row],[Alongamento (mm/mm)]]/$I$2</f>
        <v>0.10897800000000001</v>
      </c>
      <c r="D826" s="13">
        <v>1523.6</v>
      </c>
      <c r="E826" s="1">
        <f>Tabela15[[#This Row],[Força (N)]]/$I$5</f>
        <v>31522389.047852539</v>
      </c>
      <c r="F826" s="1">
        <f>Tabela15[[#This Row],[Tensão (Pa)]]/1000000</f>
        <v>31.522389047852538</v>
      </c>
    </row>
    <row r="827" spans="1:6" x14ac:dyDescent="0.3">
      <c r="A827" s="13">
        <v>65.75</v>
      </c>
      <c r="B827" s="13">
        <v>5.4710000000000001</v>
      </c>
      <c r="C827" s="1">
        <f>Tabela15[[#This Row],[Alongamento (mm/mm)]]/$I$2</f>
        <v>0.10942</v>
      </c>
      <c r="D827" s="13">
        <v>1535.7</v>
      </c>
      <c r="E827" s="1">
        <f>Tabela15[[#This Row],[Força (N)]]/$I$5</f>
        <v>31772730.940395869</v>
      </c>
      <c r="F827" s="1">
        <f>Tabela15[[#This Row],[Tensão (Pa)]]/1000000</f>
        <v>31.772730940395871</v>
      </c>
    </row>
    <row r="828" spans="1:6" x14ac:dyDescent="0.3">
      <c r="A828" s="13">
        <v>66.016999999999996</v>
      </c>
      <c r="B828" s="13">
        <v>5.4932999999999996</v>
      </c>
      <c r="C828" s="1">
        <f>Tabela15[[#This Row],[Alongamento (mm/mm)]]/$I$2</f>
        <v>0.10986599999999999</v>
      </c>
      <c r="D828" s="13">
        <v>1547.6</v>
      </c>
      <c r="E828" s="1">
        <f>Tabela15[[#This Row],[Força (N)]]/$I$5</f>
        <v>32018934.95041782</v>
      </c>
      <c r="F828" s="1">
        <f>Tabela15[[#This Row],[Tensão (Pa)]]/1000000</f>
        <v>32.018934950417822</v>
      </c>
    </row>
    <row r="829" spans="1:6" x14ac:dyDescent="0.3">
      <c r="A829" s="13">
        <v>66.283000000000001</v>
      </c>
      <c r="B829" s="13">
        <v>5.5155000000000003</v>
      </c>
      <c r="C829" s="1">
        <f>Tabela15[[#This Row],[Alongamento (mm/mm)]]/$I$2</f>
        <v>0.11031000000000001</v>
      </c>
      <c r="D829" s="13">
        <v>1559.5</v>
      </c>
      <c r="E829" s="1">
        <f>Tabela15[[#This Row],[Força (N)]]/$I$5</f>
        <v>32265138.960439771</v>
      </c>
      <c r="F829" s="1">
        <f>Tabela15[[#This Row],[Tensão (Pa)]]/1000000</f>
        <v>32.265138960439771</v>
      </c>
    </row>
    <row r="830" spans="1:6" x14ac:dyDescent="0.3">
      <c r="A830" s="13">
        <v>66.55</v>
      </c>
      <c r="B830" s="13">
        <v>5.5377000000000001</v>
      </c>
      <c r="C830" s="1">
        <f>Tabela15[[#This Row],[Alongamento (mm/mm)]]/$I$2</f>
        <v>0.11075400000000001</v>
      </c>
      <c r="D830" s="13">
        <v>1571.4</v>
      </c>
      <c r="E830" s="1">
        <f>Tabela15[[#This Row],[Força (N)]]/$I$5</f>
        <v>32511342.970461726</v>
      </c>
      <c r="F830" s="1">
        <f>Tabela15[[#This Row],[Tensão (Pa)]]/1000000</f>
        <v>32.511342970461726</v>
      </c>
    </row>
    <row r="831" spans="1:6" x14ac:dyDescent="0.3">
      <c r="A831" s="13">
        <v>66.832999999999998</v>
      </c>
      <c r="B831" s="13">
        <v>5.5613999999999999</v>
      </c>
      <c r="C831" s="1">
        <f>Tabela15[[#This Row],[Alongamento (mm/mm)]]/$I$2</f>
        <v>0.11122799999999999</v>
      </c>
      <c r="D831" s="13">
        <v>1584</v>
      </c>
      <c r="E831" s="1">
        <f>Tabela15[[#This Row],[Força (N)]]/$I$5</f>
        <v>32772029.569308497</v>
      </c>
      <c r="F831" s="1">
        <f>Tabela15[[#This Row],[Tensão (Pa)]]/1000000</f>
        <v>32.772029569308494</v>
      </c>
    </row>
    <row r="832" spans="1:6" x14ac:dyDescent="0.3">
      <c r="A832" s="13">
        <v>67.117000000000004</v>
      </c>
      <c r="B832" s="13">
        <v>5.585</v>
      </c>
      <c r="C832" s="1">
        <f>Tabela15[[#This Row],[Alongamento (mm/mm)]]/$I$2</f>
        <v>0.11169999999999999</v>
      </c>
      <c r="D832" s="13">
        <v>1596.7</v>
      </c>
      <c r="E832" s="1">
        <f>Tabela15[[#This Row],[Força (N)]]/$I$5</f>
        <v>33034785.10941596</v>
      </c>
      <c r="F832" s="1">
        <f>Tabela15[[#This Row],[Tensão (Pa)]]/1000000</f>
        <v>33.034785109415957</v>
      </c>
    </row>
    <row r="833" spans="1:6" x14ac:dyDescent="0.3">
      <c r="A833" s="13">
        <v>67.400000000000006</v>
      </c>
      <c r="B833" s="13">
        <v>5.6086</v>
      </c>
      <c r="C833" s="1">
        <f>Tabela15[[#This Row],[Alongamento (mm/mm)]]/$I$2</f>
        <v>0.11217199999999999</v>
      </c>
      <c r="D833" s="13">
        <v>1609.3</v>
      </c>
      <c r="E833" s="1">
        <f>Tabela15[[#This Row],[Força (N)]]/$I$5</f>
        <v>33295471.70826273</v>
      </c>
      <c r="F833" s="1">
        <f>Tabela15[[#This Row],[Tensão (Pa)]]/1000000</f>
        <v>33.295471708262731</v>
      </c>
    </row>
    <row r="834" spans="1:6" x14ac:dyDescent="0.3">
      <c r="A834" s="13">
        <v>67.683000000000007</v>
      </c>
      <c r="B834" s="13">
        <v>5.6322000000000001</v>
      </c>
      <c r="C834" s="1">
        <f>Tabela15[[#This Row],[Alongamento (mm/mm)]]/$I$2</f>
        <v>0.11264400000000001</v>
      </c>
      <c r="D834" s="13">
        <v>1622.1</v>
      </c>
      <c r="E834" s="1">
        <f>Tabela15[[#This Row],[Força (N)]]/$I$5</f>
        <v>33560296.189630881</v>
      </c>
      <c r="F834" s="1">
        <f>Tabela15[[#This Row],[Tensão (Pa)]]/1000000</f>
        <v>33.560296189630883</v>
      </c>
    </row>
    <row r="835" spans="1:6" x14ac:dyDescent="0.3">
      <c r="A835" s="13">
        <v>67.966999999999999</v>
      </c>
      <c r="B835" s="13">
        <v>5.6558000000000002</v>
      </c>
      <c r="C835" s="1">
        <f>Tabela15[[#This Row],[Alongamento (mm/mm)]]/$I$2</f>
        <v>0.11311600000000001</v>
      </c>
      <c r="D835" s="13">
        <v>1634.8</v>
      </c>
      <c r="E835" s="1">
        <f>Tabela15[[#This Row],[Força (N)]]/$I$5</f>
        <v>33823051.72973834</v>
      </c>
      <c r="F835" s="1">
        <f>Tabela15[[#This Row],[Tensão (Pa)]]/1000000</f>
        <v>33.823051729738339</v>
      </c>
    </row>
    <row r="836" spans="1:6" x14ac:dyDescent="0.3">
      <c r="A836" s="13">
        <v>68.25</v>
      </c>
      <c r="B836" s="13">
        <v>5.6794000000000002</v>
      </c>
      <c r="C836" s="1">
        <f>Tabela15[[#This Row],[Alongamento (mm/mm)]]/$I$2</f>
        <v>0.11358800000000001</v>
      </c>
      <c r="D836" s="13">
        <v>1647.6</v>
      </c>
      <c r="E836" s="1">
        <f>Tabela15[[#This Row],[Força (N)]]/$I$5</f>
        <v>34087876.211106487</v>
      </c>
      <c r="F836" s="1">
        <f>Tabela15[[#This Row],[Tensão (Pa)]]/1000000</f>
        <v>34.08787621110649</v>
      </c>
    </row>
    <row r="837" spans="1:6" x14ac:dyDescent="0.3">
      <c r="A837" s="13">
        <v>68.533000000000001</v>
      </c>
      <c r="B837" s="13">
        <v>5.7030000000000003</v>
      </c>
      <c r="C837" s="1">
        <f>Tabela15[[#This Row],[Alongamento (mm/mm)]]/$I$2</f>
        <v>0.11406000000000001</v>
      </c>
      <c r="D837" s="13">
        <v>1660.3</v>
      </c>
      <c r="E837" s="1">
        <f>Tabela15[[#This Row],[Força (N)]]/$I$5</f>
        <v>34350631.751213953</v>
      </c>
      <c r="F837" s="1">
        <f>Tabela15[[#This Row],[Tensão (Pa)]]/1000000</f>
        <v>34.350631751213953</v>
      </c>
    </row>
    <row r="838" spans="1:6" x14ac:dyDescent="0.3">
      <c r="A838" s="13">
        <v>68.816999999999993</v>
      </c>
      <c r="B838" s="13">
        <v>5.7267000000000001</v>
      </c>
      <c r="C838" s="1">
        <f>Tabela15[[#This Row],[Alongamento (mm/mm)]]/$I$2</f>
        <v>0.114534</v>
      </c>
      <c r="D838" s="13">
        <v>1673.4</v>
      </c>
      <c r="E838" s="1">
        <f>Tabela15[[#This Row],[Força (N)]]/$I$5</f>
        <v>34621663.056364171</v>
      </c>
      <c r="F838" s="1">
        <f>Tabela15[[#This Row],[Tensão (Pa)]]/1000000</f>
        <v>34.62166305636417</v>
      </c>
    </row>
    <row r="839" spans="1:6" x14ac:dyDescent="0.3">
      <c r="A839" s="13">
        <v>69.099999999999994</v>
      </c>
      <c r="B839" s="13">
        <v>5.7502000000000004</v>
      </c>
      <c r="C839" s="1">
        <f>Tabela15[[#This Row],[Alongamento (mm/mm)]]/$I$2</f>
        <v>0.11500400000000001</v>
      </c>
      <c r="D839" s="13">
        <v>1686.5</v>
      </c>
      <c r="E839" s="1">
        <f>Tabela15[[#This Row],[Força (N)]]/$I$5</f>
        <v>34892694.361514382</v>
      </c>
      <c r="F839" s="1">
        <f>Tabela15[[#This Row],[Tensão (Pa)]]/1000000</f>
        <v>34.89269436151438</v>
      </c>
    </row>
    <row r="840" spans="1:6" x14ac:dyDescent="0.3">
      <c r="A840" s="13">
        <v>69.382999999999996</v>
      </c>
      <c r="B840" s="13">
        <v>5.7739000000000003</v>
      </c>
      <c r="C840" s="1">
        <f>Tabela15[[#This Row],[Alongamento (mm/mm)]]/$I$2</f>
        <v>0.11547800000000001</v>
      </c>
      <c r="D840" s="13">
        <v>1699.6</v>
      </c>
      <c r="E840" s="1">
        <f>Tabela15[[#This Row],[Força (N)]]/$I$5</f>
        <v>35163725.666664593</v>
      </c>
      <c r="F840" s="1">
        <f>Tabela15[[#This Row],[Tensão (Pa)]]/1000000</f>
        <v>35.16372566666459</v>
      </c>
    </row>
    <row r="841" spans="1:6" x14ac:dyDescent="0.3">
      <c r="A841" s="13">
        <v>69.683000000000007</v>
      </c>
      <c r="B841" s="13">
        <v>5.7988999999999997</v>
      </c>
      <c r="C841" s="1">
        <f>Tabela15[[#This Row],[Alongamento (mm/mm)]]/$I$2</f>
        <v>0.115978</v>
      </c>
      <c r="D841" s="13">
        <v>1713.2</v>
      </c>
      <c r="E841" s="1">
        <f>Tabela15[[#This Row],[Força (N)]]/$I$5</f>
        <v>35445101.678118259</v>
      </c>
      <c r="F841" s="1">
        <f>Tabela15[[#This Row],[Tensão (Pa)]]/1000000</f>
        <v>35.445101678118256</v>
      </c>
    </row>
    <row r="842" spans="1:6" x14ac:dyDescent="0.3">
      <c r="A842" s="13">
        <v>69.983000000000004</v>
      </c>
      <c r="B842" s="13">
        <v>5.8239000000000001</v>
      </c>
      <c r="C842" s="1">
        <f>Tabela15[[#This Row],[Alongamento (mm/mm)]]/$I$2</f>
        <v>0.116478</v>
      </c>
      <c r="D842" s="13">
        <v>1726.8</v>
      </c>
      <c r="E842" s="1">
        <f>Tabela15[[#This Row],[Força (N)]]/$I$5</f>
        <v>35726477.68957191</v>
      </c>
      <c r="F842" s="1">
        <f>Tabela15[[#This Row],[Tensão (Pa)]]/1000000</f>
        <v>35.726477689571908</v>
      </c>
    </row>
    <row r="843" spans="1:6" x14ac:dyDescent="0.3">
      <c r="A843" s="13">
        <v>70.283000000000001</v>
      </c>
      <c r="B843" s="13">
        <v>5.8487999999999998</v>
      </c>
      <c r="C843" s="1">
        <f>Tabela15[[#This Row],[Alongamento (mm/mm)]]/$I$2</f>
        <v>0.116976</v>
      </c>
      <c r="D843" s="13">
        <v>1740.3</v>
      </c>
      <c r="E843" s="1">
        <f>Tabela15[[#This Row],[Força (N)]]/$I$5</f>
        <v>36005784.75976488</v>
      </c>
      <c r="F843" s="1">
        <f>Tabela15[[#This Row],[Tensão (Pa)]]/1000000</f>
        <v>36.005784759764879</v>
      </c>
    </row>
    <row r="844" spans="1:6" x14ac:dyDescent="0.3">
      <c r="A844" s="13">
        <v>70.582999999999998</v>
      </c>
      <c r="B844" s="13">
        <v>5.8738000000000001</v>
      </c>
      <c r="C844" s="1">
        <f>Tabela15[[#This Row],[Alongamento (mm/mm)]]/$I$2</f>
        <v>0.117476</v>
      </c>
      <c r="D844" s="13">
        <v>1753.7</v>
      </c>
      <c r="E844" s="1">
        <f>Tabela15[[#This Row],[Força (N)]]/$I$5</f>
        <v>36283022.88869717</v>
      </c>
      <c r="F844" s="1">
        <f>Tabela15[[#This Row],[Tensão (Pa)]]/1000000</f>
        <v>36.283022888697168</v>
      </c>
    </row>
    <row r="845" spans="1:6" x14ac:dyDescent="0.3">
      <c r="A845" s="13">
        <v>70.900000000000006</v>
      </c>
      <c r="B845" s="13">
        <v>5.9001999999999999</v>
      </c>
      <c r="C845" s="1">
        <f>Tabela15[[#This Row],[Alongamento (mm/mm)]]/$I$2</f>
        <v>0.118004</v>
      </c>
      <c r="D845" s="13">
        <v>1767.5</v>
      </c>
      <c r="E845" s="1">
        <f>Tabela15[[#This Row],[Força (N)]]/$I$5</f>
        <v>36568536.782672204</v>
      </c>
      <c r="F845" s="1">
        <f>Tabela15[[#This Row],[Tensão (Pa)]]/1000000</f>
        <v>36.568536782672204</v>
      </c>
    </row>
    <row r="846" spans="1:6" x14ac:dyDescent="0.3">
      <c r="A846" s="13">
        <v>71.216999999999999</v>
      </c>
      <c r="B846" s="13">
        <v>5.9265999999999996</v>
      </c>
      <c r="C846" s="1">
        <f>Tabela15[[#This Row],[Alongamento (mm/mm)]]/$I$2</f>
        <v>0.118532</v>
      </c>
      <c r="D846" s="13">
        <v>1781.3</v>
      </c>
      <c r="E846" s="1">
        <f>Tabela15[[#This Row],[Força (N)]]/$I$5</f>
        <v>36854050.676647238</v>
      </c>
      <c r="F846" s="1">
        <f>Tabela15[[#This Row],[Tensão (Pa)]]/1000000</f>
        <v>36.85405067664724</v>
      </c>
    </row>
    <row r="847" spans="1:6" x14ac:dyDescent="0.3">
      <c r="A847" s="13">
        <v>71.533000000000001</v>
      </c>
      <c r="B847" s="13">
        <v>5.9531000000000001</v>
      </c>
      <c r="C847" s="1">
        <f>Tabela15[[#This Row],[Alongamento (mm/mm)]]/$I$2</f>
        <v>0.119062</v>
      </c>
      <c r="D847" s="13">
        <v>1795.1</v>
      </c>
      <c r="E847" s="1">
        <f>Tabela15[[#This Row],[Força (N)]]/$I$5</f>
        <v>37139564.570622273</v>
      </c>
      <c r="F847" s="1">
        <f>Tabela15[[#This Row],[Tensão (Pa)]]/1000000</f>
        <v>37.139564570622269</v>
      </c>
    </row>
    <row r="848" spans="1:6" x14ac:dyDescent="0.3">
      <c r="A848" s="13">
        <v>71.867000000000004</v>
      </c>
      <c r="B848" s="13">
        <v>5.9808000000000003</v>
      </c>
      <c r="C848" s="1">
        <f>Tabela15[[#This Row],[Alongamento (mm/mm)]]/$I$2</f>
        <v>0.119616</v>
      </c>
      <c r="D848" s="13">
        <v>1809.3</v>
      </c>
      <c r="E848" s="1">
        <f>Tabela15[[#This Row],[Força (N)]]/$I$5</f>
        <v>37433354.229640067</v>
      </c>
      <c r="F848" s="1">
        <f>Tabela15[[#This Row],[Tensão (Pa)]]/1000000</f>
        <v>37.433354229640067</v>
      </c>
    </row>
    <row r="849" spans="1:6" x14ac:dyDescent="0.3">
      <c r="A849" s="13">
        <v>72.2</v>
      </c>
      <c r="B849" s="13">
        <v>6.0086000000000004</v>
      </c>
      <c r="C849" s="1">
        <f>Tabela15[[#This Row],[Alongamento (mm/mm)]]/$I$2</f>
        <v>0.120172</v>
      </c>
      <c r="D849" s="13">
        <v>1823.3</v>
      </c>
      <c r="E849" s="1">
        <f>Tabela15[[#This Row],[Força (N)]]/$I$5</f>
        <v>37723006.006136477</v>
      </c>
      <c r="F849" s="1">
        <f>Tabela15[[#This Row],[Tensão (Pa)]]/1000000</f>
        <v>37.72300600613648</v>
      </c>
    </row>
    <row r="850" spans="1:6" x14ac:dyDescent="0.3">
      <c r="A850" s="13">
        <v>72.533000000000001</v>
      </c>
      <c r="B850" s="13">
        <v>6.0362999999999998</v>
      </c>
      <c r="C850" s="1">
        <f>Tabela15[[#This Row],[Alongamento (mm/mm)]]/$I$2</f>
        <v>0.120726</v>
      </c>
      <c r="D850" s="13">
        <v>1837.2</v>
      </c>
      <c r="E850" s="1">
        <f>Tabela15[[#This Row],[Força (N)]]/$I$5</f>
        <v>38010588.841372207</v>
      </c>
      <c r="F850" s="1">
        <f>Tabela15[[#This Row],[Tensão (Pa)]]/1000000</f>
        <v>38.010588841372204</v>
      </c>
    </row>
    <row r="851" spans="1:6" x14ac:dyDescent="0.3">
      <c r="A851" s="13">
        <v>72.900000000000006</v>
      </c>
      <c r="B851" s="13">
        <v>6.0669000000000004</v>
      </c>
      <c r="C851" s="1">
        <f>Tabela15[[#This Row],[Alongamento (mm/mm)]]/$I$2</f>
        <v>0.121338</v>
      </c>
      <c r="D851" s="13">
        <v>1852</v>
      </c>
      <c r="E851" s="1">
        <f>Tabela15[[#This Row],[Força (N)]]/$I$5</f>
        <v>38316792.147954129</v>
      </c>
      <c r="F851" s="1">
        <f>Tabela15[[#This Row],[Tensão (Pa)]]/1000000</f>
        <v>38.316792147954132</v>
      </c>
    </row>
    <row r="852" spans="1:6" x14ac:dyDescent="0.3">
      <c r="A852" s="13">
        <v>73.266999999999996</v>
      </c>
      <c r="B852" s="13">
        <v>6.0975000000000001</v>
      </c>
      <c r="C852" s="1">
        <f>Tabela15[[#This Row],[Alongamento (mm/mm)]]/$I$2</f>
        <v>0.12195</v>
      </c>
      <c r="D852" s="13">
        <v>1866.5</v>
      </c>
      <c r="E852" s="1">
        <f>Tabela15[[#This Row],[Força (N)]]/$I$5</f>
        <v>38616788.630753987</v>
      </c>
      <c r="F852" s="1">
        <f>Tabela15[[#This Row],[Tensão (Pa)]]/1000000</f>
        <v>38.616788630753987</v>
      </c>
    </row>
    <row r="853" spans="1:6" x14ac:dyDescent="0.3">
      <c r="A853" s="13">
        <v>73.650000000000006</v>
      </c>
      <c r="B853" s="13">
        <v>6.1295000000000002</v>
      </c>
      <c r="C853" s="1">
        <f>Tabela15[[#This Row],[Alongamento (mm/mm)]]/$I$2</f>
        <v>0.12259</v>
      </c>
      <c r="D853" s="13">
        <v>1880.8</v>
      </c>
      <c r="E853" s="1">
        <f>Tabela15[[#This Row],[Força (N)]]/$I$5</f>
        <v>38912647.231032461</v>
      </c>
      <c r="F853" s="1">
        <f>Tabela15[[#This Row],[Tensão (Pa)]]/1000000</f>
        <v>38.912647231032459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0AD7-A35C-4029-B121-520E2C658EEC}">
  <dimension ref="A1:K648"/>
  <sheetViews>
    <sheetView workbookViewId="0">
      <selection activeCell="A649" sqref="A649"/>
    </sheetView>
  </sheetViews>
  <sheetFormatPr defaultRowHeight="14.4" x14ac:dyDescent="0.3"/>
  <cols>
    <col min="1" max="1" width="14.44140625" style="13" bestFit="1" customWidth="1"/>
    <col min="2" max="2" width="26.33203125" style="13" bestFit="1" customWidth="1"/>
    <col min="3" max="3" width="26.33203125" style="13" customWidth="1"/>
    <col min="4" max="4" width="13.5546875" style="13" bestFit="1" customWidth="1"/>
    <col min="5" max="5" width="15.88671875" style="13" bestFit="1" customWidth="1"/>
    <col min="6" max="6" width="17.88671875" style="13" bestFit="1" customWidth="1"/>
    <col min="8" max="8" width="13" bestFit="1" customWidth="1"/>
    <col min="9" max="9" width="18" bestFit="1" customWidth="1"/>
    <col min="10" max="10" width="12" bestFit="1" customWidth="1"/>
    <col min="11" max="11" width="14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>
        <v>1.6667000000000001E-2</v>
      </c>
      <c r="B2" s="1">
        <v>0</v>
      </c>
      <c r="C2" s="1">
        <f>Tabela18[[#This Row],[Alongamento (mm/mm)]]/$I$2</f>
        <v>0</v>
      </c>
      <c r="D2" s="1">
        <v>0</v>
      </c>
      <c r="E2" s="1">
        <f>Tabela18[[#This Row],[Força (N)]]/$I$5</f>
        <v>0</v>
      </c>
      <c r="F2" s="1">
        <f>Tabela18[[#This Row],[Tensão (Pa)]]/1000000</f>
        <v>0</v>
      </c>
      <c r="H2" s="2" t="s">
        <v>10</v>
      </c>
      <c r="I2" s="1">
        <v>50</v>
      </c>
      <c r="J2" s="1">
        <v>13.12</v>
      </c>
      <c r="K2" s="1">
        <v>3.67</v>
      </c>
    </row>
    <row r="3" spans="1:11" x14ac:dyDescent="0.3">
      <c r="A3" s="1">
        <v>8.4332999999999991</v>
      </c>
      <c r="B3" s="1">
        <v>0.69504999999999995</v>
      </c>
      <c r="C3" s="1">
        <f>Tabela18[[#This Row],[Alongamento (mm/mm)]]/$I$2</f>
        <v>1.3900999999999998E-2</v>
      </c>
      <c r="D3" s="1">
        <v>10.885999999999999</v>
      </c>
      <c r="E3" s="1">
        <f>Tabela18[[#This Row],[Força (N)]]/$I$5</f>
        <v>226083.27241310559</v>
      </c>
      <c r="F3" s="1">
        <f>Tabela18[[#This Row],[Tensão (Pa)]]/1000000</f>
        <v>0.22608327241310558</v>
      </c>
      <c r="H3" s="2" t="s">
        <v>11</v>
      </c>
      <c r="I3" s="1">
        <f>I2/1000</f>
        <v>0.05</v>
      </c>
      <c r="J3" s="1">
        <f>J2/1000</f>
        <v>1.312E-2</v>
      </c>
      <c r="K3" s="1">
        <f>K2/1000</f>
        <v>3.6700000000000001E-3</v>
      </c>
    </row>
    <row r="4" spans="1:11" x14ac:dyDescent="0.3">
      <c r="A4" s="1">
        <v>8.5</v>
      </c>
      <c r="B4" s="1">
        <v>0.70062999999999998</v>
      </c>
      <c r="C4" s="1">
        <f>Tabela18[[#This Row],[Alongamento (mm/mm)]]/$I$2</f>
        <v>1.40126E-2</v>
      </c>
      <c r="D4" s="1">
        <v>11.055999999999999</v>
      </c>
      <c r="E4" s="1">
        <f>Tabela18[[#This Row],[Força (N)]]/$I$5</f>
        <v>229613.87652023658</v>
      </c>
      <c r="F4" s="1">
        <f>Tabela18[[#This Row],[Tensão (Pa)]]/1000000</f>
        <v>0.22961387652023657</v>
      </c>
    </row>
    <row r="5" spans="1:11" ht="15" thickBot="1" x14ac:dyDescent="0.35">
      <c r="A5" s="1">
        <v>8.5667000000000009</v>
      </c>
      <c r="B5" s="1">
        <v>0.70611999999999997</v>
      </c>
      <c r="C5" s="1">
        <f>Tabela18[[#This Row],[Alongamento (mm/mm)]]/$I$2</f>
        <v>1.41224E-2</v>
      </c>
      <c r="D5" s="1">
        <v>11.055999999999999</v>
      </c>
      <c r="E5" s="1">
        <f>Tabela18[[#This Row],[Força (N)]]/$I$5</f>
        <v>229613.87652023658</v>
      </c>
      <c r="F5" s="1">
        <f>Tabela18[[#This Row],[Tensão (Pa)]]/1000000</f>
        <v>0.22961387652023657</v>
      </c>
      <c r="H5" s="9" t="s">
        <v>12</v>
      </c>
      <c r="I5" s="10">
        <f>J3*K3</f>
        <v>4.8150399999999999E-5</v>
      </c>
    </row>
    <row r="6" spans="1:11" ht="15" thickTop="1" x14ac:dyDescent="0.3">
      <c r="A6" s="1">
        <v>8.6333000000000002</v>
      </c>
      <c r="B6" s="1">
        <v>0.71179999999999999</v>
      </c>
      <c r="C6" s="1">
        <f>Tabela18[[#This Row],[Alongamento (mm/mm)]]/$I$2</f>
        <v>1.4236E-2</v>
      </c>
      <c r="D6" s="1">
        <v>11.227</v>
      </c>
      <c r="E6" s="1">
        <f>Tabela18[[#This Row],[Força (N)]]/$I$5</f>
        <v>233165.2488868213</v>
      </c>
      <c r="F6" s="1">
        <f>Tabela18[[#This Row],[Tensão (Pa)]]/1000000</f>
        <v>0.2331652488868213</v>
      </c>
    </row>
    <row r="7" spans="1:11" x14ac:dyDescent="0.3">
      <c r="A7" s="1">
        <v>8.6999999999999993</v>
      </c>
      <c r="B7" s="1">
        <v>0.71738000000000002</v>
      </c>
      <c r="C7" s="1">
        <f>Tabela18[[#This Row],[Alongamento (mm/mm)]]/$I$2</f>
        <v>1.43476E-2</v>
      </c>
      <c r="D7" s="1">
        <v>11.567</v>
      </c>
      <c r="E7" s="1">
        <f>Tabela18[[#This Row],[Força (N)]]/$I$5</f>
        <v>240226.45710108327</v>
      </c>
      <c r="F7" s="1">
        <f>Tabela18[[#This Row],[Tensão (Pa)]]/1000000</f>
        <v>0.24022645710108328</v>
      </c>
    </row>
    <row r="8" spans="1:11" x14ac:dyDescent="0.3">
      <c r="A8" s="1">
        <v>8.7833000000000006</v>
      </c>
      <c r="B8" s="1">
        <v>0.72418000000000005</v>
      </c>
      <c r="C8" s="1">
        <f>Tabela18[[#This Row],[Alongamento (mm/mm)]]/$I$2</f>
        <v>1.4483600000000001E-2</v>
      </c>
      <c r="D8" s="1">
        <v>11.737</v>
      </c>
      <c r="E8" s="1">
        <f>Tabela18[[#This Row],[Força (N)]]/$I$5</f>
        <v>243757.06120821426</v>
      </c>
      <c r="F8" s="1">
        <f>Tabela18[[#This Row],[Tensão (Pa)]]/1000000</f>
        <v>0.24375706120821425</v>
      </c>
    </row>
    <row r="9" spans="1:11" x14ac:dyDescent="0.3">
      <c r="A9" s="1">
        <v>8.8666999999999998</v>
      </c>
      <c r="B9" s="1">
        <v>0.73116000000000003</v>
      </c>
      <c r="C9" s="1">
        <f>Tabela18[[#This Row],[Alongamento (mm/mm)]]/$I$2</f>
        <v>1.4623200000000001E-2</v>
      </c>
      <c r="D9" s="1">
        <v>11.737</v>
      </c>
      <c r="E9" s="1">
        <f>Tabela18[[#This Row],[Força (N)]]/$I$5</f>
        <v>243757.06120821426</v>
      </c>
      <c r="F9" s="1">
        <f>Tabela18[[#This Row],[Tensão (Pa)]]/1000000</f>
        <v>0.24375706120821425</v>
      </c>
    </row>
    <row r="10" spans="1:11" x14ac:dyDescent="0.3">
      <c r="A10" s="1">
        <v>8.9499999999999993</v>
      </c>
      <c r="B10" s="1">
        <v>0.73814000000000002</v>
      </c>
      <c r="C10" s="1">
        <f>Tabela18[[#This Row],[Alongamento (mm/mm)]]/$I$2</f>
        <v>1.47628E-2</v>
      </c>
      <c r="D10" s="1">
        <v>11.737</v>
      </c>
      <c r="E10" s="1">
        <f>Tabela18[[#This Row],[Força (N)]]/$I$5</f>
        <v>243757.06120821426</v>
      </c>
      <c r="F10" s="1">
        <f>Tabela18[[#This Row],[Tensão (Pa)]]/1000000</f>
        <v>0.24375706120821425</v>
      </c>
    </row>
    <row r="11" spans="1:11" x14ac:dyDescent="0.3">
      <c r="A11" s="1">
        <v>9.0333000000000006</v>
      </c>
      <c r="B11" s="1">
        <v>0.74502000000000002</v>
      </c>
      <c r="C11" s="1">
        <f>Tabela18[[#This Row],[Alongamento (mm/mm)]]/$I$2</f>
        <v>1.4900400000000001E-2</v>
      </c>
      <c r="D11" s="1">
        <v>11.907</v>
      </c>
      <c r="E11" s="1">
        <f>Tabela18[[#This Row],[Força (N)]]/$I$5</f>
        <v>247287.66531534525</v>
      </c>
      <c r="F11" s="1">
        <f>Tabela18[[#This Row],[Tensão (Pa)]]/1000000</f>
        <v>0.24728766531534524</v>
      </c>
    </row>
    <row r="12" spans="1:11" x14ac:dyDescent="0.3">
      <c r="A12" s="1">
        <v>9.1166999999999998</v>
      </c>
      <c r="B12" s="1">
        <v>0.752</v>
      </c>
      <c r="C12" s="1">
        <f>Tabela18[[#This Row],[Alongamento (mm/mm)]]/$I$2</f>
        <v>1.504E-2</v>
      </c>
      <c r="D12" s="1">
        <v>11.907</v>
      </c>
      <c r="E12" s="1">
        <f>Tabela18[[#This Row],[Força (N)]]/$I$5</f>
        <v>247287.66531534525</v>
      </c>
      <c r="F12" s="1">
        <f>Tabela18[[#This Row],[Tensão (Pa)]]/1000000</f>
        <v>0.24728766531534524</v>
      </c>
    </row>
    <row r="13" spans="1:11" x14ac:dyDescent="0.3">
      <c r="A13" s="1">
        <v>9.1999999999999993</v>
      </c>
      <c r="B13" s="1">
        <v>0.75897999999999999</v>
      </c>
      <c r="C13" s="1">
        <f>Tabela18[[#This Row],[Alongamento (mm/mm)]]/$I$2</f>
        <v>1.51796E-2</v>
      </c>
      <c r="D13" s="1">
        <v>11.907</v>
      </c>
      <c r="E13" s="1">
        <f>Tabela18[[#This Row],[Força (N)]]/$I$5</f>
        <v>247287.66531534525</v>
      </c>
      <c r="F13" s="1">
        <f>Tabela18[[#This Row],[Tensão (Pa)]]/1000000</f>
        <v>0.24728766531534524</v>
      </c>
    </row>
    <row r="14" spans="1:11" x14ac:dyDescent="0.3">
      <c r="A14" s="1">
        <v>9.2833000000000006</v>
      </c>
      <c r="B14" s="1">
        <v>0.76587000000000005</v>
      </c>
      <c r="C14" s="1">
        <f>Tabela18[[#This Row],[Alongamento (mm/mm)]]/$I$2</f>
        <v>1.5317400000000002E-2</v>
      </c>
      <c r="D14" s="1">
        <v>11.907</v>
      </c>
      <c r="E14" s="1">
        <f>Tabela18[[#This Row],[Força (N)]]/$I$5</f>
        <v>247287.66531534525</v>
      </c>
      <c r="F14" s="1">
        <f>Tabela18[[#This Row],[Tensão (Pa)]]/1000000</f>
        <v>0.24728766531534524</v>
      </c>
    </row>
    <row r="15" spans="1:11" x14ac:dyDescent="0.3">
      <c r="A15" s="1">
        <v>9.3666999999999998</v>
      </c>
      <c r="B15" s="1">
        <v>0.77285000000000004</v>
      </c>
      <c r="C15" s="1">
        <f>Tabela18[[#This Row],[Alongamento (mm/mm)]]/$I$2</f>
        <v>1.5457E-2</v>
      </c>
      <c r="D15" s="1">
        <v>11.737</v>
      </c>
      <c r="E15" s="1">
        <f>Tabela18[[#This Row],[Força (N)]]/$I$5</f>
        <v>243757.06120821426</v>
      </c>
      <c r="F15" s="1">
        <f>Tabela18[[#This Row],[Tensão (Pa)]]/1000000</f>
        <v>0.24375706120821425</v>
      </c>
    </row>
    <row r="16" spans="1:11" x14ac:dyDescent="0.3">
      <c r="A16" s="1">
        <v>9.4499999999999993</v>
      </c>
      <c r="B16" s="1">
        <v>0.77983000000000002</v>
      </c>
      <c r="C16" s="1">
        <f>Tabela18[[#This Row],[Alongamento (mm/mm)]]/$I$2</f>
        <v>1.55966E-2</v>
      </c>
      <c r="D16" s="1">
        <v>11.737</v>
      </c>
      <c r="E16" s="1">
        <f>Tabela18[[#This Row],[Força (N)]]/$I$5</f>
        <v>243757.06120821426</v>
      </c>
      <c r="F16" s="1">
        <f>Tabela18[[#This Row],[Tensão (Pa)]]/1000000</f>
        <v>0.24375706120821425</v>
      </c>
    </row>
    <row r="17" spans="1:6" x14ac:dyDescent="0.3">
      <c r="A17" s="1">
        <v>9.5333000000000006</v>
      </c>
      <c r="B17" s="1">
        <v>0.78671000000000002</v>
      </c>
      <c r="C17" s="1">
        <f>Tabela18[[#This Row],[Alongamento (mm/mm)]]/$I$2</f>
        <v>1.57342E-2</v>
      </c>
      <c r="D17" s="1">
        <v>11.907</v>
      </c>
      <c r="E17" s="1">
        <f>Tabela18[[#This Row],[Força (N)]]/$I$5</f>
        <v>247287.66531534525</v>
      </c>
      <c r="F17" s="1">
        <f>Tabela18[[#This Row],[Tensão (Pa)]]/1000000</f>
        <v>0.24728766531534524</v>
      </c>
    </row>
    <row r="18" spans="1:6" x14ac:dyDescent="0.3">
      <c r="A18" s="1">
        <v>9.6166999999999998</v>
      </c>
      <c r="B18" s="1">
        <v>0.79369000000000001</v>
      </c>
      <c r="C18" s="1">
        <f>Tabela18[[#This Row],[Alongamento (mm/mm)]]/$I$2</f>
        <v>1.58738E-2</v>
      </c>
      <c r="D18" s="1">
        <v>11.907</v>
      </c>
      <c r="E18" s="1">
        <f>Tabela18[[#This Row],[Força (N)]]/$I$5</f>
        <v>247287.66531534525</v>
      </c>
      <c r="F18" s="1">
        <f>Tabela18[[#This Row],[Tensão (Pa)]]/1000000</f>
        <v>0.24728766531534524</v>
      </c>
    </row>
    <row r="19" spans="1:6" x14ac:dyDescent="0.3">
      <c r="A19" s="1">
        <v>9.6999999999999993</v>
      </c>
      <c r="B19" s="1">
        <v>0.80057999999999996</v>
      </c>
      <c r="C19" s="1">
        <f>Tabela18[[#This Row],[Alongamento (mm/mm)]]/$I$2</f>
        <v>1.6011600000000001E-2</v>
      </c>
      <c r="D19" s="1">
        <v>11.907</v>
      </c>
      <c r="E19" s="1">
        <f>Tabela18[[#This Row],[Força (N)]]/$I$5</f>
        <v>247287.66531534525</v>
      </c>
      <c r="F19" s="1">
        <f>Tabela18[[#This Row],[Tensão (Pa)]]/1000000</f>
        <v>0.24728766531534524</v>
      </c>
    </row>
    <row r="20" spans="1:6" x14ac:dyDescent="0.3">
      <c r="A20" s="1">
        <v>9.7833000000000006</v>
      </c>
      <c r="B20" s="1">
        <v>0.80745999999999996</v>
      </c>
      <c r="C20" s="1">
        <f>Tabela18[[#This Row],[Alongamento (mm/mm)]]/$I$2</f>
        <v>1.6149199999999999E-2</v>
      </c>
      <c r="D20" s="1">
        <v>11.907</v>
      </c>
      <c r="E20" s="1">
        <f>Tabela18[[#This Row],[Força (N)]]/$I$5</f>
        <v>247287.66531534525</v>
      </c>
      <c r="F20" s="1">
        <f>Tabela18[[#This Row],[Tensão (Pa)]]/1000000</f>
        <v>0.24728766531534524</v>
      </c>
    </row>
    <row r="21" spans="1:6" x14ac:dyDescent="0.3">
      <c r="A21" s="1">
        <v>9.8666999999999998</v>
      </c>
      <c r="B21" s="1">
        <v>0.81454000000000004</v>
      </c>
      <c r="C21" s="1">
        <f>Tabela18[[#This Row],[Alongamento (mm/mm)]]/$I$2</f>
        <v>1.6290800000000001E-2</v>
      </c>
      <c r="D21" s="1">
        <v>11.907</v>
      </c>
      <c r="E21" s="1">
        <f>Tabela18[[#This Row],[Força (N)]]/$I$5</f>
        <v>247287.66531534525</v>
      </c>
      <c r="F21" s="1">
        <f>Tabela18[[#This Row],[Tensão (Pa)]]/1000000</f>
        <v>0.24728766531534524</v>
      </c>
    </row>
    <row r="22" spans="1:6" x14ac:dyDescent="0.3">
      <c r="A22" s="1">
        <v>9.9499999999999993</v>
      </c>
      <c r="B22" s="1">
        <v>0.82142000000000004</v>
      </c>
      <c r="C22" s="1">
        <f>Tabela18[[#This Row],[Alongamento (mm/mm)]]/$I$2</f>
        <v>1.6428399999999999E-2</v>
      </c>
      <c r="D22" s="1">
        <v>11.907</v>
      </c>
      <c r="E22" s="1">
        <f>Tabela18[[#This Row],[Força (N)]]/$I$5</f>
        <v>247287.66531534525</v>
      </c>
      <c r="F22" s="1">
        <f>Tabela18[[#This Row],[Tensão (Pa)]]/1000000</f>
        <v>0.24728766531534524</v>
      </c>
    </row>
    <row r="23" spans="1:6" x14ac:dyDescent="0.3">
      <c r="A23" s="1">
        <v>10.032999999999999</v>
      </c>
      <c r="B23" s="1">
        <v>0.82830999999999999</v>
      </c>
      <c r="C23" s="1">
        <f>Tabela18[[#This Row],[Alongamento (mm/mm)]]/$I$2</f>
        <v>1.65662E-2</v>
      </c>
      <c r="D23" s="1">
        <v>11.907</v>
      </c>
      <c r="E23" s="1">
        <f>Tabela18[[#This Row],[Força (N)]]/$I$5</f>
        <v>247287.66531534525</v>
      </c>
      <c r="F23" s="1">
        <f>Tabela18[[#This Row],[Tensão (Pa)]]/1000000</f>
        <v>0.24728766531534524</v>
      </c>
    </row>
    <row r="24" spans="1:6" x14ac:dyDescent="0.3">
      <c r="A24" s="1">
        <v>10.117000000000001</v>
      </c>
      <c r="B24" s="1">
        <v>0.83538000000000001</v>
      </c>
      <c r="C24" s="1">
        <f>Tabela18[[#This Row],[Alongamento (mm/mm)]]/$I$2</f>
        <v>1.67076E-2</v>
      </c>
      <c r="D24" s="1">
        <v>12.077</v>
      </c>
      <c r="E24" s="1">
        <f>Tabela18[[#This Row],[Força (N)]]/$I$5</f>
        <v>250818.26942247624</v>
      </c>
      <c r="F24" s="1">
        <f>Tabela18[[#This Row],[Tensão (Pa)]]/1000000</f>
        <v>0.25081826942247626</v>
      </c>
    </row>
    <row r="25" spans="1:6" x14ac:dyDescent="0.3">
      <c r="A25" s="1">
        <v>10.199999999999999</v>
      </c>
      <c r="B25" s="1">
        <v>0.84226999999999996</v>
      </c>
      <c r="C25" s="1">
        <f>Tabela18[[#This Row],[Alongamento (mm/mm)]]/$I$2</f>
        <v>1.68454E-2</v>
      </c>
      <c r="D25" s="1">
        <v>12.077</v>
      </c>
      <c r="E25" s="1">
        <f>Tabela18[[#This Row],[Força (N)]]/$I$5</f>
        <v>250818.26942247624</v>
      </c>
      <c r="F25" s="1">
        <f>Tabela18[[#This Row],[Tensão (Pa)]]/1000000</f>
        <v>0.25081826942247626</v>
      </c>
    </row>
    <row r="26" spans="1:6" x14ac:dyDescent="0.3">
      <c r="A26" s="1">
        <v>10.282999999999999</v>
      </c>
      <c r="B26" s="1">
        <v>0.84914999999999996</v>
      </c>
      <c r="C26" s="1">
        <f>Tabela18[[#This Row],[Alongamento (mm/mm)]]/$I$2</f>
        <v>1.6982999999999998E-2</v>
      </c>
      <c r="D26" s="1">
        <v>12.077</v>
      </c>
      <c r="E26" s="1">
        <f>Tabela18[[#This Row],[Força (N)]]/$I$5</f>
        <v>250818.26942247624</v>
      </c>
      <c r="F26" s="1">
        <f>Tabela18[[#This Row],[Tensão (Pa)]]/1000000</f>
        <v>0.25081826942247626</v>
      </c>
    </row>
    <row r="27" spans="1:6" x14ac:dyDescent="0.3">
      <c r="A27" s="1">
        <v>10.367000000000001</v>
      </c>
      <c r="B27" s="1">
        <v>0.85623000000000005</v>
      </c>
      <c r="C27" s="1">
        <f>Tabela18[[#This Row],[Alongamento (mm/mm)]]/$I$2</f>
        <v>1.71246E-2</v>
      </c>
      <c r="D27" s="1">
        <v>12.247</v>
      </c>
      <c r="E27" s="1">
        <f>Tabela18[[#This Row],[Força (N)]]/$I$5</f>
        <v>254348.87352960723</v>
      </c>
      <c r="F27" s="1">
        <f>Tabela18[[#This Row],[Tensão (Pa)]]/1000000</f>
        <v>0.25434887352960722</v>
      </c>
    </row>
    <row r="28" spans="1:6" x14ac:dyDescent="0.3">
      <c r="A28" s="1">
        <v>10.45</v>
      </c>
      <c r="B28" s="1">
        <v>0.86311000000000004</v>
      </c>
      <c r="C28" s="1">
        <f>Tabela18[[#This Row],[Alongamento (mm/mm)]]/$I$2</f>
        <v>1.7262200000000002E-2</v>
      </c>
      <c r="D28" s="1">
        <v>12.247</v>
      </c>
      <c r="E28" s="1">
        <f>Tabela18[[#This Row],[Força (N)]]/$I$5</f>
        <v>254348.87352960723</v>
      </c>
      <c r="F28" s="1">
        <f>Tabela18[[#This Row],[Tensão (Pa)]]/1000000</f>
        <v>0.25434887352960722</v>
      </c>
    </row>
    <row r="29" spans="1:6" x14ac:dyDescent="0.3">
      <c r="A29" s="1">
        <v>10.532999999999999</v>
      </c>
      <c r="B29" s="1">
        <v>0.87</v>
      </c>
      <c r="C29" s="1">
        <f>Tabela18[[#This Row],[Alongamento (mm/mm)]]/$I$2</f>
        <v>1.7399999999999999E-2</v>
      </c>
      <c r="D29" s="1">
        <v>12.417</v>
      </c>
      <c r="E29" s="1">
        <f>Tabela18[[#This Row],[Força (N)]]/$I$5</f>
        <v>257879.47763673821</v>
      </c>
      <c r="F29" s="1">
        <f>Tabela18[[#This Row],[Tensão (Pa)]]/1000000</f>
        <v>0.25787947763673824</v>
      </c>
    </row>
    <row r="30" spans="1:6" x14ac:dyDescent="0.3">
      <c r="A30" s="1">
        <v>10.617000000000001</v>
      </c>
      <c r="B30" s="1">
        <v>0.87697999999999998</v>
      </c>
      <c r="C30" s="1">
        <f>Tabela18[[#This Row],[Alongamento (mm/mm)]]/$I$2</f>
        <v>1.7539599999999999E-2</v>
      </c>
      <c r="D30" s="1">
        <v>12.757</v>
      </c>
      <c r="E30" s="1">
        <f>Tabela18[[#This Row],[Força (N)]]/$I$5</f>
        <v>264940.68585100019</v>
      </c>
      <c r="F30" s="1">
        <f>Tabela18[[#This Row],[Tensão (Pa)]]/1000000</f>
        <v>0.26494068585100017</v>
      </c>
    </row>
    <row r="31" spans="1:6" x14ac:dyDescent="0.3">
      <c r="A31" s="1">
        <v>10.7</v>
      </c>
      <c r="B31" s="1">
        <v>0.88385999999999998</v>
      </c>
      <c r="C31" s="1">
        <f>Tabela18[[#This Row],[Alongamento (mm/mm)]]/$I$2</f>
        <v>1.7677200000000001E-2</v>
      </c>
      <c r="D31" s="1">
        <v>13.098000000000001</v>
      </c>
      <c r="E31" s="1">
        <f>Tabela18[[#This Row],[Força (N)]]/$I$5</f>
        <v>272022.66232471593</v>
      </c>
      <c r="F31" s="1">
        <f>Tabela18[[#This Row],[Tensão (Pa)]]/1000000</f>
        <v>0.27202266232471595</v>
      </c>
    </row>
    <row r="32" spans="1:6" x14ac:dyDescent="0.3">
      <c r="A32" s="1">
        <v>10.782999999999999</v>
      </c>
      <c r="B32" s="1">
        <v>0.89083999999999997</v>
      </c>
      <c r="C32" s="1">
        <f>Tabela18[[#This Row],[Alongamento (mm/mm)]]/$I$2</f>
        <v>1.7816800000000001E-2</v>
      </c>
      <c r="D32" s="1">
        <v>13.438000000000001</v>
      </c>
      <c r="E32" s="1">
        <f>Tabela18[[#This Row],[Força (N)]]/$I$5</f>
        <v>279083.87053897791</v>
      </c>
      <c r="F32" s="1">
        <f>Tabela18[[#This Row],[Tensão (Pa)]]/1000000</f>
        <v>0.27908387053897793</v>
      </c>
    </row>
    <row r="33" spans="1:6" x14ac:dyDescent="0.3">
      <c r="A33" s="1">
        <v>10.867000000000001</v>
      </c>
      <c r="B33" s="1">
        <v>0.89781999999999995</v>
      </c>
      <c r="C33" s="1">
        <f>Tabela18[[#This Row],[Alongamento (mm/mm)]]/$I$2</f>
        <v>1.7956399999999997E-2</v>
      </c>
      <c r="D33" s="1">
        <v>13.438000000000001</v>
      </c>
      <c r="E33" s="1">
        <f>Tabela18[[#This Row],[Força (N)]]/$I$5</f>
        <v>279083.87053897791</v>
      </c>
      <c r="F33" s="1">
        <f>Tabela18[[#This Row],[Tensão (Pa)]]/1000000</f>
        <v>0.27908387053897793</v>
      </c>
    </row>
    <row r="34" spans="1:6" x14ac:dyDescent="0.3">
      <c r="A34" s="1">
        <v>10.95</v>
      </c>
      <c r="B34" s="1">
        <v>0.90480000000000005</v>
      </c>
      <c r="C34" s="1">
        <f>Tabela18[[#This Row],[Alongamento (mm/mm)]]/$I$2</f>
        <v>1.8096000000000001E-2</v>
      </c>
      <c r="D34" s="1">
        <v>13.608000000000001</v>
      </c>
      <c r="E34" s="1">
        <f>Tabela18[[#This Row],[Força (N)]]/$I$5</f>
        <v>282614.47464610887</v>
      </c>
      <c r="F34" s="1">
        <f>Tabela18[[#This Row],[Tensão (Pa)]]/1000000</f>
        <v>0.28261447464610889</v>
      </c>
    </row>
    <row r="35" spans="1:6" x14ac:dyDescent="0.3">
      <c r="A35" s="1">
        <v>11.032999999999999</v>
      </c>
      <c r="B35" s="1">
        <v>0.91178000000000003</v>
      </c>
      <c r="C35" s="1">
        <f>Tabela18[[#This Row],[Alongamento (mm/mm)]]/$I$2</f>
        <v>1.8235600000000001E-2</v>
      </c>
      <c r="D35" s="1">
        <v>13.608000000000001</v>
      </c>
      <c r="E35" s="1">
        <f>Tabela18[[#This Row],[Força (N)]]/$I$5</f>
        <v>282614.47464610887</v>
      </c>
      <c r="F35" s="1">
        <f>Tabela18[[#This Row],[Tensão (Pa)]]/1000000</f>
        <v>0.28261447464610889</v>
      </c>
    </row>
    <row r="36" spans="1:6" x14ac:dyDescent="0.3">
      <c r="A36" s="1">
        <v>11.132999999999999</v>
      </c>
      <c r="B36" s="1">
        <v>0.92005999999999999</v>
      </c>
      <c r="C36" s="1">
        <f>Tabela18[[#This Row],[Alongamento (mm/mm)]]/$I$2</f>
        <v>1.84012E-2</v>
      </c>
      <c r="D36" s="1">
        <v>13.608000000000001</v>
      </c>
      <c r="E36" s="1">
        <f>Tabela18[[#This Row],[Força (N)]]/$I$5</f>
        <v>282614.47464610887</v>
      </c>
      <c r="F36" s="1">
        <f>Tabela18[[#This Row],[Tensão (Pa)]]/1000000</f>
        <v>0.28261447464610889</v>
      </c>
    </row>
    <row r="37" spans="1:6" x14ac:dyDescent="0.3">
      <c r="A37" s="1">
        <v>11.233000000000001</v>
      </c>
      <c r="B37" s="1">
        <v>0.92844000000000004</v>
      </c>
      <c r="C37" s="1">
        <f>Tabela18[[#This Row],[Alongamento (mm/mm)]]/$I$2</f>
        <v>1.85688E-2</v>
      </c>
      <c r="D37" s="1">
        <v>13.778</v>
      </c>
      <c r="E37" s="1">
        <f>Tabela18[[#This Row],[Força (N)]]/$I$5</f>
        <v>286145.07875323988</v>
      </c>
      <c r="F37" s="1">
        <f>Tabela18[[#This Row],[Tensão (Pa)]]/1000000</f>
        <v>0.28614507875323986</v>
      </c>
    </row>
    <row r="38" spans="1:6" x14ac:dyDescent="0.3">
      <c r="A38" s="1">
        <v>11.333</v>
      </c>
      <c r="B38" s="1">
        <v>0.93672</v>
      </c>
      <c r="C38" s="1">
        <f>Tabela18[[#This Row],[Alongamento (mm/mm)]]/$I$2</f>
        <v>1.8734399999999998E-2</v>
      </c>
      <c r="D38" s="1">
        <v>13.778</v>
      </c>
      <c r="E38" s="1">
        <f>Tabela18[[#This Row],[Força (N)]]/$I$5</f>
        <v>286145.07875323988</v>
      </c>
      <c r="F38" s="1">
        <f>Tabela18[[#This Row],[Tensão (Pa)]]/1000000</f>
        <v>0.28614507875323986</v>
      </c>
    </row>
    <row r="39" spans="1:6" x14ac:dyDescent="0.3">
      <c r="A39" s="1">
        <v>11.433</v>
      </c>
      <c r="B39" s="1">
        <v>0.94510000000000005</v>
      </c>
      <c r="C39" s="1">
        <f>Tabela18[[#This Row],[Alongamento (mm/mm)]]/$I$2</f>
        <v>1.8902000000000002E-2</v>
      </c>
      <c r="D39" s="1">
        <v>13.948</v>
      </c>
      <c r="E39" s="1">
        <f>Tabela18[[#This Row],[Força (N)]]/$I$5</f>
        <v>289675.68286037084</v>
      </c>
      <c r="F39" s="1">
        <f>Tabela18[[#This Row],[Tensão (Pa)]]/1000000</f>
        <v>0.28967568286037082</v>
      </c>
    </row>
    <row r="40" spans="1:6" x14ac:dyDescent="0.3">
      <c r="A40" s="1">
        <v>11.532999999999999</v>
      </c>
      <c r="B40" s="1">
        <v>0.95338000000000001</v>
      </c>
      <c r="C40" s="1">
        <f>Tabela18[[#This Row],[Alongamento (mm/mm)]]/$I$2</f>
        <v>1.9067600000000001E-2</v>
      </c>
      <c r="D40" s="1">
        <v>13.948</v>
      </c>
      <c r="E40" s="1">
        <f>Tabela18[[#This Row],[Força (N)]]/$I$5</f>
        <v>289675.68286037084</v>
      </c>
      <c r="F40" s="1">
        <f>Tabela18[[#This Row],[Tensão (Pa)]]/1000000</f>
        <v>0.28967568286037082</v>
      </c>
    </row>
    <row r="41" spans="1:6" x14ac:dyDescent="0.3">
      <c r="A41" s="1">
        <v>11.632999999999999</v>
      </c>
      <c r="B41" s="1">
        <v>0.96165999999999996</v>
      </c>
      <c r="C41" s="1">
        <f>Tabela18[[#This Row],[Alongamento (mm/mm)]]/$I$2</f>
        <v>1.9233199999999999E-2</v>
      </c>
      <c r="D41" s="1">
        <v>13.948</v>
      </c>
      <c r="E41" s="1">
        <f>Tabela18[[#This Row],[Força (N)]]/$I$5</f>
        <v>289675.68286037084</v>
      </c>
      <c r="F41" s="1">
        <f>Tabela18[[#This Row],[Tensão (Pa)]]/1000000</f>
        <v>0.28967568286037082</v>
      </c>
    </row>
    <row r="42" spans="1:6" x14ac:dyDescent="0.3">
      <c r="A42" s="1">
        <v>11.733000000000001</v>
      </c>
      <c r="B42" s="1">
        <v>0.97004000000000001</v>
      </c>
      <c r="C42" s="1">
        <f>Tabela18[[#This Row],[Alongamento (mm/mm)]]/$I$2</f>
        <v>1.9400799999999999E-2</v>
      </c>
      <c r="D42" s="1">
        <v>13.948</v>
      </c>
      <c r="E42" s="1">
        <f>Tabela18[[#This Row],[Força (N)]]/$I$5</f>
        <v>289675.68286037084</v>
      </c>
      <c r="F42" s="1">
        <f>Tabela18[[#This Row],[Tensão (Pa)]]/1000000</f>
        <v>0.28967568286037082</v>
      </c>
    </row>
    <row r="43" spans="1:6" x14ac:dyDescent="0.3">
      <c r="A43" s="1">
        <v>11.833</v>
      </c>
      <c r="B43" s="1">
        <v>0.97831999999999997</v>
      </c>
      <c r="C43" s="1">
        <f>Tabela18[[#This Row],[Alongamento (mm/mm)]]/$I$2</f>
        <v>1.9566399999999998E-2</v>
      </c>
      <c r="D43" s="1">
        <v>14.118</v>
      </c>
      <c r="E43" s="1">
        <f>Tabela18[[#This Row],[Força (N)]]/$I$5</f>
        <v>293206.28696750186</v>
      </c>
      <c r="F43" s="1">
        <f>Tabela18[[#This Row],[Tensão (Pa)]]/1000000</f>
        <v>0.29320628696750184</v>
      </c>
    </row>
    <row r="44" spans="1:6" x14ac:dyDescent="0.3">
      <c r="A44" s="1">
        <v>11.933</v>
      </c>
      <c r="B44" s="1">
        <v>0.98668999999999996</v>
      </c>
      <c r="C44" s="1">
        <f>Tabela18[[#This Row],[Alongamento (mm/mm)]]/$I$2</f>
        <v>1.9733799999999999E-2</v>
      </c>
      <c r="D44" s="1">
        <v>14.118</v>
      </c>
      <c r="E44" s="1">
        <f>Tabela18[[#This Row],[Força (N)]]/$I$5</f>
        <v>293206.28696750186</v>
      </c>
      <c r="F44" s="1">
        <f>Tabela18[[#This Row],[Tensão (Pa)]]/1000000</f>
        <v>0.29320628696750184</v>
      </c>
    </row>
    <row r="45" spans="1:6" x14ac:dyDescent="0.3">
      <c r="A45" s="1">
        <v>12.032999999999999</v>
      </c>
      <c r="B45" s="1">
        <v>0.99507000000000001</v>
      </c>
      <c r="C45" s="1">
        <f>Tabela18[[#This Row],[Alongamento (mm/mm)]]/$I$2</f>
        <v>1.99014E-2</v>
      </c>
      <c r="D45" s="1">
        <v>14.118</v>
      </c>
      <c r="E45" s="1">
        <f>Tabela18[[#This Row],[Força (N)]]/$I$5</f>
        <v>293206.28696750186</v>
      </c>
      <c r="F45" s="1">
        <f>Tabela18[[#This Row],[Tensão (Pa)]]/1000000</f>
        <v>0.29320628696750184</v>
      </c>
    </row>
    <row r="46" spans="1:6" x14ac:dyDescent="0.3">
      <c r="A46" s="1">
        <v>12.132999999999999</v>
      </c>
      <c r="B46" s="1">
        <v>1.0034000000000001</v>
      </c>
      <c r="C46" s="1">
        <f>Tabela18[[#This Row],[Alongamento (mm/mm)]]/$I$2</f>
        <v>2.0068000000000003E-2</v>
      </c>
      <c r="D46" s="1">
        <v>14.118</v>
      </c>
      <c r="E46" s="1">
        <f>Tabela18[[#This Row],[Força (N)]]/$I$5</f>
        <v>293206.28696750186</v>
      </c>
      <c r="F46" s="1">
        <f>Tabela18[[#This Row],[Tensão (Pa)]]/1000000</f>
        <v>0.29320628696750184</v>
      </c>
    </row>
    <row r="47" spans="1:6" x14ac:dyDescent="0.3">
      <c r="A47" s="1">
        <v>12.233000000000001</v>
      </c>
      <c r="B47" s="1">
        <v>1.0117</v>
      </c>
      <c r="C47" s="1">
        <f>Tabela18[[#This Row],[Alongamento (mm/mm)]]/$I$2</f>
        <v>2.0234000000000002E-2</v>
      </c>
      <c r="D47" s="1">
        <v>14.118</v>
      </c>
      <c r="E47" s="1">
        <f>Tabela18[[#This Row],[Força (N)]]/$I$5</f>
        <v>293206.28696750186</v>
      </c>
      <c r="F47" s="1">
        <f>Tabela18[[#This Row],[Tensão (Pa)]]/1000000</f>
        <v>0.29320628696750184</v>
      </c>
    </row>
    <row r="48" spans="1:6" x14ac:dyDescent="0.3">
      <c r="A48" s="1">
        <v>12.333</v>
      </c>
      <c r="B48" s="1">
        <v>1.02</v>
      </c>
      <c r="C48" s="1">
        <f>Tabela18[[#This Row],[Alongamento (mm/mm)]]/$I$2</f>
        <v>2.0400000000000001E-2</v>
      </c>
      <c r="D48" s="1">
        <v>14.118</v>
      </c>
      <c r="E48" s="1">
        <f>Tabela18[[#This Row],[Força (N)]]/$I$5</f>
        <v>293206.28696750186</v>
      </c>
      <c r="F48" s="1">
        <f>Tabela18[[#This Row],[Tensão (Pa)]]/1000000</f>
        <v>0.29320628696750184</v>
      </c>
    </row>
    <row r="49" spans="1:6" x14ac:dyDescent="0.3">
      <c r="A49" s="1">
        <v>12.433</v>
      </c>
      <c r="B49" s="1">
        <v>1.0284</v>
      </c>
      <c r="C49" s="1">
        <f>Tabela18[[#This Row],[Alongamento (mm/mm)]]/$I$2</f>
        <v>2.0567999999999999E-2</v>
      </c>
      <c r="D49" s="1">
        <v>14.118</v>
      </c>
      <c r="E49" s="1">
        <f>Tabela18[[#This Row],[Força (N)]]/$I$5</f>
        <v>293206.28696750186</v>
      </c>
      <c r="F49" s="1">
        <f>Tabela18[[#This Row],[Tensão (Pa)]]/1000000</f>
        <v>0.29320628696750184</v>
      </c>
    </row>
    <row r="50" spans="1:6" x14ac:dyDescent="0.3">
      <c r="A50" s="1">
        <v>12.532999999999999</v>
      </c>
      <c r="B50" s="1">
        <v>1.0367999999999999</v>
      </c>
      <c r="C50" s="1">
        <f>Tabela18[[#This Row],[Alongamento (mm/mm)]]/$I$2</f>
        <v>2.0735999999999997E-2</v>
      </c>
      <c r="D50" s="1">
        <v>13.948</v>
      </c>
      <c r="E50" s="1">
        <f>Tabela18[[#This Row],[Força (N)]]/$I$5</f>
        <v>289675.68286037084</v>
      </c>
      <c r="F50" s="1">
        <f>Tabela18[[#This Row],[Tensão (Pa)]]/1000000</f>
        <v>0.28967568286037082</v>
      </c>
    </row>
    <row r="51" spans="1:6" x14ac:dyDescent="0.3">
      <c r="A51" s="1">
        <v>12.632999999999999</v>
      </c>
      <c r="B51" s="1">
        <v>1.0449999999999999</v>
      </c>
      <c r="C51" s="1">
        <f>Tabela18[[#This Row],[Alongamento (mm/mm)]]/$I$2</f>
        <v>2.0899999999999998E-2</v>
      </c>
      <c r="D51" s="1">
        <v>13.948</v>
      </c>
      <c r="E51" s="1">
        <f>Tabela18[[#This Row],[Força (N)]]/$I$5</f>
        <v>289675.68286037084</v>
      </c>
      <c r="F51" s="1">
        <f>Tabela18[[#This Row],[Tensão (Pa)]]/1000000</f>
        <v>0.28967568286037082</v>
      </c>
    </row>
    <row r="52" spans="1:6" x14ac:dyDescent="0.3">
      <c r="A52" s="1">
        <v>12.733000000000001</v>
      </c>
      <c r="B52" s="1">
        <v>1.0533999999999999</v>
      </c>
      <c r="C52" s="1">
        <f>Tabela18[[#This Row],[Alongamento (mm/mm)]]/$I$2</f>
        <v>2.1067999999999996E-2</v>
      </c>
      <c r="D52" s="1">
        <v>14.118</v>
      </c>
      <c r="E52" s="1">
        <f>Tabela18[[#This Row],[Força (N)]]/$I$5</f>
        <v>293206.28696750186</v>
      </c>
      <c r="F52" s="1">
        <f>Tabela18[[#This Row],[Tensão (Pa)]]/1000000</f>
        <v>0.29320628696750184</v>
      </c>
    </row>
    <row r="53" spans="1:6" x14ac:dyDescent="0.3">
      <c r="A53" s="1">
        <v>12.833</v>
      </c>
      <c r="B53" s="1">
        <v>1.0617000000000001</v>
      </c>
      <c r="C53" s="1">
        <f>Tabela18[[#This Row],[Alongamento (mm/mm)]]/$I$2</f>
        <v>2.1234000000000003E-2</v>
      </c>
      <c r="D53" s="1">
        <v>14.118</v>
      </c>
      <c r="E53" s="1">
        <f>Tabela18[[#This Row],[Força (N)]]/$I$5</f>
        <v>293206.28696750186</v>
      </c>
      <c r="F53" s="1">
        <f>Tabela18[[#This Row],[Tensão (Pa)]]/1000000</f>
        <v>0.29320628696750184</v>
      </c>
    </row>
    <row r="54" spans="1:6" x14ac:dyDescent="0.3">
      <c r="A54" s="1">
        <v>12.933</v>
      </c>
      <c r="B54" s="1">
        <v>1.07</v>
      </c>
      <c r="C54" s="1">
        <f>Tabela18[[#This Row],[Alongamento (mm/mm)]]/$I$2</f>
        <v>2.1400000000000002E-2</v>
      </c>
      <c r="D54" s="1">
        <v>14.118</v>
      </c>
      <c r="E54" s="1">
        <f>Tabela18[[#This Row],[Força (N)]]/$I$5</f>
        <v>293206.28696750186</v>
      </c>
      <c r="F54" s="1">
        <f>Tabela18[[#This Row],[Tensão (Pa)]]/1000000</f>
        <v>0.29320628696750184</v>
      </c>
    </row>
    <row r="55" spans="1:6" x14ac:dyDescent="0.3">
      <c r="A55" s="1">
        <v>13.032999999999999</v>
      </c>
      <c r="B55" s="1">
        <v>1.0784</v>
      </c>
      <c r="C55" s="1">
        <f>Tabela18[[#This Row],[Alongamento (mm/mm)]]/$I$2</f>
        <v>2.1568E-2</v>
      </c>
      <c r="D55" s="1">
        <v>14.118</v>
      </c>
      <c r="E55" s="1">
        <f>Tabela18[[#This Row],[Força (N)]]/$I$5</f>
        <v>293206.28696750186</v>
      </c>
      <c r="F55" s="1">
        <f>Tabela18[[#This Row],[Tensão (Pa)]]/1000000</f>
        <v>0.29320628696750184</v>
      </c>
    </row>
    <row r="56" spans="1:6" x14ac:dyDescent="0.3">
      <c r="A56" s="1">
        <v>13.15</v>
      </c>
      <c r="B56" s="1">
        <v>1.0881000000000001</v>
      </c>
      <c r="C56" s="1">
        <f>Tabela18[[#This Row],[Alongamento (mm/mm)]]/$I$2</f>
        <v>2.1762E-2</v>
      </c>
      <c r="D56" s="1">
        <v>14.118</v>
      </c>
      <c r="E56" s="1">
        <f>Tabela18[[#This Row],[Força (N)]]/$I$5</f>
        <v>293206.28696750186</v>
      </c>
      <c r="F56" s="1">
        <f>Tabela18[[#This Row],[Tensão (Pa)]]/1000000</f>
        <v>0.29320628696750184</v>
      </c>
    </row>
    <row r="57" spans="1:6" x14ac:dyDescent="0.3">
      <c r="A57" s="1">
        <v>13.266999999999999</v>
      </c>
      <c r="B57" s="1">
        <v>1.0978000000000001</v>
      </c>
      <c r="C57" s="1">
        <f>Tabela18[[#This Row],[Alongamento (mm/mm)]]/$I$2</f>
        <v>2.1956000000000003E-2</v>
      </c>
      <c r="D57" s="1">
        <v>14.118</v>
      </c>
      <c r="E57" s="1">
        <f>Tabela18[[#This Row],[Força (N)]]/$I$5</f>
        <v>293206.28696750186</v>
      </c>
      <c r="F57" s="1">
        <f>Tabela18[[#This Row],[Tensão (Pa)]]/1000000</f>
        <v>0.29320628696750184</v>
      </c>
    </row>
    <row r="58" spans="1:6" x14ac:dyDescent="0.3">
      <c r="A58" s="1">
        <v>13.382999999999999</v>
      </c>
      <c r="B58" s="1">
        <v>1.1075999999999999</v>
      </c>
      <c r="C58" s="1">
        <f>Tabela18[[#This Row],[Alongamento (mm/mm)]]/$I$2</f>
        <v>2.2151999999999998E-2</v>
      </c>
      <c r="D58" s="1">
        <v>14.118</v>
      </c>
      <c r="E58" s="1">
        <f>Tabela18[[#This Row],[Força (N)]]/$I$5</f>
        <v>293206.28696750186</v>
      </c>
      <c r="F58" s="1">
        <f>Tabela18[[#This Row],[Tensão (Pa)]]/1000000</f>
        <v>0.29320628696750184</v>
      </c>
    </row>
    <row r="59" spans="1:6" x14ac:dyDescent="0.3">
      <c r="A59" s="1">
        <v>13.5</v>
      </c>
      <c r="B59" s="1">
        <v>1.1172</v>
      </c>
      <c r="C59" s="1">
        <f>Tabela18[[#This Row],[Alongamento (mm/mm)]]/$I$2</f>
        <v>2.2343999999999999E-2</v>
      </c>
      <c r="D59" s="1">
        <v>14.288</v>
      </c>
      <c r="E59" s="1">
        <f>Tabela18[[#This Row],[Força (N)]]/$I$5</f>
        <v>296736.89107463282</v>
      </c>
      <c r="F59" s="1">
        <f>Tabela18[[#This Row],[Tensão (Pa)]]/1000000</f>
        <v>0.2967368910746328</v>
      </c>
    </row>
    <row r="60" spans="1:6" x14ac:dyDescent="0.3">
      <c r="A60" s="1">
        <v>13.617000000000001</v>
      </c>
      <c r="B60" s="1">
        <v>1.1269</v>
      </c>
      <c r="C60" s="1">
        <f>Tabela18[[#This Row],[Alongamento (mm/mm)]]/$I$2</f>
        <v>2.2537999999999999E-2</v>
      </c>
      <c r="D60" s="1">
        <v>14.288</v>
      </c>
      <c r="E60" s="1">
        <f>Tabela18[[#This Row],[Força (N)]]/$I$5</f>
        <v>296736.89107463282</v>
      </c>
      <c r="F60" s="1">
        <f>Tabela18[[#This Row],[Tensão (Pa)]]/1000000</f>
        <v>0.2967368910746328</v>
      </c>
    </row>
    <row r="61" spans="1:6" x14ac:dyDescent="0.3">
      <c r="A61" s="1">
        <v>13.733000000000001</v>
      </c>
      <c r="B61" s="1">
        <v>1.1368</v>
      </c>
      <c r="C61" s="1">
        <f>Tabela18[[#This Row],[Alongamento (mm/mm)]]/$I$2</f>
        <v>2.2735999999999999E-2</v>
      </c>
      <c r="D61" s="1">
        <v>14.288</v>
      </c>
      <c r="E61" s="1">
        <f>Tabela18[[#This Row],[Força (N)]]/$I$5</f>
        <v>296736.89107463282</v>
      </c>
      <c r="F61" s="1">
        <f>Tabela18[[#This Row],[Tensão (Pa)]]/1000000</f>
        <v>0.2967368910746328</v>
      </c>
    </row>
    <row r="62" spans="1:6" x14ac:dyDescent="0.3">
      <c r="A62" s="1">
        <v>13.85</v>
      </c>
      <c r="B62" s="1">
        <v>1.1465000000000001</v>
      </c>
      <c r="C62" s="1">
        <f>Tabela18[[#This Row],[Alongamento (mm/mm)]]/$I$2</f>
        <v>2.2930000000000002E-2</v>
      </c>
      <c r="D62" s="1">
        <v>14.288</v>
      </c>
      <c r="E62" s="1">
        <f>Tabela18[[#This Row],[Força (N)]]/$I$5</f>
        <v>296736.89107463282</v>
      </c>
      <c r="F62" s="1">
        <f>Tabela18[[#This Row],[Tensão (Pa)]]/1000000</f>
        <v>0.2967368910746328</v>
      </c>
    </row>
    <row r="63" spans="1:6" x14ac:dyDescent="0.3">
      <c r="A63" s="1">
        <v>13.967000000000001</v>
      </c>
      <c r="B63" s="1">
        <v>1.1561999999999999</v>
      </c>
      <c r="C63" s="1">
        <f>Tabela18[[#This Row],[Alongamento (mm/mm)]]/$I$2</f>
        <v>2.3123999999999999E-2</v>
      </c>
      <c r="D63" s="1">
        <v>14.288</v>
      </c>
      <c r="E63" s="1">
        <f>Tabela18[[#This Row],[Força (N)]]/$I$5</f>
        <v>296736.89107463282</v>
      </c>
      <c r="F63" s="1">
        <f>Tabela18[[#This Row],[Tensão (Pa)]]/1000000</f>
        <v>0.2967368910746328</v>
      </c>
    </row>
    <row r="64" spans="1:6" x14ac:dyDescent="0.3">
      <c r="A64" s="1">
        <v>14.083</v>
      </c>
      <c r="B64" s="1">
        <v>1.1658999999999999</v>
      </c>
      <c r="C64" s="1">
        <f>Tabela18[[#This Row],[Alongamento (mm/mm)]]/$I$2</f>
        <v>2.3317999999999998E-2</v>
      </c>
      <c r="D64" s="1">
        <v>14.288</v>
      </c>
      <c r="E64" s="1">
        <f>Tabela18[[#This Row],[Força (N)]]/$I$5</f>
        <v>296736.89107463282</v>
      </c>
      <c r="F64" s="1">
        <f>Tabela18[[#This Row],[Tensão (Pa)]]/1000000</f>
        <v>0.2967368910746328</v>
      </c>
    </row>
    <row r="65" spans="1:6" x14ac:dyDescent="0.3">
      <c r="A65" s="1">
        <v>14.2</v>
      </c>
      <c r="B65" s="1">
        <v>1.1756</v>
      </c>
      <c r="C65" s="1">
        <f>Tabela18[[#This Row],[Alongamento (mm/mm)]]/$I$2</f>
        <v>2.3511999999999998E-2</v>
      </c>
      <c r="D65" s="1">
        <v>14.288</v>
      </c>
      <c r="E65" s="1">
        <f>Tabela18[[#This Row],[Força (N)]]/$I$5</f>
        <v>296736.89107463282</v>
      </c>
      <c r="F65" s="1">
        <f>Tabela18[[#This Row],[Tensão (Pa)]]/1000000</f>
        <v>0.2967368910746328</v>
      </c>
    </row>
    <row r="66" spans="1:6" x14ac:dyDescent="0.3">
      <c r="A66" s="1">
        <v>14.317</v>
      </c>
      <c r="B66" s="1">
        <v>1.1853</v>
      </c>
      <c r="C66" s="1">
        <f>Tabela18[[#This Row],[Alongamento (mm/mm)]]/$I$2</f>
        <v>2.3706000000000001E-2</v>
      </c>
      <c r="D66" s="1">
        <v>14.288</v>
      </c>
      <c r="E66" s="1">
        <f>Tabela18[[#This Row],[Força (N)]]/$I$5</f>
        <v>296736.89107463282</v>
      </c>
      <c r="F66" s="1">
        <f>Tabela18[[#This Row],[Tensão (Pa)]]/1000000</f>
        <v>0.2967368910746328</v>
      </c>
    </row>
    <row r="67" spans="1:6" x14ac:dyDescent="0.3">
      <c r="A67" s="1">
        <v>14.433</v>
      </c>
      <c r="B67" s="1">
        <v>1.1950000000000001</v>
      </c>
      <c r="C67" s="1">
        <f>Tabela18[[#This Row],[Alongamento (mm/mm)]]/$I$2</f>
        <v>2.3900000000000001E-2</v>
      </c>
      <c r="D67" s="1">
        <v>14.288</v>
      </c>
      <c r="E67" s="1">
        <f>Tabela18[[#This Row],[Força (N)]]/$I$5</f>
        <v>296736.89107463282</v>
      </c>
      <c r="F67" s="1">
        <f>Tabela18[[#This Row],[Tensão (Pa)]]/1000000</f>
        <v>0.2967368910746328</v>
      </c>
    </row>
    <row r="68" spans="1:6" x14ac:dyDescent="0.3">
      <c r="A68" s="1">
        <v>14.55</v>
      </c>
      <c r="B68" s="1">
        <v>1.2047000000000001</v>
      </c>
      <c r="C68" s="1">
        <f>Tabela18[[#This Row],[Alongamento (mm/mm)]]/$I$2</f>
        <v>2.4094000000000001E-2</v>
      </c>
      <c r="D68" s="1">
        <v>14.288</v>
      </c>
      <c r="E68" s="1">
        <f>Tabela18[[#This Row],[Força (N)]]/$I$5</f>
        <v>296736.89107463282</v>
      </c>
      <c r="F68" s="1">
        <f>Tabela18[[#This Row],[Tensão (Pa)]]/1000000</f>
        <v>0.2967368910746328</v>
      </c>
    </row>
    <row r="69" spans="1:6" x14ac:dyDescent="0.3">
      <c r="A69" s="1">
        <v>14.667</v>
      </c>
      <c r="B69" s="1">
        <v>1.2144999999999999</v>
      </c>
      <c r="C69" s="1">
        <f>Tabela18[[#This Row],[Alongamento (mm/mm)]]/$I$2</f>
        <v>2.4289999999999999E-2</v>
      </c>
      <c r="D69" s="1">
        <v>14.458</v>
      </c>
      <c r="E69" s="1">
        <f>Tabela18[[#This Row],[Força (N)]]/$I$5</f>
        <v>300267.49518176384</v>
      </c>
      <c r="F69" s="1">
        <f>Tabela18[[#This Row],[Tensão (Pa)]]/1000000</f>
        <v>0.30026749518176382</v>
      </c>
    </row>
    <row r="70" spans="1:6" x14ac:dyDescent="0.3">
      <c r="A70" s="1">
        <v>14.782999999999999</v>
      </c>
      <c r="B70" s="1">
        <v>1.2242999999999999</v>
      </c>
      <c r="C70" s="1">
        <f>Tabela18[[#This Row],[Alongamento (mm/mm)]]/$I$2</f>
        <v>2.4485999999999997E-2</v>
      </c>
      <c r="D70" s="1">
        <v>14.458</v>
      </c>
      <c r="E70" s="1">
        <f>Tabela18[[#This Row],[Força (N)]]/$I$5</f>
        <v>300267.49518176384</v>
      </c>
      <c r="F70" s="1">
        <f>Tabela18[[#This Row],[Tensão (Pa)]]/1000000</f>
        <v>0.30026749518176382</v>
      </c>
    </row>
    <row r="71" spans="1:6" x14ac:dyDescent="0.3">
      <c r="A71" s="1">
        <v>14.9</v>
      </c>
      <c r="B71" s="1">
        <v>1.2339</v>
      </c>
      <c r="C71" s="1">
        <f>Tabela18[[#This Row],[Alongamento (mm/mm)]]/$I$2</f>
        <v>2.4677999999999999E-2</v>
      </c>
      <c r="D71" s="1">
        <v>14.458</v>
      </c>
      <c r="E71" s="1">
        <f>Tabela18[[#This Row],[Força (N)]]/$I$5</f>
        <v>300267.49518176384</v>
      </c>
      <c r="F71" s="1">
        <f>Tabela18[[#This Row],[Tensão (Pa)]]/1000000</f>
        <v>0.30026749518176382</v>
      </c>
    </row>
    <row r="72" spans="1:6" x14ac:dyDescent="0.3">
      <c r="A72" s="1">
        <v>15.016999999999999</v>
      </c>
      <c r="B72" s="1">
        <v>1.2436</v>
      </c>
      <c r="C72" s="1">
        <f>Tabela18[[#This Row],[Alongamento (mm/mm)]]/$I$2</f>
        <v>2.4872000000000002E-2</v>
      </c>
      <c r="D72" s="1">
        <v>14.628</v>
      </c>
      <c r="E72" s="1">
        <f>Tabela18[[#This Row],[Força (N)]]/$I$5</f>
        <v>303798.09928889479</v>
      </c>
      <c r="F72" s="1">
        <f>Tabela18[[#This Row],[Tensão (Pa)]]/1000000</f>
        <v>0.30379809928889479</v>
      </c>
    </row>
    <row r="73" spans="1:6" x14ac:dyDescent="0.3">
      <c r="A73" s="1">
        <v>15.132999999999999</v>
      </c>
      <c r="B73" s="1">
        <v>1.2534000000000001</v>
      </c>
      <c r="C73" s="1">
        <f>Tabela18[[#This Row],[Alongamento (mm/mm)]]/$I$2</f>
        <v>2.5068E-2</v>
      </c>
      <c r="D73" s="1">
        <v>14.628</v>
      </c>
      <c r="E73" s="1">
        <f>Tabela18[[#This Row],[Força (N)]]/$I$5</f>
        <v>303798.09928889479</v>
      </c>
      <c r="F73" s="1">
        <f>Tabela18[[#This Row],[Tensão (Pa)]]/1000000</f>
        <v>0.30379809928889479</v>
      </c>
    </row>
    <row r="74" spans="1:6" x14ac:dyDescent="0.3">
      <c r="A74" s="1">
        <v>15.266999999999999</v>
      </c>
      <c r="B74" s="1">
        <v>1.2645</v>
      </c>
      <c r="C74" s="1">
        <f>Tabela18[[#This Row],[Alongamento (mm/mm)]]/$I$2</f>
        <v>2.529E-2</v>
      </c>
      <c r="D74" s="1">
        <v>14.628</v>
      </c>
      <c r="E74" s="1">
        <f>Tabela18[[#This Row],[Força (N)]]/$I$5</f>
        <v>303798.09928889479</v>
      </c>
      <c r="F74" s="1">
        <f>Tabela18[[#This Row],[Tensão (Pa)]]/1000000</f>
        <v>0.30379809928889479</v>
      </c>
    </row>
    <row r="75" spans="1:6" x14ac:dyDescent="0.3">
      <c r="A75" s="1">
        <v>15.4</v>
      </c>
      <c r="B75" s="1">
        <v>1.2756000000000001</v>
      </c>
      <c r="C75" s="1">
        <f>Tabela18[[#This Row],[Alongamento (mm/mm)]]/$I$2</f>
        <v>2.5512E-2</v>
      </c>
      <c r="D75" s="1">
        <v>14.628</v>
      </c>
      <c r="E75" s="1">
        <f>Tabela18[[#This Row],[Força (N)]]/$I$5</f>
        <v>303798.09928889479</v>
      </c>
      <c r="F75" s="1">
        <f>Tabela18[[#This Row],[Tensão (Pa)]]/1000000</f>
        <v>0.30379809928889479</v>
      </c>
    </row>
    <row r="76" spans="1:6" x14ac:dyDescent="0.3">
      <c r="A76" s="1">
        <v>15.532999999999999</v>
      </c>
      <c r="B76" s="1">
        <v>1.2867</v>
      </c>
      <c r="C76" s="1">
        <f>Tabela18[[#This Row],[Alongamento (mm/mm)]]/$I$2</f>
        <v>2.5734E-2</v>
      </c>
      <c r="D76" s="1">
        <v>14.798999999999999</v>
      </c>
      <c r="E76" s="1">
        <f>Tabela18[[#This Row],[Força (N)]]/$I$5</f>
        <v>307349.47165547952</v>
      </c>
      <c r="F76" s="1">
        <f>Tabela18[[#This Row],[Tensão (Pa)]]/1000000</f>
        <v>0.30734947165547949</v>
      </c>
    </row>
    <row r="77" spans="1:6" x14ac:dyDescent="0.3">
      <c r="A77" s="1">
        <v>15.667</v>
      </c>
      <c r="B77" s="1">
        <v>1.2978000000000001</v>
      </c>
      <c r="C77" s="1">
        <f>Tabela18[[#This Row],[Alongamento (mm/mm)]]/$I$2</f>
        <v>2.5956E-2</v>
      </c>
      <c r="D77" s="1">
        <v>14.968999999999999</v>
      </c>
      <c r="E77" s="1">
        <f>Tabela18[[#This Row],[Força (N)]]/$I$5</f>
        <v>310880.07576261048</v>
      </c>
      <c r="F77" s="1">
        <f>Tabela18[[#This Row],[Tensão (Pa)]]/1000000</f>
        <v>0.31088007576261045</v>
      </c>
    </row>
    <row r="78" spans="1:6" x14ac:dyDescent="0.3">
      <c r="A78" s="1">
        <v>15.8</v>
      </c>
      <c r="B78" s="1">
        <v>1.3089999999999999</v>
      </c>
      <c r="C78" s="1">
        <f>Tabela18[[#This Row],[Alongamento (mm/mm)]]/$I$2</f>
        <v>2.6179999999999998E-2</v>
      </c>
      <c r="D78" s="1">
        <v>15.138999999999999</v>
      </c>
      <c r="E78" s="1">
        <f>Tabela18[[#This Row],[Força (N)]]/$I$5</f>
        <v>314410.67986974149</v>
      </c>
      <c r="F78" s="1">
        <f>Tabela18[[#This Row],[Tensão (Pa)]]/1000000</f>
        <v>0.31441067986974147</v>
      </c>
    </row>
    <row r="79" spans="1:6" x14ac:dyDescent="0.3">
      <c r="A79" s="1">
        <v>15.933</v>
      </c>
      <c r="B79" s="1">
        <v>1.32</v>
      </c>
      <c r="C79" s="1">
        <f>Tabela18[[#This Row],[Alongamento (mm/mm)]]/$I$2</f>
        <v>2.64E-2</v>
      </c>
      <c r="D79" s="1">
        <v>15.308999999999999</v>
      </c>
      <c r="E79" s="1">
        <f>Tabela18[[#This Row],[Força (N)]]/$I$5</f>
        <v>317941.28397687245</v>
      </c>
      <c r="F79" s="1">
        <f>Tabela18[[#This Row],[Tensão (Pa)]]/1000000</f>
        <v>0.31794128397687244</v>
      </c>
    </row>
    <row r="80" spans="1:6" x14ac:dyDescent="0.3">
      <c r="A80" s="1">
        <v>16.067</v>
      </c>
      <c r="B80" s="1">
        <v>1.3311999999999999</v>
      </c>
      <c r="C80" s="1">
        <f>Tabela18[[#This Row],[Alongamento (mm/mm)]]/$I$2</f>
        <v>2.6623999999999998E-2</v>
      </c>
      <c r="D80" s="1">
        <v>15.478999999999999</v>
      </c>
      <c r="E80" s="1">
        <f>Tabela18[[#This Row],[Força (N)]]/$I$5</f>
        <v>321471.88808400347</v>
      </c>
      <c r="F80" s="1">
        <f>Tabela18[[#This Row],[Tensão (Pa)]]/1000000</f>
        <v>0.32147188808400345</v>
      </c>
    </row>
    <row r="81" spans="1:6" x14ac:dyDescent="0.3">
      <c r="A81" s="1">
        <v>16.2</v>
      </c>
      <c r="B81" s="1">
        <v>1.3423</v>
      </c>
      <c r="C81" s="1">
        <f>Tabela18[[#This Row],[Alongamento (mm/mm)]]/$I$2</f>
        <v>2.6846000000000002E-2</v>
      </c>
      <c r="D81" s="1">
        <v>15.648999999999999</v>
      </c>
      <c r="E81" s="1">
        <f>Tabela18[[#This Row],[Força (N)]]/$I$5</f>
        <v>325002.49219113443</v>
      </c>
      <c r="F81" s="1">
        <f>Tabela18[[#This Row],[Tensão (Pa)]]/1000000</f>
        <v>0.32500249219113442</v>
      </c>
    </row>
    <row r="82" spans="1:6" x14ac:dyDescent="0.3">
      <c r="A82" s="1">
        <v>16.332999999999998</v>
      </c>
      <c r="B82" s="1">
        <v>1.3533999999999999</v>
      </c>
      <c r="C82" s="1">
        <f>Tabela18[[#This Row],[Alongamento (mm/mm)]]/$I$2</f>
        <v>2.7067999999999998E-2</v>
      </c>
      <c r="D82" s="1">
        <v>15.989000000000001</v>
      </c>
      <c r="E82" s="1">
        <f>Tabela18[[#This Row],[Força (N)]]/$I$5</f>
        <v>332063.70040539646</v>
      </c>
      <c r="F82" s="1">
        <f>Tabela18[[#This Row],[Tensão (Pa)]]/1000000</f>
        <v>0.33206370040539646</v>
      </c>
    </row>
    <row r="83" spans="1:6" x14ac:dyDescent="0.3">
      <c r="A83" s="1">
        <v>16.466999999999999</v>
      </c>
      <c r="B83" s="1">
        <v>1.3645</v>
      </c>
      <c r="C83" s="1">
        <f>Tabela18[[#This Row],[Alongamento (mm/mm)]]/$I$2</f>
        <v>2.7290000000000002E-2</v>
      </c>
      <c r="D83" s="1">
        <v>16.329000000000001</v>
      </c>
      <c r="E83" s="1">
        <f>Tabela18[[#This Row],[Força (N)]]/$I$5</f>
        <v>339124.90861965844</v>
      </c>
      <c r="F83" s="1">
        <f>Tabela18[[#This Row],[Tensão (Pa)]]/1000000</f>
        <v>0.33912490861965844</v>
      </c>
    </row>
    <row r="84" spans="1:6" x14ac:dyDescent="0.3">
      <c r="A84" s="1">
        <v>16.600000000000001</v>
      </c>
      <c r="B84" s="1">
        <v>1.3755999999999999</v>
      </c>
      <c r="C84" s="1">
        <f>Tabela18[[#This Row],[Alongamento (mm/mm)]]/$I$2</f>
        <v>2.7511999999999998E-2</v>
      </c>
      <c r="D84" s="1">
        <v>16.670000000000002</v>
      </c>
      <c r="E84" s="1">
        <f>Tabela18[[#This Row],[Força (N)]]/$I$5</f>
        <v>346206.88509337412</v>
      </c>
      <c r="F84" s="1">
        <f>Tabela18[[#This Row],[Tensão (Pa)]]/1000000</f>
        <v>0.34620688509337411</v>
      </c>
    </row>
    <row r="85" spans="1:6" x14ac:dyDescent="0.3">
      <c r="A85" s="1">
        <v>16.733000000000001</v>
      </c>
      <c r="B85" s="1">
        <v>1.3867</v>
      </c>
      <c r="C85" s="1">
        <f>Tabela18[[#This Row],[Alongamento (mm/mm)]]/$I$2</f>
        <v>2.7734000000000002E-2</v>
      </c>
      <c r="D85" s="1">
        <v>17.010000000000002</v>
      </c>
      <c r="E85" s="1">
        <f>Tabela18[[#This Row],[Força (N)]]/$I$5</f>
        <v>353268.0933076361</v>
      </c>
      <c r="F85" s="1">
        <f>Tabela18[[#This Row],[Tensão (Pa)]]/1000000</f>
        <v>0.35326809330763609</v>
      </c>
    </row>
    <row r="86" spans="1:6" x14ac:dyDescent="0.3">
      <c r="A86" s="1">
        <v>16.867000000000001</v>
      </c>
      <c r="B86" s="1">
        <v>1.3977999999999999</v>
      </c>
      <c r="C86" s="1">
        <f>Tabela18[[#This Row],[Alongamento (mm/mm)]]/$I$2</f>
        <v>2.7955999999999998E-2</v>
      </c>
      <c r="D86" s="1">
        <v>17.350000000000001</v>
      </c>
      <c r="E86" s="1">
        <f>Tabela18[[#This Row],[Força (N)]]/$I$5</f>
        <v>360329.30152189807</v>
      </c>
      <c r="F86" s="1">
        <f>Tabela18[[#This Row],[Tensão (Pa)]]/1000000</f>
        <v>0.36032930152189807</v>
      </c>
    </row>
    <row r="87" spans="1:6" x14ac:dyDescent="0.3">
      <c r="A87" s="1">
        <v>17</v>
      </c>
      <c r="B87" s="1">
        <v>1.409</v>
      </c>
      <c r="C87" s="1">
        <f>Tabela18[[#This Row],[Alongamento (mm/mm)]]/$I$2</f>
        <v>2.818E-2</v>
      </c>
      <c r="D87" s="1">
        <v>17.86</v>
      </c>
      <c r="E87" s="1">
        <f>Tabela18[[#This Row],[Força (N)]]/$I$5</f>
        <v>370921.11384329101</v>
      </c>
      <c r="F87" s="1">
        <f>Tabela18[[#This Row],[Tensão (Pa)]]/1000000</f>
        <v>0.37092111384329102</v>
      </c>
    </row>
    <row r="88" spans="1:6" x14ac:dyDescent="0.3">
      <c r="A88" s="1">
        <v>17.132999999999999</v>
      </c>
      <c r="B88" s="1">
        <v>1.4200999999999999</v>
      </c>
      <c r="C88" s="1">
        <f>Tabela18[[#This Row],[Alongamento (mm/mm)]]/$I$2</f>
        <v>2.8401999999999997E-2</v>
      </c>
      <c r="D88" s="1">
        <v>18.201000000000001</v>
      </c>
      <c r="E88" s="1">
        <f>Tabela18[[#This Row],[Força (N)]]/$I$5</f>
        <v>378003.09031700675</v>
      </c>
      <c r="F88" s="1">
        <f>Tabela18[[#This Row],[Tensão (Pa)]]/1000000</f>
        <v>0.37800309031700674</v>
      </c>
    </row>
    <row r="89" spans="1:6" x14ac:dyDescent="0.3">
      <c r="A89" s="1">
        <v>17.266999999999999</v>
      </c>
      <c r="B89" s="1">
        <v>1.4311</v>
      </c>
      <c r="C89" s="1">
        <f>Tabela18[[#This Row],[Alongamento (mm/mm)]]/$I$2</f>
        <v>2.8622000000000002E-2</v>
      </c>
      <c r="D89" s="1">
        <v>18.541</v>
      </c>
      <c r="E89" s="1">
        <f>Tabela18[[#This Row],[Força (N)]]/$I$5</f>
        <v>385064.29853126872</v>
      </c>
      <c r="F89" s="1">
        <f>Tabela18[[#This Row],[Tensão (Pa)]]/1000000</f>
        <v>0.38506429853126872</v>
      </c>
    </row>
    <row r="90" spans="1:6" x14ac:dyDescent="0.3">
      <c r="A90" s="1">
        <v>17.417000000000002</v>
      </c>
      <c r="B90" s="1">
        <v>1.4436</v>
      </c>
      <c r="C90" s="1">
        <f>Tabela18[[#This Row],[Alongamento (mm/mm)]]/$I$2</f>
        <v>2.8871999999999998E-2</v>
      </c>
      <c r="D90" s="1">
        <v>18.710999999999999</v>
      </c>
      <c r="E90" s="1">
        <f>Tabela18[[#This Row],[Força (N)]]/$I$5</f>
        <v>388594.90263839968</v>
      </c>
      <c r="F90" s="1">
        <f>Tabela18[[#This Row],[Tensão (Pa)]]/1000000</f>
        <v>0.38859490263839969</v>
      </c>
    </row>
    <row r="91" spans="1:6" x14ac:dyDescent="0.3">
      <c r="A91" s="1">
        <v>17.567</v>
      </c>
      <c r="B91" s="1">
        <v>1.4561999999999999</v>
      </c>
      <c r="C91" s="1">
        <f>Tabela18[[#This Row],[Alongamento (mm/mm)]]/$I$2</f>
        <v>2.9123999999999997E-2</v>
      </c>
      <c r="D91" s="1">
        <v>18.881</v>
      </c>
      <c r="E91" s="1">
        <f>Tabela18[[#This Row],[Força (N)]]/$I$5</f>
        <v>392125.5067455307</v>
      </c>
      <c r="F91" s="1">
        <f>Tabela18[[#This Row],[Tensão (Pa)]]/1000000</f>
        <v>0.39212550674553071</v>
      </c>
    </row>
    <row r="92" spans="1:6" x14ac:dyDescent="0.3">
      <c r="A92" s="1">
        <v>17.716999999999999</v>
      </c>
      <c r="B92" s="1">
        <v>1.4685999999999999</v>
      </c>
      <c r="C92" s="1">
        <f>Tabela18[[#This Row],[Alongamento (mm/mm)]]/$I$2</f>
        <v>2.9371999999999999E-2</v>
      </c>
      <c r="D92" s="1">
        <v>19.050999999999998</v>
      </c>
      <c r="E92" s="1">
        <f>Tabela18[[#This Row],[Força (N)]]/$I$5</f>
        <v>395656.11085266166</v>
      </c>
      <c r="F92" s="1">
        <f>Tabela18[[#This Row],[Tensão (Pa)]]/1000000</f>
        <v>0.39565611085266167</v>
      </c>
    </row>
    <row r="93" spans="1:6" x14ac:dyDescent="0.3">
      <c r="A93" s="1">
        <v>17.867000000000001</v>
      </c>
      <c r="B93" s="1">
        <v>1.4812000000000001</v>
      </c>
      <c r="C93" s="1">
        <f>Tabela18[[#This Row],[Alongamento (mm/mm)]]/$I$2</f>
        <v>2.9624000000000001E-2</v>
      </c>
      <c r="D93" s="1">
        <v>19.221</v>
      </c>
      <c r="E93" s="1">
        <f>Tabela18[[#This Row],[Força (N)]]/$I$5</f>
        <v>399186.71495979268</v>
      </c>
      <c r="F93" s="1">
        <f>Tabela18[[#This Row],[Tensão (Pa)]]/1000000</f>
        <v>0.39918671495979269</v>
      </c>
    </row>
    <row r="94" spans="1:6" x14ac:dyDescent="0.3">
      <c r="A94" s="1">
        <v>18.016999999999999</v>
      </c>
      <c r="B94" s="1">
        <v>1.4937</v>
      </c>
      <c r="C94" s="1">
        <f>Tabela18[[#This Row],[Alongamento (mm/mm)]]/$I$2</f>
        <v>2.9874000000000001E-2</v>
      </c>
      <c r="D94" s="1">
        <v>19.390999999999998</v>
      </c>
      <c r="E94" s="1">
        <f>Tabela18[[#This Row],[Força (N)]]/$I$5</f>
        <v>402717.31906692364</v>
      </c>
      <c r="F94" s="1">
        <f>Tabela18[[#This Row],[Tensão (Pa)]]/1000000</f>
        <v>0.40271731906692365</v>
      </c>
    </row>
    <row r="95" spans="1:6" x14ac:dyDescent="0.3">
      <c r="A95" s="1">
        <v>18.167000000000002</v>
      </c>
      <c r="B95" s="1">
        <v>1.5061</v>
      </c>
      <c r="C95" s="1">
        <f>Tabela18[[#This Row],[Alongamento (mm/mm)]]/$I$2</f>
        <v>3.0121999999999999E-2</v>
      </c>
      <c r="D95" s="1">
        <v>19.390999999999998</v>
      </c>
      <c r="E95" s="1">
        <f>Tabela18[[#This Row],[Força (N)]]/$I$5</f>
        <v>402717.31906692364</v>
      </c>
      <c r="F95" s="1">
        <f>Tabela18[[#This Row],[Tensão (Pa)]]/1000000</f>
        <v>0.40271731906692365</v>
      </c>
    </row>
    <row r="96" spans="1:6" x14ac:dyDescent="0.3">
      <c r="A96" s="1">
        <v>18.317</v>
      </c>
      <c r="B96" s="1">
        <v>1.5186999999999999</v>
      </c>
      <c r="C96" s="1">
        <f>Tabela18[[#This Row],[Alongamento (mm/mm)]]/$I$2</f>
        <v>3.0373999999999998E-2</v>
      </c>
      <c r="D96" s="1">
        <v>19.731000000000002</v>
      </c>
      <c r="E96" s="1">
        <f>Tabela18[[#This Row],[Força (N)]]/$I$5</f>
        <v>409778.52728118567</v>
      </c>
      <c r="F96" s="1">
        <f>Tabela18[[#This Row],[Tensão (Pa)]]/1000000</f>
        <v>0.40977852728118569</v>
      </c>
    </row>
    <row r="97" spans="1:6" x14ac:dyDescent="0.3">
      <c r="A97" s="1">
        <v>18.466999999999999</v>
      </c>
      <c r="B97" s="1">
        <v>1.5310999999999999</v>
      </c>
      <c r="C97" s="1">
        <f>Tabela18[[#This Row],[Alongamento (mm/mm)]]/$I$2</f>
        <v>3.0621999999999996E-2</v>
      </c>
      <c r="D97" s="1">
        <v>19.902000000000001</v>
      </c>
      <c r="E97" s="1">
        <f>Tabela18[[#This Row],[Força (N)]]/$I$5</f>
        <v>413329.89964777033</v>
      </c>
      <c r="F97" s="1">
        <f>Tabela18[[#This Row],[Tensão (Pa)]]/1000000</f>
        <v>0.41332989964777034</v>
      </c>
    </row>
    <row r="98" spans="1:6" x14ac:dyDescent="0.3">
      <c r="A98" s="1">
        <v>18.617000000000001</v>
      </c>
      <c r="B98" s="1">
        <v>1.5436000000000001</v>
      </c>
      <c r="C98" s="1">
        <f>Tabela18[[#This Row],[Alongamento (mm/mm)]]/$I$2</f>
        <v>3.0872E-2</v>
      </c>
      <c r="D98" s="1">
        <v>20.242000000000001</v>
      </c>
      <c r="E98" s="1">
        <f>Tabela18[[#This Row],[Força (N)]]/$I$5</f>
        <v>420391.10786203231</v>
      </c>
      <c r="F98" s="1">
        <f>Tabela18[[#This Row],[Tensão (Pa)]]/1000000</f>
        <v>0.42039110786203232</v>
      </c>
    </row>
    <row r="99" spans="1:6" x14ac:dyDescent="0.3">
      <c r="A99" s="1">
        <v>18.766999999999999</v>
      </c>
      <c r="B99" s="1">
        <v>1.5561</v>
      </c>
      <c r="C99" s="1">
        <f>Tabela18[[#This Row],[Alongamento (mm/mm)]]/$I$2</f>
        <v>3.1122E-2</v>
      </c>
      <c r="D99" s="1">
        <v>20.242000000000001</v>
      </c>
      <c r="E99" s="1">
        <f>Tabela18[[#This Row],[Força (N)]]/$I$5</f>
        <v>420391.10786203231</v>
      </c>
      <c r="F99" s="1">
        <f>Tabela18[[#This Row],[Tensão (Pa)]]/1000000</f>
        <v>0.42039110786203232</v>
      </c>
    </row>
    <row r="100" spans="1:6" x14ac:dyDescent="0.3">
      <c r="A100" s="1">
        <v>18.917000000000002</v>
      </c>
      <c r="B100" s="1">
        <v>1.5687</v>
      </c>
      <c r="C100" s="1">
        <f>Tabela18[[#This Row],[Alongamento (mm/mm)]]/$I$2</f>
        <v>3.1373999999999999E-2</v>
      </c>
      <c r="D100" s="1">
        <v>20.411999999999999</v>
      </c>
      <c r="E100" s="1">
        <f>Tabela18[[#This Row],[Força (N)]]/$I$5</f>
        <v>423921.71196916327</v>
      </c>
      <c r="F100" s="1">
        <f>Tabela18[[#This Row],[Tensão (Pa)]]/1000000</f>
        <v>0.42392171196916328</v>
      </c>
    </row>
    <row r="101" spans="1:6" x14ac:dyDescent="0.3">
      <c r="A101" s="1">
        <v>19.067</v>
      </c>
      <c r="B101" s="1">
        <v>1.5810999999999999</v>
      </c>
      <c r="C101" s="1">
        <f>Tabela18[[#This Row],[Alongamento (mm/mm)]]/$I$2</f>
        <v>3.1621999999999997E-2</v>
      </c>
      <c r="D101" s="1">
        <v>20.582000000000001</v>
      </c>
      <c r="E101" s="1">
        <f>Tabela18[[#This Row],[Força (N)]]/$I$5</f>
        <v>427452.31607629429</v>
      </c>
      <c r="F101" s="1">
        <f>Tabela18[[#This Row],[Tensão (Pa)]]/1000000</f>
        <v>0.4274523160762943</v>
      </c>
    </row>
    <row r="102" spans="1:6" x14ac:dyDescent="0.3">
      <c r="A102" s="1">
        <v>19.216999999999999</v>
      </c>
      <c r="B102" s="1">
        <v>1.5935999999999999</v>
      </c>
      <c r="C102" s="1">
        <f>Tabela18[[#This Row],[Alongamento (mm/mm)]]/$I$2</f>
        <v>3.1871999999999998E-2</v>
      </c>
      <c r="D102" s="1">
        <v>20.582000000000001</v>
      </c>
      <c r="E102" s="1">
        <f>Tabela18[[#This Row],[Força (N)]]/$I$5</f>
        <v>427452.31607629429</v>
      </c>
      <c r="F102" s="1">
        <f>Tabela18[[#This Row],[Tensão (Pa)]]/1000000</f>
        <v>0.4274523160762943</v>
      </c>
    </row>
    <row r="103" spans="1:6" x14ac:dyDescent="0.3">
      <c r="A103" s="1">
        <v>19.367000000000001</v>
      </c>
      <c r="B103" s="1">
        <v>1.6062000000000001</v>
      </c>
      <c r="C103" s="1">
        <f>Tabela18[[#This Row],[Alongamento (mm/mm)]]/$I$2</f>
        <v>3.2124E-2</v>
      </c>
      <c r="D103" s="1">
        <v>20.751999999999999</v>
      </c>
      <c r="E103" s="1">
        <f>Tabela18[[#This Row],[Força (N)]]/$I$5</f>
        <v>430982.92018342525</v>
      </c>
      <c r="F103" s="1">
        <f>Tabela18[[#This Row],[Tensão (Pa)]]/1000000</f>
        <v>0.43098292018342527</v>
      </c>
    </row>
    <row r="104" spans="1:6" x14ac:dyDescent="0.3">
      <c r="A104" s="1">
        <v>19.516999999999999</v>
      </c>
      <c r="B104" s="1">
        <v>1.6187</v>
      </c>
      <c r="C104" s="1">
        <f>Tabela18[[#This Row],[Alongamento (mm/mm)]]/$I$2</f>
        <v>3.2374E-2</v>
      </c>
      <c r="D104" s="1">
        <v>20.751999999999999</v>
      </c>
      <c r="E104" s="1">
        <f>Tabela18[[#This Row],[Força (N)]]/$I$5</f>
        <v>430982.92018342525</v>
      </c>
      <c r="F104" s="1">
        <f>Tabela18[[#This Row],[Tensão (Pa)]]/1000000</f>
        <v>0.43098292018342527</v>
      </c>
    </row>
    <row r="105" spans="1:6" x14ac:dyDescent="0.3">
      <c r="A105" s="1">
        <v>19.683</v>
      </c>
      <c r="B105" s="1">
        <v>1.6326000000000001</v>
      </c>
      <c r="C105" s="1">
        <f>Tabela18[[#This Row],[Alongamento (mm/mm)]]/$I$2</f>
        <v>3.2652E-2</v>
      </c>
      <c r="D105" s="1">
        <v>20.751999999999999</v>
      </c>
      <c r="E105" s="1">
        <f>Tabela18[[#This Row],[Força (N)]]/$I$5</f>
        <v>430982.92018342525</v>
      </c>
      <c r="F105" s="1">
        <f>Tabela18[[#This Row],[Tensão (Pa)]]/1000000</f>
        <v>0.43098292018342527</v>
      </c>
    </row>
    <row r="106" spans="1:6" x14ac:dyDescent="0.3">
      <c r="A106" s="1">
        <v>19.850000000000001</v>
      </c>
      <c r="B106" s="1">
        <v>1.6465000000000001</v>
      </c>
      <c r="C106" s="1">
        <f>Tabela18[[#This Row],[Alongamento (mm/mm)]]/$I$2</f>
        <v>3.2930000000000001E-2</v>
      </c>
      <c r="D106" s="1">
        <v>20.751999999999999</v>
      </c>
      <c r="E106" s="1">
        <f>Tabela18[[#This Row],[Força (N)]]/$I$5</f>
        <v>430982.92018342525</v>
      </c>
      <c r="F106" s="1">
        <f>Tabela18[[#This Row],[Tensão (Pa)]]/1000000</f>
        <v>0.43098292018342527</v>
      </c>
    </row>
    <row r="107" spans="1:6" x14ac:dyDescent="0.3">
      <c r="A107" s="1">
        <v>20.016999999999999</v>
      </c>
      <c r="B107" s="1">
        <v>1.6601999999999999</v>
      </c>
      <c r="C107" s="1">
        <f>Tabela18[[#This Row],[Alongamento (mm/mm)]]/$I$2</f>
        <v>3.3203999999999997E-2</v>
      </c>
      <c r="D107" s="1">
        <v>20.751999999999999</v>
      </c>
      <c r="E107" s="1">
        <f>Tabela18[[#This Row],[Força (N)]]/$I$5</f>
        <v>430982.92018342525</v>
      </c>
      <c r="F107" s="1">
        <f>Tabela18[[#This Row],[Tensão (Pa)]]/1000000</f>
        <v>0.43098292018342527</v>
      </c>
    </row>
    <row r="108" spans="1:6" x14ac:dyDescent="0.3">
      <c r="A108" s="1">
        <v>20.183</v>
      </c>
      <c r="B108" s="1">
        <v>1.6741999999999999</v>
      </c>
      <c r="C108" s="1">
        <f>Tabela18[[#This Row],[Alongamento (mm/mm)]]/$I$2</f>
        <v>3.3484E-2</v>
      </c>
      <c r="D108" s="1">
        <v>20.751999999999999</v>
      </c>
      <c r="E108" s="1">
        <f>Tabela18[[#This Row],[Força (N)]]/$I$5</f>
        <v>430982.92018342525</v>
      </c>
      <c r="F108" s="1">
        <f>Tabela18[[#This Row],[Tensão (Pa)]]/1000000</f>
        <v>0.43098292018342527</v>
      </c>
    </row>
    <row r="109" spans="1:6" x14ac:dyDescent="0.3">
      <c r="A109" s="1">
        <v>20.350000000000001</v>
      </c>
      <c r="B109" s="1">
        <v>1.6881999999999999</v>
      </c>
      <c r="C109" s="1">
        <f>Tabela18[[#This Row],[Alongamento (mm/mm)]]/$I$2</f>
        <v>3.3763999999999995E-2</v>
      </c>
      <c r="D109" s="1">
        <v>20.751999999999999</v>
      </c>
      <c r="E109" s="1">
        <f>Tabela18[[#This Row],[Força (N)]]/$I$5</f>
        <v>430982.92018342525</v>
      </c>
      <c r="F109" s="1">
        <f>Tabela18[[#This Row],[Tensão (Pa)]]/1000000</f>
        <v>0.43098292018342527</v>
      </c>
    </row>
    <row r="110" spans="1:6" x14ac:dyDescent="0.3">
      <c r="A110" s="1">
        <v>20.516999999999999</v>
      </c>
      <c r="B110" s="1">
        <v>1.7019</v>
      </c>
      <c r="C110" s="1">
        <f>Tabela18[[#This Row],[Alongamento (mm/mm)]]/$I$2</f>
        <v>3.4037999999999999E-2</v>
      </c>
      <c r="D110" s="1">
        <v>20.751999999999999</v>
      </c>
      <c r="E110" s="1">
        <f>Tabela18[[#This Row],[Força (N)]]/$I$5</f>
        <v>430982.92018342525</v>
      </c>
      <c r="F110" s="1">
        <f>Tabela18[[#This Row],[Tensão (Pa)]]/1000000</f>
        <v>0.43098292018342527</v>
      </c>
    </row>
    <row r="111" spans="1:6" x14ac:dyDescent="0.3">
      <c r="A111" s="1">
        <v>20.683</v>
      </c>
      <c r="B111" s="1">
        <v>1.7159</v>
      </c>
      <c r="C111" s="1">
        <f>Tabela18[[#This Row],[Alongamento (mm/mm)]]/$I$2</f>
        <v>3.4318000000000001E-2</v>
      </c>
      <c r="D111" s="1">
        <v>20.751999999999999</v>
      </c>
      <c r="E111" s="1">
        <f>Tabela18[[#This Row],[Força (N)]]/$I$5</f>
        <v>430982.92018342525</v>
      </c>
      <c r="F111" s="1">
        <f>Tabela18[[#This Row],[Tensão (Pa)]]/1000000</f>
        <v>0.43098292018342527</v>
      </c>
    </row>
    <row r="112" spans="1:6" x14ac:dyDescent="0.3">
      <c r="A112" s="1">
        <v>20.85</v>
      </c>
      <c r="B112" s="1">
        <v>1.7298</v>
      </c>
      <c r="C112" s="1">
        <f>Tabela18[[#This Row],[Alongamento (mm/mm)]]/$I$2</f>
        <v>3.4596000000000002E-2</v>
      </c>
      <c r="D112" s="1">
        <v>20.922000000000001</v>
      </c>
      <c r="E112" s="1">
        <f>Tabela18[[#This Row],[Força (N)]]/$I$5</f>
        <v>434513.52429055626</v>
      </c>
      <c r="F112" s="1">
        <f>Tabela18[[#This Row],[Tensão (Pa)]]/1000000</f>
        <v>0.43451352429055629</v>
      </c>
    </row>
    <row r="113" spans="1:6" x14ac:dyDescent="0.3">
      <c r="A113" s="1">
        <v>21.016999999999999</v>
      </c>
      <c r="B113" s="1">
        <v>1.7436</v>
      </c>
      <c r="C113" s="1">
        <f>Tabela18[[#This Row],[Alongamento (mm/mm)]]/$I$2</f>
        <v>3.4872E-2</v>
      </c>
      <c r="D113" s="1">
        <v>21.091999999999999</v>
      </c>
      <c r="E113" s="1">
        <f>Tabela18[[#This Row],[Força (N)]]/$I$5</f>
        <v>438044.12839768722</v>
      </c>
      <c r="F113" s="1">
        <f>Tabela18[[#This Row],[Tensão (Pa)]]/1000000</f>
        <v>0.43804412839768725</v>
      </c>
    </row>
    <row r="114" spans="1:6" x14ac:dyDescent="0.3">
      <c r="A114" s="1">
        <v>21.183</v>
      </c>
      <c r="B114" s="1">
        <v>1.7576000000000001</v>
      </c>
      <c r="C114" s="1">
        <f>Tabela18[[#This Row],[Alongamento (mm/mm)]]/$I$2</f>
        <v>3.5152000000000003E-2</v>
      </c>
      <c r="D114" s="1">
        <v>21.262</v>
      </c>
      <c r="E114" s="1">
        <f>Tabela18[[#This Row],[Força (N)]]/$I$5</f>
        <v>441574.73250481824</v>
      </c>
      <c r="F114" s="1">
        <f>Tabela18[[#This Row],[Tensão (Pa)]]/1000000</f>
        <v>0.44157473250481821</v>
      </c>
    </row>
    <row r="115" spans="1:6" x14ac:dyDescent="0.3">
      <c r="A115" s="1">
        <v>21.35</v>
      </c>
      <c r="B115" s="1">
        <v>1.7715000000000001</v>
      </c>
      <c r="C115" s="1">
        <f>Tabela18[[#This Row],[Alongamento (mm/mm)]]/$I$2</f>
        <v>3.5430000000000003E-2</v>
      </c>
      <c r="D115" s="1">
        <v>21.262</v>
      </c>
      <c r="E115" s="1">
        <f>Tabela18[[#This Row],[Força (N)]]/$I$5</f>
        <v>441574.73250481824</v>
      </c>
      <c r="F115" s="1">
        <f>Tabela18[[#This Row],[Tensão (Pa)]]/1000000</f>
        <v>0.44157473250481821</v>
      </c>
    </row>
    <row r="116" spans="1:6" x14ac:dyDescent="0.3">
      <c r="A116" s="1">
        <v>21.516999999999999</v>
      </c>
      <c r="B116" s="1">
        <v>1.7853000000000001</v>
      </c>
      <c r="C116" s="1">
        <f>Tabela18[[#This Row],[Alongamento (mm/mm)]]/$I$2</f>
        <v>3.5706000000000002E-2</v>
      </c>
      <c r="D116" s="1">
        <v>21.431999999999999</v>
      </c>
      <c r="E116" s="1">
        <f>Tabela18[[#This Row],[Força (N)]]/$I$5</f>
        <v>445105.3366119492</v>
      </c>
      <c r="F116" s="1">
        <f>Tabela18[[#This Row],[Tensão (Pa)]]/1000000</f>
        <v>0.44510533661194918</v>
      </c>
    </row>
    <row r="117" spans="1:6" x14ac:dyDescent="0.3">
      <c r="A117" s="1">
        <v>21.683</v>
      </c>
      <c r="B117" s="1">
        <v>1.7991999999999999</v>
      </c>
      <c r="C117" s="1">
        <f>Tabela18[[#This Row],[Alongamento (mm/mm)]]/$I$2</f>
        <v>3.5983999999999995E-2</v>
      </c>
      <c r="D117" s="1">
        <v>21.603000000000002</v>
      </c>
      <c r="E117" s="1">
        <f>Tabela18[[#This Row],[Força (N)]]/$I$5</f>
        <v>448656.70897853398</v>
      </c>
      <c r="F117" s="1">
        <f>Tabela18[[#This Row],[Tensão (Pa)]]/1000000</f>
        <v>0.44865670897853399</v>
      </c>
    </row>
    <row r="118" spans="1:6" x14ac:dyDescent="0.3">
      <c r="A118" s="1">
        <v>21.867000000000001</v>
      </c>
      <c r="B118" s="1">
        <v>1.8144</v>
      </c>
      <c r="C118" s="1">
        <f>Tabela18[[#This Row],[Alongamento (mm/mm)]]/$I$2</f>
        <v>3.6288000000000001E-2</v>
      </c>
      <c r="D118" s="1">
        <v>21.773</v>
      </c>
      <c r="E118" s="1">
        <f>Tabela18[[#This Row],[Força (N)]]/$I$5</f>
        <v>452187.31308566494</v>
      </c>
      <c r="F118" s="1">
        <f>Tabela18[[#This Row],[Tensão (Pa)]]/1000000</f>
        <v>0.45218731308566495</v>
      </c>
    </row>
    <row r="119" spans="1:6" x14ac:dyDescent="0.3">
      <c r="A119" s="1">
        <v>22.05</v>
      </c>
      <c r="B119" s="1">
        <v>1.8298000000000001</v>
      </c>
      <c r="C119" s="1">
        <f>Tabela18[[#This Row],[Alongamento (mm/mm)]]/$I$2</f>
        <v>3.6596000000000004E-2</v>
      </c>
      <c r="D119" s="1">
        <v>22.113</v>
      </c>
      <c r="E119" s="1">
        <f>Tabela18[[#This Row],[Força (N)]]/$I$5</f>
        <v>459248.52129992691</v>
      </c>
      <c r="F119" s="1">
        <f>Tabela18[[#This Row],[Tensão (Pa)]]/1000000</f>
        <v>0.45924852129992694</v>
      </c>
    </row>
    <row r="120" spans="1:6" x14ac:dyDescent="0.3">
      <c r="A120" s="1">
        <v>22.233000000000001</v>
      </c>
      <c r="B120" s="1">
        <v>1.8451</v>
      </c>
      <c r="C120" s="1">
        <f>Tabela18[[#This Row],[Alongamento (mm/mm)]]/$I$2</f>
        <v>3.6901999999999997E-2</v>
      </c>
      <c r="D120" s="1">
        <v>22.283000000000001</v>
      </c>
      <c r="E120" s="1">
        <f>Tabela18[[#This Row],[Força (N)]]/$I$5</f>
        <v>462779.12540705793</v>
      </c>
      <c r="F120" s="1">
        <f>Tabela18[[#This Row],[Tensão (Pa)]]/1000000</f>
        <v>0.46277912540705796</v>
      </c>
    </row>
    <row r="121" spans="1:6" x14ac:dyDescent="0.3">
      <c r="A121" s="1">
        <v>22.417000000000002</v>
      </c>
      <c r="B121" s="1">
        <v>1.8603000000000001</v>
      </c>
      <c r="C121" s="1">
        <f>Tabela18[[#This Row],[Alongamento (mm/mm)]]/$I$2</f>
        <v>3.7206000000000003E-2</v>
      </c>
      <c r="D121" s="1">
        <v>22.792999999999999</v>
      </c>
      <c r="E121" s="1">
        <f>Tabela18[[#This Row],[Força (N)]]/$I$5</f>
        <v>473370.93772845087</v>
      </c>
      <c r="F121" s="1">
        <f>Tabela18[[#This Row],[Tensão (Pa)]]/1000000</f>
        <v>0.47337093772845085</v>
      </c>
    </row>
    <row r="122" spans="1:6" x14ac:dyDescent="0.3">
      <c r="A122" s="1">
        <v>22.6</v>
      </c>
      <c r="B122" s="1">
        <v>1.8755999999999999</v>
      </c>
      <c r="C122" s="1">
        <f>Tabela18[[#This Row],[Alongamento (mm/mm)]]/$I$2</f>
        <v>3.7511999999999997E-2</v>
      </c>
      <c r="D122" s="1">
        <v>23.303999999999998</v>
      </c>
      <c r="E122" s="1">
        <f>Tabela18[[#This Row],[Força (N)]]/$I$5</f>
        <v>483983.51830929751</v>
      </c>
      <c r="F122" s="1">
        <f>Tabela18[[#This Row],[Tensão (Pa)]]/1000000</f>
        <v>0.48398351830929753</v>
      </c>
    </row>
    <row r="123" spans="1:6" x14ac:dyDescent="0.3">
      <c r="A123" s="1">
        <v>22.783000000000001</v>
      </c>
      <c r="B123" s="1">
        <v>1.8909</v>
      </c>
      <c r="C123" s="1">
        <f>Tabela18[[#This Row],[Alongamento (mm/mm)]]/$I$2</f>
        <v>3.7817999999999997E-2</v>
      </c>
      <c r="D123" s="1">
        <v>23.814</v>
      </c>
      <c r="E123" s="1">
        <f>Tabela18[[#This Row],[Força (N)]]/$I$5</f>
        <v>494575.3306306905</v>
      </c>
      <c r="F123" s="1">
        <f>Tabela18[[#This Row],[Tensão (Pa)]]/1000000</f>
        <v>0.49457533063069048</v>
      </c>
    </row>
    <row r="124" spans="1:6" x14ac:dyDescent="0.3">
      <c r="A124" s="1">
        <v>22.966999999999999</v>
      </c>
      <c r="B124" s="1">
        <v>1.9061999999999999</v>
      </c>
      <c r="C124" s="1">
        <f>Tabela18[[#This Row],[Alongamento (mm/mm)]]/$I$2</f>
        <v>3.8123999999999998E-2</v>
      </c>
      <c r="D124" s="1">
        <v>24.154</v>
      </c>
      <c r="E124" s="1">
        <f>Tabela18[[#This Row],[Força (N)]]/$I$5</f>
        <v>501636.53884495248</v>
      </c>
      <c r="F124" s="1">
        <f>Tabela18[[#This Row],[Tensão (Pa)]]/1000000</f>
        <v>0.50163653884495252</v>
      </c>
    </row>
    <row r="125" spans="1:6" x14ac:dyDescent="0.3">
      <c r="A125" s="1">
        <v>23.132999999999999</v>
      </c>
      <c r="B125" s="1">
        <v>1.9200999999999999</v>
      </c>
      <c r="C125" s="1">
        <f>Tabela18[[#This Row],[Alongamento (mm/mm)]]/$I$2</f>
        <v>3.8401999999999999E-2</v>
      </c>
      <c r="D125" s="1">
        <v>24.834</v>
      </c>
      <c r="E125" s="1">
        <f>Tabela18[[#This Row],[Força (N)]]/$I$5</f>
        <v>515758.95527347643</v>
      </c>
      <c r="F125" s="1">
        <f>Tabela18[[#This Row],[Tensão (Pa)]]/1000000</f>
        <v>0.51575895527347648</v>
      </c>
    </row>
    <row r="126" spans="1:6" x14ac:dyDescent="0.3">
      <c r="A126" s="1">
        <v>23.317</v>
      </c>
      <c r="B126" s="1">
        <v>1.9353</v>
      </c>
      <c r="C126" s="1">
        <f>Tabela18[[#This Row],[Alongamento (mm/mm)]]/$I$2</f>
        <v>3.8705999999999997E-2</v>
      </c>
      <c r="D126" s="1">
        <v>25.515000000000001</v>
      </c>
      <c r="E126" s="1">
        <f>Tabela18[[#This Row],[Força (N)]]/$I$5</f>
        <v>529902.13996145409</v>
      </c>
      <c r="F126" s="1">
        <f>Tabela18[[#This Row],[Tensão (Pa)]]/1000000</f>
        <v>0.52990213996145408</v>
      </c>
    </row>
    <row r="127" spans="1:6" x14ac:dyDescent="0.3">
      <c r="A127" s="1">
        <v>23.5</v>
      </c>
      <c r="B127" s="1">
        <v>1.9505999999999999</v>
      </c>
      <c r="C127" s="1">
        <f>Tabela18[[#This Row],[Alongamento (mm/mm)]]/$I$2</f>
        <v>3.9011999999999998E-2</v>
      </c>
      <c r="D127" s="1">
        <v>26.195</v>
      </c>
      <c r="E127" s="1">
        <f>Tabela18[[#This Row],[Força (N)]]/$I$5</f>
        <v>544024.55638997804</v>
      </c>
      <c r="F127" s="1">
        <f>Tabela18[[#This Row],[Tensão (Pa)]]/1000000</f>
        <v>0.54402455638997804</v>
      </c>
    </row>
    <row r="128" spans="1:6" x14ac:dyDescent="0.3">
      <c r="A128" s="1">
        <v>23.683</v>
      </c>
      <c r="B128" s="1">
        <v>1.9659</v>
      </c>
      <c r="C128" s="1">
        <f>Tabela18[[#This Row],[Alongamento (mm/mm)]]/$I$2</f>
        <v>3.9317999999999999E-2</v>
      </c>
      <c r="D128" s="1">
        <v>26.706</v>
      </c>
      <c r="E128" s="1">
        <f>Tabela18[[#This Row],[Força (N)]]/$I$5</f>
        <v>554637.13697082479</v>
      </c>
      <c r="F128" s="1">
        <f>Tabela18[[#This Row],[Tensão (Pa)]]/1000000</f>
        <v>0.55463713697082484</v>
      </c>
    </row>
    <row r="129" spans="1:6" x14ac:dyDescent="0.3">
      <c r="A129" s="1">
        <v>23.817</v>
      </c>
      <c r="B129" s="1">
        <v>1.9770000000000001</v>
      </c>
      <c r="C129" s="1">
        <f>Tabela18[[#This Row],[Alongamento (mm/mm)]]/$I$2</f>
        <v>3.9539999999999999E-2</v>
      </c>
      <c r="D129" s="1">
        <v>27.385999999999999</v>
      </c>
      <c r="E129" s="1">
        <f>Tabela18[[#This Row],[Força (N)]]/$I$5</f>
        <v>568759.55339934875</v>
      </c>
      <c r="F129" s="1">
        <f>Tabela18[[#This Row],[Tensão (Pa)]]/1000000</f>
        <v>0.56875955339934869</v>
      </c>
    </row>
    <row r="130" spans="1:6" x14ac:dyDescent="0.3">
      <c r="A130" s="1">
        <v>24</v>
      </c>
      <c r="B130" s="1">
        <v>1.9923</v>
      </c>
      <c r="C130" s="1">
        <f>Tabela18[[#This Row],[Alongamento (mm/mm)]]/$I$2</f>
        <v>3.9845999999999999E-2</v>
      </c>
      <c r="D130" s="1">
        <v>28.065999999999999</v>
      </c>
      <c r="E130" s="1">
        <f>Tabela18[[#This Row],[Força (N)]]/$I$5</f>
        <v>582881.9698278727</v>
      </c>
      <c r="F130" s="1">
        <f>Tabela18[[#This Row],[Tensão (Pa)]]/1000000</f>
        <v>0.58288196982787266</v>
      </c>
    </row>
    <row r="131" spans="1:6" x14ac:dyDescent="0.3">
      <c r="A131" s="1">
        <v>24.183</v>
      </c>
      <c r="B131" s="1">
        <v>2.0074999999999998</v>
      </c>
      <c r="C131" s="1">
        <f>Tabela18[[#This Row],[Alongamento (mm/mm)]]/$I$2</f>
        <v>4.0149999999999998E-2</v>
      </c>
      <c r="D131" s="1">
        <v>28.747</v>
      </c>
      <c r="E131" s="1">
        <f>Tabela18[[#This Row],[Força (N)]]/$I$5</f>
        <v>597025.15451585036</v>
      </c>
      <c r="F131" s="1">
        <f>Tabela18[[#This Row],[Tensão (Pa)]]/1000000</f>
        <v>0.59702515451585036</v>
      </c>
    </row>
    <row r="132" spans="1:6" x14ac:dyDescent="0.3">
      <c r="A132" s="1">
        <v>24.382999999999999</v>
      </c>
      <c r="B132" s="1">
        <v>2.0242</v>
      </c>
      <c r="C132" s="1">
        <f>Tabela18[[#This Row],[Alongamento (mm/mm)]]/$I$2</f>
        <v>4.0483999999999999E-2</v>
      </c>
      <c r="D132" s="1">
        <v>29.257000000000001</v>
      </c>
      <c r="E132" s="1">
        <f>Tabela18[[#This Row],[Força (N)]]/$I$5</f>
        <v>607616.96683724329</v>
      </c>
      <c r="F132" s="1">
        <f>Tabela18[[#This Row],[Tensão (Pa)]]/1000000</f>
        <v>0.60761696683724331</v>
      </c>
    </row>
    <row r="133" spans="1:6" x14ac:dyDescent="0.3">
      <c r="A133" s="1">
        <v>24.55</v>
      </c>
      <c r="B133" s="1">
        <v>2.0381999999999998</v>
      </c>
      <c r="C133" s="1">
        <f>Tabela18[[#This Row],[Alongamento (mm/mm)]]/$I$2</f>
        <v>4.0763999999999995E-2</v>
      </c>
      <c r="D133" s="1">
        <v>29.937000000000001</v>
      </c>
      <c r="E133" s="1">
        <f>Tabela18[[#This Row],[Força (N)]]/$I$5</f>
        <v>621739.38326576725</v>
      </c>
      <c r="F133" s="1">
        <f>Tabela18[[#This Row],[Tensão (Pa)]]/1000000</f>
        <v>0.62173938326576728</v>
      </c>
    </row>
    <row r="134" spans="1:6" x14ac:dyDescent="0.3">
      <c r="A134" s="1">
        <v>24.733000000000001</v>
      </c>
      <c r="B134" s="1">
        <v>2.0533000000000001</v>
      </c>
      <c r="C134" s="1">
        <f>Tabela18[[#This Row],[Alongamento (mm/mm)]]/$I$2</f>
        <v>4.1066000000000005E-2</v>
      </c>
      <c r="D134" s="1">
        <v>30.617999999999999</v>
      </c>
      <c r="E134" s="1">
        <f>Tabela18[[#This Row],[Força (N)]]/$I$5</f>
        <v>635882.5679537449</v>
      </c>
      <c r="F134" s="1">
        <f>Tabela18[[#This Row],[Tensão (Pa)]]/1000000</f>
        <v>0.63588256795374487</v>
      </c>
    </row>
    <row r="135" spans="1:6" x14ac:dyDescent="0.3">
      <c r="A135" s="1">
        <v>24.9</v>
      </c>
      <c r="B135" s="1">
        <v>2.0672999999999999</v>
      </c>
      <c r="C135" s="1">
        <f>Tabela18[[#This Row],[Alongamento (mm/mm)]]/$I$2</f>
        <v>4.1346000000000001E-2</v>
      </c>
      <c r="D135" s="1">
        <v>31.297999999999998</v>
      </c>
      <c r="E135" s="1">
        <f>Tabela18[[#This Row],[Força (N)]]/$I$5</f>
        <v>650004.98438226886</v>
      </c>
      <c r="F135" s="1">
        <f>Tabela18[[#This Row],[Tensão (Pa)]]/1000000</f>
        <v>0.65000498438226884</v>
      </c>
    </row>
    <row r="136" spans="1:6" x14ac:dyDescent="0.3">
      <c r="A136" s="1">
        <v>25.067</v>
      </c>
      <c r="B136" s="1">
        <v>2.0811000000000002</v>
      </c>
      <c r="C136" s="1">
        <f>Tabela18[[#This Row],[Alongamento (mm/mm)]]/$I$2</f>
        <v>4.1622000000000006E-2</v>
      </c>
      <c r="D136" s="1">
        <v>31.978999999999999</v>
      </c>
      <c r="E136" s="1">
        <f>Tabela18[[#This Row],[Força (N)]]/$I$5</f>
        <v>664148.16907024651</v>
      </c>
      <c r="F136" s="1">
        <f>Tabela18[[#This Row],[Tensão (Pa)]]/1000000</f>
        <v>0.66414816907024654</v>
      </c>
    </row>
    <row r="137" spans="1:6" x14ac:dyDescent="0.3">
      <c r="A137" s="1">
        <v>25.233000000000001</v>
      </c>
      <c r="B137" s="1">
        <v>2.0949</v>
      </c>
      <c r="C137" s="1">
        <f>Tabela18[[#This Row],[Alongamento (mm/mm)]]/$I$2</f>
        <v>4.1897999999999998E-2</v>
      </c>
      <c r="D137" s="1">
        <v>32.658999999999999</v>
      </c>
      <c r="E137" s="1">
        <f>Tabela18[[#This Row],[Força (N)]]/$I$5</f>
        <v>678270.58549877047</v>
      </c>
      <c r="F137" s="1">
        <f>Tabela18[[#This Row],[Tensão (Pa)]]/1000000</f>
        <v>0.67827058549877051</v>
      </c>
    </row>
    <row r="138" spans="1:6" x14ac:dyDescent="0.3">
      <c r="A138" s="1">
        <v>25.417000000000002</v>
      </c>
      <c r="B138" s="1">
        <v>2.1103000000000001</v>
      </c>
      <c r="C138" s="1">
        <f>Tabela18[[#This Row],[Alongamento (mm/mm)]]/$I$2</f>
        <v>4.2206E-2</v>
      </c>
      <c r="D138" s="1">
        <v>33.338999999999999</v>
      </c>
      <c r="E138" s="1">
        <f>Tabela18[[#This Row],[Força (N)]]/$I$5</f>
        <v>692393.00192729442</v>
      </c>
      <c r="F138" s="1">
        <f>Tabela18[[#This Row],[Tensão (Pa)]]/1000000</f>
        <v>0.69239300192729447</v>
      </c>
    </row>
    <row r="139" spans="1:6" x14ac:dyDescent="0.3">
      <c r="A139" s="1">
        <v>25.6</v>
      </c>
      <c r="B139" s="1">
        <v>2.1255000000000002</v>
      </c>
      <c r="C139" s="1">
        <f>Tabela18[[#This Row],[Alongamento (mm/mm)]]/$I$2</f>
        <v>4.2510000000000006E-2</v>
      </c>
      <c r="D139" s="1">
        <v>34.020000000000003</v>
      </c>
      <c r="E139" s="1">
        <f>Tabela18[[#This Row],[Força (N)]]/$I$5</f>
        <v>706536.18661527219</v>
      </c>
      <c r="F139" s="1">
        <f>Tabela18[[#This Row],[Tensão (Pa)]]/1000000</f>
        <v>0.70653618661527218</v>
      </c>
    </row>
    <row r="140" spans="1:6" x14ac:dyDescent="0.3">
      <c r="A140" s="1">
        <v>25.783000000000001</v>
      </c>
      <c r="B140" s="1">
        <v>2.1408</v>
      </c>
      <c r="C140" s="1">
        <f>Tabela18[[#This Row],[Alongamento (mm/mm)]]/$I$2</f>
        <v>4.2816E-2</v>
      </c>
      <c r="D140" s="1">
        <v>34.700000000000003</v>
      </c>
      <c r="E140" s="1">
        <f>Tabela18[[#This Row],[Força (N)]]/$I$5</f>
        <v>720658.60304379615</v>
      </c>
      <c r="F140" s="1">
        <f>Tabela18[[#This Row],[Tensão (Pa)]]/1000000</f>
        <v>0.72065860304379614</v>
      </c>
    </row>
    <row r="141" spans="1:6" x14ac:dyDescent="0.3">
      <c r="A141" s="1">
        <v>25.95</v>
      </c>
      <c r="B141" s="1">
        <v>2.1547999999999998</v>
      </c>
      <c r="C141" s="1">
        <f>Tabela18[[#This Row],[Alongamento (mm/mm)]]/$I$2</f>
        <v>4.3095999999999995E-2</v>
      </c>
      <c r="D141" s="1">
        <v>35.381</v>
      </c>
      <c r="E141" s="1">
        <f>Tabela18[[#This Row],[Força (N)]]/$I$5</f>
        <v>734801.7877317738</v>
      </c>
      <c r="F141" s="1">
        <f>Tabela18[[#This Row],[Tensão (Pa)]]/1000000</f>
        <v>0.73480178773177385</v>
      </c>
    </row>
    <row r="142" spans="1:6" x14ac:dyDescent="0.3">
      <c r="A142" s="1">
        <v>26.117000000000001</v>
      </c>
      <c r="B142" s="1">
        <v>2.1686999999999999</v>
      </c>
      <c r="C142" s="1">
        <f>Tabela18[[#This Row],[Alongamento (mm/mm)]]/$I$2</f>
        <v>4.3373999999999996E-2</v>
      </c>
      <c r="D142" s="1">
        <v>36.061</v>
      </c>
      <c r="E142" s="1">
        <f>Tabela18[[#This Row],[Força (N)]]/$I$5</f>
        <v>748924.20416029776</v>
      </c>
      <c r="F142" s="1">
        <f>Tabela18[[#This Row],[Tensão (Pa)]]/1000000</f>
        <v>0.7489242041602977</v>
      </c>
    </row>
    <row r="143" spans="1:6" x14ac:dyDescent="0.3">
      <c r="A143" s="1">
        <v>26.3</v>
      </c>
      <c r="B143" s="1">
        <v>2.1840000000000002</v>
      </c>
      <c r="C143" s="1">
        <f>Tabela18[[#This Row],[Alongamento (mm/mm)]]/$I$2</f>
        <v>4.3680000000000004E-2</v>
      </c>
      <c r="D143" s="1">
        <v>36.741</v>
      </c>
      <c r="E143" s="1">
        <f>Tabela18[[#This Row],[Força (N)]]/$I$5</f>
        <v>763046.62058882171</v>
      </c>
      <c r="F143" s="1">
        <f>Tabela18[[#This Row],[Tensão (Pa)]]/1000000</f>
        <v>0.76304662058882167</v>
      </c>
    </row>
    <row r="144" spans="1:6" x14ac:dyDescent="0.3">
      <c r="A144" s="1">
        <v>26.466999999999999</v>
      </c>
      <c r="B144" s="1">
        <v>2.1978</v>
      </c>
      <c r="C144" s="1">
        <f>Tabela18[[#This Row],[Alongamento (mm/mm)]]/$I$2</f>
        <v>4.3956000000000002E-2</v>
      </c>
      <c r="D144" s="1">
        <v>37.421999999999997</v>
      </c>
      <c r="E144" s="1">
        <f>Tabela18[[#This Row],[Força (N)]]/$I$5</f>
        <v>777189.80527679936</v>
      </c>
      <c r="F144" s="1">
        <f>Tabela18[[#This Row],[Tensão (Pa)]]/1000000</f>
        <v>0.77718980527679937</v>
      </c>
    </row>
    <row r="145" spans="1:6" x14ac:dyDescent="0.3">
      <c r="A145" s="1">
        <v>26.65</v>
      </c>
      <c r="B145" s="1">
        <v>2.2130999999999998</v>
      </c>
      <c r="C145" s="1">
        <f>Tabela18[[#This Row],[Alongamento (mm/mm)]]/$I$2</f>
        <v>4.4261999999999996E-2</v>
      </c>
      <c r="D145" s="1">
        <v>38.101999999999997</v>
      </c>
      <c r="E145" s="1">
        <f>Tabela18[[#This Row],[Força (N)]]/$I$5</f>
        <v>791312.22170532332</v>
      </c>
      <c r="F145" s="1">
        <f>Tabela18[[#This Row],[Tensão (Pa)]]/1000000</f>
        <v>0.79131222170532334</v>
      </c>
    </row>
    <row r="146" spans="1:6" x14ac:dyDescent="0.3">
      <c r="A146" s="1">
        <v>26.832999999999998</v>
      </c>
      <c r="B146" s="1">
        <v>2.2284000000000002</v>
      </c>
      <c r="C146" s="1">
        <f>Tabela18[[#This Row],[Alongamento (mm/mm)]]/$I$2</f>
        <v>4.4568000000000003E-2</v>
      </c>
      <c r="D146" s="1">
        <v>38.783000000000001</v>
      </c>
      <c r="E146" s="1">
        <f>Tabela18[[#This Row],[Força (N)]]/$I$5</f>
        <v>805455.40639330109</v>
      </c>
      <c r="F146" s="1">
        <f>Tabela18[[#This Row],[Tensão (Pa)]]/1000000</f>
        <v>0.80545540639330104</v>
      </c>
    </row>
    <row r="147" spans="1:6" x14ac:dyDescent="0.3">
      <c r="A147" s="1">
        <v>27.016999999999999</v>
      </c>
      <c r="B147" s="1">
        <v>2.2435999999999998</v>
      </c>
      <c r="C147" s="1">
        <f>Tabela18[[#This Row],[Alongamento (mm/mm)]]/$I$2</f>
        <v>4.4871999999999995E-2</v>
      </c>
      <c r="D147" s="1">
        <v>39.463000000000001</v>
      </c>
      <c r="E147" s="1">
        <f>Tabela18[[#This Row],[Força (N)]]/$I$5</f>
        <v>819577.82282182504</v>
      </c>
      <c r="F147" s="1">
        <f>Tabela18[[#This Row],[Tensão (Pa)]]/1000000</f>
        <v>0.81957782282182501</v>
      </c>
    </row>
    <row r="148" spans="1:6" x14ac:dyDescent="0.3">
      <c r="A148" s="1">
        <v>27.183</v>
      </c>
      <c r="B148" s="1">
        <v>2.2576000000000001</v>
      </c>
      <c r="C148" s="1">
        <f>Tabela18[[#This Row],[Alongamento (mm/mm)]]/$I$2</f>
        <v>4.5151999999999998E-2</v>
      </c>
      <c r="D148" s="1">
        <v>40.143000000000001</v>
      </c>
      <c r="E148" s="1">
        <f>Tabela18[[#This Row],[Força (N)]]/$I$5</f>
        <v>833700.23925034888</v>
      </c>
      <c r="F148" s="1">
        <f>Tabela18[[#This Row],[Tensão (Pa)]]/1000000</f>
        <v>0.83370023925034886</v>
      </c>
    </row>
    <row r="149" spans="1:6" x14ac:dyDescent="0.3">
      <c r="A149" s="1">
        <v>27.35</v>
      </c>
      <c r="B149" s="1">
        <v>2.2715000000000001</v>
      </c>
      <c r="C149" s="1">
        <f>Tabela18[[#This Row],[Alongamento (mm/mm)]]/$I$2</f>
        <v>4.5429999999999998E-2</v>
      </c>
      <c r="D149" s="1">
        <v>40.823999999999998</v>
      </c>
      <c r="E149" s="1">
        <f>Tabela18[[#This Row],[Força (N)]]/$I$5</f>
        <v>847843.42393832654</v>
      </c>
      <c r="F149" s="1">
        <f>Tabela18[[#This Row],[Tensão (Pa)]]/1000000</f>
        <v>0.84784342393832657</v>
      </c>
    </row>
    <row r="150" spans="1:6" x14ac:dyDescent="0.3">
      <c r="A150" s="1">
        <v>27.533000000000001</v>
      </c>
      <c r="B150" s="1">
        <v>2.2867000000000002</v>
      </c>
      <c r="C150" s="1">
        <f>Tabela18[[#This Row],[Alongamento (mm/mm)]]/$I$2</f>
        <v>4.5734000000000004E-2</v>
      </c>
      <c r="D150" s="1">
        <v>41.503999999999998</v>
      </c>
      <c r="E150" s="1">
        <f>Tabela18[[#This Row],[Força (N)]]/$I$5</f>
        <v>861965.84036685049</v>
      </c>
      <c r="F150" s="1">
        <f>Tabela18[[#This Row],[Tensão (Pa)]]/1000000</f>
        <v>0.86196584036685053</v>
      </c>
    </row>
    <row r="151" spans="1:6" x14ac:dyDescent="0.3">
      <c r="A151" s="1">
        <v>27.7</v>
      </c>
      <c r="B151" s="1">
        <v>2.3006000000000002</v>
      </c>
      <c r="C151" s="1">
        <f>Tabela18[[#This Row],[Alongamento (mm/mm)]]/$I$2</f>
        <v>4.6012000000000004E-2</v>
      </c>
      <c r="D151" s="1">
        <v>42.185000000000002</v>
      </c>
      <c r="E151" s="1">
        <f>Tabela18[[#This Row],[Força (N)]]/$I$5</f>
        <v>876109.02505482826</v>
      </c>
      <c r="F151" s="1">
        <f>Tabela18[[#This Row],[Tensão (Pa)]]/1000000</f>
        <v>0.87610902505482824</v>
      </c>
    </row>
    <row r="152" spans="1:6" x14ac:dyDescent="0.3">
      <c r="A152" s="1">
        <v>27.85</v>
      </c>
      <c r="B152" s="1">
        <v>2.3130000000000002</v>
      </c>
      <c r="C152" s="1">
        <f>Tabela18[[#This Row],[Alongamento (mm/mm)]]/$I$2</f>
        <v>4.6260000000000003E-2</v>
      </c>
      <c r="D152" s="1">
        <v>42.865000000000002</v>
      </c>
      <c r="E152" s="1">
        <f>Tabela18[[#This Row],[Força (N)]]/$I$5</f>
        <v>890231.44148335222</v>
      </c>
      <c r="F152" s="1">
        <f>Tabela18[[#This Row],[Tensão (Pa)]]/1000000</f>
        <v>0.8902314414833522</v>
      </c>
    </row>
    <row r="153" spans="1:6" x14ac:dyDescent="0.3">
      <c r="A153" s="1">
        <v>28.033000000000001</v>
      </c>
      <c r="B153" s="1">
        <v>2.3283999999999998</v>
      </c>
      <c r="C153" s="1">
        <f>Tabela18[[#This Row],[Alongamento (mm/mm)]]/$I$2</f>
        <v>4.6567999999999998E-2</v>
      </c>
      <c r="D153" s="1">
        <v>43.545000000000002</v>
      </c>
      <c r="E153" s="1">
        <f>Tabela18[[#This Row],[Força (N)]]/$I$5</f>
        <v>904353.85791187617</v>
      </c>
      <c r="F153" s="1">
        <f>Tabela18[[#This Row],[Tensão (Pa)]]/1000000</f>
        <v>0.90435385791187617</v>
      </c>
    </row>
    <row r="154" spans="1:6" x14ac:dyDescent="0.3">
      <c r="A154" s="1">
        <v>28.183</v>
      </c>
      <c r="B154" s="1">
        <v>2.3409</v>
      </c>
      <c r="C154" s="1">
        <f>Tabela18[[#This Row],[Alongamento (mm/mm)]]/$I$2</f>
        <v>4.6817999999999999E-2</v>
      </c>
      <c r="D154" s="1">
        <v>44.225999999999999</v>
      </c>
      <c r="E154" s="1">
        <f>Tabela18[[#This Row],[Força (N)]]/$I$5</f>
        <v>918497.04259985383</v>
      </c>
      <c r="F154" s="1">
        <f>Tabela18[[#This Row],[Tensão (Pa)]]/1000000</f>
        <v>0.91849704259985387</v>
      </c>
    </row>
    <row r="155" spans="1:6" x14ac:dyDescent="0.3">
      <c r="A155" s="1">
        <v>28.332999999999998</v>
      </c>
      <c r="B155" s="1">
        <v>2.3532999999999999</v>
      </c>
      <c r="C155" s="1">
        <f>Tabela18[[#This Row],[Alongamento (mm/mm)]]/$I$2</f>
        <v>4.7065999999999997E-2</v>
      </c>
      <c r="D155" s="1">
        <v>44.905999999999999</v>
      </c>
      <c r="E155" s="1">
        <f>Tabela18[[#This Row],[Força (N)]]/$I$5</f>
        <v>932619.45902837778</v>
      </c>
      <c r="F155" s="1">
        <f>Tabela18[[#This Row],[Tensão (Pa)]]/1000000</f>
        <v>0.93261945902837773</v>
      </c>
    </row>
    <row r="156" spans="1:6" x14ac:dyDescent="0.3">
      <c r="A156" s="1">
        <v>28.483000000000001</v>
      </c>
      <c r="B156" s="1">
        <v>2.3658999999999999</v>
      </c>
      <c r="C156" s="1">
        <f>Tabela18[[#This Row],[Alongamento (mm/mm)]]/$I$2</f>
        <v>4.7317999999999999E-2</v>
      </c>
      <c r="D156" s="1">
        <v>45.585999999999999</v>
      </c>
      <c r="E156" s="1">
        <f>Tabela18[[#This Row],[Força (N)]]/$I$5</f>
        <v>946741.87545690173</v>
      </c>
      <c r="F156" s="1">
        <f>Tabela18[[#This Row],[Tensão (Pa)]]/1000000</f>
        <v>0.94674187545690169</v>
      </c>
    </row>
    <row r="157" spans="1:6" x14ac:dyDescent="0.3">
      <c r="A157" s="1">
        <v>28.632999999999999</v>
      </c>
      <c r="B157" s="1">
        <v>2.3784000000000001</v>
      </c>
      <c r="C157" s="1">
        <f>Tabela18[[#This Row],[Alongamento (mm/mm)]]/$I$2</f>
        <v>4.7567999999999999E-2</v>
      </c>
      <c r="D157" s="1">
        <v>46.267000000000003</v>
      </c>
      <c r="E157" s="1">
        <f>Tabela18[[#This Row],[Força (N)]]/$I$5</f>
        <v>960885.06014487951</v>
      </c>
      <c r="F157" s="1">
        <f>Tabela18[[#This Row],[Tensão (Pa)]]/1000000</f>
        <v>0.96088506014487951</v>
      </c>
    </row>
    <row r="158" spans="1:6" x14ac:dyDescent="0.3">
      <c r="A158" s="1">
        <v>28.766999999999999</v>
      </c>
      <c r="B158" s="1">
        <v>2.3895</v>
      </c>
      <c r="C158" s="1">
        <f>Tabela18[[#This Row],[Alongamento (mm/mm)]]/$I$2</f>
        <v>4.7789999999999999E-2</v>
      </c>
      <c r="D158" s="1">
        <v>46.947000000000003</v>
      </c>
      <c r="E158" s="1">
        <f>Tabela18[[#This Row],[Força (N)]]/$I$5</f>
        <v>975007.47657340346</v>
      </c>
      <c r="F158" s="1">
        <f>Tabela18[[#This Row],[Tensão (Pa)]]/1000000</f>
        <v>0.97500747657340348</v>
      </c>
    </row>
    <row r="159" spans="1:6" x14ac:dyDescent="0.3">
      <c r="A159" s="1">
        <v>28.9</v>
      </c>
      <c r="B159" s="1">
        <v>2.4005999999999998</v>
      </c>
      <c r="C159" s="1">
        <f>Tabela18[[#This Row],[Alongamento (mm/mm)]]/$I$2</f>
        <v>4.8011999999999999E-2</v>
      </c>
      <c r="D159" s="1">
        <v>47.628</v>
      </c>
      <c r="E159" s="1">
        <f>Tabela18[[#This Row],[Força (N)]]/$I$5</f>
        <v>989150.661261381</v>
      </c>
      <c r="F159" s="1">
        <f>Tabela18[[#This Row],[Tensão (Pa)]]/1000000</f>
        <v>0.98915066126138096</v>
      </c>
    </row>
    <row r="160" spans="1:6" x14ac:dyDescent="0.3">
      <c r="A160" s="1">
        <v>29.05</v>
      </c>
      <c r="B160" s="1">
        <v>2.4131999999999998</v>
      </c>
      <c r="C160" s="1">
        <f>Tabela18[[#This Row],[Alongamento (mm/mm)]]/$I$2</f>
        <v>4.8263999999999994E-2</v>
      </c>
      <c r="D160" s="1">
        <v>48.308</v>
      </c>
      <c r="E160" s="1">
        <f>Tabela18[[#This Row],[Força (N)]]/$I$5</f>
        <v>1003273.077689905</v>
      </c>
      <c r="F160" s="1">
        <f>Tabela18[[#This Row],[Tensão (Pa)]]/1000000</f>
        <v>1.003273077689905</v>
      </c>
    </row>
    <row r="161" spans="1:6" x14ac:dyDescent="0.3">
      <c r="A161" s="1">
        <v>29.2</v>
      </c>
      <c r="B161" s="1">
        <v>2.4256000000000002</v>
      </c>
      <c r="C161" s="1">
        <f>Tabela18[[#This Row],[Alongamento (mm/mm)]]/$I$2</f>
        <v>4.8512000000000007E-2</v>
      </c>
      <c r="D161" s="1">
        <v>48.988</v>
      </c>
      <c r="E161" s="1">
        <f>Tabela18[[#This Row],[Força (N)]]/$I$5</f>
        <v>1017395.4941184289</v>
      </c>
      <c r="F161" s="1">
        <f>Tabela18[[#This Row],[Tensão (Pa)]]/1000000</f>
        <v>1.0173954941184289</v>
      </c>
    </row>
    <row r="162" spans="1:6" x14ac:dyDescent="0.3">
      <c r="A162" s="1">
        <v>29.332999999999998</v>
      </c>
      <c r="B162" s="1">
        <v>2.4367000000000001</v>
      </c>
      <c r="C162" s="1">
        <f>Tabela18[[#This Row],[Alongamento (mm/mm)]]/$I$2</f>
        <v>4.8734E-2</v>
      </c>
      <c r="D162" s="1">
        <v>49.668999999999997</v>
      </c>
      <c r="E162" s="1">
        <f>Tabela18[[#This Row],[Força (N)]]/$I$5</f>
        <v>1031538.6788064066</v>
      </c>
      <c r="F162" s="1">
        <f>Tabela18[[#This Row],[Tensão (Pa)]]/1000000</f>
        <v>1.0315386788064065</v>
      </c>
    </row>
    <row r="163" spans="1:6" x14ac:dyDescent="0.3">
      <c r="A163" s="1">
        <v>29.483000000000001</v>
      </c>
      <c r="B163" s="1">
        <v>2.4493</v>
      </c>
      <c r="C163" s="1">
        <f>Tabela18[[#This Row],[Alongamento (mm/mm)]]/$I$2</f>
        <v>4.8986000000000002E-2</v>
      </c>
      <c r="D163" s="1">
        <v>50.348999999999997</v>
      </c>
      <c r="E163" s="1">
        <f>Tabela18[[#This Row],[Força (N)]]/$I$5</f>
        <v>1045661.0952349305</v>
      </c>
      <c r="F163" s="1">
        <f>Tabela18[[#This Row],[Tensão (Pa)]]/1000000</f>
        <v>1.0456610952349306</v>
      </c>
    </row>
    <row r="164" spans="1:6" x14ac:dyDescent="0.3">
      <c r="A164" s="1">
        <v>29.617000000000001</v>
      </c>
      <c r="B164" s="1">
        <v>2.4603999999999999</v>
      </c>
      <c r="C164" s="1">
        <f>Tabela18[[#This Row],[Alongamento (mm/mm)]]/$I$2</f>
        <v>4.9208000000000002E-2</v>
      </c>
      <c r="D164" s="1">
        <v>51.03</v>
      </c>
      <c r="E164" s="1">
        <f>Tabela18[[#This Row],[Força (N)]]/$I$5</f>
        <v>1059804.2799229082</v>
      </c>
      <c r="F164" s="1">
        <f>Tabela18[[#This Row],[Tensão (Pa)]]/1000000</f>
        <v>1.0598042799229082</v>
      </c>
    </row>
    <row r="165" spans="1:6" x14ac:dyDescent="0.3">
      <c r="A165" s="1">
        <v>29.766999999999999</v>
      </c>
      <c r="B165" s="1">
        <v>2.4727999999999999</v>
      </c>
      <c r="C165" s="1">
        <f>Tabela18[[#This Row],[Alongamento (mm/mm)]]/$I$2</f>
        <v>4.9456E-2</v>
      </c>
      <c r="D165" s="1">
        <v>51.71</v>
      </c>
      <c r="E165" s="1">
        <f>Tabela18[[#This Row],[Força (N)]]/$I$5</f>
        <v>1073926.6963514322</v>
      </c>
      <c r="F165" s="1">
        <f>Tabela18[[#This Row],[Tensão (Pa)]]/1000000</f>
        <v>1.0739266963514322</v>
      </c>
    </row>
    <row r="166" spans="1:6" x14ac:dyDescent="0.3">
      <c r="A166" s="1">
        <v>29.9</v>
      </c>
      <c r="B166" s="1">
        <v>2.484</v>
      </c>
      <c r="C166" s="1">
        <f>Tabela18[[#This Row],[Alongamento (mm/mm)]]/$I$2</f>
        <v>4.9680000000000002E-2</v>
      </c>
      <c r="D166" s="1">
        <v>52.39</v>
      </c>
      <c r="E166" s="1">
        <f>Tabela18[[#This Row],[Força (N)]]/$I$5</f>
        <v>1088049.1127799561</v>
      </c>
      <c r="F166" s="1">
        <f>Tabela18[[#This Row],[Tensão (Pa)]]/1000000</f>
        <v>1.0880491127799561</v>
      </c>
    </row>
    <row r="167" spans="1:6" x14ac:dyDescent="0.3">
      <c r="A167" s="1">
        <v>30.033000000000001</v>
      </c>
      <c r="B167" s="1">
        <v>2.4950999999999999</v>
      </c>
      <c r="C167" s="1">
        <f>Tabela18[[#This Row],[Alongamento (mm/mm)]]/$I$2</f>
        <v>4.9901999999999995E-2</v>
      </c>
      <c r="D167" s="1">
        <v>53.070999999999998</v>
      </c>
      <c r="E167" s="1">
        <f>Tabela18[[#This Row],[Força (N)]]/$I$5</f>
        <v>1102192.2974679337</v>
      </c>
      <c r="F167" s="1">
        <f>Tabela18[[#This Row],[Tensão (Pa)]]/1000000</f>
        <v>1.1021922974679337</v>
      </c>
    </row>
    <row r="168" spans="1:6" x14ac:dyDescent="0.3">
      <c r="A168" s="1">
        <v>30.167000000000002</v>
      </c>
      <c r="B168" s="1">
        <v>2.5061</v>
      </c>
      <c r="C168" s="1">
        <f>Tabela18[[#This Row],[Alongamento (mm/mm)]]/$I$2</f>
        <v>5.0122E-2</v>
      </c>
      <c r="D168" s="1">
        <v>53.750999999999998</v>
      </c>
      <c r="E168" s="1">
        <f>Tabela18[[#This Row],[Força (N)]]/$I$5</f>
        <v>1116314.7138964578</v>
      </c>
      <c r="F168" s="1">
        <f>Tabela18[[#This Row],[Tensão (Pa)]]/1000000</f>
        <v>1.1163147138964578</v>
      </c>
    </row>
    <row r="169" spans="1:6" x14ac:dyDescent="0.3">
      <c r="A169" s="1">
        <v>30.317</v>
      </c>
      <c r="B169" s="1">
        <v>2.5186000000000002</v>
      </c>
      <c r="C169" s="1">
        <f>Tabela18[[#This Row],[Alongamento (mm/mm)]]/$I$2</f>
        <v>5.0372E-2</v>
      </c>
      <c r="D169" s="1">
        <v>54.432000000000002</v>
      </c>
      <c r="E169" s="1">
        <f>Tabela18[[#This Row],[Força (N)]]/$I$5</f>
        <v>1130457.8985844355</v>
      </c>
      <c r="F169" s="1">
        <f>Tabela18[[#This Row],[Tensão (Pa)]]/1000000</f>
        <v>1.1304578985844356</v>
      </c>
    </row>
    <row r="170" spans="1:6" x14ac:dyDescent="0.3">
      <c r="A170" s="1">
        <v>30.45</v>
      </c>
      <c r="B170" s="1">
        <v>2.5297999999999998</v>
      </c>
      <c r="C170" s="1">
        <f>Tabela18[[#This Row],[Alongamento (mm/mm)]]/$I$2</f>
        <v>5.0595999999999995E-2</v>
      </c>
      <c r="D170" s="1">
        <v>55.112000000000002</v>
      </c>
      <c r="E170" s="1">
        <f>Tabela18[[#This Row],[Força (N)]]/$I$5</f>
        <v>1144580.3150129595</v>
      </c>
      <c r="F170" s="1">
        <f>Tabela18[[#This Row],[Tensão (Pa)]]/1000000</f>
        <v>1.1445803150129594</v>
      </c>
    </row>
    <row r="171" spans="1:6" x14ac:dyDescent="0.3">
      <c r="A171" s="1">
        <v>30.582999999999998</v>
      </c>
      <c r="B171" s="1">
        <v>2.5409000000000002</v>
      </c>
      <c r="C171" s="1">
        <f>Tabela18[[#This Row],[Alongamento (mm/mm)]]/$I$2</f>
        <v>5.0818000000000002E-2</v>
      </c>
      <c r="D171" s="1">
        <v>55.792000000000002</v>
      </c>
      <c r="E171" s="1">
        <f>Tabela18[[#This Row],[Força (N)]]/$I$5</f>
        <v>1158702.7314414834</v>
      </c>
      <c r="F171" s="1">
        <f>Tabela18[[#This Row],[Tensão (Pa)]]/1000000</f>
        <v>1.1587027314414833</v>
      </c>
    </row>
    <row r="172" spans="1:6" x14ac:dyDescent="0.3">
      <c r="A172" s="1">
        <v>30.716999999999999</v>
      </c>
      <c r="B172" s="1">
        <v>2.552</v>
      </c>
      <c r="C172" s="1">
        <f>Tabela18[[#This Row],[Alongamento (mm/mm)]]/$I$2</f>
        <v>5.1040000000000002E-2</v>
      </c>
      <c r="D172" s="1">
        <v>56.472999999999999</v>
      </c>
      <c r="E172" s="1">
        <f>Tabela18[[#This Row],[Força (N)]]/$I$5</f>
        <v>1172845.916129461</v>
      </c>
      <c r="F172" s="1">
        <f>Tabela18[[#This Row],[Tensão (Pa)]]/1000000</f>
        <v>1.1728459161294611</v>
      </c>
    </row>
    <row r="173" spans="1:6" x14ac:dyDescent="0.3">
      <c r="A173" s="1">
        <v>30.85</v>
      </c>
      <c r="B173" s="1">
        <v>2.5630999999999999</v>
      </c>
      <c r="C173" s="1">
        <f>Tabela18[[#This Row],[Alongamento (mm/mm)]]/$I$2</f>
        <v>5.1262000000000002E-2</v>
      </c>
      <c r="D173" s="1">
        <v>57.152999999999999</v>
      </c>
      <c r="E173" s="1">
        <f>Tabela18[[#This Row],[Força (N)]]/$I$5</f>
        <v>1186968.3325579851</v>
      </c>
      <c r="F173" s="1">
        <f>Tabela18[[#This Row],[Tensão (Pa)]]/1000000</f>
        <v>1.1869683325579852</v>
      </c>
    </row>
    <row r="174" spans="1:6" x14ac:dyDescent="0.3">
      <c r="A174" s="1">
        <v>30.966999999999999</v>
      </c>
      <c r="B174" s="1">
        <v>2.5729000000000002</v>
      </c>
      <c r="C174" s="1">
        <f>Tabela18[[#This Row],[Alongamento (mm/mm)]]/$I$2</f>
        <v>5.1458000000000004E-2</v>
      </c>
      <c r="D174" s="1">
        <v>57.834000000000003</v>
      </c>
      <c r="E174" s="1">
        <f>Tabela18[[#This Row],[Força (N)]]/$I$5</f>
        <v>1201111.5172459628</v>
      </c>
      <c r="F174" s="1">
        <f>Tabela18[[#This Row],[Tensão (Pa)]]/1000000</f>
        <v>1.2011115172459628</v>
      </c>
    </row>
    <row r="175" spans="1:6" x14ac:dyDescent="0.3">
      <c r="A175" s="1">
        <v>31.1</v>
      </c>
      <c r="B175" s="1">
        <v>2.5840000000000001</v>
      </c>
      <c r="C175" s="1">
        <f>Tabela18[[#This Row],[Alongamento (mm/mm)]]/$I$2</f>
        <v>5.1680000000000004E-2</v>
      </c>
      <c r="D175" s="1">
        <v>58.514000000000003</v>
      </c>
      <c r="E175" s="1">
        <f>Tabela18[[#This Row],[Força (N)]]/$I$5</f>
        <v>1215233.9336744866</v>
      </c>
      <c r="F175" s="1">
        <f>Tabela18[[#This Row],[Tensão (Pa)]]/1000000</f>
        <v>1.2152339336744866</v>
      </c>
    </row>
    <row r="176" spans="1:6" x14ac:dyDescent="0.3">
      <c r="A176" s="1">
        <v>31.216999999999999</v>
      </c>
      <c r="B176" s="1">
        <v>2.5937000000000001</v>
      </c>
      <c r="C176" s="1">
        <f>Tabela18[[#This Row],[Alongamento (mm/mm)]]/$I$2</f>
        <v>5.1874000000000003E-2</v>
      </c>
      <c r="D176" s="1">
        <v>59.194000000000003</v>
      </c>
      <c r="E176" s="1">
        <f>Tabela18[[#This Row],[Força (N)]]/$I$5</f>
        <v>1229356.3501030107</v>
      </c>
      <c r="F176" s="1">
        <f>Tabela18[[#This Row],[Tensão (Pa)]]/1000000</f>
        <v>1.2293563501030107</v>
      </c>
    </row>
    <row r="177" spans="1:6" x14ac:dyDescent="0.3">
      <c r="A177" s="1">
        <v>31.35</v>
      </c>
      <c r="B177" s="1">
        <v>2.6048</v>
      </c>
      <c r="C177" s="1">
        <f>Tabela18[[#This Row],[Alongamento (mm/mm)]]/$I$2</f>
        <v>5.2096000000000003E-2</v>
      </c>
      <c r="D177" s="1">
        <v>59.875</v>
      </c>
      <c r="E177" s="1">
        <f>Tabela18[[#This Row],[Força (N)]]/$I$5</f>
        <v>1243499.5347909883</v>
      </c>
      <c r="F177" s="1">
        <f>Tabela18[[#This Row],[Tensão (Pa)]]/1000000</f>
        <v>1.2434995347909883</v>
      </c>
    </row>
    <row r="178" spans="1:6" x14ac:dyDescent="0.3">
      <c r="A178" s="1">
        <v>31.483000000000001</v>
      </c>
      <c r="B178" s="1">
        <v>2.6158999999999999</v>
      </c>
      <c r="C178" s="1">
        <f>Tabela18[[#This Row],[Alongamento (mm/mm)]]/$I$2</f>
        <v>5.2317999999999996E-2</v>
      </c>
      <c r="D178" s="1">
        <v>60.555</v>
      </c>
      <c r="E178" s="1">
        <f>Tabela18[[#This Row],[Força (N)]]/$I$5</f>
        <v>1257621.9512195121</v>
      </c>
      <c r="F178" s="1">
        <f>Tabela18[[#This Row],[Tensão (Pa)]]/1000000</f>
        <v>1.2576219512195121</v>
      </c>
    </row>
    <row r="179" spans="1:6" x14ac:dyDescent="0.3">
      <c r="A179" s="1">
        <v>31.617000000000001</v>
      </c>
      <c r="B179" s="1">
        <v>2.6269</v>
      </c>
      <c r="C179" s="1">
        <f>Tabela18[[#This Row],[Alongamento (mm/mm)]]/$I$2</f>
        <v>5.2538000000000001E-2</v>
      </c>
      <c r="D179" s="1">
        <v>61.235999999999997</v>
      </c>
      <c r="E179" s="1">
        <f>Tabela18[[#This Row],[Força (N)]]/$I$5</f>
        <v>1271765.1359074898</v>
      </c>
      <c r="F179" s="1">
        <f>Tabela18[[#This Row],[Tensão (Pa)]]/1000000</f>
        <v>1.2717651359074897</v>
      </c>
    </row>
    <row r="180" spans="1:6" x14ac:dyDescent="0.3">
      <c r="A180" s="1">
        <v>31.75</v>
      </c>
      <c r="B180" s="1">
        <v>2.6379999999999999</v>
      </c>
      <c r="C180" s="1">
        <f>Tabela18[[#This Row],[Alongamento (mm/mm)]]/$I$2</f>
        <v>5.2760000000000001E-2</v>
      </c>
      <c r="D180" s="1">
        <v>61.915999999999997</v>
      </c>
      <c r="E180" s="1">
        <f>Tabela18[[#This Row],[Força (N)]]/$I$5</f>
        <v>1285887.5523360139</v>
      </c>
      <c r="F180" s="1">
        <f>Tabela18[[#This Row],[Tensão (Pa)]]/1000000</f>
        <v>1.2858875523360138</v>
      </c>
    </row>
    <row r="181" spans="1:6" x14ac:dyDescent="0.3">
      <c r="A181" s="1">
        <v>31.867000000000001</v>
      </c>
      <c r="B181" s="1">
        <v>2.6478000000000002</v>
      </c>
      <c r="C181" s="1">
        <f>Tabela18[[#This Row],[Alongamento (mm/mm)]]/$I$2</f>
        <v>5.2956000000000003E-2</v>
      </c>
      <c r="D181" s="1">
        <v>62.595999999999997</v>
      </c>
      <c r="E181" s="1">
        <f>Tabela18[[#This Row],[Força (N)]]/$I$5</f>
        <v>1300009.9687645377</v>
      </c>
      <c r="F181" s="1">
        <f>Tabela18[[#This Row],[Tensão (Pa)]]/1000000</f>
        <v>1.3000099687645377</v>
      </c>
    </row>
    <row r="182" spans="1:6" x14ac:dyDescent="0.3">
      <c r="A182" s="1">
        <v>32</v>
      </c>
      <c r="B182" s="1">
        <v>2.6589</v>
      </c>
      <c r="C182" s="1">
        <f>Tabela18[[#This Row],[Alongamento (mm/mm)]]/$I$2</f>
        <v>5.3178000000000003E-2</v>
      </c>
      <c r="D182" s="1">
        <v>63.277000000000001</v>
      </c>
      <c r="E182" s="1">
        <f>Tabela18[[#This Row],[Força (N)]]/$I$5</f>
        <v>1314153.1534525156</v>
      </c>
      <c r="F182" s="1">
        <f>Tabela18[[#This Row],[Tensão (Pa)]]/1000000</f>
        <v>1.3141531534525157</v>
      </c>
    </row>
    <row r="183" spans="1:6" x14ac:dyDescent="0.3">
      <c r="A183" s="1">
        <v>32.116999999999997</v>
      </c>
      <c r="B183" s="1">
        <v>2.6686000000000001</v>
      </c>
      <c r="C183" s="1">
        <f>Tabela18[[#This Row],[Alongamento (mm/mm)]]/$I$2</f>
        <v>5.3372000000000003E-2</v>
      </c>
      <c r="D183" s="1">
        <v>63.957000000000001</v>
      </c>
      <c r="E183" s="1">
        <f>Tabela18[[#This Row],[Força (N)]]/$I$5</f>
        <v>1328275.5698810394</v>
      </c>
      <c r="F183" s="1">
        <f>Tabela18[[#This Row],[Tensão (Pa)]]/1000000</f>
        <v>1.3282755698810393</v>
      </c>
    </row>
    <row r="184" spans="1:6" x14ac:dyDescent="0.3">
      <c r="A184" s="1">
        <v>32.25</v>
      </c>
      <c r="B184" s="1">
        <v>2.6798000000000002</v>
      </c>
      <c r="C184" s="1">
        <f>Tabela18[[#This Row],[Alongamento (mm/mm)]]/$I$2</f>
        <v>5.3596000000000005E-2</v>
      </c>
      <c r="D184" s="1">
        <v>64.638000000000005</v>
      </c>
      <c r="E184" s="1">
        <f>Tabela18[[#This Row],[Força (N)]]/$I$5</f>
        <v>1342418.7545690173</v>
      </c>
      <c r="F184" s="1">
        <f>Tabela18[[#This Row],[Tensão (Pa)]]/1000000</f>
        <v>1.3424187545690174</v>
      </c>
    </row>
    <row r="185" spans="1:6" x14ac:dyDescent="0.3">
      <c r="A185" s="1">
        <v>32.366999999999997</v>
      </c>
      <c r="B185" s="1">
        <v>2.6894999999999998</v>
      </c>
      <c r="C185" s="1">
        <f>Tabela18[[#This Row],[Alongamento (mm/mm)]]/$I$2</f>
        <v>5.3789999999999998E-2</v>
      </c>
      <c r="D185" s="1">
        <v>65.317999999999998</v>
      </c>
      <c r="E185" s="1">
        <f>Tabela18[[#This Row],[Força (N)]]/$I$5</f>
        <v>1356541.1709975409</v>
      </c>
      <c r="F185" s="1">
        <f>Tabela18[[#This Row],[Tensão (Pa)]]/1000000</f>
        <v>1.356541170997541</v>
      </c>
    </row>
    <row r="186" spans="1:6" x14ac:dyDescent="0.3">
      <c r="A186" s="1">
        <v>32.5</v>
      </c>
      <c r="B186" s="1">
        <v>2.7004999999999999</v>
      </c>
      <c r="C186" s="1">
        <f>Tabela18[[#This Row],[Alongamento (mm/mm)]]/$I$2</f>
        <v>5.4009999999999996E-2</v>
      </c>
      <c r="D186" s="1">
        <v>65.998000000000005</v>
      </c>
      <c r="E186" s="1">
        <f>Tabela18[[#This Row],[Força (N)]]/$I$5</f>
        <v>1370663.5874260652</v>
      </c>
      <c r="F186" s="1">
        <f>Tabela18[[#This Row],[Tensão (Pa)]]/1000000</f>
        <v>1.3706635874260653</v>
      </c>
    </row>
    <row r="187" spans="1:6" x14ac:dyDescent="0.3">
      <c r="A187" s="1">
        <v>32.633000000000003</v>
      </c>
      <c r="B187" s="1">
        <v>2.7117</v>
      </c>
      <c r="C187" s="1">
        <f>Tabela18[[#This Row],[Alongamento (mm/mm)]]/$I$2</f>
        <v>5.4233999999999997E-2</v>
      </c>
      <c r="D187" s="1">
        <v>66.679000000000002</v>
      </c>
      <c r="E187" s="1">
        <f>Tabela18[[#This Row],[Força (N)]]/$I$5</f>
        <v>1384806.7721140427</v>
      </c>
      <c r="F187" s="1">
        <f>Tabela18[[#This Row],[Tensão (Pa)]]/1000000</f>
        <v>1.3848067721140427</v>
      </c>
    </row>
    <row r="188" spans="1:6" x14ac:dyDescent="0.3">
      <c r="A188" s="1">
        <v>32.75</v>
      </c>
      <c r="B188" s="1">
        <v>2.7214999999999998</v>
      </c>
      <c r="C188" s="1">
        <f>Tabela18[[#This Row],[Alongamento (mm/mm)]]/$I$2</f>
        <v>5.4429999999999999E-2</v>
      </c>
      <c r="D188" s="1">
        <v>67.358999999999995</v>
      </c>
      <c r="E188" s="1">
        <f>Tabela18[[#This Row],[Força (N)]]/$I$5</f>
        <v>1398929.1885425665</v>
      </c>
      <c r="F188" s="1">
        <f>Tabela18[[#This Row],[Tensão (Pa)]]/1000000</f>
        <v>1.3989291885425665</v>
      </c>
    </row>
    <row r="189" spans="1:6" x14ac:dyDescent="0.3">
      <c r="A189" s="1">
        <v>32.883000000000003</v>
      </c>
      <c r="B189" s="1">
        <v>2.7326000000000001</v>
      </c>
      <c r="C189" s="1">
        <f>Tabela18[[#This Row],[Alongamento (mm/mm)]]/$I$2</f>
        <v>5.4652000000000006E-2</v>
      </c>
      <c r="D189" s="1">
        <v>68.040000000000006</v>
      </c>
      <c r="E189" s="1">
        <f>Tabela18[[#This Row],[Força (N)]]/$I$5</f>
        <v>1413072.3732305444</v>
      </c>
      <c r="F189" s="1">
        <f>Tabela18[[#This Row],[Tensão (Pa)]]/1000000</f>
        <v>1.4130723732305444</v>
      </c>
    </row>
    <row r="190" spans="1:6" x14ac:dyDescent="0.3">
      <c r="A190" s="1">
        <v>33</v>
      </c>
      <c r="B190" s="1">
        <v>2.7423000000000002</v>
      </c>
      <c r="C190" s="1">
        <f>Tabela18[[#This Row],[Alongamento (mm/mm)]]/$I$2</f>
        <v>5.4846000000000006E-2</v>
      </c>
      <c r="D190" s="1">
        <v>68.72</v>
      </c>
      <c r="E190" s="1">
        <f>Tabela18[[#This Row],[Força (N)]]/$I$5</f>
        <v>1427194.7896590682</v>
      </c>
      <c r="F190" s="1">
        <f>Tabela18[[#This Row],[Tensão (Pa)]]/1000000</f>
        <v>1.4271947896590682</v>
      </c>
    </row>
    <row r="191" spans="1:6" x14ac:dyDescent="0.3">
      <c r="A191" s="1">
        <v>33.116999999999997</v>
      </c>
      <c r="B191" s="1">
        <v>2.7519</v>
      </c>
      <c r="C191" s="1">
        <f>Tabela18[[#This Row],[Alongamento (mm/mm)]]/$I$2</f>
        <v>5.5038000000000004E-2</v>
      </c>
      <c r="D191" s="1">
        <v>69.400000000000006</v>
      </c>
      <c r="E191" s="1">
        <f>Tabela18[[#This Row],[Força (N)]]/$I$5</f>
        <v>1441317.2060875923</v>
      </c>
      <c r="F191" s="1">
        <f>Tabela18[[#This Row],[Tensão (Pa)]]/1000000</f>
        <v>1.4413172060875923</v>
      </c>
    </row>
    <row r="192" spans="1:6" x14ac:dyDescent="0.3">
      <c r="A192" s="1">
        <v>33.25</v>
      </c>
      <c r="B192" s="1">
        <v>2.7631999999999999</v>
      </c>
      <c r="C192" s="1">
        <f>Tabela18[[#This Row],[Alongamento (mm/mm)]]/$I$2</f>
        <v>5.5264000000000001E-2</v>
      </c>
      <c r="D192" s="1">
        <v>70.081000000000003</v>
      </c>
      <c r="E192" s="1">
        <f>Tabela18[[#This Row],[Força (N)]]/$I$5</f>
        <v>1455460.3907755699</v>
      </c>
      <c r="F192" s="1">
        <f>Tabela18[[#This Row],[Tensão (Pa)]]/1000000</f>
        <v>1.4554603907755699</v>
      </c>
    </row>
    <row r="193" spans="1:6" x14ac:dyDescent="0.3">
      <c r="A193" s="1">
        <v>33.366999999999997</v>
      </c>
      <c r="B193" s="1">
        <v>2.7728000000000002</v>
      </c>
      <c r="C193" s="1">
        <f>Tabela18[[#This Row],[Alongamento (mm/mm)]]/$I$2</f>
        <v>5.5456000000000005E-2</v>
      </c>
      <c r="D193" s="1">
        <v>70.760999999999996</v>
      </c>
      <c r="E193" s="1">
        <f>Tabela18[[#This Row],[Força (N)]]/$I$5</f>
        <v>1469582.8072040938</v>
      </c>
      <c r="F193" s="1">
        <f>Tabela18[[#This Row],[Tensão (Pa)]]/1000000</f>
        <v>1.4695828072040937</v>
      </c>
    </row>
    <row r="194" spans="1:6" x14ac:dyDescent="0.3">
      <c r="A194" s="1">
        <v>33.482999999999997</v>
      </c>
      <c r="B194" s="1">
        <v>2.7826</v>
      </c>
      <c r="C194" s="1">
        <f>Tabela18[[#This Row],[Alongamento (mm/mm)]]/$I$2</f>
        <v>5.5652E-2</v>
      </c>
      <c r="D194" s="1">
        <v>71.441000000000003</v>
      </c>
      <c r="E194" s="1">
        <f>Tabela18[[#This Row],[Força (N)]]/$I$5</f>
        <v>1483705.2236326179</v>
      </c>
      <c r="F194" s="1">
        <f>Tabela18[[#This Row],[Tensão (Pa)]]/1000000</f>
        <v>1.4837052236326178</v>
      </c>
    </row>
    <row r="195" spans="1:6" x14ac:dyDescent="0.3">
      <c r="A195" s="1">
        <v>33.616999999999997</v>
      </c>
      <c r="B195" s="1">
        <v>2.7936000000000001</v>
      </c>
      <c r="C195" s="1">
        <f>Tabela18[[#This Row],[Alongamento (mm/mm)]]/$I$2</f>
        <v>5.5872000000000005E-2</v>
      </c>
      <c r="D195" s="1">
        <v>72.122</v>
      </c>
      <c r="E195" s="1">
        <f>Tabela18[[#This Row],[Força (N)]]/$I$5</f>
        <v>1497848.4083205955</v>
      </c>
      <c r="F195" s="1">
        <f>Tabela18[[#This Row],[Tensão (Pa)]]/1000000</f>
        <v>1.4978484083205954</v>
      </c>
    </row>
    <row r="196" spans="1:6" x14ac:dyDescent="0.3">
      <c r="A196" s="1">
        <v>33.732999999999997</v>
      </c>
      <c r="B196" s="1">
        <v>2.8033999999999999</v>
      </c>
      <c r="C196" s="1">
        <f>Tabela18[[#This Row],[Alongamento (mm/mm)]]/$I$2</f>
        <v>5.6068E-2</v>
      </c>
      <c r="D196" s="1">
        <v>72.802000000000007</v>
      </c>
      <c r="E196" s="1">
        <f>Tabela18[[#This Row],[Força (N)]]/$I$5</f>
        <v>1511970.8247491196</v>
      </c>
      <c r="F196" s="1">
        <f>Tabela18[[#This Row],[Tensão (Pa)]]/1000000</f>
        <v>1.5119708247491195</v>
      </c>
    </row>
    <row r="197" spans="1:6" x14ac:dyDescent="0.3">
      <c r="A197" s="1">
        <v>33.85</v>
      </c>
      <c r="B197" s="1">
        <v>2.8130999999999999</v>
      </c>
      <c r="C197" s="1">
        <f>Tabela18[[#This Row],[Alongamento (mm/mm)]]/$I$2</f>
        <v>5.6262E-2</v>
      </c>
      <c r="D197" s="1">
        <v>73.483000000000004</v>
      </c>
      <c r="E197" s="1">
        <f>Tabela18[[#This Row],[Força (N)]]/$I$5</f>
        <v>1526114.0094370972</v>
      </c>
      <c r="F197" s="1">
        <f>Tabela18[[#This Row],[Tensão (Pa)]]/1000000</f>
        <v>1.5261140094370973</v>
      </c>
    </row>
    <row r="198" spans="1:6" x14ac:dyDescent="0.3">
      <c r="A198" s="1">
        <v>33.966999999999999</v>
      </c>
      <c r="B198" s="1">
        <v>2.8228</v>
      </c>
      <c r="C198" s="1">
        <f>Tabela18[[#This Row],[Alongamento (mm/mm)]]/$I$2</f>
        <v>5.6455999999999999E-2</v>
      </c>
      <c r="D198" s="1">
        <v>74.162999999999997</v>
      </c>
      <c r="E198" s="1">
        <f>Tabela18[[#This Row],[Força (N)]]/$I$5</f>
        <v>1540236.4258656211</v>
      </c>
      <c r="F198" s="1">
        <f>Tabela18[[#This Row],[Tensão (Pa)]]/1000000</f>
        <v>1.5402364258656212</v>
      </c>
    </row>
    <row r="199" spans="1:6" x14ac:dyDescent="0.3">
      <c r="A199" s="1">
        <v>34.067</v>
      </c>
      <c r="B199" s="1">
        <v>2.8311000000000002</v>
      </c>
      <c r="C199" s="1">
        <f>Tabela18[[#This Row],[Alongamento (mm/mm)]]/$I$2</f>
        <v>5.6622000000000006E-2</v>
      </c>
      <c r="D199" s="1">
        <v>74.843000000000004</v>
      </c>
      <c r="E199" s="1">
        <f>Tabela18[[#This Row],[Força (N)]]/$I$5</f>
        <v>1554358.8422941451</v>
      </c>
      <c r="F199" s="1">
        <f>Tabela18[[#This Row],[Tensão (Pa)]]/1000000</f>
        <v>1.5543588422941452</v>
      </c>
    </row>
    <row r="200" spans="1:6" x14ac:dyDescent="0.3">
      <c r="A200" s="1">
        <v>34.167000000000002</v>
      </c>
      <c r="B200" s="1">
        <v>2.8393999999999999</v>
      </c>
      <c r="C200" s="1">
        <f>Tabela18[[#This Row],[Alongamento (mm/mm)]]/$I$2</f>
        <v>5.6787999999999998E-2</v>
      </c>
      <c r="D200" s="1">
        <v>75.524000000000001</v>
      </c>
      <c r="E200" s="1">
        <f>Tabela18[[#This Row],[Força (N)]]/$I$5</f>
        <v>1568502.0269821228</v>
      </c>
      <c r="F200" s="1">
        <f>Tabela18[[#This Row],[Tensão (Pa)]]/1000000</f>
        <v>1.5685020269821228</v>
      </c>
    </row>
    <row r="201" spans="1:6" x14ac:dyDescent="0.3">
      <c r="A201" s="1">
        <v>34.283000000000001</v>
      </c>
      <c r="B201" s="1">
        <v>2.8492000000000002</v>
      </c>
      <c r="C201" s="1">
        <f>Tabela18[[#This Row],[Alongamento (mm/mm)]]/$I$2</f>
        <v>5.6984000000000007E-2</v>
      </c>
      <c r="D201" s="1">
        <v>76.203999999999994</v>
      </c>
      <c r="E201" s="1">
        <f>Tabela18[[#This Row],[Força (N)]]/$I$5</f>
        <v>1582624.4434106466</v>
      </c>
      <c r="F201" s="1">
        <f>Tabela18[[#This Row],[Tensão (Pa)]]/1000000</f>
        <v>1.5826244434106467</v>
      </c>
    </row>
    <row r="202" spans="1:6" x14ac:dyDescent="0.3">
      <c r="A202" s="1">
        <v>34.383000000000003</v>
      </c>
      <c r="B202" s="1">
        <v>2.8576000000000001</v>
      </c>
      <c r="C202" s="1">
        <f>Tabela18[[#This Row],[Alongamento (mm/mm)]]/$I$2</f>
        <v>5.7152000000000001E-2</v>
      </c>
      <c r="D202" s="1">
        <v>76.885000000000005</v>
      </c>
      <c r="E202" s="1">
        <f>Tabela18[[#This Row],[Força (N)]]/$I$5</f>
        <v>1596767.6280986245</v>
      </c>
      <c r="F202" s="1">
        <f>Tabela18[[#This Row],[Tensão (Pa)]]/1000000</f>
        <v>1.5967676280986245</v>
      </c>
    </row>
    <row r="203" spans="1:6" x14ac:dyDescent="0.3">
      <c r="A203" s="1">
        <v>34.482999999999997</v>
      </c>
      <c r="B203" s="1">
        <v>2.8658999999999999</v>
      </c>
      <c r="C203" s="1">
        <f>Tabela18[[#This Row],[Alongamento (mm/mm)]]/$I$2</f>
        <v>5.7318000000000001E-2</v>
      </c>
      <c r="D203" s="1">
        <v>77.564999999999998</v>
      </c>
      <c r="E203" s="1">
        <f>Tabela18[[#This Row],[Força (N)]]/$I$5</f>
        <v>1610890.0445271484</v>
      </c>
      <c r="F203" s="1">
        <f>Tabela18[[#This Row],[Tensão (Pa)]]/1000000</f>
        <v>1.6108900445271483</v>
      </c>
    </row>
    <row r="204" spans="1:6" x14ac:dyDescent="0.3">
      <c r="A204" s="1">
        <v>34.582999999999998</v>
      </c>
      <c r="B204" s="1">
        <v>2.8742000000000001</v>
      </c>
      <c r="C204" s="1">
        <f>Tabela18[[#This Row],[Alongamento (mm/mm)]]/$I$2</f>
        <v>5.7484E-2</v>
      </c>
      <c r="D204" s="1">
        <v>78.245000000000005</v>
      </c>
      <c r="E204" s="1">
        <f>Tabela18[[#This Row],[Força (N)]]/$I$5</f>
        <v>1625012.4609556724</v>
      </c>
      <c r="F204" s="1">
        <f>Tabela18[[#This Row],[Tensão (Pa)]]/1000000</f>
        <v>1.6250124609556724</v>
      </c>
    </row>
    <row r="205" spans="1:6" x14ac:dyDescent="0.3">
      <c r="A205" s="1">
        <v>34.683</v>
      </c>
      <c r="B205" s="1">
        <v>2.8826000000000001</v>
      </c>
      <c r="C205" s="1">
        <f>Tabela18[[#This Row],[Alongamento (mm/mm)]]/$I$2</f>
        <v>5.7652000000000002E-2</v>
      </c>
      <c r="D205" s="1">
        <v>78.926000000000002</v>
      </c>
      <c r="E205" s="1">
        <f>Tabela18[[#This Row],[Força (N)]]/$I$5</f>
        <v>1639155.6456436501</v>
      </c>
      <c r="F205" s="1">
        <f>Tabela18[[#This Row],[Tensão (Pa)]]/1000000</f>
        <v>1.63915564564365</v>
      </c>
    </row>
    <row r="206" spans="1:6" x14ac:dyDescent="0.3">
      <c r="A206" s="1">
        <v>34.783000000000001</v>
      </c>
      <c r="B206" s="1">
        <v>2.8908</v>
      </c>
      <c r="C206" s="1">
        <f>Tabela18[[#This Row],[Alongamento (mm/mm)]]/$I$2</f>
        <v>5.7815999999999999E-2</v>
      </c>
      <c r="D206" s="1">
        <v>79.605999999999995</v>
      </c>
      <c r="E206" s="1">
        <f>Tabela18[[#This Row],[Força (N)]]/$I$5</f>
        <v>1653278.0620721737</v>
      </c>
      <c r="F206" s="1">
        <f>Tabela18[[#This Row],[Tensão (Pa)]]/1000000</f>
        <v>1.6532780620721736</v>
      </c>
    </row>
    <row r="207" spans="1:6" x14ac:dyDescent="0.3">
      <c r="A207" s="1">
        <v>34.883000000000003</v>
      </c>
      <c r="B207" s="1">
        <v>2.8992</v>
      </c>
      <c r="C207" s="1">
        <f>Tabela18[[#This Row],[Alongamento (mm/mm)]]/$I$2</f>
        <v>5.7984000000000001E-2</v>
      </c>
      <c r="D207" s="1">
        <v>80.287000000000006</v>
      </c>
      <c r="E207" s="1">
        <f>Tabela18[[#This Row],[Força (N)]]/$I$5</f>
        <v>1667421.2467601516</v>
      </c>
      <c r="F207" s="1">
        <f>Tabela18[[#This Row],[Tensão (Pa)]]/1000000</f>
        <v>1.6674212467601517</v>
      </c>
    </row>
    <row r="208" spans="1:6" x14ac:dyDescent="0.3">
      <c r="A208" s="1">
        <v>34.982999999999997</v>
      </c>
      <c r="B208" s="1">
        <v>2.9076</v>
      </c>
      <c r="C208" s="1">
        <f>Tabela18[[#This Row],[Alongamento (mm/mm)]]/$I$2</f>
        <v>5.8152000000000002E-2</v>
      </c>
      <c r="D208" s="1">
        <v>80.966999999999999</v>
      </c>
      <c r="E208" s="1">
        <f>Tabela18[[#This Row],[Força (N)]]/$I$5</f>
        <v>1681543.6631886754</v>
      </c>
      <c r="F208" s="1">
        <f>Tabela18[[#This Row],[Tensão (Pa)]]/1000000</f>
        <v>1.6815436631886753</v>
      </c>
    </row>
    <row r="209" spans="1:6" x14ac:dyDescent="0.3">
      <c r="A209" s="1">
        <v>35.067</v>
      </c>
      <c r="B209" s="1">
        <v>2.9146000000000001</v>
      </c>
      <c r="C209" s="1">
        <f>Tabela18[[#This Row],[Alongamento (mm/mm)]]/$I$2</f>
        <v>5.8292000000000004E-2</v>
      </c>
      <c r="D209" s="1">
        <v>81.647000000000006</v>
      </c>
      <c r="E209" s="1">
        <f>Tabela18[[#This Row],[Força (N)]]/$I$5</f>
        <v>1695666.0796171995</v>
      </c>
      <c r="F209" s="1">
        <f>Tabela18[[#This Row],[Tensão (Pa)]]/1000000</f>
        <v>1.6956660796171994</v>
      </c>
    </row>
    <row r="210" spans="1:6" x14ac:dyDescent="0.3">
      <c r="A210" s="1">
        <v>35.167000000000002</v>
      </c>
      <c r="B210" s="1">
        <v>2.9228000000000001</v>
      </c>
      <c r="C210" s="1">
        <f>Tabela18[[#This Row],[Alongamento (mm/mm)]]/$I$2</f>
        <v>5.8456000000000001E-2</v>
      </c>
      <c r="D210" s="1">
        <v>82.328000000000003</v>
      </c>
      <c r="E210" s="1">
        <f>Tabela18[[#This Row],[Força (N)]]/$I$5</f>
        <v>1709809.2643051771</v>
      </c>
      <c r="F210" s="1">
        <f>Tabela18[[#This Row],[Tensão (Pa)]]/1000000</f>
        <v>1.7098092643051772</v>
      </c>
    </row>
    <row r="211" spans="1:6" x14ac:dyDescent="0.3">
      <c r="A211" s="1">
        <v>35.267000000000003</v>
      </c>
      <c r="B211" s="1">
        <v>2.9310999999999998</v>
      </c>
      <c r="C211" s="1">
        <f>Tabela18[[#This Row],[Alongamento (mm/mm)]]/$I$2</f>
        <v>5.8621999999999994E-2</v>
      </c>
      <c r="D211" s="1">
        <v>83.007999999999996</v>
      </c>
      <c r="E211" s="1">
        <f>Tabela18[[#This Row],[Força (N)]]/$I$5</f>
        <v>1723931.680733701</v>
      </c>
      <c r="F211" s="1">
        <f>Tabela18[[#This Row],[Tensão (Pa)]]/1000000</f>
        <v>1.7239316807337011</v>
      </c>
    </row>
    <row r="212" spans="1:6" x14ac:dyDescent="0.3">
      <c r="A212" s="1">
        <v>35.366999999999997</v>
      </c>
      <c r="B212" s="1">
        <v>2.9394999999999998</v>
      </c>
      <c r="C212" s="1">
        <f>Tabela18[[#This Row],[Alongamento (mm/mm)]]/$I$2</f>
        <v>5.8789999999999995E-2</v>
      </c>
      <c r="D212" s="1">
        <v>83.688999999999993</v>
      </c>
      <c r="E212" s="1">
        <f>Tabela18[[#This Row],[Força (N)]]/$I$5</f>
        <v>1738074.8654216786</v>
      </c>
      <c r="F212" s="1">
        <f>Tabela18[[#This Row],[Tensão (Pa)]]/1000000</f>
        <v>1.7380748654216787</v>
      </c>
    </row>
    <row r="213" spans="1:6" x14ac:dyDescent="0.3">
      <c r="A213" s="1">
        <v>35.466999999999999</v>
      </c>
      <c r="B213" s="1">
        <v>2.9478</v>
      </c>
      <c r="C213" s="1">
        <f>Tabela18[[#This Row],[Alongamento (mm/mm)]]/$I$2</f>
        <v>5.8956000000000001E-2</v>
      </c>
      <c r="D213" s="1">
        <v>84.369</v>
      </c>
      <c r="E213" s="1">
        <f>Tabela18[[#This Row],[Força (N)]]/$I$5</f>
        <v>1752197.2818502027</v>
      </c>
      <c r="F213" s="1">
        <f>Tabela18[[#This Row],[Tensão (Pa)]]/1000000</f>
        <v>1.7521972818502027</v>
      </c>
    </row>
    <row r="214" spans="1:6" x14ac:dyDescent="0.3">
      <c r="A214" s="1">
        <v>35.549999999999997</v>
      </c>
      <c r="B214" s="1">
        <v>2.9548000000000001</v>
      </c>
      <c r="C214" s="1">
        <f>Tabela18[[#This Row],[Alongamento (mm/mm)]]/$I$2</f>
        <v>5.9096000000000003E-2</v>
      </c>
      <c r="D214" s="1">
        <v>85.049000000000007</v>
      </c>
      <c r="E214" s="1">
        <f>Tabela18[[#This Row],[Força (N)]]/$I$5</f>
        <v>1766319.6982787268</v>
      </c>
      <c r="F214" s="1">
        <f>Tabela18[[#This Row],[Tensão (Pa)]]/1000000</f>
        <v>1.7663196982787268</v>
      </c>
    </row>
    <row r="215" spans="1:6" x14ac:dyDescent="0.3">
      <c r="A215" s="1">
        <v>35.65</v>
      </c>
      <c r="B215" s="1">
        <v>2.9630999999999998</v>
      </c>
      <c r="C215" s="1">
        <f>Tabela18[[#This Row],[Alongamento (mm/mm)]]/$I$2</f>
        <v>5.9261999999999995E-2</v>
      </c>
      <c r="D215" s="1">
        <v>85.73</v>
      </c>
      <c r="E215" s="1">
        <f>Tabela18[[#This Row],[Força (N)]]/$I$5</f>
        <v>1780462.8829667044</v>
      </c>
      <c r="F215" s="1">
        <f>Tabela18[[#This Row],[Tensão (Pa)]]/1000000</f>
        <v>1.7804628829667044</v>
      </c>
    </row>
    <row r="216" spans="1:6" x14ac:dyDescent="0.3">
      <c r="A216" s="1">
        <v>35.732999999999997</v>
      </c>
      <c r="B216" s="1">
        <v>2.97</v>
      </c>
      <c r="C216" s="1">
        <f>Tabela18[[#This Row],[Alongamento (mm/mm)]]/$I$2</f>
        <v>5.9400000000000001E-2</v>
      </c>
      <c r="D216" s="1">
        <v>86.41</v>
      </c>
      <c r="E216" s="1">
        <f>Tabela18[[#This Row],[Força (N)]]/$I$5</f>
        <v>1794585.2993952283</v>
      </c>
      <c r="F216" s="1">
        <f>Tabela18[[#This Row],[Tensão (Pa)]]/1000000</f>
        <v>1.7945852993952283</v>
      </c>
    </row>
    <row r="217" spans="1:6" x14ac:dyDescent="0.3">
      <c r="A217" s="1">
        <v>35.832999999999998</v>
      </c>
      <c r="B217" s="1">
        <v>2.9782999999999999</v>
      </c>
      <c r="C217" s="1">
        <f>Tabela18[[#This Row],[Alongamento (mm/mm)]]/$I$2</f>
        <v>5.9566000000000001E-2</v>
      </c>
      <c r="D217" s="1">
        <v>87.090999999999994</v>
      </c>
      <c r="E217" s="1">
        <f>Tabela18[[#This Row],[Força (N)]]/$I$5</f>
        <v>1808728.4840832059</v>
      </c>
      <c r="F217" s="1">
        <f>Tabela18[[#This Row],[Tensão (Pa)]]/1000000</f>
        <v>1.8087284840832059</v>
      </c>
    </row>
    <row r="218" spans="1:6" x14ac:dyDescent="0.3">
      <c r="A218" s="1">
        <v>35.917000000000002</v>
      </c>
      <c r="B218" s="1">
        <v>2.9853000000000001</v>
      </c>
      <c r="C218" s="1">
        <f>Tabela18[[#This Row],[Alongamento (mm/mm)]]/$I$2</f>
        <v>5.9706000000000002E-2</v>
      </c>
      <c r="D218" s="1">
        <v>87.771000000000001</v>
      </c>
      <c r="E218" s="1">
        <f>Tabela18[[#This Row],[Força (N)]]/$I$5</f>
        <v>1822850.90051173</v>
      </c>
      <c r="F218" s="1">
        <f>Tabela18[[#This Row],[Tensão (Pa)]]/1000000</f>
        <v>1.8228509005117299</v>
      </c>
    </row>
    <row r="219" spans="1:6" x14ac:dyDescent="0.3">
      <c r="A219" s="1">
        <v>36</v>
      </c>
      <c r="B219" s="1">
        <v>2.9923000000000002</v>
      </c>
      <c r="C219" s="1">
        <f>Tabela18[[#This Row],[Alongamento (mm/mm)]]/$I$2</f>
        <v>5.9846000000000003E-2</v>
      </c>
      <c r="D219" s="1">
        <v>88.450999999999993</v>
      </c>
      <c r="E219" s="1">
        <f>Tabela18[[#This Row],[Força (N)]]/$I$5</f>
        <v>1836973.3169402538</v>
      </c>
      <c r="F219" s="1">
        <f>Tabela18[[#This Row],[Tensão (Pa)]]/1000000</f>
        <v>1.8369733169402538</v>
      </c>
    </row>
    <row r="220" spans="1:6" x14ac:dyDescent="0.3">
      <c r="A220" s="1">
        <v>36.1</v>
      </c>
      <c r="B220" s="1">
        <v>3.0007000000000001</v>
      </c>
      <c r="C220" s="1">
        <f>Tabela18[[#This Row],[Alongamento (mm/mm)]]/$I$2</f>
        <v>6.0014000000000005E-2</v>
      </c>
      <c r="D220" s="1">
        <v>89.132000000000005</v>
      </c>
      <c r="E220" s="1">
        <f>Tabela18[[#This Row],[Força (N)]]/$I$5</f>
        <v>1851116.5016282317</v>
      </c>
      <c r="F220" s="1">
        <f>Tabela18[[#This Row],[Tensão (Pa)]]/1000000</f>
        <v>1.8511165016282318</v>
      </c>
    </row>
    <row r="221" spans="1:6" x14ac:dyDescent="0.3">
      <c r="A221" s="1">
        <v>36.167000000000002</v>
      </c>
      <c r="B221" s="1">
        <v>3.0062000000000002</v>
      </c>
      <c r="C221" s="1">
        <f>Tabela18[[#This Row],[Alongamento (mm/mm)]]/$I$2</f>
        <v>6.0124000000000004E-2</v>
      </c>
      <c r="D221" s="1">
        <v>89.811999999999998</v>
      </c>
      <c r="E221" s="1">
        <f>Tabela18[[#This Row],[Força (N)]]/$I$5</f>
        <v>1865238.9180567556</v>
      </c>
      <c r="F221" s="1">
        <f>Tabela18[[#This Row],[Tensão (Pa)]]/1000000</f>
        <v>1.8652389180567555</v>
      </c>
    </row>
    <row r="222" spans="1:6" x14ac:dyDescent="0.3">
      <c r="A222" s="1">
        <v>36.25</v>
      </c>
      <c r="B222" s="1">
        <v>3.0131000000000001</v>
      </c>
      <c r="C222" s="1">
        <f>Tabela18[[#This Row],[Alongamento (mm/mm)]]/$I$2</f>
        <v>6.0262000000000003E-2</v>
      </c>
      <c r="D222" s="1">
        <v>90.492999999999995</v>
      </c>
      <c r="E222" s="1">
        <f>Tabela18[[#This Row],[Força (N)]]/$I$5</f>
        <v>1879382.1027447332</v>
      </c>
      <c r="F222" s="1">
        <f>Tabela18[[#This Row],[Tensão (Pa)]]/1000000</f>
        <v>1.8793821027447333</v>
      </c>
    </row>
    <row r="223" spans="1:6" x14ac:dyDescent="0.3">
      <c r="A223" s="1">
        <v>36.332999999999998</v>
      </c>
      <c r="B223" s="1">
        <v>3.02</v>
      </c>
      <c r="C223" s="1">
        <f>Tabela18[[#This Row],[Alongamento (mm/mm)]]/$I$2</f>
        <v>6.0400000000000002E-2</v>
      </c>
      <c r="D223" s="1">
        <v>91.173000000000002</v>
      </c>
      <c r="E223" s="1">
        <f>Tabela18[[#This Row],[Força (N)]]/$I$5</f>
        <v>1893504.5191732573</v>
      </c>
      <c r="F223" s="1">
        <f>Tabela18[[#This Row],[Tensão (Pa)]]/1000000</f>
        <v>1.8935045191732573</v>
      </c>
    </row>
    <row r="224" spans="1:6" x14ac:dyDescent="0.3">
      <c r="A224" s="1">
        <v>36.417000000000002</v>
      </c>
      <c r="B224" s="1">
        <v>3.0270000000000001</v>
      </c>
      <c r="C224" s="1">
        <f>Tabela18[[#This Row],[Alongamento (mm/mm)]]/$I$2</f>
        <v>6.0540000000000004E-2</v>
      </c>
      <c r="D224" s="1">
        <v>91.852999999999994</v>
      </c>
      <c r="E224" s="1">
        <f>Tabela18[[#This Row],[Força (N)]]/$I$5</f>
        <v>1907626.9356017811</v>
      </c>
      <c r="F224" s="1">
        <f>Tabela18[[#This Row],[Tensão (Pa)]]/1000000</f>
        <v>1.9076269356017812</v>
      </c>
    </row>
    <row r="225" spans="1:6" x14ac:dyDescent="0.3">
      <c r="A225" s="1">
        <v>36.5</v>
      </c>
      <c r="B225" s="1">
        <v>3.0339999999999998</v>
      </c>
      <c r="C225" s="1">
        <f>Tabela18[[#This Row],[Alongamento (mm/mm)]]/$I$2</f>
        <v>6.0679999999999998E-2</v>
      </c>
      <c r="D225" s="1">
        <v>92.534000000000006</v>
      </c>
      <c r="E225" s="1">
        <f>Tabela18[[#This Row],[Força (N)]]/$I$5</f>
        <v>1921770.120289759</v>
      </c>
      <c r="F225" s="1">
        <f>Tabela18[[#This Row],[Tensão (Pa)]]/1000000</f>
        <v>1.921770120289759</v>
      </c>
    </row>
    <row r="226" spans="1:6" x14ac:dyDescent="0.3">
      <c r="A226" s="1">
        <v>36.582999999999998</v>
      </c>
      <c r="B226" s="1">
        <v>3.0409000000000002</v>
      </c>
      <c r="C226" s="1">
        <f>Tabela18[[#This Row],[Alongamento (mm/mm)]]/$I$2</f>
        <v>6.0818000000000004E-2</v>
      </c>
      <c r="D226" s="1">
        <v>93.213999999999999</v>
      </c>
      <c r="E226" s="1">
        <f>Tabela18[[#This Row],[Força (N)]]/$I$5</f>
        <v>1935892.5367182826</v>
      </c>
      <c r="F226" s="1">
        <f>Tabela18[[#This Row],[Tensão (Pa)]]/1000000</f>
        <v>1.9358925367182827</v>
      </c>
    </row>
    <row r="227" spans="1:6" x14ac:dyDescent="0.3">
      <c r="A227" s="1">
        <v>36.667000000000002</v>
      </c>
      <c r="B227" s="1">
        <v>3.0478000000000001</v>
      </c>
      <c r="C227" s="1">
        <f>Tabela18[[#This Row],[Alongamento (mm/mm)]]/$I$2</f>
        <v>6.0956000000000003E-2</v>
      </c>
      <c r="D227" s="1">
        <v>93.894999999999996</v>
      </c>
      <c r="E227" s="1">
        <f>Tabela18[[#This Row],[Força (N)]]/$I$5</f>
        <v>1950035.7214062603</v>
      </c>
      <c r="F227" s="1">
        <f>Tabela18[[#This Row],[Tensão (Pa)]]/1000000</f>
        <v>1.9500357214062602</v>
      </c>
    </row>
    <row r="228" spans="1:6" x14ac:dyDescent="0.3">
      <c r="A228" s="1">
        <v>36.75</v>
      </c>
      <c r="B228" s="1">
        <v>3.0548000000000002</v>
      </c>
      <c r="C228" s="1">
        <f>Tabela18[[#This Row],[Alongamento (mm/mm)]]/$I$2</f>
        <v>6.1096000000000004E-2</v>
      </c>
      <c r="D228" s="1">
        <v>94.575000000000003</v>
      </c>
      <c r="E228" s="1">
        <f>Tabela18[[#This Row],[Força (N)]]/$I$5</f>
        <v>1964158.1378347843</v>
      </c>
      <c r="F228" s="1">
        <f>Tabela18[[#This Row],[Tensão (Pa)]]/1000000</f>
        <v>1.9641581378347843</v>
      </c>
    </row>
    <row r="229" spans="1:6" x14ac:dyDescent="0.3">
      <c r="A229" s="1">
        <v>36.832999999999998</v>
      </c>
      <c r="B229" s="1">
        <v>3.0617000000000001</v>
      </c>
      <c r="C229" s="1">
        <f>Tabela18[[#This Row],[Alongamento (mm/mm)]]/$I$2</f>
        <v>6.1234000000000004E-2</v>
      </c>
      <c r="D229" s="1">
        <v>95.254999999999995</v>
      </c>
      <c r="E229" s="1">
        <f>Tabela18[[#This Row],[Força (N)]]/$I$5</f>
        <v>1978280.5542633082</v>
      </c>
      <c r="F229" s="1">
        <f>Tabela18[[#This Row],[Tensão (Pa)]]/1000000</f>
        <v>1.9782805542633082</v>
      </c>
    </row>
    <row r="230" spans="1:6" x14ac:dyDescent="0.3">
      <c r="A230" s="1">
        <v>36.917000000000002</v>
      </c>
      <c r="B230" s="1">
        <v>3.0687000000000002</v>
      </c>
      <c r="C230" s="1">
        <f>Tabela18[[#This Row],[Alongamento (mm/mm)]]/$I$2</f>
        <v>6.1374000000000005E-2</v>
      </c>
      <c r="D230" s="1">
        <v>95.936000000000007</v>
      </c>
      <c r="E230" s="1">
        <f>Tabela18[[#This Row],[Força (N)]]/$I$5</f>
        <v>1992423.7389512861</v>
      </c>
      <c r="F230" s="1">
        <f>Tabela18[[#This Row],[Tensão (Pa)]]/1000000</f>
        <v>1.992423738951286</v>
      </c>
    </row>
    <row r="231" spans="1:6" x14ac:dyDescent="0.3">
      <c r="A231" s="1">
        <v>37</v>
      </c>
      <c r="B231" s="1">
        <v>3.0756999999999999</v>
      </c>
      <c r="C231" s="1">
        <f>Tabela18[[#This Row],[Alongamento (mm/mm)]]/$I$2</f>
        <v>6.1513999999999999E-2</v>
      </c>
      <c r="D231" s="1">
        <v>96.616</v>
      </c>
      <c r="E231" s="1">
        <f>Tabela18[[#This Row],[Força (N)]]/$I$5</f>
        <v>2006546.1553798099</v>
      </c>
      <c r="F231" s="1">
        <f>Tabela18[[#This Row],[Tensão (Pa)]]/1000000</f>
        <v>2.0065461553798101</v>
      </c>
    </row>
    <row r="232" spans="1:6" x14ac:dyDescent="0.3">
      <c r="A232" s="1">
        <v>37.082999999999998</v>
      </c>
      <c r="B232" s="1">
        <v>3.0825</v>
      </c>
      <c r="C232" s="1">
        <f>Tabela18[[#This Row],[Alongamento (mm/mm)]]/$I$2</f>
        <v>6.1650000000000003E-2</v>
      </c>
      <c r="D232" s="1">
        <v>97.296999999999997</v>
      </c>
      <c r="E232" s="1">
        <f>Tabela18[[#This Row],[Força (N)]]/$I$5</f>
        <v>2020689.3400677876</v>
      </c>
      <c r="F232" s="1">
        <f>Tabela18[[#This Row],[Tensão (Pa)]]/1000000</f>
        <v>2.0206893400677877</v>
      </c>
    </row>
    <row r="233" spans="1:6" x14ac:dyDescent="0.3">
      <c r="A233" s="1">
        <v>37.15</v>
      </c>
      <c r="B233" s="1">
        <v>3.0880999999999998</v>
      </c>
      <c r="C233" s="1">
        <f>Tabela18[[#This Row],[Alongamento (mm/mm)]]/$I$2</f>
        <v>6.1761999999999997E-2</v>
      </c>
      <c r="D233" s="1">
        <v>97.977000000000004</v>
      </c>
      <c r="E233" s="1">
        <f>Tabela18[[#This Row],[Força (N)]]/$I$5</f>
        <v>2034811.7564963116</v>
      </c>
      <c r="F233" s="1">
        <f>Tabela18[[#This Row],[Tensão (Pa)]]/1000000</f>
        <v>2.0348117564963117</v>
      </c>
    </row>
    <row r="234" spans="1:6" x14ac:dyDescent="0.3">
      <c r="A234" s="1">
        <v>37.232999999999997</v>
      </c>
      <c r="B234" s="1">
        <v>3.0951</v>
      </c>
      <c r="C234" s="1">
        <f>Tabela18[[#This Row],[Alongamento (mm/mm)]]/$I$2</f>
        <v>6.1901999999999999E-2</v>
      </c>
      <c r="D234" s="1">
        <v>98.656999999999996</v>
      </c>
      <c r="E234" s="1">
        <f>Tabela18[[#This Row],[Força (N)]]/$I$5</f>
        <v>2048934.1729248355</v>
      </c>
      <c r="F234" s="1">
        <f>Tabela18[[#This Row],[Tensão (Pa)]]/1000000</f>
        <v>2.0489341729248354</v>
      </c>
    </row>
    <row r="235" spans="1:6" x14ac:dyDescent="0.3">
      <c r="A235" s="1">
        <v>37.299999999999997</v>
      </c>
      <c r="B235" s="1">
        <v>3.1006</v>
      </c>
      <c r="C235" s="1">
        <f>Tabela18[[#This Row],[Alongamento (mm/mm)]]/$I$2</f>
        <v>6.2011999999999998E-2</v>
      </c>
      <c r="D235" s="1">
        <v>99.337999999999994</v>
      </c>
      <c r="E235" s="1">
        <f>Tabela18[[#This Row],[Força (N)]]/$I$5</f>
        <v>2063077.3576128131</v>
      </c>
      <c r="F235" s="1">
        <f>Tabela18[[#This Row],[Tensão (Pa)]]/1000000</f>
        <v>2.063077357612813</v>
      </c>
    </row>
    <row r="236" spans="1:6" x14ac:dyDescent="0.3">
      <c r="A236" s="1">
        <v>37.383000000000003</v>
      </c>
      <c r="B236" s="1">
        <v>3.1074999999999999</v>
      </c>
      <c r="C236" s="1">
        <f>Tabela18[[#This Row],[Alongamento (mm/mm)]]/$I$2</f>
        <v>6.2149999999999997E-2</v>
      </c>
      <c r="D236" s="1">
        <v>100.02</v>
      </c>
      <c r="E236" s="1">
        <f>Tabela18[[#This Row],[Força (N)]]/$I$5</f>
        <v>2077241.3105602446</v>
      </c>
      <c r="F236" s="1">
        <f>Tabela18[[#This Row],[Tensão (Pa)]]/1000000</f>
        <v>2.0772413105602445</v>
      </c>
    </row>
    <row r="237" spans="1:6" x14ac:dyDescent="0.3">
      <c r="A237" s="1">
        <v>37.450000000000003</v>
      </c>
      <c r="B237" s="1">
        <v>3.1131000000000002</v>
      </c>
      <c r="C237" s="1">
        <f>Tabela18[[#This Row],[Alongamento (mm/mm)]]/$I$2</f>
        <v>6.2262000000000005E-2</v>
      </c>
      <c r="D237" s="1">
        <v>100.7</v>
      </c>
      <c r="E237" s="1">
        <f>Tabela18[[#This Row],[Força (N)]]/$I$5</f>
        <v>2091363.7269887687</v>
      </c>
      <c r="F237" s="1">
        <f>Tabela18[[#This Row],[Tensão (Pa)]]/1000000</f>
        <v>2.0913637269887686</v>
      </c>
    </row>
    <row r="238" spans="1:6" x14ac:dyDescent="0.3">
      <c r="A238" s="1">
        <v>37.517000000000003</v>
      </c>
      <c r="B238" s="1">
        <v>3.1185999999999998</v>
      </c>
      <c r="C238" s="1">
        <f>Tabela18[[#This Row],[Alongamento (mm/mm)]]/$I$2</f>
        <v>6.2371999999999997E-2</v>
      </c>
      <c r="D238" s="1">
        <v>101.38</v>
      </c>
      <c r="E238" s="1">
        <f>Tabela18[[#This Row],[Força (N)]]/$I$5</f>
        <v>2105486.1434172923</v>
      </c>
      <c r="F238" s="1">
        <f>Tabela18[[#This Row],[Tensão (Pa)]]/1000000</f>
        <v>2.1054861434172922</v>
      </c>
    </row>
    <row r="239" spans="1:6" x14ac:dyDescent="0.3">
      <c r="A239" s="1">
        <v>37.582999999999998</v>
      </c>
      <c r="B239" s="1">
        <v>3.1240999999999999</v>
      </c>
      <c r="C239" s="1">
        <f>Tabela18[[#This Row],[Alongamento (mm/mm)]]/$I$2</f>
        <v>6.2481999999999996E-2</v>
      </c>
      <c r="D239" s="1">
        <v>102.06</v>
      </c>
      <c r="E239" s="1">
        <f>Tabela18[[#This Row],[Força (N)]]/$I$5</f>
        <v>2119608.5598458163</v>
      </c>
      <c r="F239" s="1">
        <f>Tabela18[[#This Row],[Tensão (Pa)]]/1000000</f>
        <v>2.1196085598458163</v>
      </c>
    </row>
    <row r="240" spans="1:6" x14ac:dyDescent="0.3">
      <c r="A240" s="1">
        <v>37.667000000000002</v>
      </c>
      <c r="B240" s="1">
        <v>3.1312000000000002</v>
      </c>
      <c r="C240" s="1">
        <f>Tabela18[[#This Row],[Alongamento (mm/mm)]]/$I$2</f>
        <v>6.2623999999999999E-2</v>
      </c>
      <c r="D240" s="1">
        <v>102.74</v>
      </c>
      <c r="E240" s="1">
        <f>Tabela18[[#This Row],[Força (N)]]/$I$5</f>
        <v>2133730.9762743404</v>
      </c>
      <c r="F240" s="1">
        <f>Tabela18[[#This Row],[Tensão (Pa)]]/1000000</f>
        <v>2.1337309762743404</v>
      </c>
    </row>
    <row r="241" spans="1:6" x14ac:dyDescent="0.3">
      <c r="A241" s="1">
        <v>37.732999999999997</v>
      </c>
      <c r="B241" s="1">
        <v>3.1368</v>
      </c>
      <c r="C241" s="1">
        <f>Tabela18[[#This Row],[Alongamento (mm/mm)]]/$I$2</f>
        <v>6.2736E-2</v>
      </c>
      <c r="D241" s="1">
        <v>103.42</v>
      </c>
      <c r="E241" s="1">
        <f>Tabela18[[#This Row],[Força (N)]]/$I$5</f>
        <v>2147853.3927028645</v>
      </c>
      <c r="F241" s="1">
        <f>Tabela18[[#This Row],[Tensão (Pa)]]/1000000</f>
        <v>2.1478533927028645</v>
      </c>
    </row>
    <row r="242" spans="1:6" x14ac:dyDescent="0.3">
      <c r="A242" s="1">
        <v>37.799999999999997</v>
      </c>
      <c r="B242" s="1">
        <v>3.1423000000000001</v>
      </c>
      <c r="C242" s="1">
        <f>Tabela18[[#This Row],[Alongamento (mm/mm)]]/$I$2</f>
        <v>6.2845999999999999E-2</v>
      </c>
      <c r="D242" s="1">
        <v>104.1</v>
      </c>
      <c r="E242" s="1">
        <f>Tabela18[[#This Row],[Força (N)]]/$I$5</f>
        <v>2161975.8091313881</v>
      </c>
      <c r="F242" s="1">
        <f>Tabela18[[#This Row],[Tensão (Pa)]]/1000000</f>
        <v>2.1619758091313881</v>
      </c>
    </row>
    <row r="243" spans="1:6" x14ac:dyDescent="0.3">
      <c r="A243" s="1">
        <v>37.866999999999997</v>
      </c>
      <c r="B243" s="1">
        <v>3.1478999999999999</v>
      </c>
      <c r="C243" s="1">
        <f>Tabela18[[#This Row],[Alongamento (mm/mm)]]/$I$2</f>
        <v>6.2958E-2</v>
      </c>
      <c r="D243" s="1">
        <v>104.78</v>
      </c>
      <c r="E243" s="1">
        <f>Tabela18[[#This Row],[Força (N)]]/$I$5</f>
        <v>2176098.2255599122</v>
      </c>
      <c r="F243" s="1">
        <f>Tabela18[[#This Row],[Tensão (Pa)]]/1000000</f>
        <v>2.1760982255599122</v>
      </c>
    </row>
    <row r="244" spans="1:6" x14ac:dyDescent="0.3">
      <c r="A244" s="1">
        <v>37.933</v>
      </c>
      <c r="B244" s="1">
        <v>3.1535000000000002</v>
      </c>
      <c r="C244" s="1">
        <f>Tabela18[[#This Row],[Alongamento (mm/mm)]]/$I$2</f>
        <v>6.3070000000000001E-2</v>
      </c>
      <c r="D244" s="1">
        <v>105.46</v>
      </c>
      <c r="E244" s="1">
        <f>Tabela18[[#This Row],[Força (N)]]/$I$5</f>
        <v>2190220.6419884362</v>
      </c>
      <c r="F244" s="1">
        <f>Tabela18[[#This Row],[Tensão (Pa)]]/1000000</f>
        <v>2.1902206419884362</v>
      </c>
    </row>
    <row r="245" spans="1:6" x14ac:dyDescent="0.3">
      <c r="A245" s="1">
        <v>38</v>
      </c>
      <c r="B245" s="1">
        <v>3.1589</v>
      </c>
      <c r="C245" s="1">
        <f>Tabela18[[#This Row],[Alongamento (mm/mm)]]/$I$2</f>
        <v>6.3177999999999998E-2</v>
      </c>
      <c r="D245" s="1">
        <v>106.14</v>
      </c>
      <c r="E245" s="1">
        <f>Tabela18[[#This Row],[Força (N)]]/$I$5</f>
        <v>2204343.0584169603</v>
      </c>
      <c r="F245" s="1">
        <f>Tabela18[[#This Row],[Tensão (Pa)]]/1000000</f>
        <v>2.2043430584169603</v>
      </c>
    </row>
    <row r="246" spans="1:6" x14ac:dyDescent="0.3">
      <c r="A246" s="1">
        <v>38.082999999999998</v>
      </c>
      <c r="B246" s="1">
        <v>3.1657999999999999</v>
      </c>
      <c r="C246" s="1">
        <f>Tabela18[[#This Row],[Alongamento (mm/mm)]]/$I$2</f>
        <v>6.3315999999999997E-2</v>
      </c>
      <c r="D246" s="1">
        <v>106.82</v>
      </c>
      <c r="E246" s="1">
        <f>Tabela18[[#This Row],[Força (N)]]/$I$5</f>
        <v>2218465.4748454839</v>
      </c>
      <c r="F246" s="1">
        <f>Tabela18[[#This Row],[Tensão (Pa)]]/1000000</f>
        <v>2.218465474845484</v>
      </c>
    </row>
    <row r="247" spans="1:6" x14ac:dyDescent="0.3">
      <c r="A247" s="1">
        <v>38.15</v>
      </c>
      <c r="B247" s="1">
        <v>3.1714000000000002</v>
      </c>
      <c r="C247" s="1">
        <f>Tabela18[[#This Row],[Alongamento (mm/mm)]]/$I$2</f>
        <v>6.3427999999999998E-2</v>
      </c>
      <c r="D247" s="1">
        <v>107.5</v>
      </c>
      <c r="E247" s="1">
        <f>Tabela18[[#This Row],[Força (N)]]/$I$5</f>
        <v>2232587.891274008</v>
      </c>
      <c r="F247" s="1">
        <f>Tabela18[[#This Row],[Tensão (Pa)]]/1000000</f>
        <v>2.232587891274008</v>
      </c>
    </row>
    <row r="248" spans="1:6" x14ac:dyDescent="0.3">
      <c r="A248" s="1">
        <v>38.216999999999999</v>
      </c>
      <c r="B248" s="1">
        <v>3.177</v>
      </c>
      <c r="C248" s="1">
        <f>Tabela18[[#This Row],[Alongamento (mm/mm)]]/$I$2</f>
        <v>6.3539999999999999E-2</v>
      </c>
      <c r="D248" s="1">
        <v>108.18</v>
      </c>
      <c r="E248" s="1">
        <f>Tabela18[[#This Row],[Força (N)]]/$I$5</f>
        <v>2246710.307702532</v>
      </c>
      <c r="F248" s="1">
        <f>Tabela18[[#This Row],[Tensão (Pa)]]/1000000</f>
        <v>2.2467103077025321</v>
      </c>
    </row>
    <row r="249" spans="1:6" x14ac:dyDescent="0.3">
      <c r="A249" s="1">
        <v>38.267000000000003</v>
      </c>
      <c r="B249" s="1">
        <v>3.1812</v>
      </c>
      <c r="C249" s="1">
        <f>Tabela18[[#This Row],[Alongamento (mm/mm)]]/$I$2</f>
        <v>6.3624E-2</v>
      </c>
      <c r="D249" s="1">
        <v>108.86</v>
      </c>
      <c r="E249" s="1">
        <f>Tabela18[[#This Row],[Força (N)]]/$I$5</f>
        <v>2260832.7241310561</v>
      </c>
      <c r="F249" s="1">
        <f>Tabela18[[#This Row],[Tensão (Pa)]]/1000000</f>
        <v>2.2608327241310562</v>
      </c>
    </row>
    <row r="250" spans="1:6" x14ac:dyDescent="0.3">
      <c r="A250" s="1">
        <v>38.332999999999998</v>
      </c>
      <c r="B250" s="1">
        <v>3.1867999999999999</v>
      </c>
      <c r="C250" s="1">
        <f>Tabela18[[#This Row],[Alongamento (mm/mm)]]/$I$2</f>
        <v>6.3736000000000001E-2</v>
      </c>
      <c r="D250" s="1">
        <v>109.54</v>
      </c>
      <c r="E250" s="1">
        <f>Tabela18[[#This Row],[Força (N)]]/$I$5</f>
        <v>2274955.1405595802</v>
      </c>
      <c r="F250" s="1">
        <f>Tabela18[[#This Row],[Tensão (Pa)]]/1000000</f>
        <v>2.2749551405595803</v>
      </c>
    </row>
    <row r="251" spans="1:6" x14ac:dyDescent="0.3">
      <c r="A251" s="1">
        <v>38.4</v>
      </c>
      <c r="B251" s="1">
        <v>3.1922999999999999</v>
      </c>
      <c r="C251" s="1">
        <f>Tabela18[[#This Row],[Alongamento (mm/mm)]]/$I$2</f>
        <v>6.3846E-2</v>
      </c>
      <c r="D251" s="1">
        <v>110.22</v>
      </c>
      <c r="E251" s="1">
        <f>Tabela18[[#This Row],[Força (N)]]/$I$5</f>
        <v>2289077.5569881038</v>
      </c>
      <c r="F251" s="1">
        <f>Tabela18[[#This Row],[Tensão (Pa)]]/1000000</f>
        <v>2.2890775569881039</v>
      </c>
    </row>
    <row r="252" spans="1:6" x14ac:dyDescent="0.3">
      <c r="A252" s="1">
        <v>38.466999999999999</v>
      </c>
      <c r="B252" s="1">
        <v>3.1978</v>
      </c>
      <c r="C252" s="1">
        <f>Tabela18[[#This Row],[Alongamento (mm/mm)]]/$I$2</f>
        <v>6.3955999999999999E-2</v>
      </c>
      <c r="D252" s="1">
        <v>110.9</v>
      </c>
      <c r="E252" s="1">
        <f>Tabela18[[#This Row],[Força (N)]]/$I$5</f>
        <v>2303199.9734166279</v>
      </c>
      <c r="F252" s="1">
        <f>Tabela18[[#This Row],[Tensão (Pa)]]/1000000</f>
        <v>2.303199973416628</v>
      </c>
    </row>
    <row r="253" spans="1:6" x14ac:dyDescent="0.3">
      <c r="A253" s="1">
        <v>38.533000000000001</v>
      </c>
      <c r="B253" s="1">
        <v>3.2033</v>
      </c>
      <c r="C253" s="1">
        <f>Tabela18[[#This Row],[Alongamento (mm/mm)]]/$I$2</f>
        <v>6.4065999999999998E-2</v>
      </c>
      <c r="D253" s="1">
        <v>111.58</v>
      </c>
      <c r="E253" s="1">
        <f>Tabela18[[#This Row],[Força (N)]]/$I$5</f>
        <v>2317322.3898451519</v>
      </c>
      <c r="F253" s="1">
        <f>Tabela18[[#This Row],[Tensão (Pa)]]/1000000</f>
        <v>2.317322389845152</v>
      </c>
    </row>
    <row r="254" spans="1:6" x14ac:dyDescent="0.3">
      <c r="A254" s="1">
        <v>38.6</v>
      </c>
      <c r="B254" s="1">
        <v>3.2088999999999999</v>
      </c>
      <c r="C254" s="1">
        <f>Tabela18[[#This Row],[Alongamento (mm/mm)]]/$I$2</f>
        <v>6.4177999999999999E-2</v>
      </c>
      <c r="D254" s="1">
        <v>112.44</v>
      </c>
      <c r="E254" s="1">
        <f>Tabela18[[#This Row],[Força (N)]]/$I$5</f>
        <v>2335183.092975344</v>
      </c>
      <c r="F254" s="1">
        <f>Tabela18[[#This Row],[Tensão (Pa)]]/1000000</f>
        <v>2.3351830929753441</v>
      </c>
    </row>
    <row r="255" spans="1:6" x14ac:dyDescent="0.3">
      <c r="A255" s="1">
        <v>38.667000000000002</v>
      </c>
      <c r="B255" s="1">
        <v>3.2145000000000001</v>
      </c>
      <c r="C255" s="1">
        <f>Tabela18[[#This Row],[Alongamento (mm/mm)]]/$I$2</f>
        <v>6.429E-2</v>
      </c>
      <c r="D255" s="1">
        <v>113.12</v>
      </c>
      <c r="E255" s="1">
        <f>Tabela18[[#This Row],[Força (N)]]/$I$5</f>
        <v>2349305.5094038681</v>
      </c>
      <c r="F255" s="1">
        <f>Tabela18[[#This Row],[Tensão (Pa)]]/1000000</f>
        <v>2.3493055094038682</v>
      </c>
    </row>
    <row r="256" spans="1:6" x14ac:dyDescent="0.3">
      <c r="A256" s="1">
        <v>38.732999999999997</v>
      </c>
      <c r="B256" s="1">
        <v>3.2201</v>
      </c>
      <c r="C256" s="1">
        <f>Tabela18[[#This Row],[Alongamento (mm/mm)]]/$I$2</f>
        <v>6.4402000000000001E-2</v>
      </c>
      <c r="D256" s="1">
        <v>113.97</v>
      </c>
      <c r="E256" s="1">
        <f>Tabela18[[#This Row],[Força (N)]]/$I$5</f>
        <v>2366958.529939523</v>
      </c>
      <c r="F256" s="1">
        <f>Tabela18[[#This Row],[Tensão (Pa)]]/1000000</f>
        <v>2.3669585299395228</v>
      </c>
    </row>
    <row r="257" spans="1:6" x14ac:dyDescent="0.3">
      <c r="A257" s="1">
        <v>38.799999999999997</v>
      </c>
      <c r="B257" s="1">
        <v>3.2256</v>
      </c>
      <c r="C257" s="1">
        <f>Tabela18[[#This Row],[Alongamento (mm/mm)]]/$I$2</f>
        <v>6.4512E-2</v>
      </c>
      <c r="D257" s="1">
        <v>114.65</v>
      </c>
      <c r="E257" s="1">
        <f>Tabela18[[#This Row],[Força (N)]]/$I$5</f>
        <v>2381080.946368047</v>
      </c>
      <c r="F257" s="1">
        <f>Tabela18[[#This Row],[Tensão (Pa)]]/1000000</f>
        <v>2.3810809463680469</v>
      </c>
    </row>
    <row r="258" spans="1:6" x14ac:dyDescent="0.3">
      <c r="A258" s="1">
        <v>38.866999999999997</v>
      </c>
      <c r="B258" s="1">
        <v>3.2311999999999999</v>
      </c>
      <c r="C258" s="1">
        <f>Tabela18[[#This Row],[Alongamento (mm/mm)]]/$I$2</f>
        <v>6.4624000000000001E-2</v>
      </c>
      <c r="D258" s="1">
        <v>115.33</v>
      </c>
      <c r="E258" s="1">
        <f>Tabela18[[#This Row],[Força (N)]]/$I$5</f>
        <v>2395203.3627965706</v>
      </c>
      <c r="F258" s="1">
        <f>Tabela18[[#This Row],[Tensão (Pa)]]/1000000</f>
        <v>2.3952033627965705</v>
      </c>
    </row>
    <row r="259" spans="1:6" x14ac:dyDescent="0.3">
      <c r="A259" s="1">
        <v>38.917000000000002</v>
      </c>
      <c r="B259" s="1">
        <v>3.2353000000000001</v>
      </c>
      <c r="C259" s="1">
        <f>Tabela18[[#This Row],[Alongamento (mm/mm)]]/$I$2</f>
        <v>6.4706E-2</v>
      </c>
      <c r="D259" s="1">
        <v>116.01</v>
      </c>
      <c r="E259" s="1">
        <f>Tabela18[[#This Row],[Força (N)]]/$I$5</f>
        <v>2409325.7792250947</v>
      </c>
      <c r="F259" s="1">
        <f>Tabela18[[#This Row],[Tensão (Pa)]]/1000000</f>
        <v>2.4093257792250946</v>
      </c>
    </row>
    <row r="260" spans="1:6" x14ac:dyDescent="0.3">
      <c r="A260" s="1">
        <v>38.982999999999997</v>
      </c>
      <c r="B260" s="1">
        <v>3.2408999999999999</v>
      </c>
      <c r="C260" s="1">
        <f>Tabela18[[#This Row],[Alongamento (mm/mm)]]/$I$2</f>
        <v>6.4818000000000001E-2</v>
      </c>
      <c r="D260" s="1">
        <v>116.69</v>
      </c>
      <c r="E260" s="1">
        <f>Tabela18[[#This Row],[Força (N)]]/$I$5</f>
        <v>2423448.1956536188</v>
      </c>
      <c r="F260" s="1">
        <f>Tabela18[[#This Row],[Tensão (Pa)]]/1000000</f>
        <v>2.4234481956536187</v>
      </c>
    </row>
    <row r="261" spans="1:6" x14ac:dyDescent="0.3">
      <c r="A261" s="1">
        <v>39.033000000000001</v>
      </c>
      <c r="B261" s="1">
        <v>3.2450000000000001</v>
      </c>
      <c r="C261" s="1">
        <f>Tabela18[[#This Row],[Alongamento (mm/mm)]]/$I$2</f>
        <v>6.4899999999999999E-2</v>
      </c>
      <c r="D261" s="1">
        <v>117.37</v>
      </c>
      <c r="E261" s="1">
        <f>Tabela18[[#This Row],[Força (N)]]/$I$5</f>
        <v>2437570.6120821428</v>
      </c>
      <c r="F261" s="1">
        <f>Tabela18[[#This Row],[Tensão (Pa)]]/1000000</f>
        <v>2.4375706120821428</v>
      </c>
    </row>
    <row r="262" spans="1:6" x14ac:dyDescent="0.3">
      <c r="A262" s="1">
        <v>39.1</v>
      </c>
      <c r="B262" s="1">
        <v>3.2505999999999999</v>
      </c>
      <c r="C262" s="1">
        <f>Tabela18[[#This Row],[Alongamento (mm/mm)]]/$I$2</f>
        <v>6.5012E-2</v>
      </c>
      <c r="D262" s="1">
        <v>118.05</v>
      </c>
      <c r="E262" s="1">
        <f>Tabela18[[#This Row],[Força (N)]]/$I$5</f>
        <v>2451693.0285106665</v>
      </c>
      <c r="F262" s="1">
        <f>Tabela18[[#This Row],[Tensão (Pa)]]/1000000</f>
        <v>2.4516930285106664</v>
      </c>
    </row>
    <row r="263" spans="1:6" x14ac:dyDescent="0.3">
      <c r="A263" s="1">
        <v>39.15</v>
      </c>
      <c r="B263" s="1">
        <v>3.2547999999999999</v>
      </c>
      <c r="C263" s="1">
        <f>Tabela18[[#This Row],[Alongamento (mm/mm)]]/$I$2</f>
        <v>6.5096000000000001E-2</v>
      </c>
      <c r="D263" s="1">
        <v>118.73</v>
      </c>
      <c r="E263" s="1">
        <f>Tabela18[[#This Row],[Força (N)]]/$I$5</f>
        <v>2465815.4449391905</v>
      </c>
      <c r="F263" s="1">
        <f>Tabela18[[#This Row],[Tensão (Pa)]]/1000000</f>
        <v>2.4658154449391905</v>
      </c>
    </row>
    <row r="264" spans="1:6" x14ac:dyDescent="0.3">
      <c r="A264" s="1">
        <v>39.216999999999999</v>
      </c>
      <c r="B264" s="1">
        <v>3.2604000000000002</v>
      </c>
      <c r="C264" s="1">
        <f>Tabela18[[#This Row],[Alongamento (mm/mm)]]/$I$2</f>
        <v>6.5208000000000002E-2</v>
      </c>
      <c r="D264" s="1">
        <v>119.41</v>
      </c>
      <c r="E264" s="1">
        <f>Tabela18[[#This Row],[Força (N)]]/$I$5</f>
        <v>2479937.8613677146</v>
      </c>
      <c r="F264" s="1">
        <f>Tabela18[[#This Row],[Tensão (Pa)]]/1000000</f>
        <v>2.4799378613677145</v>
      </c>
    </row>
    <row r="265" spans="1:6" x14ac:dyDescent="0.3">
      <c r="A265" s="1">
        <v>39.283000000000001</v>
      </c>
      <c r="B265" s="1">
        <v>3.2658999999999998</v>
      </c>
      <c r="C265" s="1">
        <f>Tabela18[[#This Row],[Alongamento (mm/mm)]]/$I$2</f>
        <v>6.5318000000000001E-2</v>
      </c>
      <c r="D265" s="1">
        <v>120.09</v>
      </c>
      <c r="E265" s="1">
        <f>Tabela18[[#This Row],[Força (N)]]/$I$5</f>
        <v>2494060.2777962387</v>
      </c>
      <c r="F265" s="1">
        <f>Tabela18[[#This Row],[Tensão (Pa)]]/1000000</f>
        <v>2.4940602777962386</v>
      </c>
    </row>
    <row r="266" spans="1:6" x14ac:dyDescent="0.3">
      <c r="A266" s="1">
        <v>39.332999999999998</v>
      </c>
      <c r="B266" s="1">
        <v>3.2700999999999998</v>
      </c>
      <c r="C266" s="1">
        <f>Tabela18[[#This Row],[Alongamento (mm/mm)]]/$I$2</f>
        <v>6.5402000000000002E-2</v>
      </c>
      <c r="D266" s="1">
        <v>120.77</v>
      </c>
      <c r="E266" s="1">
        <f>Tabela18[[#This Row],[Força (N)]]/$I$5</f>
        <v>2508182.6942247623</v>
      </c>
      <c r="F266" s="1">
        <f>Tabela18[[#This Row],[Tensão (Pa)]]/1000000</f>
        <v>2.5081826942247623</v>
      </c>
    </row>
    <row r="267" spans="1:6" x14ac:dyDescent="0.3">
      <c r="A267" s="1">
        <v>39.4</v>
      </c>
      <c r="B267" s="1">
        <v>3.2755999999999998</v>
      </c>
      <c r="C267" s="1">
        <f>Tabela18[[#This Row],[Alongamento (mm/mm)]]/$I$2</f>
        <v>6.5512000000000001E-2</v>
      </c>
      <c r="D267" s="1">
        <v>121.45</v>
      </c>
      <c r="E267" s="1">
        <f>Tabela18[[#This Row],[Força (N)]]/$I$5</f>
        <v>2522305.1106532863</v>
      </c>
      <c r="F267" s="1">
        <f>Tabela18[[#This Row],[Tensão (Pa)]]/1000000</f>
        <v>2.5223051106532863</v>
      </c>
    </row>
    <row r="268" spans="1:6" x14ac:dyDescent="0.3">
      <c r="A268" s="1">
        <v>39.450000000000003</v>
      </c>
      <c r="B268" s="1">
        <v>3.2797000000000001</v>
      </c>
      <c r="C268" s="1">
        <f>Tabela18[[#This Row],[Alongamento (mm/mm)]]/$I$2</f>
        <v>6.5594E-2</v>
      </c>
      <c r="D268" s="1">
        <v>122.13</v>
      </c>
      <c r="E268" s="1">
        <f>Tabela18[[#This Row],[Força (N)]]/$I$5</f>
        <v>2536427.5270818104</v>
      </c>
      <c r="F268" s="1">
        <f>Tabela18[[#This Row],[Tensão (Pa)]]/1000000</f>
        <v>2.5364275270818104</v>
      </c>
    </row>
    <row r="269" spans="1:6" x14ac:dyDescent="0.3">
      <c r="A269" s="1">
        <v>39.517000000000003</v>
      </c>
      <c r="B269" s="1">
        <v>3.2852999999999999</v>
      </c>
      <c r="C269" s="1">
        <f>Tabela18[[#This Row],[Alongamento (mm/mm)]]/$I$2</f>
        <v>6.5706000000000001E-2</v>
      </c>
      <c r="D269" s="1">
        <v>122.81</v>
      </c>
      <c r="E269" s="1">
        <f>Tabela18[[#This Row],[Força (N)]]/$I$5</f>
        <v>2550549.9435103345</v>
      </c>
      <c r="F269" s="1">
        <f>Tabela18[[#This Row],[Tensão (Pa)]]/1000000</f>
        <v>2.5505499435103345</v>
      </c>
    </row>
    <row r="270" spans="1:6" x14ac:dyDescent="0.3">
      <c r="A270" s="1">
        <v>39.567</v>
      </c>
      <c r="B270" s="1">
        <v>3.2894000000000001</v>
      </c>
      <c r="C270" s="1">
        <f>Tabela18[[#This Row],[Alongamento (mm/mm)]]/$I$2</f>
        <v>6.5787999999999999E-2</v>
      </c>
      <c r="D270" s="1">
        <v>123.49</v>
      </c>
      <c r="E270" s="1">
        <f>Tabela18[[#This Row],[Força (N)]]/$I$5</f>
        <v>2564672.3599388581</v>
      </c>
      <c r="F270" s="1">
        <f>Tabela18[[#This Row],[Tensão (Pa)]]/1000000</f>
        <v>2.5646723599388581</v>
      </c>
    </row>
    <row r="271" spans="1:6" x14ac:dyDescent="0.3">
      <c r="A271" s="1">
        <v>39.616999999999997</v>
      </c>
      <c r="B271" s="1">
        <v>3.2936000000000001</v>
      </c>
      <c r="C271" s="1">
        <f>Tabela18[[#This Row],[Alongamento (mm/mm)]]/$I$2</f>
        <v>6.5872E-2</v>
      </c>
      <c r="D271" s="1">
        <v>124.17</v>
      </c>
      <c r="E271" s="1">
        <f>Tabela18[[#This Row],[Força (N)]]/$I$5</f>
        <v>2578794.7763673821</v>
      </c>
      <c r="F271" s="1">
        <f>Tabela18[[#This Row],[Tensão (Pa)]]/1000000</f>
        <v>2.5787947763673822</v>
      </c>
    </row>
    <row r="272" spans="1:6" x14ac:dyDescent="0.3">
      <c r="A272" s="1">
        <v>39.683</v>
      </c>
      <c r="B272" s="1">
        <v>3.2991999999999999</v>
      </c>
      <c r="C272" s="1">
        <f>Tabela18[[#This Row],[Alongamento (mm/mm)]]/$I$2</f>
        <v>6.5984000000000001E-2</v>
      </c>
      <c r="D272" s="1">
        <v>125.02</v>
      </c>
      <c r="E272" s="1">
        <f>Tabela18[[#This Row],[Força (N)]]/$I$5</f>
        <v>2596447.796903037</v>
      </c>
      <c r="F272" s="1">
        <f>Tabela18[[#This Row],[Tensão (Pa)]]/1000000</f>
        <v>2.5964477969030368</v>
      </c>
    </row>
    <row r="273" spans="1:6" x14ac:dyDescent="0.3">
      <c r="A273" s="1">
        <v>39.75</v>
      </c>
      <c r="B273" s="1">
        <v>3.3047</v>
      </c>
      <c r="C273" s="1">
        <f>Tabela18[[#This Row],[Alongamento (mm/mm)]]/$I$2</f>
        <v>6.6094E-2</v>
      </c>
      <c r="D273" s="1">
        <v>125.7</v>
      </c>
      <c r="E273" s="1">
        <f>Tabela18[[#This Row],[Força (N)]]/$I$5</f>
        <v>2610570.2133315611</v>
      </c>
      <c r="F273" s="1">
        <f>Tabela18[[#This Row],[Tensão (Pa)]]/1000000</f>
        <v>2.6105702133315609</v>
      </c>
    </row>
    <row r="274" spans="1:6" x14ac:dyDescent="0.3">
      <c r="A274" s="1">
        <v>39.799999999999997</v>
      </c>
      <c r="B274" s="1">
        <v>3.3089</v>
      </c>
      <c r="C274" s="1">
        <f>Tabela18[[#This Row],[Alongamento (mm/mm)]]/$I$2</f>
        <v>6.6178000000000001E-2</v>
      </c>
      <c r="D274" s="1">
        <v>126.38</v>
      </c>
      <c r="E274" s="1">
        <f>Tabela18[[#This Row],[Força (N)]]/$I$5</f>
        <v>2624692.6297600851</v>
      </c>
      <c r="F274" s="1">
        <f>Tabela18[[#This Row],[Tensão (Pa)]]/1000000</f>
        <v>2.624692629760085</v>
      </c>
    </row>
    <row r="275" spans="1:6" x14ac:dyDescent="0.3">
      <c r="A275" s="1">
        <v>39.85</v>
      </c>
      <c r="B275" s="1">
        <v>3.3130999999999999</v>
      </c>
      <c r="C275" s="1">
        <f>Tabela18[[#This Row],[Alongamento (mm/mm)]]/$I$2</f>
        <v>6.6262000000000001E-2</v>
      </c>
      <c r="D275" s="1">
        <v>127.06</v>
      </c>
      <c r="E275" s="1">
        <f>Tabela18[[#This Row],[Força (N)]]/$I$5</f>
        <v>2638815.0461886092</v>
      </c>
      <c r="F275" s="1">
        <f>Tabela18[[#This Row],[Tensão (Pa)]]/1000000</f>
        <v>2.6388150461886091</v>
      </c>
    </row>
    <row r="276" spans="1:6" x14ac:dyDescent="0.3">
      <c r="A276" s="1">
        <v>39.9</v>
      </c>
      <c r="B276" s="1">
        <v>3.3172999999999999</v>
      </c>
      <c r="C276" s="1">
        <f>Tabela18[[#This Row],[Alongamento (mm/mm)]]/$I$2</f>
        <v>6.6346000000000002E-2</v>
      </c>
      <c r="D276" s="1">
        <v>127.74</v>
      </c>
      <c r="E276" s="1">
        <f>Tabela18[[#This Row],[Força (N)]]/$I$5</f>
        <v>2652937.4626171328</v>
      </c>
      <c r="F276" s="1">
        <f>Tabela18[[#This Row],[Tensão (Pa)]]/1000000</f>
        <v>2.6529374626171327</v>
      </c>
    </row>
    <row r="277" spans="1:6" x14ac:dyDescent="0.3">
      <c r="A277" s="1">
        <v>39.966999999999999</v>
      </c>
      <c r="B277" s="1">
        <v>3.3229000000000002</v>
      </c>
      <c r="C277" s="1">
        <f>Tabela18[[#This Row],[Alongamento (mm/mm)]]/$I$2</f>
        <v>6.6458000000000003E-2</v>
      </c>
      <c r="D277" s="1">
        <v>128.59</v>
      </c>
      <c r="E277" s="1">
        <f>Tabela18[[#This Row],[Força (N)]]/$I$5</f>
        <v>2670590.4831527881</v>
      </c>
      <c r="F277" s="1">
        <f>Tabela18[[#This Row],[Tensão (Pa)]]/1000000</f>
        <v>2.6705904831527882</v>
      </c>
    </row>
    <row r="278" spans="1:6" x14ac:dyDescent="0.3">
      <c r="A278" s="1">
        <v>40.033000000000001</v>
      </c>
      <c r="B278" s="1">
        <v>3.3283999999999998</v>
      </c>
      <c r="C278" s="1">
        <f>Tabela18[[#This Row],[Alongamento (mm/mm)]]/$I$2</f>
        <v>6.6568000000000002E-2</v>
      </c>
      <c r="D278" s="1">
        <v>129.28</v>
      </c>
      <c r="E278" s="1">
        <f>Tabela18[[#This Row],[Força (N)]]/$I$5</f>
        <v>2684920.582175849</v>
      </c>
      <c r="F278" s="1">
        <f>Tabela18[[#This Row],[Tensão (Pa)]]/1000000</f>
        <v>2.6849205821758488</v>
      </c>
    </row>
    <row r="279" spans="1:6" x14ac:dyDescent="0.3">
      <c r="A279" s="1">
        <v>40.082999999999998</v>
      </c>
      <c r="B279" s="1">
        <v>3.3325999999999998</v>
      </c>
      <c r="C279" s="1">
        <f>Tabela18[[#This Row],[Alongamento (mm/mm)]]/$I$2</f>
        <v>6.6651999999999989E-2</v>
      </c>
      <c r="D279" s="1">
        <v>129.96</v>
      </c>
      <c r="E279" s="1">
        <f>Tabela18[[#This Row],[Força (N)]]/$I$5</f>
        <v>2699042.9986043731</v>
      </c>
      <c r="F279" s="1">
        <f>Tabela18[[#This Row],[Tensão (Pa)]]/1000000</f>
        <v>2.6990429986043729</v>
      </c>
    </row>
    <row r="280" spans="1:6" x14ac:dyDescent="0.3">
      <c r="A280" s="1">
        <v>40.133000000000003</v>
      </c>
      <c r="B280" s="1">
        <v>3.3367</v>
      </c>
      <c r="C280" s="1">
        <f>Tabela18[[#This Row],[Alongamento (mm/mm)]]/$I$2</f>
        <v>6.6734000000000002E-2</v>
      </c>
      <c r="D280" s="1">
        <v>130.63999999999999</v>
      </c>
      <c r="E280" s="1">
        <f>Tabela18[[#This Row],[Força (N)]]/$I$5</f>
        <v>2713165.4150328967</v>
      </c>
      <c r="F280" s="1">
        <f>Tabela18[[#This Row],[Tensão (Pa)]]/1000000</f>
        <v>2.7131654150328965</v>
      </c>
    </row>
    <row r="281" spans="1:6" x14ac:dyDescent="0.3">
      <c r="A281" s="1">
        <v>40.216999999999999</v>
      </c>
      <c r="B281" s="1">
        <v>3.3437000000000001</v>
      </c>
      <c r="C281" s="1">
        <f>Tabela18[[#This Row],[Alongamento (mm/mm)]]/$I$2</f>
        <v>6.6874000000000003E-2</v>
      </c>
      <c r="D281" s="1">
        <v>131.83000000000001</v>
      </c>
      <c r="E281" s="1">
        <f>Tabela18[[#This Row],[Força (N)]]/$I$5</f>
        <v>2737879.643782814</v>
      </c>
      <c r="F281" s="1">
        <f>Tabela18[[#This Row],[Tensão (Pa)]]/1000000</f>
        <v>2.7378796437828141</v>
      </c>
    </row>
    <row r="282" spans="1:6" x14ac:dyDescent="0.3">
      <c r="A282" s="1">
        <v>40.299999999999997</v>
      </c>
      <c r="B282" s="1">
        <v>3.3506</v>
      </c>
      <c r="C282" s="1">
        <f>Tabela18[[#This Row],[Alongamento (mm/mm)]]/$I$2</f>
        <v>6.7012000000000002E-2</v>
      </c>
      <c r="D282" s="1">
        <v>132.85</v>
      </c>
      <c r="E282" s="1">
        <f>Tabela18[[#This Row],[Força (N)]]/$I$5</f>
        <v>2759063.2684255997</v>
      </c>
      <c r="F282" s="1">
        <f>Tabela18[[#This Row],[Tensão (Pa)]]/1000000</f>
        <v>2.7590632684255998</v>
      </c>
    </row>
    <row r="283" spans="1:6" x14ac:dyDescent="0.3">
      <c r="A283" s="1">
        <v>40.383000000000003</v>
      </c>
      <c r="B283" s="1">
        <v>3.3574999999999999</v>
      </c>
      <c r="C283" s="1">
        <f>Tabela18[[#This Row],[Alongamento (mm/mm)]]/$I$2</f>
        <v>6.7150000000000001E-2</v>
      </c>
      <c r="D283" s="1">
        <v>134.04</v>
      </c>
      <c r="E283" s="1">
        <f>Tabela18[[#This Row],[Força (N)]]/$I$5</f>
        <v>2783777.4971755166</v>
      </c>
      <c r="F283" s="1">
        <f>Tabela18[[#This Row],[Tensão (Pa)]]/1000000</f>
        <v>2.7837774971755165</v>
      </c>
    </row>
    <row r="284" spans="1:6" x14ac:dyDescent="0.3">
      <c r="A284" s="1">
        <v>40.466999999999999</v>
      </c>
      <c r="B284" s="1">
        <v>3.3645</v>
      </c>
      <c r="C284" s="1">
        <f>Tabela18[[#This Row],[Alongamento (mm/mm)]]/$I$2</f>
        <v>6.7290000000000003E-2</v>
      </c>
      <c r="D284" s="1">
        <v>135.06</v>
      </c>
      <c r="E284" s="1">
        <f>Tabela18[[#This Row],[Força (N)]]/$I$5</f>
        <v>2804961.1218183027</v>
      </c>
      <c r="F284" s="1">
        <f>Tabela18[[#This Row],[Tensão (Pa)]]/1000000</f>
        <v>2.8049611218183026</v>
      </c>
    </row>
    <row r="285" spans="1:6" x14ac:dyDescent="0.3">
      <c r="A285" s="1">
        <v>40.533000000000001</v>
      </c>
      <c r="B285" s="1">
        <v>3.3700999999999999</v>
      </c>
      <c r="C285" s="1">
        <f>Tabela18[[#This Row],[Alongamento (mm/mm)]]/$I$2</f>
        <v>6.7402000000000004E-2</v>
      </c>
      <c r="D285" s="1">
        <v>136.08000000000001</v>
      </c>
      <c r="E285" s="1">
        <f>Tabela18[[#This Row],[Força (N)]]/$I$5</f>
        <v>2826144.7464610888</v>
      </c>
      <c r="F285" s="1">
        <f>Tabela18[[#This Row],[Tensão (Pa)]]/1000000</f>
        <v>2.8261447464610887</v>
      </c>
    </row>
    <row r="286" spans="1:6" x14ac:dyDescent="0.3">
      <c r="A286" s="1">
        <v>40.616999999999997</v>
      </c>
      <c r="B286" s="1">
        <v>3.3769999999999998</v>
      </c>
      <c r="C286" s="1">
        <f>Tabela18[[#This Row],[Alongamento (mm/mm)]]/$I$2</f>
        <v>6.7539999999999989E-2</v>
      </c>
      <c r="D286" s="1">
        <v>137.27000000000001</v>
      </c>
      <c r="E286" s="1">
        <f>Tabela18[[#This Row],[Força (N)]]/$I$5</f>
        <v>2850858.9752110057</v>
      </c>
      <c r="F286" s="1">
        <f>Tabela18[[#This Row],[Tensão (Pa)]]/1000000</f>
        <v>2.8508589752110058</v>
      </c>
    </row>
    <row r="287" spans="1:6" x14ac:dyDescent="0.3">
      <c r="A287" s="1">
        <v>40.700000000000003</v>
      </c>
      <c r="B287" s="1">
        <v>3.3839999999999999</v>
      </c>
      <c r="C287" s="1">
        <f>Tabela18[[#This Row],[Alongamento (mm/mm)]]/$I$2</f>
        <v>6.7680000000000004E-2</v>
      </c>
      <c r="D287" s="1">
        <v>138.46</v>
      </c>
      <c r="E287" s="1">
        <f>Tabela18[[#This Row],[Força (N)]]/$I$5</f>
        <v>2875573.2039609225</v>
      </c>
      <c r="F287" s="1">
        <f>Tabela18[[#This Row],[Tensão (Pa)]]/1000000</f>
        <v>2.8755732039609225</v>
      </c>
    </row>
    <row r="288" spans="1:6" x14ac:dyDescent="0.3">
      <c r="A288" s="1">
        <v>40.783000000000001</v>
      </c>
      <c r="B288" s="1">
        <v>3.3908</v>
      </c>
      <c r="C288" s="1">
        <f>Tabela18[[#This Row],[Alongamento (mm/mm)]]/$I$2</f>
        <v>6.7816000000000001E-2</v>
      </c>
      <c r="D288" s="1">
        <v>139.47999999999999</v>
      </c>
      <c r="E288" s="1">
        <f>Tabela18[[#This Row],[Força (N)]]/$I$5</f>
        <v>2896756.8286037082</v>
      </c>
      <c r="F288" s="1">
        <f>Tabela18[[#This Row],[Tensão (Pa)]]/1000000</f>
        <v>2.8967568286037082</v>
      </c>
    </row>
    <row r="289" spans="1:6" x14ac:dyDescent="0.3">
      <c r="A289" s="1">
        <v>40.85</v>
      </c>
      <c r="B289" s="1">
        <v>3.3963999999999999</v>
      </c>
      <c r="C289" s="1">
        <f>Tabela18[[#This Row],[Alongamento (mm/mm)]]/$I$2</f>
        <v>6.7928000000000002E-2</v>
      </c>
      <c r="D289" s="1">
        <v>140.5</v>
      </c>
      <c r="E289" s="1">
        <f>Tabela18[[#This Row],[Força (N)]]/$I$5</f>
        <v>2917940.4532464943</v>
      </c>
      <c r="F289" s="1">
        <f>Tabela18[[#This Row],[Tensão (Pa)]]/1000000</f>
        <v>2.9179404532464943</v>
      </c>
    </row>
    <row r="290" spans="1:6" x14ac:dyDescent="0.3">
      <c r="A290" s="1">
        <v>40.933</v>
      </c>
      <c r="B290" s="1">
        <v>3.4033000000000002</v>
      </c>
      <c r="C290" s="1">
        <f>Tabela18[[#This Row],[Alongamento (mm/mm)]]/$I$2</f>
        <v>6.8066000000000002E-2</v>
      </c>
      <c r="D290" s="1">
        <v>141.69</v>
      </c>
      <c r="E290" s="1">
        <f>Tabela18[[#This Row],[Força (N)]]/$I$5</f>
        <v>2942654.6819964112</v>
      </c>
      <c r="F290" s="1">
        <f>Tabela18[[#This Row],[Tensão (Pa)]]/1000000</f>
        <v>2.942654681996411</v>
      </c>
    </row>
    <row r="291" spans="1:6" x14ac:dyDescent="0.3">
      <c r="A291" s="1">
        <v>41.017000000000003</v>
      </c>
      <c r="B291" s="1">
        <v>3.4104000000000001</v>
      </c>
      <c r="C291" s="1">
        <f>Tabela18[[#This Row],[Alongamento (mm/mm)]]/$I$2</f>
        <v>6.8208000000000005E-2</v>
      </c>
      <c r="D291" s="1">
        <v>142.71</v>
      </c>
      <c r="E291" s="1">
        <f>Tabela18[[#This Row],[Força (N)]]/$I$5</f>
        <v>2963838.3066391973</v>
      </c>
      <c r="F291" s="1">
        <f>Tabela18[[#This Row],[Tensão (Pa)]]/1000000</f>
        <v>2.9638383066391971</v>
      </c>
    </row>
    <row r="292" spans="1:6" x14ac:dyDescent="0.3">
      <c r="A292" s="1">
        <v>41.082999999999998</v>
      </c>
      <c r="B292" s="1">
        <v>3.4159999999999999</v>
      </c>
      <c r="C292" s="1">
        <f>Tabela18[[#This Row],[Alongamento (mm/mm)]]/$I$2</f>
        <v>6.8319999999999992E-2</v>
      </c>
      <c r="D292" s="1">
        <v>143.72999999999999</v>
      </c>
      <c r="E292" s="1">
        <f>Tabela18[[#This Row],[Força (N)]]/$I$5</f>
        <v>2985021.9312819829</v>
      </c>
      <c r="F292" s="1">
        <f>Tabela18[[#This Row],[Tensão (Pa)]]/1000000</f>
        <v>2.9850219312819828</v>
      </c>
    </row>
    <row r="293" spans="1:6" x14ac:dyDescent="0.3">
      <c r="A293" s="1">
        <v>41.15</v>
      </c>
      <c r="B293" s="1">
        <v>3.4215</v>
      </c>
      <c r="C293" s="1">
        <f>Tabela18[[#This Row],[Alongamento (mm/mm)]]/$I$2</f>
        <v>6.8430000000000005E-2</v>
      </c>
      <c r="D293" s="1">
        <v>144.75</v>
      </c>
      <c r="E293" s="1">
        <f>Tabela18[[#This Row],[Força (N)]]/$I$5</f>
        <v>3006205.555924769</v>
      </c>
      <c r="F293" s="1">
        <f>Tabela18[[#This Row],[Tensão (Pa)]]/1000000</f>
        <v>3.0062055559247689</v>
      </c>
    </row>
    <row r="294" spans="1:6" x14ac:dyDescent="0.3">
      <c r="A294" s="1">
        <v>41.232999999999997</v>
      </c>
      <c r="B294" s="1">
        <v>3.4283000000000001</v>
      </c>
      <c r="C294" s="1">
        <f>Tabela18[[#This Row],[Alongamento (mm/mm)]]/$I$2</f>
        <v>6.8566000000000002E-2</v>
      </c>
      <c r="D294" s="1">
        <v>145.77000000000001</v>
      </c>
      <c r="E294" s="1">
        <f>Tabela18[[#This Row],[Força (N)]]/$I$5</f>
        <v>3027389.1805675551</v>
      </c>
      <c r="F294" s="1">
        <f>Tabela18[[#This Row],[Tensão (Pa)]]/1000000</f>
        <v>3.027389180567555</v>
      </c>
    </row>
    <row r="295" spans="1:6" x14ac:dyDescent="0.3">
      <c r="A295" s="1">
        <v>41.3</v>
      </c>
      <c r="B295" s="1">
        <v>3.4339</v>
      </c>
      <c r="C295" s="1">
        <f>Tabela18[[#This Row],[Alongamento (mm/mm)]]/$I$2</f>
        <v>6.8678000000000003E-2</v>
      </c>
      <c r="D295" s="1">
        <v>146.80000000000001</v>
      </c>
      <c r="E295" s="1">
        <f>Tabela18[[#This Row],[Força (N)]]/$I$5</f>
        <v>3048780.4878048785</v>
      </c>
      <c r="F295" s="1">
        <f>Tabela18[[#This Row],[Tensão (Pa)]]/1000000</f>
        <v>3.0487804878048785</v>
      </c>
    </row>
    <row r="296" spans="1:6" x14ac:dyDescent="0.3">
      <c r="A296" s="1">
        <v>41.366999999999997</v>
      </c>
      <c r="B296" s="1">
        <v>3.4394999999999998</v>
      </c>
      <c r="C296" s="1">
        <f>Tabela18[[#This Row],[Alongamento (mm/mm)]]/$I$2</f>
        <v>6.878999999999999E-2</v>
      </c>
      <c r="D296" s="1">
        <v>147.82</v>
      </c>
      <c r="E296" s="1">
        <f>Tabela18[[#This Row],[Força (N)]]/$I$5</f>
        <v>3069964.1124476641</v>
      </c>
      <c r="F296" s="1">
        <f>Tabela18[[#This Row],[Tensão (Pa)]]/1000000</f>
        <v>3.0699641124476642</v>
      </c>
    </row>
    <row r="297" spans="1:6" x14ac:dyDescent="0.3">
      <c r="A297" s="1">
        <v>41.45</v>
      </c>
      <c r="B297" s="1">
        <v>3.4464999999999999</v>
      </c>
      <c r="C297" s="1">
        <f>Tabela18[[#This Row],[Alongamento (mm/mm)]]/$I$2</f>
        <v>6.8929999999999991E-2</v>
      </c>
      <c r="D297" s="1">
        <v>149.01</v>
      </c>
      <c r="E297" s="1">
        <f>Tabela18[[#This Row],[Força (N)]]/$I$5</f>
        <v>3094678.3411975806</v>
      </c>
      <c r="F297" s="1">
        <f>Tabela18[[#This Row],[Tensão (Pa)]]/1000000</f>
        <v>3.0946783411975805</v>
      </c>
    </row>
    <row r="298" spans="1:6" x14ac:dyDescent="0.3">
      <c r="A298" s="1">
        <v>41.533000000000001</v>
      </c>
      <c r="B298" s="1">
        <v>3.4533999999999998</v>
      </c>
      <c r="C298" s="1">
        <f>Tabela18[[#This Row],[Alongamento (mm/mm)]]/$I$2</f>
        <v>6.9067999999999991E-2</v>
      </c>
      <c r="D298" s="1">
        <v>150.19999999999999</v>
      </c>
      <c r="E298" s="1">
        <f>Tabela18[[#This Row],[Força (N)]]/$I$5</f>
        <v>3119392.5699474975</v>
      </c>
      <c r="F298" s="1">
        <f>Tabela18[[#This Row],[Tensão (Pa)]]/1000000</f>
        <v>3.1193925699474976</v>
      </c>
    </row>
    <row r="299" spans="1:6" x14ac:dyDescent="0.3">
      <c r="A299" s="1">
        <v>41.6</v>
      </c>
      <c r="B299" s="1">
        <v>3.4588999999999999</v>
      </c>
      <c r="C299" s="1">
        <f>Tabela18[[#This Row],[Alongamento (mm/mm)]]/$I$2</f>
        <v>6.9178000000000003E-2</v>
      </c>
      <c r="D299" s="1">
        <v>151.22</v>
      </c>
      <c r="E299" s="1">
        <f>Tabela18[[#This Row],[Força (N)]]/$I$5</f>
        <v>3140576.194590284</v>
      </c>
      <c r="F299" s="1">
        <f>Tabela18[[#This Row],[Tensão (Pa)]]/1000000</f>
        <v>3.1405761945902841</v>
      </c>
    </row>
    <row r="300" spans="1:6" x14ac:dyDescent="0.3">
      <c r="A300" s="1">
        <v>41.683</v>
      </c>
      <c r="B300" s="1">
        <v>3.4659</v>
      </c>
      <c r="C300" s="1">
        <f>Tabela18[[#This Row],[Alongamento (mm/mm)]]/$I$2</f>
        <v>6.9318000000000005E-2</v>
      </c>
      <c r="D300" s="1">
        <v>152.41</v>
      </c>
      <c r="E300" s="1">
        <f>Tabela18[[#This Row],[Força (N)]]/$I$5</f>
        <v>3165290.4233402009</v>
      </c>
      <c r="F300" s="1">
        <f>Tabela18[[#This Row],[Tensão (Pa)]]/1000000</f>
        <v>3.1652904233402008</v>
      </c>
    </row>
    <row r="301" spans="1:6" x14ac:dyDescent="0.3">
      <c r="A301" s="1">
        <v>41.75</v>
      </c>
      <c r="B301" s="1">
        <v>3.4714</v>
      </c>
      <c r="C301" s="1">
        <f>Tabela18[[#This Row],[Alongamento (mm/mm)]]/$I$2</f>
        <v>6.9428000000000004E-2</v>
      </c>
      <c r="D301" s="1">
        <v>153.43</v>
      </c>
      <c r="E301" s="1">
        <f>Tabela18[[#This Row],[Força (N)]]/$I$5</f>
        <v>3186474.047982987</v>
      </c>
      <c r="F301" s="1">
        <f>Tabela18[[#This Row],[Tensão (Pa)]]/1000000</f>
        <v>3.1864740479829869</v>
      </c>
    </row>
    <row r="302" spans="1:6" x14ac:dyDescent="0.3">
      <c r="A302" s="1">
        <v>41.817</v>
      </c>
      <c r="B302" s="1">
        <v>3.4769999999999999</v>
      </c>
      <c r="C302" s="1">
        <f>Tabela18[[#This Row],[Alongamento (mm/mm)]]/$I$2</f>
        <v>6.9539999999999991E-2</v>
      </c>
      <c r="D302" s="1">
        <v>154.44999999999999</v>
      </c>
      <c r="E302" s="1">
        <f>Tabela18[[#This Row],[Força (N)]]/$I$5</f>
        <v>3207657.6726257722</v>
      </c>
      <c r="F302" s="1">
        <f>Tabela18[[#This Row],[Tensão (Pa)]]/1000000</f>
        <v>3.2076576726257722</v>
      </c>
    </row>
    <row r="303" spans="1:6" x14ac:dyDescent="0.3">
      <c r="A303" s="1">
        <v>41.883000000000003</v>
      </c>
      <c r="B303" s="1">
        <v>3.4824999999999999</v>
      </c>
      <c r="C303" s="1">
        <f>Tabela18[[#This Row],[Alongamento (mm/mm)]]/$I$2</f>
        <v>6.9650000000000004E-2</v>
      </c>
      <c r="D303" s="1">
        <v>155.47</v>
      </c>
      <c r="E303" s="1">
        <f>Tabela18[[#This Row],[Força (N)]]/$I$5</f>
        <v>3228841.2972685588</v>
      </c>
      <c r="F303" s="1">
        <f>Tabela18[[#This Row],[Tensão (Pa)]]/1000000</f>
        <v>3.2288412972685587</v>
      </c>
    </row>
    <row r="304" spans="1:6" x14ac:dyDescent="0.3">
      <c r="A304" s="1">
        <v>41.95</v>
      </c>
      <c r="B304" s="1">
        <v>3.4881000000000002</v>
      </c>
      <c r="C304" s="1">
        <f>Tabela18[[#This Row],[Alongamento (mm/mm)]]/$I$2</f>
        <v>6.9762000000000005E-2</v>
      </c>
      <c r="D304" s="1">
        <v>156.49</v>
      </c>
      <c r="E304" s="1">
        <f>Tabela18[[#This Row],[Força (N)]]/$I$5</f>
        <v>3250024.9219113449</v>
      </c>
      <c r="F304" s="1">
        <f>Tabela18[[#This Row],[Tensão (Pa)]]/1000000</f>
        <v>3.2500249219113448</v>
      </c>
    </row>
    <row r="305" spans="1:6" x14ac:dyDescent="0.3">
      <c r="A305" s="1">
        <v>42.017000000000003</v>
      </c>
      <c r="B305" s="1">
        <v>3.4937</v>
      </c>
      <c r="C305" s="1">
        <f>Tabela18[[#This Row],[Alongamento (mm/mm)]]/$I$2</f>
        <v>6.9874000000000006E-2</v>
      </c>
      <c r="D305" s="1">
        <v>157.51</v>
      </c>
      <c r="E305" s="1">
        <f>Tabela18[[#This Row],[Força (N)]]/$I$5</f>
        <v>3271208.5465541305</v>
      </c>
      <c r="F305" s="1">
        <f>Tabela18[[#This Row],[Tensão (Pa)]]/1000000</f>
        <v>3.2712085465541305</v>
      </c>
    </row>
    <row r="306" spans="1:6" x14ac:dyDescent="0.3">
      <c r="A306" s="1">
        <v>42.082999999999998</v>
      </c>
      <c r="B306" s="1">
        <v>3.4992999999999999</v>
      </c>
      <c r="C306" s="1">
        <f>Tabela18[[#This Row],[Alongamento (mm/mm)]]/$I$2</f>
        <v>6.9985999999999993E-2</v>
      </c>
      <c r="D306" s="1">
        <v>158.53</v>
      </c>
      <c r="E306" s="1">
        <f>Tabela18[[#This Row],[Força (N)]]/$I$5</f>
        <v>3292392.1711969166</v>
      </c>
      <c r="F306" s="1">
        <f>Tabela18[[#This Row],[Tensão (Pa)]]/1000000</f>
        <v>3.2923921711969166</v>
      </c>
    </row>
    <row r="307" spans="1:6" x14ac:dyDescent="0.3">
      <c r="A307" s="1">
        <v>42.15</v>
      </c>
      <c r="B307" s="1">
        <v>3.5047999999999999</v>
      </c>
      <c r="C307" s="1">
        <f>Tabela18[[#This Row],[Alongamento (mm/mm)]]/$I$2</f>
        <v>7.0095999999999992E-2</v>
      </c>
      <c r="D307" s="1">
        <v>159.72</v>
      </c>
      <c r="E307" s="1">
        <f>Tabela18[[#This Row],[Força (N)]]/$I$5</f>
        <v>3317106.3999468335</v>
      </c>
      <c r="F307" s="1">
        <f>Tabela18[[#This Row],[Tensão (Pa)]]/1000000</f>
        <v>3.3171063999468333</v>
      </c>
    </row>
    <row r="308" spans="1:6" x14ac:dyDescent="0.3">
      <c r="A308" s="1">
        <v>42.216999999999999</v>
      </c>
      <c r="B308" s="1">
        <v>3.5103</v>
      </c>
      <c r="C308" s="1">
        <f>Tabela18[[#This Row],[Alongamento (mm/mm)]]/$I$2</f>
        <v>7.0206000000000005E-2</v>
      </c>
      <c r="D308" s="1">
        <v>160.74</v>
      </c>
      <c r="E308" s="1">
        <f>Tabela18[[#This Row],[Força (N)]]/$I$5</f>
        <v>3338290.0245896196</v>
      </c>
      <c r="F308" s="1">
        <f>Tabela18[[#This Row],[Tensão (Pa)]]/1000000</f>
        <v>3.3382900245896194</v>
      </c>
    </row>
    <row r="309" spans="1:6" x14ac:dyDescent="0.3">
      <c r="A309" s="1">
        <v>42.283000000000001</v>
      </c>
      <c r="B309" s="1">
        <v>3.5158</v>
      </c>
      <c r="C309" s="1">
        <f>Tabela18[[#This Row],[Alongamento (mm/mm)]]/$I$2</f>
        <v>7.0316000000000004E-2</v>
      </c>
      <c r="D309" s="1">
        <v>161.76</v>
      </c>
      <c r="E309" s="1">
        <f>Tabela18[[#This Row],[Força (N)]]/$I$5</f>
        <v>3359473.6492324052</v>
      </c>
      <c r="F309" s="1">
        <f>Tabela18[[#This Row],[Tensão (Pa)]]/1000000</f>
        <v>3.3594736492324051</v>
      </c>
    </row>
    <row r="310" spans="1:6" x14ac:dyDescent="0.3">
      <c r="A310" s="1">
        <v>42.35</v>
      </c>
      <c r="B310" s="1">
        <v>3.5213999999999999</v>
      </c>
      <c r="C310" s="1">
        <f>Tabela18[[#This Row],[Alongamento (mm/mm)]]/$I$2</f>
        <v>7.0427999999999991E-2</v>
      </c>
      <c r="D310" s="1">
        <v>162.78</v>
      </c>
      <c r="E310" s="1">
        <f>Tabela18[[#This Row],[Força (N)]]/$I$5</f>
        <v>3380657.2738751913</v>
      </c>
      <c r="F310" s="1">
        <f>Tabela18[[#This Row],[Tensão (Pa)]]/1000000</f>
        <v>3.3806572738751912</v>
      </c>
    </row>
    <row r="311" spans="1:6" x14ac:dyDescent="0.3">
      <c r="A311" s="1">
        <v>42.417000000000002</v>
      </c>
      <c r="B311" s="1">
        <v>3.5270000000000001</v>
      </c>
      <c r="C311" s="1">
        <f>Tabela18[[#This Row],[Alongamento (mm/mm)]]/$I$2</f>
        <v>7.0540000000000005E-2</v>
      </c>
      <c r="D311" s="1">
        <v>163.98</v>
      </c>
      <c r="E311" s="1">
        <f>Tabela18[[#This Row],[Força (N)]]/$I$5</f>
        <v>3405579.185219645</v>
      </c>
      <c r="F311" s="1">
        <f>Tabela18[[#This Row],[Tensão (Pa)]]/1000000</f>
        <v>3.4055791852196449</v>
      </c>
    </row>
    <row r="312" spans="1:6" x14ac:dyDescent="0.3">
      <c r="A312" s="1">
        <v>42.482999999999997</v>
      </c>
      <c r="B312" s="1">
        <v>3.5326</v>
      </c>
      <c r="C312" s="1">
        <f>Tabela18[[#This Row],[Alongamento (mm/mm)]]/$I$2</f>
        <v>7.0651999999999993E-2</v>
      </c>
      <c r="D312" s="1">
        <v>165</v>
      </c>
      <c r="E312" s="1">
        <f>Tabela18[[#This Row],[Força (N)]]/$I$5</f>
        <v>3426762.8098624311</v>
      </c>
      <c r="F312" s="1">
        <f>Tabela18[[#This Row],[Tensão (Pa)]]/1000000</f>
        <v>3.426762809862431</v>
      </c>
    </row>
    <row r="313" spans="1:6" x14ac:dyDescent="0.3">
      <c r="A313" s="1">
        <v>42.55</v>
      </c>
      <c r="B313" s="1">
        <v>3.5381</v>
      </c>
      <c r="C313" s="1">
        <f>Tabela18[[#This Row],[Alongamento (mm/mm)]]/$I$2</f>
        <v>7.0762000000000005E-2</v>
      </c>
      <c r="D313" s="1">
        <v>166.02</v>
      </c>
      <c r="E313" s="1">
        <f>Tabela18[[#This Row],[Força (N)]]/$I$5</f>
        <v>3447946.4345052172</v>
      </c>
      <c r="F313" s="1">
        <f>Tabela18[[#This Row],[Tensão (Pa)]]/1000000</f>
        <v>3.4479464345052171</v>
      </c>
    </row>
    <row r="314" spans="1:6" x14ac:dyDescent="0.3">
      <c r="A314" s="1">
        <v>42.616999999999997</v>
      </c>
      <c r="B314" s="1">
        <v>3.5436000000000001</v>
      </c>
      <c r="C314" s="1">
        <f>Tabela18[[#This Row],[Alongamento (mm/mm)]]/$I$2</f>
        <v>7.0872000000000004E-2</v>
      </c>
      <c r="D314" s="1">
        <v>167.04</v>
      </c>
      <c r="E314" s="1">
        <f>Tabela18[[#This Row],[Força (N)]]/$I$5</f>
        <v>3469130.0591480029</v>
      </c>
      <c r="F314" s="1">
        <f>Tabela18[[#This Row],[Tensão (Pa)]]/1000000</f>
        <v>3.4691300591480028</v>
      </c>
    </row>
    <row r="315" spans="1:6" x14ac:dyDescent="0.3">
      <c r="A315" s="1">
        <v>42.683</v>
      </c>
      <c r="B315" s="1">
        <v>3.5491999999999999</v>
      </c>
      <c r="C315" s="1">
        <f>Tabela18[[#This Row],[Alongamento (mm/mm)]]/$I$2</f>
        <v>7.0983999999999992E-2</v>
      </c>
      <c r="D315" s="1">
        <v>168.23</v>
      </c>
      <c r="E315" s="1">
        <f>Tabela18[[#This Row],[Força (N)]]/$I$5</f>
        <v>3493844.2878979198</v>
      </c>
      <c r="F315" s="1">
        <f>Tabela18[[#This Row],[Tensão (Pa)]]/1000000</f>
        <v>3.4938442878979199</v>
      </c>
    </row>
    <row r="316" spans="1:6" x14ac:dyDescent="0.3">
      <c r="A316" s="1">
        <v>42.75</v>
      </c>
      <c r="B316" s="1">
        <v>3.5548000000000002</v>
      </c>
      <c r="C316" s="1">
        <f>Tabela18[[#This Row],[Alongamento (mm/mm)]]/$I$2</f>
        <v>7.1096000000000006E-2</v>
      </c>
      <c r="D316" s="1">
        <v>169.25</v>
      </c>
      <c r="E316" s="1">
        <f>Tabela18[[#This Row],[Força (N)]]/$I$5</f>
        <v>3515027.9125407059</v>
      </c>
      <c r="F316" s="1">
        <f>Tabela18[[#This Row],[Tensão (Pa)]]/1000000</f>
        <v>3.515027912540706</v>
      </c>
    </row>
    <row r="317" spans="1:6" x14ac:dyDescent="0.3">
      <c r="A317" s="1">
        <v>42.817</v>
      </c>
      <c r="B317" s="1">
        <v>3.5604</v>
      </c>
      <c r="C317" s="1">
        <f>Tabela18[[#This Row],[Alongamento (mm/mm)]]/$I$2</f>
        <v>7.1207999999999994E-2</v>
      </c>
      <c r="D317" s="1">
        <v>170.44</v>
      </c>
      <c r="E317" s="1">
        <f>Tabela18[[#This Row],[Força (N)]]/$I$5</f>
        <v>3539742.1412906228</v>
      </c>
      <c r="F317" s="1">
        <f>Tabela18[[#This Row],[Tensão (Pa)]]/1000000</f>
        <v>3.5397421412906227</v>
      </c>
    </row>
    <row r="318" spans="1:6" x14ac:dyDescent="0.3">
      <c r="A318" s="1">
        <v>42.883000000000003</v>
      </c>
      <c r="B318" s="1">
        <v>3.5659000000000001</v>
      </c>
      <c r="C318" s="1">
        <f>Tabela18[[#This Row],[Alongamento (mm/mm)]]/$I$2</f>
        <v>7.1318000000000006E-2</v>
      </c>
      <c r="D318" s="1">
        <v>171.63</v>
      </c>
      <c r="E318" s="1">
        <f>Tabela18[[#This Row],[Força (N)]]/$I$5</f>
        <v>3564456.3700405397</v>
      </c>
      <c r="F318" s="1">
        <f>Tabela18[[#This Row],[Tensão (Pa)]]/1000000</f>
        <v>3.5644563700405398</v>
      </c>
    </row>
    <row r="319" spans="1:6" x14ac:dyDescent="0.3">
      <c r="A319" s="1">
        <v>42.95</v>
      </c>
      <c r="B319" s="1">
        <v>3.5714999999999999</v>
      </c>
      <c r="C319" s="1">
        <f>Tabela18[[#This Row],[Alongamento (mm/mm)]]/$I$2</f>
        <v>7.1429999999999993E-2</v>
      </c>
      <c r="D319" s="1">
        <v>172.65</v>
      </c>
      <c r="E319" s="1">
        <f>Tabela18[[#This Row],[Força (N)]]/$I$5</f>
        <v>3585639.9946833258</v>
      </c>
      <c r="F319" s="1">
        <f>Tabela18[[#This Row],[Tensão (Pa)]]/1000000</f>
        <v>3.5856399946833259</v>
      </c>
    </row>
    <row r="320" spans="1:6" x14ac:dyDescent="0.3">
      <c r="A320" s="1">
        <v>43.017000000000003</v>
      </c>
      <c r="B320" s="1">
        <v>3.577</v>
      </c>
      <c r="C320" s="1">
        <f>Tabela18[[#This Row],[Alongamento (mm/mm)]]/$I$2</f>
        <v>7.1539999999999992E-2</v>
      </c>
      <c r="D320" s="1">
        <v>173.84</v>
      </c>
      <c r="E320" s="1">
        <f>Tabela18[[#This Row],[Força (N)]]/$I$5</f>
        <v>3610354.2234332426</v>
      </c>
      <c r="F320" s="1">
        <f>Tabela18[[#This Row],[Tensão (Pa)]]/1000000</f>
        <v>3.6103542234332426</v>
      </c>
    </row>
    <row r="321" spans="1:6" x14ac:dyDescent="0.3">
      <c r="A321" s="1">
        <v>43.082999999999998</v>
      </c>
      <c r="B321" s="1">
        <v>3.5825</v>
      </c>
      <c r="C321" s="1">
        <f>Tabela18[[#This Row],[Alongamento (mm/mm)]]/$I$2</f>
        <v>7.1650000000000005E-2</v>
      </c>
      <c r="D321" s="1">
        <v>174.86</v>
      </c>
      <c r="E321" s="1">
        <f>Tabela18[[#This Row],[Força (N)]]/$I$5</f>
        <v>3631537.8480760287</v>
      </c>
      <c r="F321" s="1">
        <f>Tabela18[[#This Row],[Tensão (Pa)]]/1000000</f>
        <v>3.6315378480760288</v>
      </c>
    </row>
    <row r="322" spans="1:6" x14ac:dyDescent="0.3">
      <c r="A322" s="1">
        <v>43.167000000000002</v>
      </c>
      <c r="B322" s="1">
        <v>3.5893999999999999</v>
      </c>
      <c r="C322" s="1">
        <f>Tabela18[[#This Row],[Alongamento (mm/mm)]]/$I$2</f>
        <v>7.1788000000000005E-2</v>
      </c>
      <c r="D322" s="1">
        <v>176.39</v>
      </c>
      <c r="E322" s="1">
        <f>Tabela18[[#This Row],[Força (N)]]/$I$5</f>
        <v>3663313.2850402072</v>
      </c>
      <c r="F322" s="1">
        <f>Tabela18[[#This Row],[Tensão (Pa)]]/1000000</f>
        <v>3.663313285040207</v>
      </c>
    </row>
    <row r="323" spans="1:6" x14ac:dyDescent="0.3">
      <c r="A323" s="1">
        <v>43.25</v>
      </c>
      <c r="B323" s="1">
        <v>3.5964999999999998</v>
      </c>
      <c r="C323" s="1">
        <f>Tabela18[[#This Row],[Alongamento (mm/mm)]]/$I$2</f>
        <v>7.1929999999999994E-2</v>
      </c>
      <c r="D323" s="1">
        <v>177.75</v>
      </c>
      <c r="E323" s="1">
        <f>Tabela18[[#This Row],[Força (N)]]/$I$5</f>
        <v>3691558.1178972553</v>
      </c>
      <c r="F323" s="1">
        <f>Tabela18[[#This Row],[Tensão (Pa)]]/1000000</f>
        <v>3.6915581178972552</v>
      </c>
    </row>
    <row r="324" spans="1:6" x14ac:dyDescent="0.3">
      <c r="A324" s="1">
        <v>43.332999999999998</v>
      </c>
      <c r="B324" s="1">
        <v>3.6034000000000002</v>
      </c>
      <c r="C324" s="1">
        <f>Tabela18[[#This Row],[Alongamento (mm/mm)]]/$I$2</f>
        <v>7.2068000000000007E-2</v>
      </c>
      <c r="D324" s="1">
        <v>179.28</v>
      </c>
      <c r="E324" s="1">
        <f>Tabela18[[#This Row],[Força (N)]]/$I$5</f>
        <v>3723333.5548614343</v>
      </c>
      <c r="F324" s="1">
        <f>Tabela18[[#This Row],[Tensão (Pa)]]/1000000</f>
        <v>3.7233335548614344</v>
      </c>
    </row>
    <row r="325" spans="1:6" x14ac:dyDescent="0.3">
      <c r="A325" s="1">
        <v>43.417000000000002</v>
      </c>
      <c r="B325" s="1">
        <v>3.6103999999999998</v>
      </c>
      <c r="C325" s="1">
        <f>Tabela18[[#This Row],[Alongamento (mm/mm)]]/$I$2</f>
        <v>7.2207999999999994E-2</v>
      </c>
      <c r="D325" s="1">
        <v>180.82</v>
      </c>
      <c r="E325" s="1">
        <f>Tabela18[[#This Row],[Força (N)]]/$I$5</f>
        <v>3755316.67442015</v>
      </c>
      <c r="F325" s="1">
        <f>Tabela18[[#This Row],[Tensão (Pa)]]/1000000</f>
        <v>3.75531667442015</v>
      </c>
    </row>
    <row r="326" spans="1:6" x14ac:dyDescent="0.3">
      <c r="A326" s="1">
        <v>43.5</v>
      </c>
      <c r="B326" s="1">
        <v>3.6173000000000002</v>
      </c>
      <c r="C326" s="1">
        <f>Tabela18[[#This Row],[Alongamento (mm/mm)]]/$I$2</f>
        <v>7.2346000000000008E-2</v>
      </c>
      <c r="D326" s="1">
        <v>182.18</v>
      </c>
      <c r="E326" s="1">
        <f>Tabela18[[#This Row],[Força (N)]]/$I$5</f>
        <v>3783561.5072771981</v>
      </c>
      <c r="F326" s="1">
        <f>Tabela18[[#This Row],[Tensão (Pa)]]/1000000</f>
        <v>3.7835615072771982</v>
      </c>
    </row>
    <row r="327" spans="1:6" x14ac:dyDescent="0.3">
      <c r="A327" s="1">
        <v>43.582999999999998</v>
      </c>
      <c r="B327" s="1">
        <v>3.6240999999999999</v>
      </c>
      <c r="C327" s="1">
        <f>Tabela18[[#This Row],[Alongamento (mm/mm)]]/$I$2</f>
        <v>7.2481999999999991E-2</v>
      </c>
      <c r="D327" s="1">
        <v>183.71</v>
      </c>
      <c r="E327" s="1">
        <f>Tabela18[[#This Row],[Força (N)]]/$I$5</f>
        <v>3815336.9442413771</v>
      </c>
      <c r="F327" s="1">
        <f>Tabela18[[#This Row],[Tensão (Pa)]]/1000000</f>
        <v>3.8153369442413769</v>
      </c>
    </row>
    <row r="328" spans="1:6" x14ac:dyDescent="0.3">
      <c r="A328" s="1">
        <v>43.667000000000002</v>
      </c>
      <c r="B328" s="1">
        <v>3.6311</v>
      </c>
      <c r="C328" s="1">
        <f>Tabela18[[#This Row],[Alongamento (mm/mm)]]/$I$2</f>
        <v>7.2622000000000006E-2</v>
      </c>
      <c r="D328" s="1">
        <v>185.24</v>
      </c>
      <c r="E328" s="1">
        <f>Tabela18[[#This Row],[Força (N)]]/$I$5</f>
        <v>3847112.381205556</v>
      </c>
      <c r="F328" s="1">
        <f>Tabela18[[#This Row],[Tensão (Pa)]]/1000000</f>
        <v>3.8471123812055561</v>
      </c>
    </row>
    <row r="329" spans="1:6" x14ac:dyDescent="0.3">
      <c r="A329" s="1">
        <v>43.75</v>
      </c>
      <c r="B329" s="1">
        <v>3.6381000000000001</v>
      </c>
      <c r="C329" s="1">
        <f>Tabela18[[#This Row],[Alongamento (mm/mm)]]/$I$2</f>
        <v>7.2762000000000007E-2</v>
      </c>
      <c r="D329" s="1">
        <v>186.77</v>
      </c>
      <c r="E329" s="1">
        <f>Tabela18[[#This Row],[Força (N)]]/$I$5</f>
        <v>3878887.8181697349</v>
      </c>
      <c r="F329" s="1">
        <f>Tabela18[[#This Row],[Tensão (Pa)]]/1000000</f>
        <v>3.8788878181697348</v>
      </c>
    </row>
    <row r="330" spans="1:6" x14ac:dyDescent="0.3">
      <c r="A330" s="1">
        <v>43.832999999999998</v>
      </c>
      <c r="B330" s="1">
        <v>3.645</v>
      </c>
      <c r="C330" s="1">
        <f>Tabela18[[#This Row],[Alongamento (mm/mm)]]/$I$2</f>
        <v>7.2900000000000006E-2</v>
      </c>
      <c r="D330" s="1">
        <v>188.3</v>
      </c>
      <c r="E330" s="1">
        <f>Tabela18[[#This Row],[Força (N)]]/$I$5</f>
        <v>3910663.2551339138</v>
      </c>
      <c r="F330" s="1">
        <f>Tabela18[[#This Row],[Tensão (Pa)]]/1000000</f>
        <v>3.910663255133914</v>
      </c>
    </row>
    <row r="331" spans="1:6" x14ac:dyDescent="0.3">
      <c r="A331" s="1">
        <v>43.917000000000002</v>
      </c>
      <c r="B331" s="1">
        <v>3.6520000000000001</v>
      </c>
      <c r="C331" s="1">
        <f>Tabela18[[#This Row],[Alongamento (mm/mm)]]/$I$2</f>
        <v>7.3040000000000008E-2</v>
      </c>
      <c r="D331" s="1">
        <v>189.83</v>
      </c>
      <c r="E331" s="1">
        <f>Tabela18[[#This Row],[Força (N)]]/$I$5</f>
        <v>3942438.6920980932</v>
      </c>
      <c r="F331" s="1">
        <f>Tabela18[[#This Row],[Tensão (Pa)]]/1000000</f>
        <v>3.9424386920980932</v>
      </c>
    </row>
    <row r="332" spans="1:6" x14ac:dyDescent="0.3">
      <c r="A332" s="1">
        <v>44</v>
      </c>
      <c r="B332" s="1">
        <v>3.6589</v>
      </c>
      <c r="C332" s="1">
        <f>Tabela18[[#This Row],[Alongamento (mm/mm)]]/$I$2</f>
        <v>7.3178000000000007E-2</v>
      </c>
      <c r="D332" s="1">
        <v>191.36</v>
      </c>
      <c r="E332" s="1">
        <f>Tabela18[[#This Row],[Força (N)]]/$I$5</f>
        <v>3974214.1290622721</v>
      </c>
      <c r="F332" s="1">
        <f>Tabela18[[#This Row],[Tensão (Pa)]]/1000000</f>
        <v>3.9742141290622723</v>
      </c>
    </row>
    <row r="333" spans="1:6" x14ac:dyDescent="0.3">
      <c r="A333" s="1">
        <v>44.082999999999998</v>
      </c>
      <c r="B333" s="1">
        <v>3.6657999999999999</v>
      </c>
      <c r="C333" s="1">
        <f>Tabela18[[#This Row],[Alongamento (mm/mm)]]/$I$2</f>
        <v>7.3315999999999992E-2</v>
      </c>
      <c r="D333" s="1">
        <v>192.89</v>
      </c>
      <c r="E333" s="1">
        <f>Tabela18[[#This Row],[Força (N)]]/$I$5</f>
        <v>4005989.5660264501</v>
      </c>
      <c r="F333" s="1">
        <f>Tabela18[[#This Row],[Tensão (Pa)]]/1000000</f>
        <v>4.0059895660264502</v>
      </c>
    </row>
    <row r="334" spans="1:6" x14ac:dyDescent="0.3">
      <c r="A334" s="1">
        <v>44.167000000000002</v>
      </c>
      <c r="B334" s="1">
        <v>3.6728000000000001</v>
      </c>
      <c r="C334" s="1">
        <f>Tabela18[[#This Row],[Alongamento (mm/mm)]]/$I$2</f>
        <v>7.3456000000000007E-2</v>
      </c>
      <c r="D334" s="1">
        <v>194.42</v>
      </c>
      <c r="E334" s="1">
        <f>Tabela18[[#This Row],[Força (N)]]/$I$5</f>
        <v>4037765.0029906291</v>
      </c>
      <c r="F334" s="1">
        <f>Tabela18[[#This Row],[Tensão (Pa)]]/1000000</f>
        <v>4.0377650029906293</v>
      </c>
    </row>
    <row r="335" spans="1:6" x14ac:dyDescent="0.3">
      <c r="A335" s="1">
        <v>44.232999999999997</v>
      </c>
      <c r="B335" s="1">
        <v>3.6783999999999999</v>
      </c>
      <c r="C335" s="1">
        <f>Tabela18[[#This Row],[Alongamento (mm/mm)]]/$I$2</f>
        <v>7.3567999999999995E-2</v>
      </c>
      <c r="D335" s="1">
        <v>195.78</v>
      </c>
      <c r="E335" s="1">
        <f>Tabela18[[#This Row],[Força (N)]]/$I$5</f>
        <v>4066009.8358476772</v>
      </c>
      <c r="F335" s="1">
        <f>Tabela18[[#This Row],[Tensão (Pa)]]/1000000</f>
        <v>4.0660098358476775</v>
      </c>
    </row>
    <row r="336" spans="1:6" x14ac:dyDescent="0.3">
      <c r="A336" s="1">
        <v>44.317</v>
      </c>
      <c r="B336" s="1">
        <v>3.6854</v>
      </c>
      <c r="C336" s="1">
        <f>Tabela18[[#This Row],[Alongamento (mm/mm)]]/$I$2</f>
        <v>7.3707999999999996E-2</v>
      </c>
      <c r="D336" s="1">
        <v>197.31</v>
      </c>
      <c r="E336" s="1">
        <f>Tabela18[[#This Row],[Força (N)]]/$I$5</f>
        <v>4097785.2728118561</v>
      </c>
      <c r="F336" s="1">
        <f>Tabela18[[#This Row],[Tensão (Pa)]]/1000000</f>
        <v>4.0977852728118558</v>
      </c>
    </row>
    <row r="337" spans="1:6" x14ac:dyDescent="0.3">
      <c r="A337" s="1">
        <v>44.383000000000003</v>
      </c>
      <c r="B337" s="1">
        <v>3.6909000000000001</v>
      </c>
      <c r="C337" s="1">
        <f>Tabela18[[#This Row],[Alongamento (mm/mm)]]/$I$2</f>
        <v>7.3817999999999995E-2</v>
      </c>
      <c r="D337" s="1">
        <v>198.68</v>
      </c>
      <c r="E337" s="1">
        <f>Tabela18[[#This Row],[Força (N)]]/$I$5</f>
        <v>4126237.7882634415</v>
      </c>
      <c r="F337" s="1">
        <f>Tabela18[[#This Row],[Tensão (Pa)]]/1000000</f>
        <v>4.1262377882634418</v>
      </c>
    </row>
    <row r="338" spans="1:6" x14ac:dyDescent="0.3">
      <c r="A338" s="1">
        <v>44.466999999999999</v>
      </c>
      <c r="B338" s="1">
        <v>3.6978</v>
      </c>
      <c r="C338" s="1">
        <f>Tabela18[[#This Row],[Alongamento (mm/mm)]]/$I$2</f>
        <v>7.3955999999999994E-2</v>
      </c>
      <c r="D338" s="1">
        <v>200.21</v>
      </c>
      <c r="E338" s="1">
        <f>Tabela18[[#This Row],[Força (N)]]/$I$5</f>
        <v>4158013.2252276205</v>
      </c>
      <c r="F338" s="1">
        <f>Tabela18[[#This Row],[Tensão (Pa)]]/1000000</f>
        <v>4.1580132252276201</v>
      </c>
    </row>
    <row r="339" spans="1:6" x14ac:dyDescent="0.3">
      <c r="A339" s="1">
        <v>44.533000000000001</v>
      </c>
      <c r="B339" s="1">
        <v>3.7033999999999998</v>
      </c>
      <c r="C339" s="1">
        <f>Tabela18[[#This Row],[Alongamento (mm/mm)]]/$I$2</f>
        <v>7.4067999999999995E-2</v>
      </c>
      <c r="D339" s="1">
        <v>201.57</v>
      </c>
      <c r="E339" s="1">
        <f>Tabela18[[#This Row],[Força (N)]]/$I$5</f>
        <v>4186258.0580846681</v>
      </c>
      <c r="F339" s="1">
        <f>Tabela18[[#This Row],[Tensão (Pa)]]/1000000</f>
        <v>4.1862580580846682</v>
      </c>
    </row>
    <row r="340" spans="1:6" x14ac:dyDescent="0.3">
      <c r="A340" s="1">
        <v>44.6</v>
      </c>
      <c r="B340" s="1">
        <v>3.7088999999999999</v>
      </c>
      <c r="C340" s="1">
        <f>Tabela18[[#This Row],[Alongamento (mm/mm)]]/$I$2</f>
        <v>7.4177999999999994E-2</v>
      </c>
      <c r="D340" s="1">
        <v>202.93</v>
      </c>
      <c r="E340" s="1">
        <f>Tabela18[[#This Row],[Força (N)]]/$I$5</f>
        <v>4214502.8909417158</v>
      </c>
      <c r="F340" s="1">
        <f>Tabela18[[#This Row],[Tensão (Pa)]]/1000000</f>
        <v>4.2145028909417155</v>
      </c>
    </row>
    <row r="341" spans="1:6" x14ac:dyDescent="0.3">
      <c r="A341" s="1">
        <v>44.667000000000002</v>
      </c>
      <c r="B341" s="1">
        <v>3.7145000000000001</v>
      </c>
      <c r="C341" s="1">
        <f>Tabela18[[#This Row],[Alongamento (mm/mm)]]/$I$2</f>
        <v>7.4290000000000009E-2</v>
      </c>
      <c r="D341" s="1">
        <v>204.29</v>
      </c>
      <c r="E341" s="1">
        <f>Tabela18[[#This Row],[Força (N)]]/$I$5</f>
        <v>4242747.7237987639</v>
      </c>
      <c r="F341" s="1">
        <f>Tabela18[[#This Row],[Tensão (Pa)]]/1000000</f>
        <v>4.2427477237987636</v>
      </c>
    </row>
    <row r="342" spans="1:6" x14ac:dyDescent="0.3">
      <c r="A342" s="1">
        <v>44.75</v>
      </c>
      <c r="B342" s="1">
        <v>3.7214999999999998</v>
      </c>
      <c r="C342" s="1">
        <f>Tabela18[[#This Row],[Alongamento (mm/mm)]]/$I$2</f>
        <v>7.4429999999999996E-2</v>
      </c>
      <c r="D342" s="1">
        <v>205.82</v>
      </c>
      <c r="E342" s="1">
        <f>Tabela18[[#This Row],[Força (N)]]/$I$5</f>
        <v>4274523.1607629424</v>
      </c>
      <c r="F342" s="1">
        <f>Tabela18[[#This Row],[Tensão (Pa)]]/1000000</f>
        <v>4.2745231607629428</v>
      </c>
    </row>
    <row r="343" spans="1:6" x14ac:dyDescent="0.3">
      <c r="A343" s="1">
        <v>44.817</v>
      </c>
      <c r="B343" s="1">
        <v>3.7269999999999999</v>
      </c>
      <c r="C343" s="1">
        <f>Tabela18[[#This Row],[Alongamento (mm/mm)]]/$I$2</f>
        <v>7.4539999999999995E-2</v>
      </c>
      <c r="D343" s="1">
        <v>207.18</v>
      </c>
      <c r="E343" s="1">
        <f>Tabela18[[#This Row],[Força (N)]]/$I$5</f>
        <v>4302767.9936199905</v>
      </c>
      <c r="F343" s="1">
        <f>Tabela18[[#This Row],[Tensão (Pa)]]/1000000</f>
        <v>4.302767993619991</v>
      </c>
    </row>
    <row r="344" spans="1:6" x14ac:dyDescent="0.3">
      <c r="A344" s="1">
        <v>44.883000000000003</v>
      </c>
      <c r="B344" s="1">
        <v>3.7326000000000001</v>
      </c>
      <c r="C344" s="1">
        <f>Tabela18[[#This Row],[Alongamento (mm/mm)]]/$I$2</f>
        <v>7.4651999999999996E-2</v>
      </c>
      <c r="D344" s="1">
        <v>208.54</v>
      </c>
      <c r="E344" s="1">
        <f>Tabela18[[#This Row],[Força (N)]]/$I$5</f>
        <v>4331012.8264770387</v>
      </c>
      <c r="F344" s="1">
        <f>Tabela18[[#This Row],[Tensão (Pa)]]/1000000</f>
        <v>4.3310128264770391</v>
      </c>
    </row>
    <row r="345" spans="1:6" x14ac:dyDescent="0.3">
      <c r="A345" s="1">
        <v>44.95</v>
      </c>
      <c r="B345" s="1">
        <v>3.738</v>
      </c>
      <c r="C345" s="1">
        <f>Tabela18[[#This Row],[Alongamento (mm/mm)]]/$I$2</f>
        <v>7.4759999999999993E-2</v>
      </c>
      <c r="D345" s="1">
        <v>209.9</v>
      </c>
      <c r="E345" s="1">
        <f>Tabela18[[#This Row],[Força (N)]]/$I$5</f>
        <v>4359257.6593340868</v>
      </c>
      <c r="F345" s="1">
        <f>Tabela18[[#This Row],[Tensão (Pa)]]/1000000</f>
        <v>4.3592576593340864</v>
      </c>
    </row>
    <row r="346" spans="1:6" x14ac:dyDescent="0.3">
      <c r="A346" s="1">
        <v>45.017000000000003</v>
      </c>
      <c r="B346" s="1">
        <v>3.7435999999999998</v>
      </c>
      <c r="C346" s="1">
        <f>Tabela18[[#This Row],[Alongamento (mm/mm)]]/$I$2</f>
        <v>7.4871999999999994E-2</v>
      </c>
      <c r="D346" s="1">
        <v>211.26</v>
      </c>
      <c r="E346" s="1">
        <f>Tabela18[[#This Row],[Força (N)]]/$I$5</f>
        <v>4387502.492191134</v>
      </c>
      <c r="F346" s="1">
        <f>Tabela18[[#This Row],[Tensão (Pa)]]/1000000</f>
        <v>4.3875024921911336</v>
      </c>
    </row>
    <row r="347" spans="1:6" x14ac:dyDescent="0.3">
      <c r="A347" s="1">
        <v>45.1</v>
      </c>
      <c r="B347" s="1">
        <v>3.7505999999999999</v>
      </c>
      <c r="C347" s="1">
        <f>Tabela18[[#This Row],[Alongamento (mm/mm)]]/$I$2</f>
        <v>7.5011999999999995E-2</v>
      </c>
      <c r="D347" s="1">
        <v>212.79</v>
      </c>
      <c r="E347" s="1">
        <f>Tabela18[[#This Row],[Força (N)]]/$I$5</f>
        <v>4419277.9291553134</v>
      </c>
      <c r="F347" s="1">
        <f>Tabela18[[#This Row],[Tensão (Pa)]]/1000000</f>
        <v>4.4192779291553137</v>
      </c>
    </row>
    <row r="348" spans="1:6" x14ac:dyDescent="0.3">
      <c r="A348" s="1">
        <v>45.167000000000002</v>
      </c>
      <c r="B348" s="1">
        <v>3.7562000000000002</v>
      </c>
      <c r="C348" s="1">
        <f>Tabela18[[#This Row],[Alongamento (mm/mm)]]/$I$2</f>
        <v>7.512400000000001E-2</v>
      </c>
      <c r="D348" s="1">
        <v>214.32</v>
      </c>
      <c r="E348" s="1">
        <f>Tabela18[[#This Row],[Força (N)]]/$I$5</f>
        <v>4451053.3661194919</v>
      </c>
      <c r="F348" s="1">
        <f>Tabela18[[#This Row],[Tensão (Pa)]]/1000000</f>
        <v>4.451053366119492</v>
      </c>
    </row>
    <row r="349" spans="1:6" x14ac:dyDescent="0.3">
      <c r="A349" s="1">
        <v>45.232999999999997</v>
      </c>
      <c r="B349" s="1">
        <v>3.7616999999999998</v>
      </c>
      <c r="C349" s="1">
        <f>Tabela18[[#This Row],[Alongamento (mm/mm)]]/$I$2</f>
        <v>7.5233999999999995E-2</v>
      </c>
      <c r="D349" s="1">
        <v>215.69</v>
      </c>
      <c r="E349" s="1">
        <f>Tabela18[[#This Row],[Força (N)]]/$I$5</f>
        <v>4479505.8815710777</v>
      </c>
      <c r="F349" s="1">
        <f>Tabela18[[#This Row],[Tensão (Pa)]]/1000000</f>
        <v>4.479505881571078</v>
      </c>
    </row>
    <row r="350" spans="1:6" x14ac:dyDescent="0.3">
      <c r="A350" s="1">
        <v>45.3</v>
      </c>
      <c r="B350" s="1">
        <v>3.7673000000000001</v>
      </c>
      <c r="C350" s="1">
        <f>Tabela18[[#This Row],[Alongamento (mm/mm)]]/$I$2</f>
        <v>7.5345999999999996E-2</v>
      </c>
      <c r="D350" s="1">
        <v>217.05</v>
      </c>
      <c r="E350" s="1">
        <f>Tabela18[[#This Row],[Força (N)]]/$I$5</f>
        <v>4507750.7144281259</v>
      </c>
      <c r="F350" s="1">
        <f>Tabela18[[#This Row],[Tensão (Pa)]]/1000000</f>
        <v>4.5077507144281261</v>
      </c>
    </row>
    <row r="351" spans="1:6" x14ac:dyDescent="0.3">
      <c r="A351" s="1">
        <v>45.366999999999997</v>
      </c>
      <c r="B351" s="1">
        <v>3.7728999999999999</v>
      </c>
      <c r="C351" s="1">
        <f>Tabela18[[#This Row],[Alongamento (mm/mm)]]/$I$2</f>
        <v>7.5457999999999997E-2</v>
      </c>
      <c r="D351" s="1">
        <v>218.41</v>
      </c>
      <c r="E351" s="1">
        <f>Tabela18[[#This Row],[Força (N)]]/$I$5</f>
        <v>4535995.5472851731</v>
      </c>
      <c r="F351" s="1">
        <f>Tabela18[[#This Row],[Tensão (Pa)]]/1000000</f>
        <v>4.5359955472851734</v>
      </c>
    </row>
    <row r="352" spans="1:6" x14ac:dyDescent="0.3">
      <c r="A352" s="1">
        <v>45.45</v>
      </c>
      <c r="B352" s="1">
        <v>3.7797000000000001</v>
      </c>
      <c r="C352" s="1">
        <f>Tabela18[[#This Row],[Alongamento (mm/mm)]]/$I$2</f>
        <v>7.5593999999999995E-2</v>
      </c>
      <c r="D352" s="1">
        <v>220.28</v>
      </c>
      <c r="E352" s="1">
        <f>Tabela18[[#This Row],[Força (N)]]/$I$5</f>
        <v>4574832.192463614</v>
      </c>
      <c r="F352" s="1">
        <f>Tabela18[[#This Row],[Tensão (Pa)]]/1000000</f>
        <v>4.5748321924636137</v>
      </c>
    </row>
    <row r="353" spans="1:6" x14ac:dyDescent="0.3">
      <c r="A353" s="1">
        <v>45.533000000000001</v>
      </c>
      <c r="B353" s="1">
        <v>3.7867000000000002</v>
      </c>
      <c r="C353" s="1">
        <f>Tabela18[[#This Row],[Alongamento (mm/mm)]]/$I$2</f>
        <v>7.573400000000001E-2</v>
      </c>
      <c r="D353" s="1">
        <v>221.98</v>
      </c>
      <c r="E353" s="1">
        <f>Tabela18[[#This Row],[Força (N)]]/$I$5</f>
        <v>4610138.2335349238</v>
      </c>
      <c r="F353" s="1">
        <f>Tabela18[[#This Row],[Tensão (Pa)]]/1000000</f>
        <v>4.6101382335349239</v>
      </c>
    </row>
    <row r="354" spans="1:6" x14ac:dyDescent="0.3">
      <c r="A354" s="1">
        <v>45.616999999999997</v>
      </c>
      <c r="B354" s="1">
        <v>3.7936999999999999</v>
      </c>
      <c r="C354" s="1">
        <f>Tabela18[[#This Row],[Alongamento (mm/mm)]]/$I$2</f>
        <v>7.5873999999999997E-2</v>
      </c>
      <c r="D354" s="1">
        <v>223.68</v>
      </c>
      <c r="E354" s="1">
        <f>Tabela18[[#This Row],[Força (N)]]/$I$5</f>
        <v>4645444.2746062344</v>
      </c>
      <c r="F354" s="1">
        <f>Tabela18[[#This Row],[Tensão (Pa)]]/1000000</f>
        <v>4.6454442746062341</v>
      </c>
    </row>
    <row r="355" spans="1:6" x14ac:dyDescent="0.3">
      <c r="A355" s="1">
        <v>45.7</v>
      </c>
      <c r="B355" s="1">
        <v>3.8005</v>
      </c>
      <c r="C355" s="1">
        <f>Tabela18[[#This Row],[Alongamento (mm/mm)]]/$I$2</f>
        <v>7.6009999999999994E-2</v>
      </c>
      <c r="D355" s="1">
        <v>225.55</v>
      </c>
      <c r="E355" s="1">
        <f>Tabela18[[#This Row],[Força (N)]]/$I$5</f>
        <v>4684280.9197846754</v>
      </c>
      <c r="F355" s="1">
        <f>Tabela18[[#This Row],[Tensão (Pa)]]/1000000</f>
        <v>4.6842809197846753</v>
      </c>
    </row>
    <row r="356" spans="1:6" x14ac:dyDescent="0.3">
      <c r="A356" s="1">
        <v>45.783000000000001</v>
      </c>
      <c r="B356" s="1">
        <v>3.8075999999999999</v>
      </c>
      <c r="C356" s="1">
        <f>Tabela18[[#This Row],[Alongamento (mm/mm)]]/$I$2</f>
        <v>7.6151999999999997E-2</v>
      </c>
      <c r="D356" s="1">
        <v>227.25</v>
      </c>
      <c r="E356" s="1">
        <f>Tabela18[[#This Row],[Força (N)]]/$I$5</f>
        <v>4719586.9608559851</v>
      </c>
      <c r="F356" s="1">
        <f>Tabela18[[#This Row],[Tensão (Pa)]]/1000000</f>
        <v>4.7195869608559855</v>
      </c>
    </row>
    <row r="357" spans="1:6" x14ac:dyDescent="0.3">
      <c r="A357" s="1">
        <v>45.866999999999997</v>
      </c>
      <c r="B357" s="1">
        <v>3.8144999999999998</v>
      </c>
      <c r="C357" s="1">
        <f>Tabela18[[#This Row],[Alongamento (mm/mm)]]/$I$2</f>
        <v>7.6289999999999997E-2</v>
      </c>
      <c r="D357" s="1">
        <v>228.95</v>
      </c>
      <c r="E357" s="1">
        <f>Tabela18[[#This Row],[Força (N)]]/$I$5</f>
        <v>4754893.0019272948</v>
      </c>
      <c r="F357" s="1">
        <f>Tabela18[[#This Row],[Tensão (Pa)]]/1000000</f>
        <v>4.7548930019272948</v>
      </c>
    </row>
    <row r="358" spans="1:6" x14ac:dyDescent="0.3">
      <c r="A358" s="1">
        <v>45.95</v>
      </c>
      <c r="B358" s="1">
        <v>3.8214000000000001</v>
      </c>
      <c r="C358" s="1">
        <f>Tabela18[[#This Row],[Alongamento (mm/mm)]]/$I$2</f>
        <v>7.6427999999999996E-2</v>
      </c>
      <c r="D358" s="1">
        <v>230.82</v>
      </c>
      <c r="E358" s="1">
        <f>Tabela18[[#This Row],[Força (N)]]/$I$5</f>
        <v>4793729.6471057357</v>
      </c>
      <c r="F358" s="1">
        <f>Tabela18[[#This Row],[Tensão (Pa)]]/1000000</f>
        <v>4.793729647105736</v>
      </c>
    </row>
    <row r="359" spans="1:6" x14ac:dyDescent="0.3">
      <c r="A359" s="1">
        <v>46.033000000000001</v>
      </c>
      <c r="B359" s="1">
        <v>3.8283999999999998</v>
      </c>
      <c r="C359" s="1">
        <f>Tabela18[[#This Row],[Alongamento (mm/mm)]]/$I$2</f>
        <v>7.6567999999999997E-2</v>
      </c>
      <c r="D359" s="1">
        <v>232.53</v>
      </c>
      <c r="E359" s="1">
        <f>Tabela18[[#This Row],[Força (N)]]/$I$5</f>
        <v>4829243.3707715822</v>
      </c>
      <c r="F359" s="1">
        <f>Tabela18[[#This Row],[Tensão (Pa)]]/1000000</f>
        <v>4.8292433707715823</v>
      </c>
    </row>
    <row r="360" spans="1:6" x14ac:dyDescent="0.3">
      <c r="A360" s="1">
        <v>46.116999999999997</v>
      </c>
      <c r="B360" s="1">
        <v>3.8353999999999999</v>
      </c>
      <c r="C360" s="1">
        <f>Tabela18[[#This Row],[Alongamento (mm/mm)]]/$I$2</f>
        <v>7.6707999999999998E-2</v>
      </c>
      <c r="D360" s="1">
        <v>234.4</v>
      </c>
      <c r="E360" s="1">
        <f>Tabela18[[#This Row],[Força (N)]]/$I$5</f>
        <v>4868080.0159500232</v>
      </c>
      <c r="F360" s="1">
        <f>Tabela18[[#This Row],[Tensão (Pa)]]/1000000</f>
        <v>4.8680800159500235</v>
      </c>
    </row>
    <row r="361" spans="1:6" x14ac:dyDescent="0.3">
      <c r="A361" s="1">
        <v>46.2</v>
      </c>
      <c r="B361" s="1">
        <v>3.8422999999999998</v>
      </c>
      <c r="C361" s="1">
        <f>Tabela18[[#This Row],[Alongamento (mm/mm)]]/$I$2</f>
        <v>7.6845999999999998E-2</v>
      </c>
      <c r="D361" s="1">
        <v>236.27</v>
      </c>
      <c r="E361" s="1">
        <f>Tabela18[[#This Row],[Força (N)]]/$I$5</f>
        <v>4906916.6611284642</v>
      </c>
      <c r="F361" s="1">
        <f>Tabela18[[#This Row],[Tensão (Pa)]]/1000000</f>
        <v>4.9069166611284638</v>
      </c>
    </row>
    <row r="362" spans="1:6" x14ac:dyDescent="0.3">
      <c r="A362" s="1">
        <v>46.283000000000001</v>
      </c>
      <c r="B362" s="1">
        <v>3.8492999999999999</v>
      </c>
      <c r="C362" s="1">
        <f>Tabela18[[#This Row],[Alongamento (mm/mm)]]/$I$2</f>
        <v>7.6985999999999999E-2</v>
      </c>
      <c r="D362" s="1">
        <v>237.97</v>
      </c>
      <c r="E362" s="1">
        <f>Tabela18[[#This Row],[Força (N)]]/$I$5</f>
        <v>4942222.7021997739</v>
      </c>
      <c r="F362" s="1">
        <f>Tabela18[[#This Row],[Tensão (Pa)]]/1000000</f>
        <v>4.942222702199774</v>
      </c>
    </row>
    <row r="363" spans="1:6" x14ac:dyDescent="0.3">
      <c r="A363" s="1">
        <v>46.366999999999997</v>
      </c>
      <c r="B363" s="1">
        <v>3.8561000000000001</v>
      </c>
      <c r="C363" s="1">
        <f>Tabela18[[#This Row],[Alongamento (mm/mm)]]/$I$2</f>
        <v>7.7121999999999996E-2</v>
      </c>
      <c r="D363" s="1">
        <v>239.84</v>
      </c>
      <c r="E363" s="1">
        <f>Tabela18[[#This Row],[Força (N)]]/$I$5</f>
        <v>4981059.3473782148</v>
      </c>
      <c r="F363" s="1">
        <f>Tabela18[[#This Row],[Tensão (Pa)]]/1000000</f>
        <v>4.9810593473782152</v>
      </c>
    </row>
    <row r="364" spans="1:6" x14ac:dyDescent="0.3">
      <c r="A364" s="1">
        <v>46.45</v>
      </c>
      <c r="B364" s="1">
        <v>3.863</v>
      </c>
      <c r="C364" s="1">
        <f>Tabela18[[#This Row],[Alongamento (mm/mm)]]/$I$2</f>
        <v>7.7259999999999995E-2</v>
      </c>
      <c r="D364" s="1">
        <v>241.71</v>
      </c>
      <c r="E364" s="1">
        <f>Tabela18[[#This Row],[Força (N)]]/$I$5</f>
        <v>5019895.9925566558</v>
      </c>
      <c r="F364" s="1">
        <f>Tabela18[[#This Row],[Tensão (Pa)]]/1000000</f>
        <v>5.0198959925566555</v>
      </c>
    </row>
    <row r="365" spans="1:6" x14ac:dyDescent="0.3">
      <c r="A365" s="1">
        <v>46.533000000000001</v>
      </c>
      <c r="B365" s="1">
        <v>3.87</v>
      </c>
      <c r="C365" s="1">
        <f>Tabela18[[#This Row],[Alongamento (mm/mm)]]/$I$2</f>
        <v>7.7399999999999997E-2</v>
      </c>
      <c r="D365" s="1">
        <v>243.58</v>
      </c>
      <c r="E365" s="1">
        <f>Tabela18[[#This Row],[Força (N)]]/$I$5</f>
        <v>5058732.6377350967</v>
      </c>
      <c r="F365" s="1">
        <f>Tabela18[[#This Row],[Tensão (Pa)]]/1000000</f>
        <v>5.0587326377350967</v>
      </c>
    </row>
    <row r="366" spans="1:6" x14ac:dyDescent="0.3">
      <c r="A366" s="1">
        <v>46.616999999999997</v>
      </c>
      <c r="B366" s="1">
        <v>3.8769999999999998</v>
      </c>
      <c r="C366" s="1">
        <f>Tabela18[[#This Row],[Alongamento (mm/mm)]]/$I$2</f>
        <v>7.7539999999999998E-2</v>
      </c>
      <c r="D366" s="1">
        <v>245.28</v>
      </c>
      <c r="E366" s="1">
        <f>Tabela18[[#This Row],[Força (N)]]/$I$5</f>
        <v>5094038.6788064064</v>
      </c>
      <c r="F366" s="1">
        <f>Tabela18[[#This Row],[Tensão (Pa)]]/1000000</f>
        <v>5.094038678806406</v>
      </c>
    </row>
    <row r="367" spans="1:6" x14ac:dyDescent="0.3">
      <c r="A367" s="1">
        <v>46.7</v>
      </c>
      <c r="B367" s="1">
        <v>3.8839999999999999</v>
      </c>
      <c r="C367" s="1">
        <f>Tabela18[[#This Row],[Alongamento (mm/mm)]]/$I$2</f>
        <v>7.7679999999999999E-2</v>
      </c>
      <c r="D367" s="1">
        <v>247.15</v>
      </c>
      <c r="E367" s="1">
        <f>Tabela18[[#This Row],[Força (N)]]/$I$5</f>
        <v>5132875.3239848474</v>
      </c>
      <c r="F367" s="1">
        <f>Tabela18[[#This Row],[Tensão (Pa)]]/1000000</f>
        <v>5.1328753239848472</v>
      </c>
    </row>
    <row r="368" spans="1:6" x14ac:dyDescent="0.3">
      <c r="A368" s="1">
        <v>46.783000000000001</v>
      </c>
      <c r="B368" s="1">
        <v>3.8908999999999998</v>
      </c>
      <c r="C368" s="1">
        <f>Tabela18[[#This Row],[Alongamento (mm/mm)]]/$I$2</f>
        <v>7.7817999999999998E-2</v>
      </c>
      <c r="D368" s="1">
        <v>249.02</v>
      </c>
      <c r="E368" s="1">
        <f>Tabela18[[#This Row],[Força (N)]]/$I$5</f>
        <v>5171711.9691632884</v>
      </c>
      <c r="F368" s="1">
        <f>Tabela18[[#This Row],[Tensão (Pa)]]/1000000</f>
        <v>5.1717119691632885</v>
      </c>
    </row>
    <row r="369" spans="1:6" x14ac:dyDescent="0.3">
      <c r="A369" s="1">
        <v>46.866999999999997</v>
      </c>
      <c r="B369" s="1">
        <v>3.8978000000000002</v>
      </c>
      <c r="C369" s="1">
        <f>Tabela18[[#This Row],[Alongamento (mm/mm)]]/$I$2</f>
        <v>7.7955999999999998E-2</v>
      </c>
      <c r="D369" s="1">
        <v>250.9</v>
      </c>
      <c r="E369" s="1">
        <f>Tabela18[[#This Row],[Força (N)]]/$I$5</f>
        <v>5210756.2969362671</v>
      </c>
      <c r="F369" s="1">
        <f>Tabela18[[#This Row],[Tensão (Pa)]]/1000000</f>
        <v>5.2107562969362666</v>
      </c>
    </row>
    <row r="370" spans="1:6" x14ac:dyDescent="0.3">
      <c r="A370" s="1">
        <v>46.95</v>
      </c>
      <c r="B370" s="1">
        <v>3.9047999999999998</v>
      </c>
      <c r="C370" s="1">
        <f>Tabela18[[#This Row],[Alongamento (mm/mm)]]/$I$2</f>
        <v>7.8095999999999999E-2</v>
      </c>
      <c r="D370" s="1">
        <v>252.77</v>
      </c>
      <c r="E370" s="1">
        <f>Tabela18[[#This Row],[Força (N)]]/$I$5</f>
        <v>5249592.942114708</v>
      </c>
      <c r="F370" s="1">
        <f>Tabela18[[#This Row],[Tensão (Pa)]]/1000000</f>
        <v>5.2495929421147078</v>
      </c>
    </row>
    <row r="371" spans="1:6" x14ac:dyDescent="0.3">
      <c r="A371" s="1">
        <v>47.033000000000001</v>
      </c>
      <c r="B371" s="1">
        <v>3.9117999999999999</v>
      </c>
      <c r="C371" s="1">
        <f>Tabela18[[#This Row],[Alongamento (mm/mm)]]/$I$2</f>
        <v>7.8236E-2</v>
      </c>
      <c r="D371" s="1">
        <v>254.47</v>
      </c>
      <c r="E371" s="1">
        <f>Tabela18[[#This Row],[Força (N)]]/$I$5</f>
        <v>5284898.9831860168</v>
      </c>
      <c r="F371" s="1">
        <f>Tabela18[[#This Row],[Tensão (Pa)]]/1000000</f>
        <v>5.2848989831860171</v>
      </c>
    </row>
    <row r="372" spans="1:6" x14ac:dyDescent="0.3">
      <c r="A372" s="1">
        <v>47.116999999999997</v>
      </c>
      <c r="B372" s="1">
        <v>3.9186999999999999</v>
      </c>
      <c r="C372" s="1">
        <f>Tabela18[[#This Row],[Alongamento (mm/mm)]]/$I$2</f>
        <v>7.8373999999999999E-2</v>
      </c>
      <c r="D372" s="1">
        <v>256.33999999999997</v>
      </c>
      <c r="E372" s="1">
        <f>Tabela18[[#This Row],[Força (N)]]/$I$5</f>
        <v>5323735.6283644577</v>
      </c>
      <c r="F372" s="1">
        <f>Tabela18[[#This Row],[Tensão (Pa)]]/1000000</f>
        <v>5.3237356283644575</v>
      </c>
    </row>
    <row r="373" spans="1:6" x14ac:dyDescent="0.3">
      <c r="A373" s="1">
        <v>47.2</v>
      </c>
      <c r="B373" s="1">
        <v>3.9256000000000002</v>
      </c>
      <c r="C373" s="1">
        <f>Tabela18[[#This Row],[Alongamento (mm/mm)]]/$I$2</f>
        <v>7.8511999999999998E-2</v>
      </c>
      <c r="D373" s="1">
        <v>258.20999999999998</v>
      </c>
      <c r="E373" s="1">
        <f>Tabela18[[#This Row],[Força (N)]]/$I$5</f>
        <v>5362572.2735428987</v>
      </c>
      <c r="F373" s="1">
        <f>Tabela18[[#This Row],[Tensão (Pa)]]/1000000</f>
        <v>5.3625722735428987</v>
      </c>
    </row>
    <row r="374" spans="1:6" x14ac:dyDescent="0.3">
      <c r="A374" s="1">
        <v>47.283000000000001</v>
      </c>
      <c r="B374" s="1">
        <v>3.9325999999999999</v>
      </c>
      <c r="C374" s="1">
        <f>Tabela18[[#This Row],[Alongamento (mm/mm)]]/$I$2</f>
        <v>7.8652E-2</v>
      </c>
      <c r="D374" s="1">
        <v>260.08</v>
      </c>
      <c r="E374" s="1">
        <f>Tabela18[[#This Row],[Força (N)]]/$I$5</f>
        <v>5401408.9187213397</v>
      </c>
      <c r="F374" s="1">
        <f>Tabela18[[#This Row],[Tensão (Pa)]]/1000000</f>
        <v>5.4014089187213399</v>
      </c>
    </row>
    <row r="375" spans="1:6" x14ac:dyDescent="0.3">
      <c r="A375" s="1">
        <v>47.366999999999997</v>
      </c>
      <c r="B375" s="1">
        <v>3.9394</v>
      </c>
      <c r="C375" s="1">
        <f>Tabela18[[#This Row],[Alongamento (mm/mm)]]/$I$2</f>
        <v>7.8787999999999997E-2</v>
      </c>
      <c r="D375" s="1">
        <v>262.12</v>
      </c>
      <c r="E375" s="1">
        <f>Tabela18[[#This Row],[Força (N)]]/$I$5</f>
        <v>5443776.1680069119</v>
      </c>
      <c r="F375" s="1">
        <f>Tabela18[[#This Row],[Tensão (Pa)]]/1000000</f>
        <v>5.4437761680069121</v>
      </c>
    </row>
    <row r="376" spans="1:6" x14ac:dyDescent="0.3">
      <c r="A376" s="1">
        <v>47.466999999999999</v>
      </c>
      <c r="B376" s="1">
        <v>3.9478</v>
      </c>
      <c r="C376" s="1">
        <f>Tabela18[[#This Row],[Alongamento (mm/mm)]]/$I$2</f>
        <v>7.8955999999999998E-2</v>
      </c>
      <c r="D376" s="1">
        <v>264.33</v>
      </c>
      <c r="E376" s="1">
        <f>Tabela18[[#This Row],[Força (N)]]/$I$5</f>
        <v>5489674.0213996144</v>
      </c>
      <c r="F376" s="1">
        <f>Tabela18[[#This Row],[Tensão (Pa)]]/1000000</f>
        <v>5.4896740213996145</v>
      </c>
    </row>
    <row r="377" spans="1:6" x14ac:dyDescent="0.3">
      <c r="A377" s="1">
        <v>47.55</v>
      </c>
      <c r="B377" s="1">
        <v>3.9546999999999999</v>
      </c>
      <c r="C377" s="1">
        <f>Tabela18[[#This Row],[Alongamento (mm/mm)]]/$I$2</f>
        <v>7.9093999999999998E-2</v>
      </c>
      <c r="D377" s="1">
        <v>266.37</v>
      </c>
      <c r="E377" s="1">
        <f>Tabela18[[#This Row],[Força (N)]]/$I$5</f>
        <v>5532041.2706851866</v>
      </c>
      <c r="F377" s="1">
        <f>Tabela18[[#This Row],[Tensão (Pa)]]/1000000</f>
        <v>5.5320412706851867</v>
      </c>
    </row>
    <row r="378" spans="1:6" x14ac:dyDescent="0.3">
      <c r="A378" s="1">
        <v>47.65</v>
      </c>
      <c r="B378" s="1">
        <v>3.9630999999999998</v>
      </c>
      <c r="C378" s="1">
        <f>Tabela18[[#This Row],[Alongamento (mm/mm)]]/$I$2</f>
        <v>7.9261999999999999E-2</v>
      </c>
      <c r="D378" s="1">
        <v>268.58999999999997</v>
      </c>
      <c r="E378" s="1">
        <f>Tabela18[[#This Row],[Força (N)]]/$I$5</f>
        <v>5578146.8066724259</v>
      </c>
      <c r="F378" s="1">
        <f>Tabela18[[#This Row],[Tensão (Pa)]]/1000000</f>
        <v>5.578146806672426</v>
      </c>
    </row>
    <row r="379" spans="1:6" x14ac:dyDescent="0.3">
      <c r="A379" s="1">
        <v>47.732999999999997</v>
      </c>
      <c r="B379" s="1">
        <v>3.97</v>
      </c>
      <c r="C379" s="1">
        <f>Tabela18[[#This Row],[Alongamento (mm/mm)]]/$I$2</f>
        <v>7.9399999999999998E-2</v>
      </c>
      <c r="D379" s="1">
        <v>270.63</v>
      </c>
      <c r="E379" s="1">
        <f>Tabela18[[#This Row],[Força (N)]]/$I$5</f>
        <v>5620514.0559579981</v>
      </c>
      <c r="F379" s="1">
        <f>Tabela18[[#This Row],[Tensão (Pa)]]/1000000</f>
        <v>5.6205140559579982</v>
      </c>
    </row>
    <row r="380" spans="1:6" x14ac:dyDescent="0.3">
      <c r="A380" s="1">
        <v>47.817</v>
      </c>
      <c r="B380" s="1">
        <v>3.9769999999999999</v>
      </c>
      <c r="C380" s="1">
        <f>Tabela18[[#This Row],[Alongamento (mm/mm)]]/$I$2</f>
        <v>7.954E-2</v>
      </c>
      <c r="D380" s="1">
        <v>272.67</v>
      </c>
      <c r="E380" s="1">
        <f>Tabela18[[#This Row],[Força (N)]]/$I$5</f>
        <v>5662881.3052435704</v>
      </c>
      <c r="F380" s="1">
        <f>Tabela18[[#This Row],[Tensão (Pa)]]/1000000</f>
        <v>5.6628813052435705</v>
      </c>
    </row>
    <row r="381" spans="1:6" x14ac:dyDescent="0.3">
      <c r="A381" s="1">
        <v>47.917000000000002</v>
      </c>
      <c r="B381" s="1">
        <v>3.9853000000000001</v>
      </c>
      <c r="C381" s="1">
        <f>Tabela18[[#This Row],[Alongamento (mm/mm)]]/$I$2</f>
        <v>7.9705999999999999E-2</v>
      </c>
      <c r="D381" s="1">
        <v>275.05</v>
      </c>
      <c r="E381" s="1">
        <f>Tabela18[[#This Row],[Força (N)]]/$I$5</f>
        <v>5712309.7627434041</v>
      </c>
      <c r="F381" s="1">
        <f>Tabela18[[#This Row],[Tensão (Pa)]]/1000000</f>
        <v>5.7123097627434039</v>
      </c>
    </row>
    <row r="382" spans="1:6" x14ac:dyDescent="0.3">
      <c r="A382" s="1">
        <v>48.017000000000003</v>
      </c>
      <c r="B382" s="1">
        <v>3.9937</v>
      </c>
      <c r="C382" s="1">
        <f>Tabela18[[#This Row],[Alongamento (mm/mm)]]/$I$2</f>
        <v>7.9874000000000001E-2</v>
      </c>
      <c r="D382" s="1">
        <v>277.43</v>
      </c>
      <c r="E382" s="1">
        <f>Tabela18[[#This Row],[Força (N)]]/$I$5</f>
        <v>5761738.2202432379</v>
      </c>
      <c r="F382" s="1">
        <f>Tabela18[[#This Row],[Tensão (Pa)]]/1000000</f>
        <v>5.7617382202432381</v>
      </c>
    </row>
    <row r="383" spans="1:6" x14ac:dyDescent="0.3">
      <c r="A383" s="1">
        <v>48.1</v>
      </c>
      <c r="B383" s="1">
        <v>4.0006000000000004</v>
      </c>
      <c r="C383" s="1">
        <f>Tabela18[[#This Row],[Alongamento (mm/mm)]]/$I$2</f>
        <v>8.0012000000000014E-2</v>
      </c>
      <c r="D383" s="1">
        <v>279.47000000000003</v>
      </c>
      <c r="E383" s="1">
        <f>Tabela18[[#This Row],[Força (N)]]/$I$5</f>
        <v>5804105.4695288101</v>
      </c>
      <c r="F383" s="1">
        <f>Tabela18[[#This Row],[Tensão (Pa)]]/1000000</f>
        <v>5.8041054695288103</v>
      </c>
    </row>
    <row r="384" spans="1:6" x14ac:dyDescent="0.3">
      <c r="A384" s="1">
        <v>48.183</v>
      </c>
      <c r="B384" s="1">
        <v>4.0075000000000003</v>
      </c>
      <c r="C384" s="1">
        <f>Tabela18[[#This Row],[Alongamento (mm/mm)]]/$I$2</f>
        <v>8.0149999999999999E-2</v>
      </c>
      <c r="D384" s="1">
        <v>281.51</v>
      </c>
      <c r="E384" s="1">
        <f>Tabela18[[#This Row],[Força (N)]]/$I$5</f>
        <v>5846472.7188143814</v>
      </c>
      <c r="F384" s="1">
        <f>Tabela18[[#This Row],[Tensão (Pa)]]/1000000</f>
        <v>5.8464727188143817</v>
      </c>
    </row>
    <row r="385" spans="1:6" x14ac:dyDescent="0.3">
      <c r="A385" s="1">
        <v>48.267000000000003</v>
      </c>
      <c r="B385" s="1">
        <v>4.0145</v>
      </c>
      <c r="C385" s="1">
        <f>Tabela18[[#This Row],[Alongamento (mm/mm)]]/$I$2</f>
        <v>8.029E-2</v>
      </c>
      <c r="D385" s="1">
        <v>283.55</v>
      </c>
      <c r="E385" s="1">
        <f>Tabela18[[#This Row],[Força (N)]]/$I$5</f>
        <v>5888839.9680999536</v>
      </c>
      <c r="F385" s="1">
        <f>Tabela18[[#This Row],[Tensão (Pa)]]/1000000</f>
        <v>5.8888399680999539</v>
      </c>
    </row>
    <row r="386" spans="1:6" x14ac:dyDescent="0.3">
      <c r="A386" s="1">
        <v>48.35</v>
      </c>
      <c r="B386" s="1">
        <v>4.0214999999999996</v>
      </c>
      <c r="C386" s="1">
        <f>Tabela18[[#This Row],[Alongamento (mm/mm)]]/$I$2</f>
        <v>8.0429999999999988E-2</v>
      </c>
      <c r="D386" s="1">
        <v>285.60000000000002</v>
      </c>
      <c r="E386" s="1">
        <f>Tabela18[[#This Row],[Força (N)]]/$I$5</f>
        <v>5931414.8999800626</v>
      </c>
      <c r="F386" s="1">
        <f>Tabela18[[#This Row],[Tensão (Pa)]]/1000000</f>
        <v>5.9314148999800622</v>
      </c>
    </row>
    <row r="387" spans="1:6" x14ac:dyDescent="0.3">
      <c r="A387" s="1">
        <v>48.433</v>
      </c>
      <c r="B387" s="1">
        <v>4.0284000000000004</v>
      </c>
      <c r="C387" s="1">
        <f>Tabela18[[#This Row],[Alongamento (mm/mm)]]/$I$2</f>
        <v>8.0568000000000015E-2</v>
      </c>
      <c r="D387" s="1">
        <v>287.81</v>
      </c>
      <c r="E387" s="1">
        <f>Tabela18[[#This Row],[Força (N)]]/$I$5</f>
        <v>5977312.7533727651</v>
      </c>
      <c r="F387" s="1">
        <f>Tabela18[[#This Row],[Tensão (Pa)]]/1000000</f>
        <v>5.9773127533727655</v>
      </c>
    </row>
    <row r="388" spans="1:6" x14ac:dyDescent="0.3">
      <c r="A388" s="1">
        <v>48.517000000000003</v>
      </c>
      <c r="B388" s="1">
        <v>4.0354000000000001</v>
      </c>
      <c r="C388" s="1">
        <f>Tabela18[[#This Row],[Alongamento (mm/mm)]]/$I$2</f>
        <v>8.0708000000000002E-2</v>
      </c>
      <c r="D388" s="1">
        <v>289.85000000000002</v>
      </c>
      <c r="E388" s="1">
        <f>Tabela18[[#This Row],[Força (N)]]/$I$5</f>
        <v>6019680.0026583374</v>
      </c>
      <c r="F388" s="1">
        <f>Tabela18[[#This Row],[Tensão (Pa)]]/1000000</f>
        <v>6.0196800026583377</v>
      </c>
    </row>
    <row r="389" spans="1:6" x14ac:dyDescent="0.3">
      <c r="A389" s="1">
        <v>48.6</v>
      </c>
      <c r="B389" s="1">
        <v>4.0423</v>
      </c>
      <c r="C389" s="1">
        <f>Tabela18[[#This Row],[Alongamento (mm/mm)]]/$I$2</f>
        <v>8.0846000000000001E-2</v>
      </c>
      <c r="D389" s="1">
        <v>292.06</v>
      </c>
      <c r="E389" s="1">
        <f>Tabela18[[#This Row],[Força (N)]]/$I$5</f>
        <v>6065577.8560510399</v>
      </c>
      <c r="F389" s="1">
        <f>Tabela18[[#This Row],[Tensão (Pa)]]/1000000</f>
        <v>6.0655778560510401</v>
      </c>
    </row>
    <row r="390" spans="1:6" x14ac:dyDescent="0.3">
      <c r="A390" s="1">
        <v>48.683</v>
      </c>
      <c r="B390" s="1">
        <v>4.0491000000000001</v>
      </c>
      <c r="C390" s="1">
        <f>Tabela18[[#This Row],[Alongamento (mm/mm)]]/$I$2</f>
        <v>8.0981999999999998E-2</v>
      </c>
      <c r="D390" s="1">
        <v>294.10000000000002</v>
      </c>
      <c r="E390" s="1">
        <f>Tabela18[[#This Row],[Força (N)]]/$I$5</f>
        <v>6107945.1053366121</v>
      </c>
      <c r="F390" s="1">
        <f>Tabela18[[#This Row],[Tensão (Pa)]]/1000000</f>
        <v>6.1079451053366123</v>
      </c>
    </row>
    <row r="391" spans="1:6" x14ac:dyDescent="0.3">
      <c r="A391" s="1">
        <v>48.767000000000003</v>
      </c>
      <c r="B391" s="1">
        <v>4.0560999999999998</v>
      </c>
      <c r="C391" s="1">
        <f>Tabela18[[#This Row],[Alongamento (mm/mm)]]/$I$2</f>
        <v>8.1122E-2</v>
      </c>
      <c r="D391" s="1">
        <v>296.31</v>
      </c>
      <c r="E391" s="1">
        <f>Tabela18[[#This Row],[Força (N)]]/$I$5</f>
        <v>6153842.9587293146</v>
      </c>
      <c r="F391" s="1">
        <f>Tabela18[[#This Row],[Tensão (Pa)]]/1000000</f>
        <v>6.1538429587293146</v>
      </c>
    </row>
    <row r="392" spans="1:6" x14ac:dyDescent="0.3">
      <c r="A392" s="1">
        <v>48.85</v>
      </c>
      <c r="B392" s="1">
        <v>4.0631000000000004</v>
      </c>
      <c r="C392" s="1">
        <f>Tabela18[[#This Row],[Alongamento (mm/mm)]]/$I$2</f>
        <v>8.1262000000000001E-2</v>
      </c>
      <c r="D392" s="1">
        <v>298.52</v>
      </c>
      <c r="E392" s="1">
        <f>Tabela18[[#This Row],[Força (N)]]/$I$5</f>
        <v>6199740.8121220171</v>
      </c>
      <c r="F392" s="1">
        <f>Tabela18[[#This Row],[Tensão (Pa)]]/1000000</f>
        <v>6.199740812122017</v>
      </c>
    </row>
    <row r="393" spans="1:6" x14ac:dyDescent="0.3">
      <c r="A393" s="1">
        <v>48.933</v>
      </c>
      <c r="B393" s="1">
        <v>4.0701000000000001</v>
      </c>
      <c r="C393" s="1">
        <f>Tabela18[[#This Row],[Alongamento (mm/mm)]]/$I$2</f>
        <v>8.1402000000000002E-2</v>
      </c>
      <c r="D393" s="1">
        <v>300.73</v>
      </c>
      <c r="E393" s="1">
        <f>Tabela18[[#This Row],[Força (N)]]/$I$5</f>
        <v>6245638.6655147206</v>
      </c>
      <c r="F393" s="1">
        <f>Tabela18[[#This Row],[Tensão (Pa)]]/1000000</f>
        <v>6.2456386655147202</v>
      </c>
    </row>
    <row r="394" spans="1:6" x14ac:dyDescent="0.3">
      <c r="A394" s="1">
        <v>49.017000000000003</v>
      </c>
      <c r="B394" s="1">
        <v>4.0770999999999997</v>
      </c>
      <c r="C394" s="1">
        <f>Tabela18[[#This Row],[Alongamento (mm/mm)]]/$I$2</f>
        <v>8.1541999999999989E-2</v>
      </c>
      <c r="D394" s="1">
        <v>302.95</v>
      </c>
      <c r="E394" s="1">
        <f>Tabela18[[#This Row],[Força (N)]]/$I$5</f>
        <v>6291744.2015019609</v>
      </c>
      <c r="F394" s="1">
        <f>Tabela18[[#This Row],[Tensão (Pa)]]/1000000</f>
        <v>6.2917442015019605</v>
      </c>
    </row>
    <row r="395" spans="1:6" x14ac:dyDescent="0.3">
      <c r="A395" s="1">
        <v>49.1</v>
      </c>
      <c r="B395" s="1">
        <v>4.0838999999999999</v>
      </c>
      <c r="C395" s="1">
        <f>Tabela18[[#This Row],[Alongamento (mm/mm)]]/$I$2</f>
        <v>8.1678000000000001E-2</v>
      </c>
      <c r="D395" s="1">
        <v>305.16000000000003</v>
      </c>
      <c r="E395" s="1">
        <f>Tabela18[[#This Row],[Força (N)]]/$I$5</f>
        <v>6337642.0548946643</v>
      </c>
      <c r="F395" s="1">
        <f>Tabela18[[#This Row],[Tensão (Pa)]]/1000000</f>
        <v>6.3376420548946646</v>
      </c>
    </row>
    <row r="396" spans="1:6" x14ac:dyDescent="0.3">
      <c r="A396" s="1">
        <v>49.2</v>
      </c>
      <c r="B396" s="1">
        <v>4.0922999999999998</v>
      </c>
      <c r="C396" s="1">
        <f>Tabela18[[#This Row],[Alongamento (mm/mm)]]/$I$2</f>
        <v>8.1846000000000002E-2</v>
      </c>
      <c r="D396" s="1">
        <v>307.70999999999998</v>
      </c>
      <c r="E396" s="1">
        <f>Tabela18[[#This Row],[Força (N)]]/$I$5</f>
        <v>6390601.1165016275</v>
      </c>
      <c r="F396" s="1">
        <f>Tabela18[[#This Row],[Tensão (Pa)]]/1000000</f>
        <v>6.3906011165016272</v>
      </c>
    </row>
    <row r="397" spans="1:6" x14ac:dyDescent="0.3">
      <c r="A397" s="1">
        <v>49.3</v>
      </c>
      <c r="B397" s="1">
        <v>4.1006</v>
      </c>
      <c r="C397" s="1">
        <f>Tabela18[[#This Row],[Alongamento (mm/mm)]]/$I$2</f>
        <v>8.2012000000000002E-2</v>
      </c>
      <c r="D397" s="1">
        <v>310.43</v>
      </c>
      <c r="E397" s="1">
        <f>Tabela18[[#This Row],[Força (N)]]/$I$5</f>
        <v>6447090.7822157247</v>
      </c>
      <c r="F397" s="1">
        <f>Tabela18[[#This Row],[Tensão (Pa)]]/1000000</f>
        <v>6.4470907822157244</v>
      </c>
    </row>
    <row r="398" spans="1:6" x14ac:dyDescent="0.3">
      <c r="A398" s="1">
        <v>49.4</v>
      </c>
      <c r="B398" s="1">
        <v>4.109</v>
      </c>
      <c r="C398" s="1">
        <f>Tabela18[[#This Row],[Alongamento (mm/mm)]]/$I$2</f>
        <v>8.2180000000000003E-2</v>
      </c>
      <c r="D398" s="1">
        <v>312.98</v>
      </c>
      <c r="E398" s="1">
        <f>Tabela18[[#This Row],[Força (N)]]/$I$5</f>
        <v>6500049.8438226897</v>
      </c>
      <c r="F398" s="1">
        <f>Tabela18[[#This Row],[Tensão (Pa)]]/1000000</f>
        <v>6.5000498438226897</v>
      </c>
    </row>
    <row r="399" spans="1:6" x14ac:dyDescent="0.3">
      <c r="A399" s="1">
        <v>49.482999999999997</v>
      </c>
      <c r="B399" s="1">
        <v>4.1158999999999999</v>
      </c>
      <c r="C399" s="1">
        <f>Tabela18[[#This Row],[Alongamento (mm/mm)]]/$I$2</f>
        <v>8.2318000000000002E-2</v>
      </c>
      <c r="D399" s="1">
        <v>315.36</v>
      </c>
      <c r="E399" s="1">
        <f>Tabela18[[#This Row],[Força (N)]]/$I$5</f>
        <v>6549478.3013225235</v>
      </c>
      <c r="F399" s="1">
        <f>Tabela18[[#This Row],[Tensão (Pa)]]/1000000</f>
        <v>6.5494783013225231</v>
      </c>
    </row>
    <row r="400" spans="1:6" x14ac:dyDescent="0.3">
      <c r="A400" s="1">
        <v>49.582999999999998</v>
      </c>
      <c r="B400" s="1">
        <v>4.1242000000000001</v>
      </c>
      <c r="C400" s="1">
        <f>Tabela18[[#This Row],[Alongamento (mm/mm)]]/$I$2</f>
        <v>8.2484000000000002E-2</v>
      </c>
      <c r="D400" s="1">
        <v>318.08</v>
      </c>
      <c r="E400" s="1">
        <f>Tabela18[[#This Row],[Força (N)]]/$I$5</f>
        <v>6605967.9670366189</v>
      </c>
      <c r="F400" s="1">
        <f>Tabela18[[#This Row],[Tensão (Pa)]]/1000000</f>
        <v>6.6059679670366185</v>
      </c>
    </row>
    <row r="401" spans="1:6" x14ac:dyDescent="0.3">
      <c r="A401" s="1">
        <v>49.667000000000002</v>
      </c>
      <c r="B401" s="1">
        <v>4.1311</v>
      </c>
      <c r="C401" s="1">
        <f>Tabela18[[#This Row],[Alongamento (mm/mm)]]/$I$2</f>
        <v>8.2622000000000001E-2</v>
      </c>
      <c r="D401" s="1">
        <v>320.47000000000003</v>
      </c>
      <c r="E401" s="1">
        <f>Tabela18[[#This Row],[Força (N)]]/$I$5</f>
        <v>6655604.1071309904</v>
      </c>
      <c r="F401" s="1">
        <f>Tabela18[[#This Row],[Tensão (Pa)]]/1000000</f>
        <v>6.6556041071309906</v>
      </c>
    </row>
    <row r="402" spans="1:6" x14ac:dyDescent="0.3">
      <c r="A402" s="1">
        <v>49.767000000000003</v>
      </c>
      <c r="B402" s="1">
        <v>4.1395</v>
      </c>
      <c r="C402" s="1">
        <f>Tabela18[[#This Row],[Alongamento (mm/mm)]]/$I$2</f>
        <v>8.2790000000000002E-2</v>
      </c>
      <c r="D402" s="1">
        <v>323.19</v>
      </c>
      <c r="E402" s="1">
        <f>Tabela18[[#This Row],[Força (N)]]/$I$5</f>
        <v>6712093.7728450857</v>
      </c>
      <c r="F402" s="1">
        <f>Tabela18[[#This Row],[Tensão (Pa)]]/1000000</f>
        <v>6.712093772845086</v>
      </c>
    </row>
    <row r="403" spans="1:6" x14ac:dyDescent="0.3">
      <c r="A403" s="1">
        <v>49.85</v>
      </c>
      <c r="B403" s="1">
        <v>4.1463999999999999</v>
      </c>
      <c r="C403" s="1">
        <f>Tabela18[[#This Row],[Alongamento (mm/mm)]]/$I$2</f>
        <v>8.2928000000000002E-2</v>
      </c>
      <c r="D403" s="1">
        <v>325.57</v>
      </c>
      <c r="E403" s="1">
        <f>Tabela18[[#This Row],[Força (N)]]/$I$5</f>
        <v>6761522.2303449195</v>
      </c>
      <c r="F403" s="1">
        <f>Tabela18[[#This Row],[Tensão (Pa)]]/1000000</f>
        <v>6.7615222303449194</v>
      </c>
    </row>
    <row r="404" spans="1:6" x14ac:dyDescent="0.3">
      <c r="A404" s="1">
        <v>49.95</v>
      </c>
      <c r="B404" s="1">
        <v>4.1547999999999998</v>
      </c>
      <c r="C404" s="1">
        <f>Tabela18[[#This Row],[Alongamento (mm/mm)]]/$I$2</f>
        <v>8.3096000000000003E-2</v>
      </c>
      <c r="D404" s="1">
        <v>328.29</v>
      </c>
      <c r="E404" s="1">
        <f>Tabela18[[#This Row],[Força (N)]]/$I$5</f>
        <v>6818011.8960590158</v>
      </c>
      <c r="F404" s="1">
        <f>Tabela18[[#This Row],[Tensão (Pa)]]/1000000</f>
        <v>6.8180118960590157</v>
      </c>
    </row>
    <row r="405" spans="1:6" x14ac:dyDescent="0.3">
      <c r="A405" s="1">
        <v>50.033000000000001</v>
      </c>
      <c r="B405" s="1">
        <v>4.1616999999999997</v>
      </c>
      <c r="C405" s="1">
        <f>Tabela18[[#This Row],[Alongamento (mm/mm)]]/$I$2</f>
        <v>8.3233999999999989E-2</v>
      </c>
      <c r="D405" s="1">
        <v>330.67</v>
      </c>
      <c r="E405" s="1">
        <f>Tabela18[[#This Row],[Força (N)]]/$I$5</f>
        <v>6867440.3535588495</v>
      </c>
      <c r="F405" s="1">
        <f>Tabela18[[#This Row],[Tensão (Pa)]]/1000000</f>
        <v>6.86744035355885</v>
      </c>
    </row>
    <row r="406" spans="1:6" x14ac:dyDescent="0.3">
      <c r="A406" s="1">
        <v>50.116999999999997</v>
      </c>
      <c r="B406" s="1">
        <v>4.1687000000000003</v>
      </c>
      <c r="C406" s="1">
        <f>Tabela18[[#This Row],[Alongamento (mm/mm)]]/$I$2</f>
        <v>8.3374000000000004E-2</v>
      </c>
      <c r="D406" s="1">
        <v>333.05</v>
      </c>
      <c r="E406" s="1">
        <f>Tabela18[[#This Row],[Força (N)]]/$I$5</f>
        <v>6916868.8110586833</v>
      </c>
      <c r="F406" s="1">
        <f>Tabela18[[#This Row],[Tensão (Pa)]]/1000000</f>
        <v>6.9168688110586833</v>
      </c>
    </row>
    <row r="407" spans="1:6" x14ac:dyDescent="0.3">
      <c r="A407" s="1">
        <v>50.2</v>
      </c>
      <c r="B407" s="1">
        <v>4.1756000000000002</v>
      </c>
      <c r="C407" s="1">
        <f>Tabela18[[#This Row],[Alongamento (mm/mm)]]/$I$2</f>
        <v>8.3512000000000003E-2</v>
      </c>
      <c r="D407" s="1">
        <v>335.43</v>
      </c>
      <c r="E407" s="1">
        <f>Tabela18[[#This Row],[Força (N)]]/$I$5</f>
        <v>6966297.2685585171</v>
      </c>
      <c r="F407" s="1">
        <f>Tabela18[[#This Row],[Tensão (Pa)]]/1000000</f>
        <v>6.9662972685585167</v>
      </c>
    </row>
    <row r="408" spans="1:6" x14ac:dyDescent="0.3">
      <c r="A408" s="1">
        <v>50.283000000000001</v>
      </c>
      <c r="B408" s="1">
        <v>4.1825000000000001</v>
      </c>
      <c r="C408" s="1">
        <f>Tabela18[[#This Row],[Alongamento (mm/mm)]]/$I$2</f>
        <v>8.3650000000000002E-2</v>
      </c>
      <c r="D408" s="1">
        <v>337.82</v>
      </c>
      <c r="E408" s="1">
        <f>Tabela18[[#This Row],[Força (N)]]/$I$5</f>
        <v>7015933.4086528877</v>
      </c>
      <c r="F408" s="1">
        <f>Tabela18[[#This Row],[Tensão (Pa)]]/1000000</f>
        <v>7.0159334086528879</v>
      </c>
    </row>
    <row r="409" spans="1:6" x14ac:dyDescent="0.3">
      <c r="A409" s="1">
        <v>50.366999999999997</v>
      </c>
      <c r="B409" s="1">
        <v>4.1894999999999998</v>
      </c>
      <c r="C409" s="1">
        <f>Tabela18[[#This Row],[Alongamento (mm/mm)]]/$I$2</f>
        <v>8.3789999999999989E-2</v>
      </c>
      <c r="D409" s="1">
        <v>340.2</v>
      </c>
      <c r="E409" s="1">
        <f>Tabela18[[#This Row],[Força (N)]]/$I$5</f>
        <v>7065361.8661527215</v>
      </c>
      <c r="F409" s="1">
        <f>Tabela18[[#This Row],[Tensão (Pa)]]/1000000</f>
        <v>7.0653618661527213</v>
      </c>
    </row>
    <row r="410" spans="1:6" x14ac:dyDescent="0.3">
      <c r="A410" s="1">
        <v>50.45</v>
      </c>
      <c r="B410" s="1">
        <v>4.1965000000000003</v>
      </c>
      <c r="C410" s="1">
        <f>Tabela18[[#This Row],[Alongamento (mm/mm)]]/$I$2</f>
        <v>8.3930000000000005E-2</v>
      </c>
      <c r="D410" s="1">
        <v>342.58</v>
      </c>
      <c r="E410" s="1">
        <f>Tabela18[[#This Row],[Força (N)]]/$I$5</f>
        <v>7114790.3236525552</v>
      </c>
      <c r="F410" s="1">
        <f>Tabela18[[#This Row],[Tensão (Pa)]]/1000000</f>
        <v>7.1147903236525556</v>
      </c>
    </row>
    <row r="411" spans="1:6" x14ac:dyDescent="0.3">
      <c r="A411" s="1">
        <v>50.533000000000001</v>
      </c>
      <c r="B411" s="1">
        <v>4.2032999999999996</v>
      </c>
      <c r="C411" s="1">
        <f>Tabela18[[#This Row],[Alongamento (mm/mm)]]/$I$2</f>
        <v>8.4065999999999988E-2</v>
      </c>
      <c r="D411" s="1">
        <v>344.96</v>
      </c>
      <c r="E411" s="1">
        <f>Tabela18[[#This Row],[Força (N)]]/$I$5</f>
        <v>7164218.781152389</v>
      </c>
      <c r="F411" s="1">
        <f>Tabela18[[#This Row],[Tensão (Pa)]]/1000000</f>
        <v>7.164218781152389</v>
      </c>
    </row>
    <row r="412" spans="1:6" x14ac:dyDescent="0.3">
      <c r="A412" s="1">
        <v>50.616999999999997</v>
      </c>
      <c r="B412" s="1">
        <v>4.2103000000000002</v>
      </c>
      <c r="C412" s="1">
        <f>Tabela18[[#This Row],[Alongamento (mm/mm)]]/$I$2</f>
        <v>8.4206000000000003E-2</v>
      </c>
      <c r="D412" s="1">
        <v>347.34</v>
      </c>
      <c r="E412" s="1">
        <f>Tabela18[[#This Row],[Força (N)]]/$I$5</f>
        <v>7213647.2386522228</v>
      </c>
      <c r="F412" s="1">
        <f>Tabela18[[#This Row],[Tensão (Pa)]]/1000000</f>
        <v>7.2136472386522223</v>
      </c>
    </row>
    <row r="413" spans="1:6" x14ac:dyDescent="0.3">
      <c r="A413" s="1">
        <v>50.7</v>
      </c>
      <c r="B413" s="1">
        <v>4.2172999999999998</v>
      </c>
      <c r="C413" s="1">
        <f>Tabela18[[#This Row],[Alongamento (mm/mm)]]/$I$2</f>
        <v>8.434599999999999E-2</v>
      </c>
      <c r="D413" s="1">
        <v>349.72</v>
      </c>
      <c r="E413" s="1">
        <f>Tabela18[[#This Row],[Força (N)]]/$I$5</f>
        <v>7263075.6961520575</v>
      </c>
      <c r="F413" s="1">
        <f>Tabela18[[#This Row],[Tensão (Pa)]]/1000000</f>
        <v>7.2630756961520575</v>
      </c>
    </row>
    <row r="414" spans="1:6" x14ac:dyDescent="0.3">
      <c r="A414" s="1">
        <v>50.8</v>
      </c>
      <c r="B414" s="1">
        <v>4.2256</v>
      </c>
      <c r="C414" s="1">
        <f>Tabela18[[#This Row],[Alongamento (mm/mm)]]/$I$2</f>
        <v>8.4512000000000004E-2</v>
      </c>
      <c r="D414" s="1">
        <v>352.61</v>
      </c>
      <c r="E414" s="1">
        <f>Tabela18[[#This Row],[Força (N)]]/$I$5</f>
        <v>7323095.9659732841</v>
      </c>
      <c r="F414" s="1">
        <f>Tabela18[[#This Row],[Tensão (Pa)]]/1000000</f>
        <v>7.3230959659732839</v>
      </c>
    </row>
    <row r="415" spans="1:6" x14ac:dyDescent="0.3">
      <c r="A415" s="1">
        <v>50.9</v>
      </c>
      <c r="B415" s="1">
        <v>4.234</v>
      </c>
      <c r="C415" s="1">
        <f>Tabela18[[#This Row],[Alongamento (mm/mm)]]/$I$2</f>
        <v>8.4680000000000005E-2</v>
      </c>
      <c r="D415" s="1">
        <v>355.51</v>
      </c>
      <c r="E415" s="1">
        <f>Tabela18[[#This Row],[Força (N)]]/$I$5</f>
        <v>7383323.9183890475</v>
      </c>
      <c r="F415" s="1">
        <f>Tabela18[[#This Row],[Tensão (Pa)]]/1000000</f>
        <v>7.3833239183890473</v>
      </c>
    </row>
    <row r="416" spans="1:6" x14ac:dyDescent="0.3">
      <c r="A416" s="1">
        <v>51</v>
      </c>
      <c r="B416" s="1">
        <v>4.2422000000000004</v>
      </c>
      <c r="C416" s="1">
        <f>Tabela18[[#This Row],[Alongamento (mm/mm)]]/$I$2</f>
        <v>8.4844000000000003E-2</v>
      </c>
      <c r="D416" s="1">
        <v>358.23</v>
      </c>
      <c r="E416" s="1">
        <f>Tabela18[[#This Row],[Força (N)]]/$I$5</f>
        <v>7439813.5841031438</v>
      </c>
      <c r="F416" s="1">
        <f>Tabela18[[#This Row],[Tensão (Pa)]]/1000000</f>
        <v>7.4398135841031436</v>
      </c>
    </row>
    <row r="417" spans="1:6" x14ac:dyDescent="0.3">
      <c r="A417" s="1">
        <v>51.1</v>
      </c>
      <c r="B417" s="1">
        <v>4.2504999999999997</v>
      </c>
      <c r="C417" s="1">
        <f>Tabela18[[#This Row],[Alongamento (mm/mm)]]/$I$2</f>
        <v>8.5009999999999988E-2</v>
      </c>
      <c r="D417" s="1">
        <v>361.12</v>
      </c>
      <c r="E417" s="1">
        <f>Tabela18[[#This Row],[Força (N)]]/$I$5</f>
        <v>7499833.8539243704</v>
      </c>
      <c r="F417" s="1">
        <f>Tabela18[[#This Row],[Tensão (Pa)]]/1000000</f>
        <v>7.4998338539243701</v>
      </c>
    </row>
    <row r="418" spans="1:6" x14ac:dyDescent="0.3">
      <c r="A418" s="1">
        <v>51.2</v>
      </c>
      <c r="B418" s="1">
        <v>4.2590000000000003</v>
      </c>
      <c r="C418" s="1">
        <f>Tabela18[[#This Row],[Alongamento (mm/mm)]]/$I$2</f>
        <v>8.5180000000000006E-2</v>
      </c>
      <c r="D418" s="1">
        <v>364.01</v>
      </c>
      <c r="E418" s="1">
        <f>Tabela18[[#This Row],[Força (N)]]/$I$5</f>
        <v>7559854.123745597</v>
      </c>
      <c r="F418" s="1">
        <f>Tabela18[[#This Row],[Tensão (Pa)]]/1000000</f>
        <v>7.5598541237455974</v>
      </c>
    </row>
    <row r="419" spans="1:6" x14ac:dyDescent="0.3">
      <c r="A419" s="1">
        <v>51.3</v>
      </c>
      <c r="B419" s="1">
        <v>4.2672999999999996</v>
      </c>
      <c r="C419" s="1">
        <f>Tabela18[[#This Row],[Alongamento (mm/mm)]]/$I$2</f>
        <v>8.5345999999999991E-2</v>
      </c>
      <c r="D419" s="1">
        <v>366.9</v>
      </c>
      <c r="E419" s="1">
        <f>Tabela18[[#This Row],[Força (N)]]/$I$5</f>
        <v>7619874.3935668236</v>
      </c>
      <c r="F419" s="1">
        <f>Tabela18[[#This Row],[Tensão (Pa)]]/1000000</f>
        <v>7.6198743935668238</v>
      </c>
    </row>
    <row r="420" spans="1:6" x14ac:dyDescent="0.3">
      <c r="A420" s="1">
        <v>51.4</v>
      </c>
      <c r="B420" s="1">
        <v>4.2755999999999998</v>
      </c>
      <c r="C420" s="1">
        <f>Tabela18[[#This Row],[Alongamento (mm/mm)]]/$I$2</f>
        <v>8.5511999999999991E-2</v>
      </c>
      <c r="D420" s="1">
        <v>369.62</v>
      </c>
      <c r="E420" s="1">
        <f>Tabela18[[#This Row],[Força (N)]]/$I$5</f>
        <v>7676364.0592809198</v>
      </c>
      <c r="F420" s="1">
        <f>Tabela18[[#This Row],[Tensão (Pa)]]/1000000</f>
        <v>7.6763640592809201</v>
      </c>
    </row>
    <row r="421" spans="1:6" x14ac:dyDescent="0.3">
      <c r="A421" s="1">
        <v>51.5</v>
      </c>
      <c r="B421" s="1">
        <v>4.2839999999999998</v>
      </c>
      <c r="C421" s="1">
        <f>Tabela18[[#This Row],[Alongamento (mm/mm)]]/$I$2</f>
        <v>8.5679999999999992E-2</v>
      </c>
      <c r="D421" s="1">
        <v>372.52</v>
      </c>
      <c r="E421" s="1">
        <f>Tabela18[[#This Row],[Força (N)]]/$I$5</f>
        <v>7736592.0116966832</v>
      </c>
      <c r="F421" s="1">
        <f>Tabela18[[#This Row],[Tensão (Pa)]]/1000000</f>
        <v>7.7365920116966835</v>
      </c>
    </row>
    <row r="422" spans="1:6" x14ac:dyDescent="0.3">
      <c r="A422" s="1">
        <v>51.6</v>
      </c>
      <c r="B422" s="1">
        <v>4.2922000000000002</v>
      </c>
      <c r="C422" s="1">
        <f>Tabela18[[#This Row],[Alongamento (mm/mm)]]/$I$2</f>
        <v>8.5844000000000004E-2</v>
      </c>
      <c r="D422" s="1">
        <v>375.24</v>
      </c>
      <c r="E422" s="1">
        <f>Tabela18[[#This Row],[Força (N)]]/$I$5</f>
        <v>7793081.6774107795</v>
      </c>
      <c r="F422" s="1">
        <f>Tabela18[[#This Row],[Tensão (Pa)]]/1000000</f>
        <v>7.7930816774107798</v>
      </c>
    </row>
    <row r="423" spans="1:6" x14ac:dyDescent="0.3">
      <c r="A423" s="1">
        <v>51.7</v>
      </c>
      <c r="B423" s="1">
        <v>4.3007</v>
      </c>
      <c r="C423" s="1">
        <f>Tabela18[[#This Row],[Alongamento (mm/mm)]]/$I$2</f>
        <v>8.6013999999999993E-2</v>
      </c>
      <c r="D423" s="1">
        <v>378.13</v>
      </c>
      <c r="E423" s="1">
        <f>Tabela18[[#This Row],[Força (N)]]/$I$5</f>
        <v>7853101.9472320061</v>
      </c>
      <c r="F423" s="1">
        <f>Tabela18[[#This Row],[Tensão (Pa)]]/1000000</f>
        <v>7.8531019472320063</v>
      </c>
    </row>
    <row r="424" spans="1:6" x14ac:dyDescent="0.3">
      <c r="A424" s="1">
        <v>51.8</v>
      </c>
      <c r="B424" s="1">
        <v>4.3090000000000002</v>
      </c>
      <c r="C424" s="1">
        <f>Tabela18[[#This Row],[Alongamento (mm/mm)]]/$I$2</f>
        <v>8.6180000000000007E-2</v>
      </c>
      <c r="D424" s="1">
        <v>381.02</v>
      </c>
      <c r="E424" s="1">
        <f>Tabela18[[#This Row],[Força (N)]]/$I$5</f>
        <v>7913122.2170532327</v>
      </c>
      <c r="F424" s="1">
        <f>Tabela18[[#This Row],[Tensão (Pa)]]/1000000</f>
        <v>7.9131222170532327</v>
      </c>
    </row>
    <row r="425" spans="1:6" x14ac:dyDescent="0.3">
      <c r="A425" s="1">
        <v>51.9</v>
      </c>
      <c r="B425" s="1">
        <v>4.3171999999999997</v>
      </c>
      <c r="C425" s="1">
        <f>Tabela18[[#This Row],[Alongamento (mm/mm)]]/$I$2</f>
        <v>8.634399999999999E-2</v>
      </c>
      <c r="D425" s="1">
        <v>383.91</v>
      </c>
      <c r="E425" s="1">
        <f>Tabela18[[#This Row],[Força (N)]]/$I$5</f>
        <v>7973142.4868744612</v>
      </c>
      <c r="F425" s="1">
        <f>Tabela18[[#This Row],[Tensão (Pa)]]/1000000</f>
        <v>7.9731424868744609</v>
      </c>
    </row>
    <row r="426" spans="1:6" x14ac:dyDescent="0.3">
      <c r="A426" s="1">
        <v>52</v>
      </c>
      <c r="B426" s="1">
        <v>4.3255999999999997</v>
      </c>
      <c r="C426" s="1">
        <f>Tabela18[[#This Row],[Alongamento (mm/mm)]]/$I$2</f>
        <v>8.6511999999999992E-2</v>
      </c>
      <c r="D426" s="1">
        <v>386.8</v>
      </c>
      <c r="E426" s="1">
        <f>Tabela18[[#This Row],[Força (N)]]/$I$5</f>
        <v>8033162.7566956868</v>
      </c>
      <c r="F426" s="1">
        <f>Tabela18[[#This Row],[Tensão (Pa)]]/1000000</f>
        <v>8.0331627566956865</v>
      </c>
    </row>
    <row r="427" spans="1:6" x14ac:dyDescent="0.3">
      <c r="A427" s="1">
        <v>52.1</v>
      </c>
      <c r="B427" s="1">
        <v>4.3338999999999999</v>
      </c>
      <c r="C427" s="1">
        <f>Tabela18[[#This Row],[Alongamento (mm/mm)]]/$I$2</f>
        <v>8.6677999999999991E-2</v>
      </c>
      <c r="D427" s="1">
        <v>389.7</v>
      </c>
      <c r="E427" s="1">
        <f>Tabela18[[#This Row],[Força (N)]]/$I$5</f>
        <v>8093390.7091114512</v>
      </c>
      <c r="F427" s="1">
        <f>Tabela18[[#This Row],[Tensão (Pa)]]/1000000</f>
        <v>8.0933907091114516</v>
      </c>
    </row>
    <row r="428" spans="1:6" x14ac:dyDescent="0.3">
      <c r="A428" s="1">
        <v>52.2</v>
      </c>
      <c r="B428" s="1">
        <v>4.3422999999999998</v>
      </c>
      <c r="C428" s="1">
        <f>Tabela18[[#This Row],[Alongamento (mm/mm)]]/$I$2</f>
        <v>8.6845999999999993E-2</v>
      </c>
      <c r="D428" s="1">
        <v>392.59</v>
      </c>
      <c r="E428" s="1">
        <f>Tabela18[[#This Row],[Força (N)]]/$I$5</f>
        <v>8153410.9789326768</v>
      </c>
      <c r="F428" s="1">
        <f>Tabela18[[#This Row],[Tensão (Pa)]]/1000000</f>
        <v>8.1534109789326763</v>
      </c>
    </row>
    <row r="429" spans="1:6" x14ac:dyDescent="0.3">
      <c r="A429" s="1">
        <v>52.317</v>
      </c>
      <c r="B429" s="1">
        <v>4.3520000000000003</v>
      </c>
      <c r="C429" s="1">
        <f>Tabela18[[#This Row],[Alongamento (mm/mm)]]/$I$2</f>
        <v>8.7040000000000006E-2</v>
      </c>
      <c r="D429" s="1">
        <v>395.99</v>
      </c>
      <c r="E429" s="1">
        <f>Tabela18[[#This Row],[Força (N)]]/$I$5</f>
        <v>8224023.0610752981</v>
      </c>
      <c r="F429" s="1">
        <f>Tabela18[[#This Row],[Tensão (Pa)]]/1000000</f>
        <v>8.2240230610752985</v>
      </c>
    </row>
    <row r="430" spans="1:6" x14ac:dyDescent="0.3">
      <c r="A430" s="1">
        <v>52.417000000000002</v>
      </c>
      <c r="B430" s="1">
        <v>4.3602999999999996</v>
      </c>
      <c r="C430" s="1">
        <f>Tabela18[[#This Row],[Alongamento (mm/mm)]]/$I$2</f>
        <v>8.7205999999999992E-2</v>
      </c>
      <c r="D430" s="1">
        <v>399.05</v>
      </c>
      <c r="E430" s="1">
        <f>Tabela18[[#This Row],[Força (N)]]/$I$5</f>
        <v>8287573.935003656</v>
      </c>
      <c r="F430" s="1">
        <f>Tabela18[[#This Row],[Tensão (Pa)]]/1000000</f>
        <v>8.2875739350036568</v>
      </c>
    </row>
    <row r="431" spans="1:6" x14ac:dyDescent="0.3">
      <c r="A431" s="1">
        <v>52.533000000000001</v>
      </c>
      <c r="B431" s="1">
        <v>4.37</v>
      </c>
      <c r="C431" s="1">
        <f>Tabela18[[#This Row],[Alongamento (mm/mm)]]/$I$2</f>
        <v>8.7400000000000005E-2</v>
      </c>
      <c r="D431" s="1">
        <v>402.45</v>
      </c>
      <c r="E431" s="1">
        <f>Tabela18[[#This Row],[Força (N)]]/$I$5</f>
        <v>8358186.0171462754</v>
      </c>
      <c r="F431" s="1">
        <f>Tabela18[[#This Row],[Tensão (Pa)]]/1000000</f>
        <v>8.3581860171462754</v>
      </c>
    </row>
    <row r="432" spans="1:6" x14ac:dyDescent="0.3">
      <c r="A432" s="1">
        <v>52.65</v>
      </c>
      <c r="B432" s="1">
        <v>4.3796999999999997</v>
      </c>
      <c r="C432" s="1">
        <f>Tabela18[[#This Row],[Alongamento (mm/mm)]]/$I$2</f>
        <v>8.7593999999999991E-2</v>
      </c>
      <c r="D432" s="1">
        <v>405.86</v>
      </c>
      <c r="E432" s="1">
        <f>Tabela18[[#This Row],[Força (N)]]/$I$5</f>
        <v>8429005.7818834316</v>
      </c>
      <c r="F432" s="1">
        <f>Tabela18[[#This Row],[Tensão (Pa)]]/1000000</f>
        <v>8.429005781883431</v>
      </c>
    </row>
    <row r="433" spans="1:6" x14ac:dyDescent="0.3">
      <c r="A433" s="1">
        <v>52.75</v>
      </c>
      <c r="B433" s="1">
        <v>4.3880999999999997</v>
      </c>
      <c r="C433" s="1">
        <f>Tabela18[[#This Row],[Alongamento (mm/mm)]]/$I$2</f>
        <v>8.7761999999999993E-2</v>
      </c>
      <c r="D433" s="1">
        <v>408.92</v>
      </c>
      <c r="E433" s="1">
        <f>Tabela18[[#This Row],[Força (N)]]/$I$5</f>
        <v>8492556.6558117904</v>
      </c>
      <c r="F433" s="1">
        <f>Tabela18[[#This Row],[Tensão (Pa)]]/1000000</f>
        <v>8.4925566558117911</v>
      </c>
    </row>
    <row r="434" spans="1:6" x14ac:dyDescent="0.3">
      <c r="A434" s="1">
        <v>52.866999999999997</v>
      </c>
      <c r="B434" s="1">
        <v>4.3978000000000002</v>
      </c>
      <c r="C434" s="1">
        <f>Tabela18[[#This Row],[Alongamento (mm/mm)]]/$I$2</f>
        <v>8.7956000000000006E-2</v>
      </c>
      <c r="D434" s="1">
        <v>412.32</v>
      </c>
      <c r="E434" s="1">
        <f>Tabela18[[#This Row],[Força (N)]]/$I$5</f>
        <v>8563168.7379544098</v>
      </c>
      <c r="F434" s="1">
        <f>Tabela18[[#This Row],[Tensão (Pa)]]/1000000</f>
        <v>8.5631687379544097</v>
      </c>
    </row>
    <row r="435" spans="1:6" x14ac:dyDescent="0.3">
      <c r="A435" s="1">
        <v>52.966999999999999</v>
      </c>
      <c r="B435" s="1">
        <v>4.4061000000000003</v>
      </c>
      <c r="C435" s="1">
        <f>Tabela18[[#This Row],[Alongamento (mm/mm)]]/$I$2</f>
        <v>8.8122000000000006E-2</v>
      </c>
      <c r="D435" s="1">
        <v>415.38</v>
      </c>
      <c r="E435" s="1">
        <f>Tabela18[[#This Row],[Força (N)]]/$I$5</f>
        <v>8626719.6118827667</v>
      </c>
      <c r="F435" s="1">
        <f>Tabela18[[#This Row],[Tensão (Pa)]]/1000000</f>
        <v>8.6267196118827663</v>
      </c>
    </row>
    <row r="436" spans="1:6" x14ac:dyDescent="0.3">
      <c r="A436" s="1">
        <v>53.067</v>
      </c>
      <c r="B436" s="1">
        <v>4.4145000000000003</v>
      </c>
      <c r="C436" s="1">
        <f>Tabela18[[#This Row],[Alongamento (mm/mm)]]/$I$2</f>
        <v>8.8290000000000007E-2</v>
      </c>
      <c r="D436" s="1">
        <v>418.44</v>
      </c>
      <c r="E436" s="1">
        <f>Tabela18[[#This Row],[Força (N)]]/$I$5</f>
        <v>8690270.4858111255</v>
      </c>
      <c r="F436" s="1">
        <f>Tabela18[[#This Row],[Tensão (Pa)]]/1000000</f>
        <v>8.6902704858111246</v>
      </c>
    </row>
    <row r="437" spans="1:6" x14ac:dyDescent="0.3">
      <c r="A437" s="1">
        <v>53.167000000000002</v>
      </c>
      <c r="B437" s="1">
        <v>4.4229000000000003</v>
      </c>
      <c r="C437" s="1">
        <f>Tabela18[[#This Row],[Alongamento (mm/mm)]]/$I$2</f>
        <v>8.8458000000000009E-2</v>
      </c>
      <c r="D437" s="1">
        <v>421.5</v>
      </c>
      <c r="E437" s="1">
        <f>Tabela18[[#This Row],[Força (N)]]/$I$5</f>
        <v>8753821.3597394824</v>
      </c>
      <c r="F437" s="1">
        <f>Tabela18[[#This Row],[Tensão (Pa)]]/1000000</f>
        <v>8.7538213597394829</v>
      </c>
    </row>
    <row r="438" spans="1:6" x14ac:dyDescent="0.3">
      <c r="A438" s="1">
        <v>53.283000000000001</v>
      </c>
      <c r="B438" s="1">
        <v>4.4325000000000001</v>
      </c>
      <c r="C438" s="1">
        <f>Tabela18[[#This Row],[Alongamento (mm/mm)]]/$I$2</f>
        <v>8.8650000000000007E-2</v>
      </c>
      <c r="D438" s="1">
        <v>424.91</v>
      </c>
      <c r="E438" s="1">
        <f>Tabela18[[#This Row],[Força (N)]]/$I$5</f>
        <v>8824641.1244766414</v>
      </c>
      <c r="F438" s="1">
        <f>Tabela18[[#This Row],[Tensão (Pa)]]/1000000</f>
        <v>8.8246411244766421</v>
      </c>
    </row>
    <row r="439" spans="1:6" x14ac:dyDescent="0.3">
      <c r="A439" s="1">
        <v>53.383000000000003</v>
      </c>
      <c r="B439" s="1">
        <v>4.4409000000000001</v>
      </c>
      <c r="C439" s="1">
        <f>Tabela18[[#This Row],[Alongamento (mm/mm)]]/$I$2</f>
        <v>8.8818000000000008E-2</v>
      </c>
      <c r="D439" s="1">
        <v>427.97</v>
      </c>
      <c r="E439" s="1">
        <f>Tabela18[[#This Row],[Força (N)]]/$I$5</f>
        <v>8888191.9984049983</v>
      </c>
      <c r="F439" s="1">
        <f>Tabela18[[#This Row],[Tensão (Pa)]]/1000000</f>
        <v>8.8881919984049986</v>
      </c>
    </row>
    <row r="440" spans="1:6" x14ac:dyDescent="0.3">
      <c r="A440" s="1">
        <v>53.482999999999997</v>
      </c>
      <c r="B440" s="1">
        <v>4.4493</v>
      </c>
      <c r="C440" s="1">
        <f>Tabela18[[#This Row],[Alongamento (mm/mm)]]/$I$2</f>
        <v>8.8985999999999996E-2</v>
      </c>
      <c r="D440" s="1">
        <v>431.03</v>
      </c>
      <c r="E440" s="1">
        <f>Tabela18[[#This Row],[Força (N)]]/$I$5</f>
        <v>8951742.8723333552</v>
      </c>
      <c r="F440" s="1">
        <f>Tabela18[[#This Row],[Tensão (Pa)]]/1000000</f>
        <v>8.9517428723333552</v>
      </c>
    </row>
    <row r="441" spans="1:6" x14ac:dyDescent="0.3">
      <c r="A441" s="1">
        <v>53.582999999999998</v>
      </c>
      <c r="B441" s="1">
        <v>4.4576000000000002</v>
      </c>
      <c r="C441" s="1">
        <f>Tabela18[[#This Row],[Alongamento (mm/mm)]]/$I$2</f>
        <v>8.9152000000000009E-2</v>
      </c>
      <c r="D441" s="1">
        <v>434.09</v>
      </c>
      <c r="E441" s="1">
        <f>Tabela18[[#This Row],[Força (N)]]/$I$5</f>
        <v>9015293.7462617122</v>
      </c>
      <c r="F441" s="1">
        <f>Tabela18[[#This Row],[Tensão (Pa)]]/1000000</f>
        <v>9.0152937462617118</v>
      </c>
    </row>
    <row r="442" spans="1:6" x14ac:dyDescent="0.3">
      <c r="A442" s="1">
        <v>53.683</v>
      </c>
      <c r="B442" s="1">
        <v>4.4659000000000004</v>
      </c>
      <c r="C442" s="1">
        <f>Tabela18[[#This Row],[Alongamento (mm/mm)]]/$I$2</f>
        <v>8.9318000000000008E-2</v>
      </c>
      <c r="D442" s="1">
        <v>437.15</v>
      </c>
      <c r="E442" s="1">
        <f>Tabela18[[#This Row],[Força (N)]]/$I$5</f>
        <v>9078844.6201900709</v>
      </c>
      <c r="F442" s="1">
        <f>Tabela18[[#This Row],[Tensão (Pa)]]/1000000</f>
        <v>9.0788446201900701</v>
      </c>
    </row>
    <row r="443" spans="1:6" x14ac:dyDescent="0.3">
      <c r="A443" s="1">
        <v>53.8</v>
      </c>
      <c r="B443" s="1">
        <v>4.4756</v>
      </c>
      <c r="C443" s="1">
        <f>Tabela18[[#This Row],[Alongamento (mm/mm)]]/$I$2</f>
        <v>8.9511999999999994E-2</v>
      </c>
      <c r="D443" s="1">
        <v>440.73</v>
      </c>
      <c r="E443" s="1">
        <f>Tabela18[[#This Row],[Força (N)]]/$I$5</f>
        <v>9153194.9890343603</v>
      </c>
      <c r="F443" s="1">
        <f>Tabela18[[#This Row],[Tensão (Pa)]]/1000000</f>
        <v>9.1531949890343611</v>
      </c>
    </row>
    <row r="444" spans="1:6" x14ac:dyDescent="0.3">
      <c r="A444" s="1">
        <v>53.917000000000002</v>
      </c>
      <c r="B444" s="1">
        <v>4.4854000000000003</v>
      </c>
      <c r="C444" s="1">
        <f>Tabela18[[#This Row],[Alongamento (mm/mm)]]/$I$2</f>
        <v>8.970800000000001E-2</v>
      </c>
      <c r="D444" s="1">
        <v>444.47</v>
      </c>
      <c r="E444" s="1">
        <f>Tabela18[[#This Row],[Força (N)]]/$I$5</f>
        <v>9230868.2793912422</v>
      </c>
      <c r="F444" s="1">
        <f>Tabela18[[#This Row],[Tensão (Pa)]]/1000000</f>
        <v>9.2308682793912418</v>
      </c>
    </row>
    <row r="445" spans="1:6" x14ac:dyDescent="0.3">
      <c r="A445" s="1">
        <v>54.033000000000001</v>
      </c>
      <c r="B445" s="1">
        <v>4.4950999999999999</v>
      </c>
      <c r="C445" s="1">
        <f>Tabela18[[#This Row],[Alongamento (mm/mm)]]/$I$2</f>
        <v>8.9901999999999996E-2</v>
      </c>
      <c r="D445" s="1">
        <v>448.21</v>
      </c>
      <c r="E445" s="1">
        <f>Tabela18[[#This Row],[Força (N)]]/$I$5</f>
        <v>9308541.5697481222</v>
      </c>
      <c r="F445" s="1">
        <f>Tabela18[[#This Row],[Tensão (Pa)]]/1000000</f>
        <v>9.3085415697481224</v>
      </c>
    </row>
    <row r="446" spans="1:6" x14ac:dyDescent="0.3">
      <c r="A446" s="1">
        <v>54.15</v>
      </c>
      <c r="B446" s="1">
        <v>4.5048000000000004</v>
      </c>
      <c r="C446" s="1">
        <f>Tabela18[[#This Row],[Alongamento (mm/mm)]]/$I$2</f>
        <v>9.0096000000000009E-2</v>
      </c>
      <c r="D446" s="1">
        <v>451.95</v>
      </c>
      <c r="E446" s="1">
        <f>Tabela18[[#This Row],[Força (N)]]/$I$5</f>
        <v>9386214.8601050042</v>
      </c>
      <c r="F446" s="1">
        <f>Tabela18[[#This Row],[Tensão (Pa)]]/1000000</f>
        <v>9.3862148601050048</v>
      </c>
    </row>
    <row r="447" spans="1:6" x14ac:dyDescent="0.3">
      <c r="A447" s="1">
        <v>54.267000000000003</v>
      </c>
      <c r="B447" s="1">
        <v>4.5144000000000002</v>
      </c>
      <c r="C447" s="1">
        <f>Tabela18[[#This Row],[Alongamento (mm/mm)]]/$I$2</f>
        <v>9.0288000000000007E-2</v>
      </c>
      <c r="D447" s="1">
        <v>455.69</v>
      </c>
      <c r="E447" s="1">
        <f>Tabela18[[#This Row],[Força (N)]]/$I$5</f>
        <v>9463888.1504618861</v>
      </c>
      <c r="F447" s="1">
        <f>Tabela18[[#This Row],[Tensão (Pa)]]/1000000</f>
        <v>9.4638881504618855</v>
      </c>
    </row>
    <row r="448" spans="1:6" x14ac:dyDescent="0.3">
      <c r="A448" s="1">
        <v>54.366999999999997</v>
      </c>
      <c r="B448" s="1">
        <v>4.5228000000000002</v>
      </c>
      <c r="C448" s="1">
        <f>Tabela18[[#This Row],[Alongamento (mm/mm)]]/$I$2</f>
        <v>9.0456000000000009E-2</v>
      </c>
      <c r="D448" s="1">
        <v>459.1</v>
      </c>
      <c r="E448" s="1">
        <f>Tabela18[[#This Row],[Força (N)]]/$I$5</f>
        <v>9534707.9151990432</v>
      </c>
      <c r="F448" s="1">
        <f>Tabela18[[#This Row],[Tensão (Pa)]]/1000000</f>
        <v>9.5347079151990428</v>
      </c>
    </row>
    <row r="449" spans="1:6" x14ac:dyDescent="0.3">
      <c r="A449" s="1">
        <v>54.482999999999997</v>
      </c>
      <c r="B449" s="1">
        <v>4.5326000000000004</v>
      </c>
      <c r="C449" s="1">
        <f>Tabela18[[#This Row],[Alongamento (mm/mm)]]/$I$2</f>
        <v>9.065200000000001E-2</v>
      </c>
      <c r="D449" s="1">
        <v>462.84</v>
      </c>
      <c r="E449" s="1">
        <f>Tabela18[[#This Row],[Força (N)]]/$I$5</f>
        <v>9612381.2055559251</v>
      </c>
      <c r="F449" s="1">
        <f>Tabela18[[#This Row],[Tensão (Pa)]]/1000000</f>
        <v>9.6123812055559252</v>
      </c>
    </row>
    <row r="450" spans="1:6" x14ac:dyDescent="0.3">
      <c r="A450" s="1">
        <v>54.6</v>
      </c>
      <c r="B450" s="1">
        <v>4.5423</v>
      </c>
      <c r="C450" s="1">
        <f>Tabela18[[#This Row],[Alongamento (mm/mm)]]/$I$2</f>
        <v>9.0845999999999996E-2</v>
      </c>
      <c r="D450" s="1">
        <v>466.75</v>
      </c>
      <c r="E450" s="1">
        <f>Tabela18[[#This Row],[Força (N)]]/$I$5</f>
        <v>9693585.1000199374</v>
      </c>
      <c r="F450" s="1">
        <f>Tabela18[[#This Row],[Tensão (Pa)]]/1000000</f>
        <v>9.6935851000199378</v>
      </c>
    </row>
    <row r="451" spans="1:6" x14ac:dyDescent="0.3">
      <c r="A451" s="1">
        <v>54.716999999999999</v>
      </c>
      <c r="B451" s="1">
        <v>4.5518999999999998</v>
      </c>
      <c r="C451" s="1">
        <f>Tabela18[[#This Row],[Alongamento (mm/mm)]]/$I$2</f>
        <v>9.1037999999999994E-2</v>
      </c>
      <c r="D451" s="1">
        <v>470.49</v>
      </c>
      <c r="E451" s="1">
        <f>Tabela18[[#This Row],[Força (N)]]/$I$5</f>
        <v>9771258.3903768193</v>
      </c>
      <c r="F451" s="1">
        <f>Tabela18[[#This Row],[Tensão (Pa)]]/1000000</f>
        <v>9.7712583903768184</v>
      </c>
    </row>
    <row r="452" spans="1:6" x14ac:dyDescent="0.3">
      <c r="A452" s="1">
        <v>54.832999999999998</v>
      </c>
      <c r="B452" s="1">
        <v>4.5617000000000001</v>
      </c>
      <c r="C452" s="1">
        <f>Tabela18[[#This Row],[Alongamento (mm/mm)]]/$I$2</f>
        <v>9.1233999999999996E-2</v>
      </c>
      <c r="D452" s="1">
        <v>474.41</v>
      </c>
      <c r="E452" s="1">
        <f>Tabela18[[#This Row],[Força (N)]]/$I$5</f>
        <v>9852669.9674353693</v>
      </c>
      <c r="F452" s="1">
        <f>Tabela18[[#This Row],[Tensão (Pa)]]/1000000</f>
        <v>9.8526699674353697</v>
      </c>
    </row>
    <row r="453" spans="1:6" x14ac:dyDescent="0.3">
      <c r="A453" s="1">
        <v>54.933</v>
      </c>
      <c r="B453" s="1">
        <v>4.57</v>
      </c>
      <c r="C453" s="1">
        <f>Tabela18[[#This Row],[Alongamento (mm/mm)]]/$I$2</f>
        <v>9.1400000000000009E-2</v>
      </c>
      <c r="D453" s="1">
        <v>477.81</v>
      </c>
      <c r="E453" s="1">
        <f>Tabela18[[#This Row],[Força (N)]]/$I$5</f>
        <v>9923282.0495779887</v>
      </c>
      <c r="F453" s="1">
        <f>Tabela18[[#This Row],[Tensão (Pa)]]/1000000</f>
        <v>9.9232820495779883</v>
      </c>
    </row>
    <row r="454" spans="1:6" x14ac:dyDescent="0.3">
      <c r="A454" s="1">
        <v>55.033000000000001</v>
      </c>
      <c r="B454" s="1">
        <v>4.5785</v>
      </c>
      <c r="C454" s="1">
        <f>Tabela18[[#This Row],[Alongamento (mm/mm)]]/$I$2</f>
        <v>9.1569999999999999E-2</v>
      </c>
      <c r="D454" s="1">
        <v>481.21</v>
      </c>
      <c r="E454" s="1">
        <f>Tabela18[[#This Row],[Força (N)]]/$I$5</f>
        <v>9993894.1317206081</v>
      </c>
      <c r="F454" s="1">
        <f>Tabela18[[#This Row],[Tensão (Pa)]]/1000000</f>
        <v>9.9938941317206087</v>
      </c>
    </row>
    <row r="455" spans="1:6" x14ac:dyDescent="0.3">
      <c r="A455" s="1">
        <v>55.15</v>
      </c>
      <c r="B455" s="1">
        <v>4.5880999999999998</v>
      </c>
      <c r="C455" s="1">
        <f>Tabela18[[#This Row],[Alongamento (mm/mm)]]/$I$2</f>
        <v>9.1761999999999996E-2</v>
      </c>
      <c r="D455" s="1">
        <v>485.29</v>
      </c>
      <c r="E455" s="1">
        <f>Tabela18[[#This Row],[Força (N)]]/$I$5</f>
        <v>10078628.630291753</v>
      </c>
      <c r="F455" s="1">
        <f>Tabela18[[#This Row],[Tensão (Pa)]]/1000000</f>
        <v>10.078628630291753</v>
      </c>
    </row>
    <row r="456" spans="1:6" x14ac:dyDescent="0.3">
      <c r="A456" s="1">
        <v>55.267000000000003</v>
      </c>
      <c r="B456" s="1">
        <v>4.5978000000000003</v>
      </c>
      <c r="C456" s="1">
        <f>Tabela18[[#This Row],[Alongamento (mm/mm)]]/$I$2</f>
        <v>9.195600000000001E-2</v>
      </c>
      <c r="D456" s="1">
        <v>489.37</v>
      </c>
      <c r="E456" s="1">
        <f>Tabela18[[#This Row],[Força (N)]]/$I$5</f>
        <v>10163363.128862897</v>
      </c>
      <c r="F456" s="1">
        <f>Tabela18[[#This Row],[Tensão (Pa)]]/1000000</f>
        <v>10.163363128862898</v>
      </c>
    </row>
    <row r="457" spans="1:6" x14ac:dyDescent="0.3">
      <c r="A457" s="1">
        <v>55.383000000000003</v>
      </c>
      <c r="B457" s="1">
        <v>4.6074999999999999</v>
      </c>
      <c r="C457" s="1">
        <f>Tabela18[[#This Row],[Alongamento (mm/mm)]]/$I$2</f>
        <v>9.2149999999999996E-2</v>
      </c>
      <c r="D457" s="1">
        <v>493.29</v>
      </c>
      <c r="E457" s="1">
        <f>Tabela18[[#This Row],[Força (N)]]/$I$5</f>
        <v>10244774.705921447</v>
      </c>
      <c r="F457" s="1">
        <f>Tabela18[[#This Row],[Tensão (Pa)]]/1000000</f>
        <v>10.244774705921447</v>
      </c>
    </row>
    <row r="458" spans="1:6" x14ac:dyDescent="0.3">
      <c r="A458" s="1">
        <v>55.5</v>
      </c>
      <c r="B458" s="1">
        <v>4.6173000000000002</v>
      </c>
      <c r="C458" s="1">
        <f>Tabela18[[#This Row],[Alongamento (mm/mm)]]/$I$2</f>
        <v>9.2345999999999998E-2</v>
      </c>
      <c r="D458" s="1">
        <v>497.37</v>
      </c>
      <c r="E458" s="1">
        <f>Tabela18[[#This Row],[Força (N)]]/$I$5</f>
        <v>10329509.204492589</v>
      </c>
      <c r="F458" s="1">
        <f>Tabela18[[#This Row],[Tensão (Pa)]]/1000000</f>
        <v>10.32950920449259</v>
      </c>
    </row>
    <row r="459" spans="1:6" x14ac:dyDescent="0.3">
      <c r="A459" s="1">
        <v>55.616999999999997</v>
      </c>
      <c r="B459" s="1">
        <v>4.6269999999999998</v>
      </c>
      <c r="C459" s="1">
        <f>Tabela18[[#This Row],[Alongamento (mm/mm)]]/$I$2</f>
        <v>9.2539999999999997E-2</v>
      </c>
      <c r="D459" s="1">
        <v>501.45</v>
      </c>
      <c r="E459" s="1">
        <f>Tabela18[[#This Row],[Força (N)]]/$I$5</f>
        <v>10414243.703063734</v>
      </c>
      <c r="F459" s="1">
        <f>Tabela18[[#This Row],[Tensão (Pa)]]/1000000</f>
        <v>10.414243703063734</v>
      </c>
    </row>
    <row r="460" spans="1:6" x14ac:dyDescent="0.3">
      <c r="A460" s="1">
        <v>55.732999999999997</v>
      </c>
      <c r="B460" s="1">
        <v>4.6367000000000003</v>
      </c>
      <c r="C460" s="1">
        <f>Tabela18[[#This Row],[Alongamento (mm/mm)]]/$I$2</f>
        <v>9.2734000000000011E-2</v>
      </c>
      <c r="D460" s="1">
        <v>505.53</v>
      </c>
      <c r="E460" s="1">
        <f>Tabela18[[#This Row],[Força (N)]]/$I$5</f>
        <v>10498978.201634876</v>
      </c>
      <c r="F460" s="1">
        <f>Tabela18[[#This Row],[Tensão (Pa)]]/1000000</f>
        <v>10.498978201634877</v>
      </c>
    </row>
    <row r="461" spans="1:6" x14ac:dyDescent="0.3">
      <c r="A461" s="1">
        <v>55.85</v>
      </c>
      <c r="B461" s="1">
        <v>4.6464999999999996</v>
      </c>
      <c r="C461" s="1">
        <f>Tabela18[[#This Row],[Alongamento (mm/mm)]]/$I$2</f>
        <v>9.2929999999999999E-2</v>
      </c>
      <c r="D461" s="1">
        <v>509.45</v>
      </c>
      <c r="E461" s="1">
        <f>Tabela18[[#This Row],[Força (N)]]/$I$5</f>
        <v>10580389.778693426</v>
      </c>
      <c r="F461" s="1">
        <f>Tabela18[[#This Row],[Tensão (Pa)]]/1000000</f>
        <v>10.580389778693426</v>
      </c>
    </row>
    <row r="462" spans="1:6" x14ac:dyDescent="0.3">
      <c r="A462" s="1">
        <v>55.966999999999999</v>
      </c>
      <c r="B462" s="1">
        <v>4.6562000000000001</v>
      </c>
      <c r="C462" s="1">
        <f>Tabela18[[#This Row],[Alongamento (mm/mm)]]/$I$2</f>
        <v>9.3123999999999998E-2</v>
      </c>
      <c r="D462" s="1">
        <v>513.53</v>
      </c>
      <c r="E462" s="1">
        <f>Tabela18[[#This Row],[Força (N)]]/$I$5</f>
        <v>10665124.277264571</v>
      </c>
      <c r="F462" s="1">
        <f>Tabela18[[#This Row],[Tensão (Pa)]]/1000000</f>
        <v>10.665124277264571</v>
      </c>
    </row>
    <row r="463" spans="1:6" x14ac:dyDescent="0.3">
      <c r="A463" s="1">
        <v>56.082999999999998</v>
      </c>
      <c r="B463" s="1">
        <v>4.6658999999999997</v>
      </c>
      <c r="C463" s="1">
        <f>Tabela18[[#This Row],[Alongamento (mm/mm)]]/$I$2</f>
        <v>9.3317999999999998E-2</v>
      </c>
      <c r="D463" s="1">
        <v>517.44000000000005</v>
      </c>
      <c r="E463" s="1">
        <f>Tabela18[[#This Row],[Força (N)]]/$I$5</f>
        <v>10746328.171728585</v>
      </c>
      <c r="F463" s="1">
        <f>Tabela18[[#This Row],[Tensão (Pa)]]/1000000</f>
        <v>10.746328171728585</v>
      </c>
    </row>
    <row r="464" spans="1:6" x14ac:dyDescent="0.3">
      <c r="A464" s="1">
        <v>56.2</v>
      </c>
      <c r="B464" s="1">
        <v>4.6756000000000002</v>
      </c>
      <c r="C464" s="1">
        <f>Tabela18[[#This Row],[Alongamento (mm/mm)]]/$I$2</f>
        <v>9.3511999999999998E-2</v>
      </c>
      <c r="D464" s="1">
        <v>521.52</v>
      </c>
      <c r="E464" s="1">
        <f>Tabela18[[#This Row],[Força (N)]]/$I$5</f>
        <v>10831062.670299727</v>
      </c>
      <c r="F464" s="1">
        <f>Tabela18[[#This Row],[Tensão (Pa)]]/1000000</f>
        <v>10.831062670299728</v>
      </c>
    </row>
    <row r="465" spans="1:6" x14ac:dyDescent="0.3">
      <c r="A465" s="1">
        <v>56.317</v>
      </c>
      <c r="B465" s="1">
        <v>4.6852999999999998</v>
      </c>
      <c r="C465" s="1">
        <f>Tabela18[[#This Row],[Alongamento (mm/mm)]]/$I$2</f>
        <v>9.3705999999999998E-2</v>
      </c>
      <c r="D465" s="1">
        <v>525.61</v>
      </c>
      <c r="E465" s="1">
        <f>Tabela18[[#This Row],[Força (N)]]/$I$5</f>
        <v>10916004.85146541</v>
      </c>
      <c r="F465" s="1">
        <f>Tabela18[[#This Row],[Tensão (Pa)]]/1000000</f>
        <v>10.916004851465409</v>
      </c>
    </row>
    <row r="466" spans="1:6" x14ac:dyDescent="0.3">
      <c r="A466" s="1">
        <v>56.45</v>
      </c>
      <c r="B466" s="1">
        <v>4.6965000000000003</v>
      </c>
      <c r="C466" s="1">
        <f>Tabela18[[#This Row],[Alongamento (mm/mm)]]/$I$2</f>
        <v>9.3930000000000013E-2</v>
      </c>
      <c r="D466" s="1">
        <v>530.20000000000005</v>
      </c>
      <c r="E466" s="1">
        <f>Tabela18[[#This Row],[Força (N)]]/$I$5</f>
        <v>11011331.162357947</v>
      </c>
      <c r="F466" s="1">
        <f>Tabela18[[#This Row],[Tensão (Pa)]]/1000000</f>
        <v>11.011331162357948</v>
      </c>
    </row>
    <row r="467" spans="1:6" x14ac:dyDescent="0.3">
      <c r="A467" s="1">
        <v>56.582999999999998</v>
      </c>
      <c r="B467" s="1">
        <v>4.7074999999999996</v>
      </c>
      <c r="C467" s="1">
        <f>Tabela18[[#This Row],[Alongamento (mm/mm)]]/$I$2</f>
        <v>9.4149999999999998E-2</v>
      </c>
      <c r="D467" s="1">
        <v>534.79</v>
      </c>
      <c r="E467" s="1">
        <f>Tabela18[[#This Row],[Força (N)]]/$I$5</f>
        <v>11106657.473250482</v>
      </c>
      <c r="F467" s="1">
        <f>Tabela18[[#This Row],[Tensão (Pa)]]/1000000</f>
        <v>11.106657473250483</v>
      </c>
    </row>
    <row r="468" spans="1:6" x14ac:dyDescent="0.3">
      <c r="A468" s="1">
        <v>56.716999999999999</v>
      </c>
      <c r="B468" s="1">
        <v>4.7187000000000001</v>
      </c>
      <c r="C468" s="1">
        <f>Tabela18[[#This Row],[Alongamento (mm/mm)]]/$I$2</f>
        <v>9.4374E-2</v>
      </c>
      <c r="D468" s="1">
        <v>539.38</v>
      </c>
      <c r="E468" s="1">
        <f>Tabela18[[#This Row],[Força (N)]]/$I$5</f>
        <v>11201983.784143019</v>
      </c>
      <c r="F468" s="1">
        <f>Tabela18[[#This Row],[Tensão (Pa)]]/1000000</f>
        <v>11.201983784143019</v>
      </c>
    </row>
    <row r="469" spans="1:6" x14ac:dyDescent="0.3">
      <c r="A469" s="1">
        <v>56.832999999999998</v>
      </c>
      <c r="B469" s="1">
        <v>4.7285000000000004</v>
      </c>
      <c r="C469" s="1">
        <f>Tabela18[[#This Row],[Alongamento (mm/mm)]]/$I$2</f>
        <v>9.4570000000000001E-2</v>
      </c>
      <c r="D469" s="1">
        <v>543.47</v>
      </c>
      <c r="E469" s="1">
        <f>Tabela18[[#This Row],[Força (N)]]/$I$5</f>
        <v>11286925.9653087</v>
      </c>
      <c r="F469" s="1">
        <f>Tabela18[[#This Row],[Tensão (Pa)]]/1000000</f>
        <v>11.286925965308701</v>
      </c>
    </row>
    <row r="470" spans="1:6" x14ac:dyDescent="0.3">
      <c r="A470" s="1">
        <v>56.966999999999999</v>
      </c>
      <c r="B470" s="1">
        <v>4.7393999999999998</v>
      </c>
      <c r="C470" s="1">
        <f>Tabela18[[#This Row],[Alongamento (mm/mm)]]/$I$2</f>
        <v>9.4787999999999997E-2</v>
      </c>
      <c r="D470" s="1">
        <v>548.05999999999995</v>
      </c>
      <c r="E470" s="1">
        <f>Tabela18[[#This Row],[Força (N)]]/$I$5</f>
        <v>11382252.276201235</v>
      </c>
      <c r="F470" s="1">
        <f>Tabela18[[#This Row],[Tensão (Pa)]]/1000000</f>
        <v>11.382252276201235</v>
      </c>
    </row>
    <row r="471" spans="1:6" x14ac:dyDescent="0.3">
      <c r="A471" s="1">
        <v>57.082999999999998</v>
      </c>
      <c r="B471" s="1">
        <v>4.7492000000000001</v>
      </c>
      <c r="C471" s="1">
        <f>Tabela18[[#This Row],[Alongamento (mm/mm)]]/$I$2</f>
        <v>9.4983999999999999E-2</v>
      </c>
      <c r="D471" s="1">
        <v>552.14</v>
      </c>
      <c r="E471" s="1">
        <f>Tabela18[[#This Row],[Força (N)]]/$I$5</f>
        <v>11466986.77477238</v>
      </c>
      <c r="F471" s="1">
        <f>Tabela18[[#This Row],[Tensão (Pa)]]/1000000</f>
        <v>11.46698677477238</v>
      </c>
    </row>
    <row r="472" spans="1:6" x14ac:dyDescent="0.3">
      <c r="A472" s="1">
        <v>57.216999999999999</v>
      </c>
      <c r="B472" s="1">
        <v>4.7603999999999997</v>
      </c>
      <c r="C472" s="1">
        <f>Tabela18[[#This Row],[Alongamento (mm/mm)]]/$I$2</f>
        <v>9.5208000000000001E-2</v>
      </c>
      <c r="D472" s="1">
        <v>556.73</v>
      </c>
      <c r="E472" s="1">
        <f>Tabela18[[#This Row],[Força (N)]]/$I$5</f>
        <v>11562313.085664917</v>
      </c>
      <c r="F472" s="1">
        <f>Tabela18[[#This Row],[Tensão (Pa)]]/1000000</f>
        <v>11.562313085664917</v>
      </c>
    </row>
    <row r="473" spans="1:6" x14ac:dyDescent="0.3">
      <c r="A473" s="1">
        <v>57.332999999999998</v>
      </c>
      <c r="B473" s="1">
        <v>4.7701000000000002</v>
      </c>
      <c r="C473" s="1">
        <f>Tabela18[[#This Row],[Alongamento (mm/mm)]]/$I$2</f>
        <v>9.5402000000000001E-2</v>
      </c>
      <c r="D473" s="1">
        <v>560.82000000000005</v>
      </c>
      <c r="E473" s="1">
        <f>Tabela18[[#This Row],[Força (N)]]/$I$5</f>
        <v>11647255.266830599</v>
      </c>
      <c r="F473" s="1">
        <f>Tabela18[[#This Row],[Tensão (Pa)]]/1000000</f>
        <v>11.6472552668306</v>
      </c>
    </row>
    <row r="474" spans="1:6" x14ac:dyDescent="0.3">
      <c r="A474" s="1">
        <v>57.466999999999999</v>
      </c>
      <c r="B474" s="1">
        <v>4.7812000000000001</v>
      </c>
      <c r="C474" s="1">
        <f>Tabela18[[#This Row],[Alongamento (mm/mm)]]/$I$2</f>
        <v>9.5624000000000001E-2</v>
      </c>
      <c r="D474" s="1">
        <v>565.41</v>
      </c>
      <c r="E474" s="1">
        <f>Tabela18[[#This Row],[Força (N)]]/$I$5</f>
        <v>11742581.577723134</v>
      </c>
      <c r="F474" s="1">
        <f>Tabela18[[#This Row],[Tensão (Pa)]]/1000000</f>
        <v>11.742581577723135</v>
      </c>
    </row>
    <row r="475" spans="1:6" x14ac:dyDescent="0.3">
      <c r="A475" s="1">
        <v>57.582999999999998</v>
      </c>
      <c r="B475" s="1">
        <v>4.7908999999999997</v>
      </c>
      <c r="C475" s="1">
        <f>Tabela18[[#This Row],[Alongamento (mm/mm)]]/$I$2</f>
        <v>9.5818E-2</v>
      </c>
      <c r="D475" s="1">
        <v>569.49</v>
      </c>
      <c r="E475" s="1">
        <f>Tabela18[[#This Row],[Força (N)]]/$I$5</f>
        <v>11827316.076294279</v>
      </c>
      <c r="F475" s="1">
        <f>Tabela18[[#This Row],[Tensão (Pa)]]/1000000</f>
        <v>11.827316076294279</v>
      </c>
    </row>
    <row r="476" spans="1:6" x14ac:dyDescent="0.3">
      <c r="A476" s="1">
        <v>57.716999999999999</v>
      </c>
      <c r="B476" s="1">
        <v>4.8019999999999996</v>
      </c>
      <c r="C476" s="1">
        <f>Tabela18[[#This Row],[Alongamento (mm/mm)]]/$I$2</f>
        <v>9.6039999999999986E-2</v>
      </c>
      <c r="D476" s="1">
        <v>574.08000000000004</v>
      </c>
      <c r="E476" s="1">
        <f>Tabela18[[#This Row],[Força (N)]]/$I$5</f>
        <v>11922642.387186816</v>
      </c>
      <c r="F476" s="1">
        <f>Tabela18[[#This Row],[Tensão (Pa)]]/1000000</f>
        <v>11.922642387186816</v>
      </c>
    </row>
    <row r="477" spans="1:6" x14ac:dyDescent="0.3">
      <c r="A477" s="1">
        <v>57.85</v>
      </c>
      <c r="B477" s="1">
        <v>4.8131000000000004</v>
      </c>
      <c r="C477" s="1">
        <f>Tabela18[[#This Row],[Alongamento (mm/mm)]]/$I$2</f>
        <v>9.6262000000000014E-2</v>
      </c>
      <c r="D477" s="1">
        <v>578.85</v>
      </c>
      <c r="E477" s="1">
        <f>Tabela18[[#This Row],[Força (N)]]/$I$5</f>
        <v>12021706.984781019</v>
      </c>
      <c r="F477" s="1">
        <f>Tabela18[[#This Row],[Tensão (Pa)]]/1000000</f>
        <v>12.021706984781019</v>
      </c>
    </row>
    <row r="478" spans="1:6" x14ac:dyDescent="0.3">
      <c r="A478" s="1">
        <v>57.982999999999997</v>
      </c>
      <c r="B478" s="1">
        <v>4.8240999999999996</v>
      </c>
      <c r="C478" s="1">
        <f>Tabela18[[#This Row],[Alongamento (mm/mm)]]/$I$2</f>
        <v>9.6481999999999998E-2</v>
      </c>
      <c r="D478" s="1">
        <v>583.44000000000005</v>
      </c>
      <c r="E478" s="1">
        <f>Tabela18[[#This Row],[Força (N)]]/$I$5</f>
        <v>12117033.295673558</v>
      </c>
      <c r="F478" s="1">
        <f>Tabela18[[#This Row],[Tensão (Pa)]]/1000000</f>
        <v>12.117033295673558</v>
      </c>
    </row>
    <row r="479" spans="1:6" x14ac:dyDescent="0.3">
      <c r="A479" s="1">
        <v>58.116999999999997</v>
      </c>
      <c r="B479" s="1">
        <v>4.8353999999999999</v>
      </c>
      <c r="C479" s="1">
        <f>Tabela18[[#This Row],[Alongamento (mm/mm)]]/$I$2</f>
        <v>9.6708000000000002E-2</v>
      </c>
      <c r="D479" s="1">
        <v>588.20000000000005</v>
      </c>
      <c r="E479" s="1">
        <f>Tabela18[[#This Row],[Força (N)]]/$I$5</f>
        <v>12215890.210673224</v>
      </c>
      <c r="F479" s="1">
        <f>Tabela18[[#This Row],[Tensão (Pa)]]/1000000</f>
        <v>12.215890210673225</v>
      </c>
    </row>
    <row r="480" spans="1:6" x14ac:dyDescent="0.3">
      <c r="A480" s="1">
        <v>58.25</v>
      </c>
      <c r="B480" s="1">
        <v>4.8464999999999998</v>
      </c>
      <c r="C480" s="1">
        <f>Tabela18[[#This Row],[Alongamento (mm/mm)]]/$I$2</f>
        <v>9.6930000000000002E-2</v>
      </c>
      <c r="D480" s="1">
        <v>592.79</v>
      </c>
      <c r="E480" s="1">
        <f>Tabela18[[#This Row],[Força (N)]]/$I$5</f>
        <v>12311216.52156576</v>
      </c>
      <c r="F480" s="1">
        <f>Tabela18[[#This Row],[Tensão (Pa)]]/1000000</f>
        <v>12.311216521565759</v>
      </c>
    </row>
    <row r="481" spans="1:6" x14ac:dyDescent="0.3">
      <c r="A481" s="1">
        <v>58.383000000000003</v>
      </c>
      <c r="B481" s="1">
        <v>4.8575999999999997</v>
      </c>
      <c r="C481" s="1">
        <f>Tabela18[[#This Row],[Alongamento (mm/mm)]]/$I$2</f>
        <v>9.7151999999999988E-2</v>
      </c>
      <c r="D481" s="1">
        <v>597.39</v>
      </c>
      <c r="E481" s="1">
        <f>Tabela18[[#This Row],[Força (N)]]/$I$5</f>
        <v>12406750.515052835</v>
      </c>
      <c r="F481" s="1">
        <f>Tabela18[[#This Row],[Tensão (Pa)]]/1000000</f>
        <v>12.406750515052835</v>
      </c>
    </row>
    <row r="482" spans="1:6" x14ac:dyDescent="0.3">
      <c r="A482" s="1">
        <v>58.517000000000003</v>
      </c>
      <c r="B482" s="1">
        <v>4.8686999999999996</v>
      </c>
      <c r="C482" s="1">
        <f>Tabela18[[#This Row],[Alongamento (mm/mm)]]/$I$2</f>
        <v>9.7373999999999988E-2</v>
      </c>
      <c r="D482" s="1">
        <v>602.15</v>
      </c>
      <c r="E482" s="1">
        <f>Tabela18[[#This Row],[Força (N)]]/$I$5</f>
        <v>12505607.430052502</v>
      </c>
      <c r="F482" s="1">
        <f>Tabela18[[#This Row],[Tensão (Pa)]]/1000000</f>
        <v>12.505607430052502</v>
      </c>
    </row>
    <row r="483" spans="1:6" x14ac:dyDescent="0.3">
      <c r="A483" s="1">
        <v>58.65</v>
      </c>
      <c r="B483" s="1">
        <v>4.8798000000000004</v>
      </c>
      <c r="C483" s="1">
        <f>Tabela18[[#This Row],[Alongamento (mm/mm)]]/$I$2</f>
        <v>9.7596000000000002E-2</v>
      </c>
      <c r="D483" s="1">
        <v>607.08000000000004</v>
      </c>
      <c r="E483" s="1">
        <f>Tabela18[[#This Row],[Força (N)]]/$I$5</f>
        <v>12607994.949159302</v>
      </c>
      <c r="F483" s="1">
        <f>Tabela18[[#This Row],[Tensão (Pa)]]/1000000</f>
        <v>12.607994949159302</v>
      </c>
    </row>
    <row r="484" spans="1:6" x14ac:dyDescent="0.3">
      <c r="A484" s="1">
        <v>58.783000000000001</v>
      </c>
      <c r="B484" s="1">
        <v>4.8907999999999996</v>
      </c>
      <c r="C484" s="1">
        <f>Tabela18[[#This Row],[Alongamento (mm/mm)]]/$I$2</f>
        <v>9.7815999999999986E-2</v>
      </c>
      <c r="D484" s="1">
        <v>611.85</v>
      </c>
      <c r="E484" s="1">
        <f>Tabela18[[#This Row],[Força (N)]]/$I$5</f>
        <v>12707059.546753507</v>
      </c>
      <c r="F484" s="1">
        <f>Tabela18[[#This Row],[Tensão (Pa)]]/1000000</f>
        <v>12.707059546753507</v>
      </c>
    </row>
    <row r="485" spans="1:6" x14ac:dyDescent="0.3">
      <c r="A485" s="1">
        <v>58.917000000000002</v>
      </c>
      <c r="B485" s="1">
        <v>4.9019000000000004</v>
      </c>
      <c r="C485" s="1">
        <f>Tabela18[[#This Row],[Alongamento (mm/mm)]]/$I$2</f>
        <v>9.8038000000000014E-2</v>
      </c>
      <c r="D485" s="1">
        <v>616.61</v>
      </c>
      <c r="E485" s="1">
        <f>Tabela18[[#This Row],[Força (N)]]/$I$5</f>
        <v>12805916.461753175</v>
      </c>
      <c r="F485" s="1">
        <f>Tabela18[[#This Row],[Tensão (Pa)]]/1000000</f>
        <v>12.805916461753174</v>
      </c>
    </row>
    <row r="486" spans="1:6" x14ac:dyDescent="0.3">
      <c r="A486" s="1">
        <v>59.05</v>
      </c>
      <c r="B486" s="1">
        <v>4.9131</v>
      </c>
      <c r="C486" s="1">
        <f>Tabela18[[#This Row],[Alongamento (mm/mm)]]/$I$2</f>
        <v>9.8262000000000002E-2</v>
      </c>
      <c r="D486" s="1">
        <v>621.37</v>
      </c>
      <c r="E486" s="1">
        <f>Tabela18[[#This Row],[Força (N)]]/$I$5</f>
        <v>12904773.376752842</v>
      </c>
      <c r="F486" s="1">
        <f>Tabela18[[#This Row],[Tensão (Pa)]]/1000000</f>
        <v>12.904773376752843</v>
      </c>
    </row>
    <row r="487" spans="1:6" x14ac:dyDescent="0.3">
      <c r="A487" s="1">
        <v>59.183</v>
      </c>
      <c r="B487" s="1">
        <v>4.9241999999999999</v>
      </c>
      <c r="C487" s="1">
        <f>Tabela18[[#This Row],[Alongamento (mm/mm)]]/$I$2</f>
        <v>9.8484000000000002E-2</v>
      </c>
      <c r="D487" s="1">
        <v>626.13</v>
      </c>
      <c r="E487" s="1">
        <f>Tabela18[[#This Row],[Força (N)]]/$I$5</f>
        <v>13003630.29175251</v>
      </c>
      <c r="F487" s="1">
        <f>Tabela18[[#This Row],[Tensão (Pa)]]/1000000</f>
        <v>13.00363029175251</v>
      </c>
    </row>
    <row r="488" spans="1:6" x14ac:dyDescent="0.3">
      <c r="A488" s="1">
        <v>59.317</v>
      </c>
      <c r="B488" s="1">
        <v>4.9352999999999998</v>
      </c>
      <c r="C488" s="1">
        <f>Tabela18[[#This Row],[Alongamento (mm/mm)]]/$I$2</f>
        <v>9.8706000000000002E-2</v>
      </c>
      <c r="D488" s="1">
        <v>630.9</v>
      </c>
      <c r="E488" s="1">
        <f>Tabela18[[#This Row],[Força (N)]]/$I$5</f>
        <v>13102694.889346713</v>
      </c>
      <c r="F488" s="1">
        <f>Tabela18[[#This Row],[Tensão (Pa)]]/1000000</f>
        <v>13.102694889346713</v>
      </c>
    </row>
    <row r="489" spans="1:6" x14ac:dyDescent="0.3">
      <c r="A489" s="1">
        <v>59.45</v>
      </c>
      <c r="B489" s="1">
        <v>4.9465000000000003</v>
      </c>
      <c r="C489" s="1">
        <f>Tabela18[[#This Row],[Alongamento (mm/mm)]]/$I$2</f>
        <v>9.8930000000000004E-2</v>
      </c>
      <c r="D489" s="1">
        <v>635.66</v>
      </c>
      <c r="E489" s="1">
        <f>Tabela18[[#This Row],[Força (N)]]/$I$5</f>
        <v>13201551.804346381</v>
      </c>
      <c r="F489" s="1">
        <f>Tabela18[[#This Row],[Tensão (Pa)]]/1000000</f>
        <v>13.20155180434638</v>
      </c>
    </row>
    <row r="490" spans="1:6" x14ac:dyDescent="0.3">
      <c r="A490" s="1">
        <v>59.582999999999998</v>
      </c>
      <c r="B490" s="1">
        <v>4.9576000000000002</v>
      </c>
      <c r="C490" s="1">
        <f>Tabela18[[#This Row],[Alongamento (mm/mm)]]/$I$2</f>
        <v>9.9152000000000004E-2</v>
      </c>
      <c r="D490" s="1">
        <v>640.59</v>
      </c>
      <c r="E490" s="1">
        <f>Tabela18[[#This Row],[Força (N)]]/$I$5</f>
        <v>13303939.32345318</v>
      </c>
      <c r="F490" s="1">
        <f>Tabela18[[#This Row],[Tensão (Pa)]]/1000000</f>
        <v>13.30393932345318</v>
      </c>
    </row>
    <row r="491" spans="1:6" x14ac:dyDescent="0.3">
      <c r="A491" s="1">
        <v>59.716999999999999</v>
      </c>
      <c r="B491" s="1">
        <v>4.9686000000000003</v>
      </c>
      <c r="C491" s="1">
        <f>Tabela18[[#This Row],[Alongamento (mm/mm)]]/$I$2</f>
        <v>9.9372000000000002E-2</v>
      </c>
      <c r="D491" s="1">
        <v>645.35</v>
      </c>
      <c r="E491" s="1">
        <f>Tabela18[[#This Row],[Força (N)]]/$I$5</f>
        <v>13402796.238452848</v>
      </c>
      <c r="F491" s="1">
        <f>Tabela18[[#This Row],[Tensão (Pa)]]/1000000</f>
        <v>13.402796238452847</v>
      </c>
    </row>
    <row r="492" spans="1:6" x14ac:dyDescent="0.3">
      <c r="A492" s="1">
        <v>59.85</v>
      </c>
      <c r="B492" s="1">
        <v>4.9797000000000002</v>
      </c>
      <c r="C492" s="1">
        <f>Tabela18[[#This Row],[Alongamento (mm/mm)]]/$I$2</f>
        <v>9.9594000000000002E-2</v>
      </c>
      <c r="D492" s="1">
        <v>650.29</v>
      </c>
      <c r="E492" s="1">
        <f>Tabela18[[#This Row],[Força (N)]]/$I$5</f>
        <v>13505391.440154184</v>
      </c>
      <c r="F492" s="1">
        <f>Tabela18[[#This Row],[Tensão (Pa)]]/1000000</f>
        <v>13.505391440154183</v>
      </c>
    </row>
    <row r="493" spans="1:6" x14ac:dyDescent="0.3">
      <c r="A493" s="1">
        <v>59.982999999999997</v>
      </c>
      <c r="B493" s="1">
        <v>4.9908999999999999</v>
      </c>
      <c r="C493" s="1">
        <f>Tabela18[[#This Row],[Alongamento (mm/mm)]]/$I$2</f>
        <v>9.9818000000000004E-2</v>
      </c>
      <c r="D493" s="1">
        <v>655.04999999999995</v>
      </c>
      <c r="E493" s="1">
        <f>Tabela18[[#This Row],[Força (N)]]/$I$5</f>
        <v>13604248.355153851</v>
      </c>
      <c r="F493" s="1">
        <f>Tabela18[[#This Row],[Tensão (Pa)]]/1000000</f>
        <v>13.604248355153851</v>
      </c>
    </row>
    <row r="494" spans="1:6" x14ac:dyDescent="0.3">
      <c r="A494" s="1">
        <v>60.116999999999997</v>
      </c>
      <c r="B494" s="1">
        <v>5.0021000000000004</v>
      </c>
      <c r="C494" s="1">
        <f>Tabela18[[#This Row],[Alongamento (mm/mm)]]/$I$2</f>
        <v>0.10004200000000001</v>
      </c>
      <c r="D494" s="1">
        <v>660.15</v>
      </c>
      <c r="E494" s="1">
        <f>Tabela18[[#This Row],[Força (N)]]/$I$5</f>
        <v>13710166.478367781</v>
      </c>
      <c r="F494" s="1">
        <f>Tabela18[[#This Row],[Tensão (Pa)]]/1000000</f>
        <v>13.710166478367782</v>
      </c>
    </row>
    <row r="495" spans="1:6" x14ac:dyDescent="0.3">
      <c r="A495" s="1">
        <v>60.267000000000003</v>
      </c>
      <c r="B495" s="1">
        <v>5.0145</v>
      </c>
      <c r="C495" s="1">
        <f>Tabela18[[#This Row],[Alongamento (mm/mm)]]/$I$2</f>
        <v>0.10029</v>
      </c>
      <c r="D495" s="1">
        <v>665.6</v>
      </c>
      <c r="E495" s="1">
        <f>Tabela18[[#This Row],[Força (N)]]/$I$5</f>
        <v>13823353.49239051</v>
      </c>
      <c r="F495" s="1">
        <f>Tabela18[[#This Row],[Tensão (Pa)]]/1000000</f>
        <v>13.82335349239051</v>
      </c>
    </row>
    <row r="496" spans="1:6" x14ac:dyDescent="0.3">
      <c r="A496" s="1">
        <v>60.417000000000002</v>
      </c>
      <c r="B496" s="1">
        <v>5.0270000000000001</v>
      </c>
      <c r="C496" s="1">
        <f>Tabela18[[#This Row],[Alongamento (mm/mm)]]/$I$2</f>
        <v>0.10054</v>
      </c>
      <c r="D496" s="1">
        <v>671.21</v>
      </c>
      <c r="E496" s="1">
        <f>Tabela18[[#This Row],[Força (N)]]/$I$5</f>
        <v>13939863.427925833</v>
      </c>
      <c r="F496" s="1">
        <f>Tabela18[[#This Row],[Tensão (Pa)]]/1000000</f>
        <v>13.939863427925832</v>
      </c>
    </row>
    <row r="497" spans="1:6" x14ac:dyDescent="0.3">
      <c r="A497" s="1">
        <v>60.567</v>
      </c>
      <c r="B497" s="1">
        <v>5.0396000000000001</v>
      </c>
      <c r="C497" s="1">
        <f>Tabela18[[#This Row],[Alongamento (mm/mm)]]/$I$2</f>
        <v>0.10079200000000001</v>
      </c>
      <c r="D497" s="1">
        <v>676.82</v>
      </c>
      <c r="E497" s="1">
        <f>Tabela18[[#This Row],[Força (N)]]/$I$5</f>
        <v>14056373.363461157</v>
      </c>
      <c r="F497" s="1">
        <f>Tabela18[[#This Row],[Tensão (Pa)]]/1000000</f>
        <v>14.056373363461157</v>
      </c>
    </row>
    <row r="498" spans="1:6" x14ac:dyDescent="0.3">
      <c r="A498" s="1">
        <v>60.7</v>
      </c>
      <c r="B498" s="1">
        <v>5.0506000000000002</v>
      </c>
      <c r="C498" s="1">
        <f>Tabela18[[#This Row],[Alongamento (mm/mm)]]/$I$2</f>
        <v>0.101012</v>
      </c>
      <c r="D498" s="1">
        <v>681.93</v>
      </c>
      <c r="E498" s="1">
        <f>Tabela18[[#This Row],[Força (N)]]/$I$5</f>
        <v>14162499.169269621</v>
      </c>
      <c r="F498" s="1">
        <f>Tabela18[[#This Row],[Tensão (Pa)]]/1000000</f>
        <v>14.162499169269621</v>
      </c>
    </row>
    <row r="499" spans="1:6" x14ac:dyDescent="0.3">
      <c r="A499" s="1">
        <v>60.832999999999998</v>
      </c>
      <c r="B499" s="1">
        <v>5.0617000000000001</v>
      </c>
      <c r="C499" s="1">
        <f>Tabela18[[#This Row],[Alongamento (mm/mm)]]/$I$2</f>
        <v>0.101234</v>
      </c>
      <c r="D499" s="1">
        <v>687.03</v>
      </c>
      <c r="E499" s="1">
        <f>Tabela18[[#This Row],[Força (N)]]/$I$5</f>
        <v>14268417.292483551</v>
      </c>
      <c r="F499" s="1">
        <f>Tabela18[[#This Row],[Tensão (Pa)]]/1000000</f>
        <v>14.268417292483552</v>
      </c>
    </row>
    <row r="500" spans="1:6" x14ac:dyDescent="0.3">
      <c r="A500" s="1">
        <v>60.966999999999999</v>
      </c>
      <c r="B500" s="1">
        <v>5.0728</v>
      </c>
      <c r="C500" s="1">
        <f>Tabela18[[#This Row],[Alongamento (mm/mm)]]/$I$2</f>
        <v>0.101456</v>
      </c>
      <c r="D500" s="1">
        <v>692.13</v>
      </c>
      <c r="E500" s="1">
        <f>Tabela18[[#This Row],[Força (N)]]/$I$5</f>
        <v>14374335.415697481</v>
      </c>
      <c r="F500" s="1">
        <f>Tabela18[[#This Row],[Tensão (Pa)]]/1000000</f>
        <v>14.374335415697482</v>
      </c>
    </row>
    <row r="501" spans="1:6" x14ac:dyDescent="0.3">
      <c r="A501" s="1">
        <v>61.1</v>
      </c>
      <c r="B501" s="1">
        <v>5.0838999999999999</v>
      </c>
      <c r="C501" s="1">
        <f>Tabela18[[#This Row],[Alongamento (mm/mm)]]/$I$2</f>
        <v>0.10167799999999999</v>
      </c>
      <c r="D501" s="1">
        <v>697.41</v>
      </c>
      <c r="E501" s="1">
        <f>Tabela18[[#This Row],[Força (N)]]/$I$5</f>
        <v>14483991.82561308</v>
      </c>
      <c r="F501" s="1">
        <f>Tabela18[[#This Row],[Tensão (Pa)]]/1000000</f>
        <v>14.48399182561308</v>
      </c>
    </row>
    <row r="502" spans="1:6" x14ac:dyDescent="0.3">
      <c r="A502" s="1">
        <v>61.25</v>
      </c>
      <c r="B502" s="1">
        <v>5.0964999999999998</v>
      </c>
      <c r="C502" s="1">
        <f>Tabela18[[#This Row],[Alongamento (mm/mm)]]/$I$2</f>
        <v>0.10192999999999999</v>
      </c>
      <c r="D502" s="1">
        <v>703.19</v>
      </c>
      <c r="E502" s="1">
        <f>Tabela18[[#This Row],[Força (N)]]/$I$5</f>
        <v>14604032.365255535</v>
      </c>
      <c r="F502" s="1">
        <f>Tabela18[[#This Row],[Tensão (Pa)]]/1000000</f>
        <v>14.604032365255534</v>
      </c>
    </row>
    <row r="503" spans="1:6" x14ac:dyDescent="0.3">
      <c r="A503" s="1">
        <v>61.4</v>
      </c>
      <c r="B503" s="1">
        <v>5.1089000000000002</v>
      </c>
      <c r="C503" s="1">
        <f>Tabela18[[#This Row],[Alongamento (mm/mm)]]/$I$2</f>
        <v>0.102178</v>
      </c>
      <c r="D503" s="1">
        <v>709.14</v>
      </c>
      <c r="E503" s="1">
        <f>Tabela18[[#This Row],[Força (N)]]/$I$5</f>
        <v>14727603.509005118</v>
      </c>
      <c r="F503" s="1">
        <f>Tabela18[[#This Row],[Tensão (Pa)]]/1000000</f>
        <v>14.727603509005117</v>
      </c>
    </row>
    <row r="504" spans="1:6" x14ac:dyDescent="0.3">
      <c r="A504" s="1">
        <v>61.55</v>
      </c>
      <c r="B504" s="1">
        <v>5.1214000000000004</v>
      </c>
      <c r="C504" s="1">
        <f>Tabela18[[#This Row],[Alongamento (mm/mm)]]/$I$2</f>
        <v>0.10242800000000001</v>
      </c>
      <c r="D504" s="1">
        <v>715.1</v>
      </c>
      <c r="E504" s="1">
        <f>Tabela18[[#This Row],[Força (N)]]/$I$5</f>
        <v>14851382.335349239</v>
      </c>
      <c r="F504" s="1">
        <f>Tabela18[[#This Row],[Tensão (Pa)]]/1000000</f>
        <v>14.851382335349239</v>
      </c>
    </row>
    <row r="505" spans="1:6" x14ac:dyDescent="0.3">
      <c r="A505" s="1">
        <v>61.7</v>
      </c>
      <c r="B505" s="1">
        <v>5.1338999999999997</v>
      </c>
      <c r="C505" s="1">
        <f>Tabela18[[#This Row],[Alongamento (mm/mm)]]/$I$2</f>
        <v>0.10267799999999999</v>
      </c>
      <c r="D505" s="1">
        <v>721.05</v>
      </c>
      <c r="E505" s="1">
        <f>Tabela18[[#This Row],[Força (N)]]/$I$5</f>
        <v>14974953.479098823</v>
      </c>
      <c r="F505" s="1">
        <f>Tabela18[[#This Row],[Tensão (Pa)]]/1000000</f>
        <v>14.974953479098822</v>
      </c>
    </row>
    <row r="506" spans="1:6" x14ac:dyDescent="0.3">
      <c r="A506" s="1">
        <v>61.85</v>
      </c>
      <c r="B506" s="1">
        <v>5.1464999999999996</v>
      </c>
      <c r="C506" s="1">
        <f>Tabela18[[#This Row],[Alongamento (mm/mm)]]/$I$2</f>
        <v>0.10292999999999999</v>
      </c>
      <c r="D506" s="1">
        <v>727</v>
      </c>
      <c r="E506" s="1">
        <f>Tabela18[[#This Row],[Força (N)]]/$I$5</f>
        <v>15098524.622848408</v>
      </c>
      <c r="F506" s="1">
        <f>Tabela18[[#This Row],[Tensão (Pa)]]/1000000</f>
        <v>15.098524622848409</v>
      </c>
    </row>
    <row r="507" spans="1:6" x14ac:dyDescent="0.3">
      <c r="A507" s="1">
        <v>61.982999999999997</v>
      </c>
      <c r="B507" s="1">
        <v>5.1576000000000004</v>
      </c>
      <c r="C507" s="1">
        <f>Tabela18[[#This Row],[Alongamento (mm/mm)]]/$I$2</f>
        <v>0.10315200000000001</v>
      </c>
      <c r="D507" s="1">
        <v>732.45</v>
      </c>
      <c r="E507" s="1">
        <f>Tabela18[[#This Row],[Força (N)]]/$I$5</f>
        <v>15211711.636871139</v>
      </c>
      <c r="F507" s="1">
        <f>Tabela18[[#This Row],[Tensão (Pa)]]/1000000</f>
        <v>15.211711636871138</v>
      </c>
    </row>
    <row r="508" spans="1:6" x14ac:dyDescent="0.3">
      <c r="A508" s="1">
        <v>62.133000000000003</v>
      </c>
      <c r="B508" s="1">
        <v>5.17</v>
      </c>
      <c r="C508" s="1">
        <f>Tabela18[[#This Row],[Alongamento (mm/mm)]]/$I$2</f>
        <v>0.10339999999999999</v>
      </c>
      <c r="D508" s="1">
        <v>738.4</v>
      </c>
      <c r="E508" s="1">
        <f>Tabela18[[#This Row],[Força (N)]]/$I$5</f>
        <v>15335282.780620722</v>
      </c>
      <c r="F508" s="1">
        <f>Tabela18[[#This Row],[Tensão (Pa)]]/1000000</f>
        <v>15.335282780620721</v>
      </c>
    </row>
    <row r="509" spans="1:6" x14ac:dyDescent="0.3">
      <c r="A509" s="1">
        <v>62.267000000000003</v>
      </c>
      <c r="B509" s="1">
        <v>5.1810999999999998</v>
      </c>
      <c r="C509" s="1">
        <f>Tabela18[[#This Row],[Alongamento (mm/mm)]]/$I$2</f>
        <v>0.10362199999999999</v>
      </c>
      <c r="D509" s="1">
        <v>743.84</v>
      </c>
      <c r="E509" s="1">
        <f>Tabela18[[#This Row],[Força (N)]]/$I$5</f>
        <v>15448262.112048915</v>
      </c>
      <c r="F509" s="1">
        <f>Tabela18[[#This Row],[Tensão (Pa)]]/1000000</f>
        <v>15.448262112048914</v>
      </c>
    </row>
    <row r="510" spans="1:6" x14ac:dyDescent="0.3">
      <c r="A510" s="1">
        <v>62.417000000000002</v>
      </c>
      <c r="B510" s="1">
        <v>5.1938000000000004</v>
      </c>
      <c r="C510" s="1">
        <f>Tabela18[[#This Row],[Alongamento (mm/mm)]]/$I$2</f>
        <v>0.10387600000000001</v>
      </c>
      <c r="D510" s="1">
        <v>749.8</v>
      </c>
      <c r="E510" s="1">
        <f>Tabela18[[#This Row],[Força (N)]]/$I$5</f>
        <v>15572040.938393034</v>
      </c>
      <c r="F510" s="1">
        <f>Tabela18[[#This Row],[Tensão (Pa)]]/1000000</f>
        <v>15.572040938393034</v>
      </c>
    </row>
    <row r="511" spans="1:6" x14ac:dyDescent="0.3">
      <c r="A511" s="1">
        <v>62.567</v>
      </c>
      <c r="B511" s="1">
        <v>5.2061000000000002</v>
      </c>
      <c r="C511" s="1">
        <f>Tabela18[[#This Row],[Alongamento (mm/mm)]]/$I$2</f>
        <v>0.10412200000000001</v>
      </c>
      <c r="D511" s="1">
        <v>755.92</v>
      </c>
      <c r="E511" s="1">
        <f>Tabela18[[#This Row],[Força (N)]]/$I$5</f>
        <v>15699142.68624975</v>
      </c>
      <c r="F511" s="1">
        <f>Tabela18[[#This Row],[Tensão (Pa)]]/1000000</f>
        <v>15.699142686249751</v>
      </c>
    </row>
    <row r="512" spans="1:6" x14ac:dyDescent="0.3">
      <c r="A512" s="1">
        <v>62.716999999999999</v>
      </c>
      <c r="B512" s="1">
        <v>5.2187000000000001</v>
      </c>
      <c r="C512" s="1">
        <f>Tabela18[[#This Row],[Alongamento (mm/mm)]]/$I$2</f>
        <v>0.10437400000000001</v>
      </c>
      <c r="D512" s="1">
        <v>761.7</v>
      </c>
      <c r="E512" s="1">
        <f>Tabela18[[#This Row],[Força (N)]]/$I$5</f>
        <v>15819183.225892205</v>
      </c>
      <c r="F512" s="1">
        <f>Tabela18[[#This Row],[Tensão (Pa)]]/1000000</f>
        <v>15.819183225892205</v>
      </c>
    </row>
    <row r="513" spans="1:6" x14ac:dyDescent="0.3">
      <c r="A513" s="1">
        <v>62.866999999999997</v>
      </c>
      <c r="B513" s="1">
        <v>5.2312000000000003</v>
      </c>
      <c r="C513" s="1">
        <f>Tabela18[[#This Row],[Alongamento (mm/mm)]]/$I$2</f>
        <v>0.10462400000000001</v>
      </c>
      <c r="D513" s="1">
        <v>767.66</v>
      </c>
      <c r="E513" s="1">
        <f>Tabela18[[#This Row],[Força (N)]]/$I$5</f>
        <v>15942962.052236326</v>
      </c>
      <c r="F513" s="1">
        <f>Tabela18[[#This Row],[Tensão (Pa)]]/1000000</f>
        <v>15.942962052236327</v>
      </c>
    </row>
    <row r="514" spans="1:6" x14ac:dyDescent="0.3">
      <c r="A514" s="1">
        <v>63.017000000000003</v>
      </c>
      <c r="B514" s="1">
        <v>5.2435999999999998</v>
      </c>
      <c r="C514" s="1">
        <f>Tabela18[[#This Row],[Alongamento (mm/mm)]]/$I$2</f>
        <v>0.10487199999999999</v>
      </c>
      <c r="D514" s="1">
        <v>773.61</v>
      </c>
      <c r="E514" s="1">
        <f>Tabela18[[#This Row],[Força (N)]]/$I$5</f>
        <v>16066533.195985911</v>
      </c>
      <c r="F514" s="1">
        <f>Tabela18[[#This Row],[Tensão (Pa)]]/1000000</f>
        <v>16.066533195985912</v>
      </c>
    </row>
    <row r="515" spans="1:6" x14ac:dyDescent="0.3">
      <c r="A515" s="1">
        <v>63.167000000000002</v>
      </c>
      <c r="B515" s="1">
        <v>5.2561999999999998</v>
      </c>
      <c r="C515" s="1">
        <f>Tabela18[[#This Row],[Alongamento (mm/mm)]]/$I$2</f>
        <v>0.105124</v>
      </c>
      <c r="D515" s="1">
        <v>779.56</v>
      </c>
      <c r="E515" s="1">
        <f>Tabela18[[#This Row],[Força (N)]]/$I$5</f>
        <v>16190104.339735495</v>
      </c>
      <c r="F515" s="1">
        <f>Tabela18[[#This Row],[Tensão (Pa)]]/1000000</f>
        <v>16.190104339735495</v>
      </c>
    </row>
    <row r="516" spans="1:6" x14ac:dyDescent="0.3">
      <c r="A516" s="1">
        <v>63.317</v>
      </c>
      <c r="B516" s="1">
        <v>5.2686999999999999</v>
      </c>
      <c r="C516" s="1">
        <f>Tabela18[[#This Row],[Alongamento (mm/mm)]]/$I$2</f>
        <v>0.105374</v>
      </c>
      <c r="D516" s="1">
        <v>785.52</v>
      </c>
      <c r="E516" s="1">
        <f>Tabela18[[#This Row],[Força (N)]]/$I$5</f>
        <v>16313883.166079618</v>
      </c>
      <c r="F516" s="1">
        <f>Tabela18[[#This Row],[Tensão (Pa)]]/1000000</f>
        <v>16.313883166079616</v>
      </c>
    </row>
    <row r="517" spans="1:6" x14ac:dyDescent="0.3">
      <c r="A517" s="1">
        <v>63.482999999999997</v>
      </c>
      <c r="B517" s="1">
        <v>5.2826000000000004</v>
      </c>
      <c r="C517" s="1">
        <f>Tabela18[[#This Row],[Alongamento (mm/mm)]]/$I$2</f>
        <v>0.10565200000000001</v>
      </c>
      <c r="D517" s="1">
        <v>792.15</v>
      </c>
      <c r="E517" s="1">
        <f>Tabela18[[#This Row],[Força (N)]]/$I$5</f>
        <v>16451576.726257727</v>
      </c>
      <c r="F517" s="1">
        <f>Tabela18[[#This Row],[Tensão (Pa)]]/1000000</f>
        <v>16.451576726257727</v>
      </c>
    </row>
    <row r="518" spans="1:6" x14ac:dyDescent="0.3">
      <c r="A518" s="1">
        <v>63.65</v>
      </c>
      <c r="B518" s="1">
        <v>5.2964000000000002</v>
      </c>
      <c r="C518" s="1">
        <f>Tabela18[[#This Row],[Alongamento (mm/mm)]]/$I$2</f>
        <v>0.10592800000000001</v>
      </c>
      <c r="D518" s="1">
        <v>798.78</v>
      </c>
      <c r="E518" s="1">
        <f>Tabela18[[#This Row],[Força (N)]]/$I$5</f>
        <v>16589270.286435835</v>
      </c>
      <c r="F518" s="1">
        <f>Tabela18[[#This Row],[Tensão (Pa)]]/1000000</f>
        <v>16.589270286435834</v>
      </c>
    </row>
    <row r="519" spans="1:6" x14ac:dyDescent="0.3">
      <c r="A519" s="1">
        <v>63.817</v>
      </c>
      <c r="B519" s="1">
        <v>5.3102999999999998</v>
      </c>
      <c r="C519" s="1">
        <f>Tabela18[[#This Row],[Alongamento (mm/mm)]]/$I$2</f>
        <v>0.10620599999999999</v>
      </c>
      <c r="D519" s="1">
        <v>805.42</v>
      </c>
      <c r="E519" s="1">
        <f>Tabela18[[#This Row],[Força (N)]]/$I$5</f>
        <v>16727171.529208479</v>
      </c>
      <c r="F519" s="1">
        <f>Tabela18[[#This Row],[Tensão (Pa)]]/1000000</f>
        <v>16.72717152920848</v>
      </c>
    </row>
    <row r="520" spans="1:6" x14ac:dyDescent="0.3">
      <c r="A520" s="1">
        <v>63.982999999999997</v>
      </c>
      <c r="B520" s="1">
        <v>5.3242000000000003</v>
      </c>
      <c r="C520" s="1">
        <f>Tabela18[[#This Row],[Alongamento (mm/mm)]]/$I$2</f>
        <v>0.10648400000000001</v>
      </c>
      <c r="D520" s="1">
        <v>811.88</v>
      </c>
      <c r="E520" s="1">
        <f>Tabela18[[#This Row],[Força (N)]]/$I$5</f>
        <v>16861334.48527946</v>
      </c>
      <c r="F520" s="1">
        <f>Tabela18[[#This Row],[Tensão (Pa)]]/1000000</f>
        <v>16.86133448527946</v>
      </c>
    </row>
    <row r="521" spans="1:6" x14ac:dyDescent="0.3">
      <c r="A521" s="1">
        <v>64.150000000000006</v>
      </c>
      <c r="B521" s="1">
        <v>5.3380999999999998</v>
      </c>
      <c r="C521" s="1">
        <f>Tabela18[[#This Row],[Alongamento (mm/mm)]]/$I$2</f>
        <v>0.106762</v>
      </c>
      <c r="D521" s="1">
        <v>818.52</v>
      </c>
      <c r="E521" s="1">
        <f>Tabela18[[#This Row],[Força (N)]]/$I$5</f>
        <v>16999235.728052102</v>
      </c>
      <c r="F521" s="1">
        <f>Tabela18[[#This Row],[Tensão (Pa)]]/1000000</f>
        <v>16.999235728052103</v>
      </c>
    </row>
    <row r="522" spans="1:6" x14ac:dyDescent="0.3">
      <c r="A522" s="1">
        <v>64.3</v>
      </c>
      <c r="B522" s="1">
        <v>5.3506</v>
      </c>
      <c r="C522" s="1">
        <f>Tabela18[[#This Row],[Alongamento (mm/mm)]]/$I$2</f>
        <v>0.107012</v>
      </c>
      <c r="D522" s="1">
        <v>824.64</v>
      </c>
      <c r="E522" s="1">
        <f>Tabela18[[#This Row],[Força (N)]]/$I$5</f>
        <v>17126337.47590882</v>
      </c>
      <c r="F522" s="1">
        <f>Tabela18[[#This Row],[Tensão (Pa)]]/1000000</f>
        <v>17.126337475908819</v>
      </c>
    </row>
    <row r="523" spans="1:6" x14ac:dyDescent="0.3">
      <c r="A523" s="1">
        <v>64.466999999999999</v>
      </c>
      <c r="B523" s="1">
        <v>5.3644999999999996</v>
      </c>
      <c r="C523" s="1">
        <f>Tabela18[[#This Row],[Alongamento (mm/mm)]]/$I$2</f>
        <v>0.10729</v>
      </c>
      <c r="D523" s="1">
        <v>831.27</v>
      </c>
      <c r="E523" s="1">
        <f>Tabela18[[#This Row],[Força (N)]]/$I$5</f>
        <v>17264031.036086928</v>
      </c>
      <c r="F523" s="1">
        <f>Tabela18[[#This Row],[Tensão (Pa)]]/1000000</f>
        <v>17.264031036086926</v>
      </c>
    </row>
    <row r="524" spans="1:6" x14ac:dyDescent="0.3">
      <c r="A524" s="1">
        <v>64.632999999999996</v>
      </c>
      <c r="B524" s="1">
        <v>5.3784000000000001</v>
      </c>
      <c r="C524" s="1">
        <f>Tabela18[[#This Row],[Alongamento (mm/mm)]]/$I$2</f>
        <v>0.107568</v>
      </c>
      <c r="D524" s="1">
        <v>837.91</v>
      </c>
      <c r="E524" s="1">
        <f>Tabela18[[#This Row],[Força (N)]]/$I$5</f>
        <v>17401932.278859574</v>
      </c>
      <c r="F524" s="1">
        <f>Tabela18[[#This Row],[Tensão (Pa)]]/1000000</f>
        <v>17.401932278859576</v>
      </c>
    </row>
    <row r="525" spans="1:6" x14ac:dyDescent="0.3">
      <c r="A525" s="1">
        <v>64.8</v>
      </c>
      <c r="B525" s="1">
        <v>5.3921999999999999</v>
      </c>
      <c r="C525" s="1">
        <f>Tabela18[[#This Row],[Alongamento (mm/mm)]]/$I$2</f>
        <v>0.107844</v>
      </c>
      <c r="D525" s="1">
        <v>844.71</v>
      </c>
      <c r="E525" s="1">
        <f>Tabela18[[#This Row],[Força (N)]]/$I$5</f>
        <v>17543156.443144813</v>
      </c>
      <c r="F525" s="1">
        <f>Tabela18[[#This Row],[Tensão (Pa)]]/1000000</f>
        <v>17.543156443144813</v>
      </c>
    </row>
    <row r="526" spans="1:6" x14ac:dyDescent="0.3">
      <c r="A526" s="1">
        <v>64.966999999999999</v>
      </c>
      <c r="B526" s="1">
        <v>5.4061000000000003</v>
      </c>
      <c r="C526" s="1">
        <f>Tabela18[[#This Row],[Alongamento (mm/mm)]]/$I$2</f>
        <v>0.10812200000000001</v>
      </c>
      <c r="D526" s="1">
        <v>851.34</v>
      </c>
      <c r="E526" s="1">
        <f>Tabela18[[#This Row],[Força (N)]]/$I$5</f>
        <v>17680850.003322922</v>
      </c>
      <c r="F526" s="1">
        <f>Tabela18[[#This Row],[Tensão (Pa)]]/1000000</f>
        <v>17.68085000332292</v>
      </c>
    </row>
    <row r="527" spans="1:6" x14ac:dyDescent="0.3">
      <c r="A527" s="1">
        <v>65.132999999999996</v>
      </c>
      <c r="B527" s="1">
        <v>5.4200999999999997</v>
      </c>
      <c r="C527" s="1">
        <f>Tabela18[[#This Row],[Alongamento (mm/mm)]]/$I$2</f>
        <v>0.108402</v>
      </c>
      <c r="D527" s="1">
        <v>857.98</v>
      </c>
      <c r="E527" s="1">
        <f>Tabela18[[#This Row],[Força (N)]]/$I$5</f>
        <v>17818751.246095568</v>
      </c>
      <c r="F527" s="1">
        <f>Tabela18[[#This Row],[Tensão (Pa)]]/1000000</f>
        <v>17.818751246095569</v>
      </c>
    </row>
    <row r="528" spans="1:6" x14ac:dyDescent="0.3">
      <c r="A528" s="1">
        <v>65.3</v>
      </c>
      <c r="B528" s="1">
        <v>5.4339000000000004</v>
      </c>
      <c r="C528" s="1">
        <f>Tabela18[[#This Row],[Alongamento (mm/mm)]]/$I$2</f>
        <v>0.10867800000000001</v>
      </c>
      <c r="D528" s="1">
        <v>864.78</v>
      </c>
      <c r="E528" s="1">
        <f>Tabela18[[#This Row],[Força (N)]]/$I$5</f>
        <v>17959975.410380807</v>
      </c>
      <c r="F528" s="1">
        <f>Tabela18[[#This Row],[Tensão (Pa)]]/1000000</f>
        <v>17.959975410380807</v>
      </c>
    </row>
    <row r="529" spans="1:6" x14ac:dyDescent="0.3">
      <c r="A529" s="1">
        <v>65.466999999999999</v>
      </c>
      <c r="B529" s="1">
        <v>5.4478</v>
      </c>
      <c r="C529" s="1">
        <f>Tabela18[[#This Row],[Alongamento (mm/mm)]]/$I$2</f>
        <v>0.108956</v>
      </c>
      <c r="D529" s="1">
        <v>871.42</v>
      </c>
      <c r="E529" s="1">
        <f>Tabela18[[#This Row],[Força (N)]]/$I$5</f>
        <v>18097876.653153453</v>
      </c>
      <c r="F529" s="1">
        <f>Tabela18[[#This Row],[Tensão (Pa)]]/1000000</f>
        <v>18.097876653153453</v>
      </c>
    </row>
    <row r="530" spans="1:6" x14ac:dyDescent="0.3">
      <c r="A530" s="1">
        <v>65.632999999999996</v>
      </c>
      <c r="B530" s="1">
        <v>5.4618000000000002</v>
      </c>
      <c r="C530" s="1">
        <f>Tabela18[[#This Row],[Alongamento (mm/mm)]]/$I$2</f>
        <v>0.109236</v>
      </c>
      <c r="D530" s="1">
        <v>878.22</v>
      </c>
      <c r="E530" s="1">
        <f>Tabela18[[#This Row],[Força (N)]]/$I$5</f>
        <v>18239100.817438692</v>
      </c>
      <c r="F530" s="1">
        <f>Tabela18[[#This Row],[Tensão (Pa)]]/1000000</f>
        <v>18.239100817438693</v>
      </c>
    </row>
    <row r="531" spans="1:6" x14ac:dyDescent="0.3">
      <c r="A531" s="1">
        <v>65.8</v>
      </c>
      <c r="B531" s="1">
        <v>5.4755000000000003</v>
      </c>
      <c r="C531" s="1">
        <f>Tabela18[[#This Row],[Alongamento (mm/mm)]]/$I$2</f>
        <v>0.10951000000000001</v>
      </c>
      <c r="D531" s="1">
        <v>885.02</v>
      </c>
      <c r="E531" s="1">
        <f>Tabela18[[#This Row],[Força (N)]]/$I$5</f>
        <v>18380324.981723931</v>
      </c>
      <c r="F531" s="1">
        <f>Tabela18[[#This Row],[Tensão (Pa)]]/1000000</f>
        <v>18.38032498172393</v>
      </c>
    </row>
    <row r="532" spans="1:6" x14ac:dyDescent="0.3">
      <c r="A532" s="1">
        <v>65.983000000000004</v>
      </c>
      <c r="B532" s="1">
        <v>5.4908000000000001</v>
      </c>
      <c r="C532" s="1">
        <f>Tabela18[[#This Row],[Alongamento (mm/mm)]]/$I$2</f>
        <v>0.109816</v>
      </c>
      <c r="D532" s="1">
        <v>892.34</v>
      </c>
      <c r="E532" s="1">
        <f>Tabela18[[#This Row],[Força (N)]]/$I$5</f>
        <v>18532348.640925102</v>
      </c>
      <c r="F532" s="1">
        <f>Tabela18[[#This Row],[Tensão (Pa)]]/1000000</f>
        <v>18.5323486409251</v>
      </c>
    </row>
    <row r="533" spans="1:6" x14ac:dyDescent="0.3">
      <c r="A533" s="1">
        <v>66.150000000000006</v>
      </c>
      <c r="B533" s="1">
        <v>5.5048000000000004</v>
      </c>
      <c r="C533" s="1">
        <f>Tabela18[[#This Row],[Alongamento (mm/mm)]]/$I$2</f>
        <v>0.11009600000000001</v>
      </c>
      <c r="D533" s="1">
        <v>899.31</v>
      </c>
      <c r="E533" s="1">
        <f>Tabela18[[#This Row],[Força (N)]]/$I$5</f>
        <v>18677103.409317471</v>
      </c>
      <c r="F533" s="1">
        <f>Tabela18[[#This Row],[Tensão (Pa)]]/1000000</f>
        <v>18.677103409317471</v>
      </c>
    </row>
    <row r="534" spans="1:6" x14ac:dyDescent="0.3">
      <c r="A534" s="1">
        <v>66.316999999999993</v>
      </c>
      <c r="B534" s="1">
        <v>5.5186999999999999</v>
      </c>
      <c r="C534" s="1">
        <f>Tabela18[[#This Row],[Alongamento (mm/mm)]]/$I$2</f>
        <v>0.110374</v>
      </c>
      <c r="D534" s="1">
        <v>906.29</v>
      </c>
      <c r="E534" s="1">
        <f>Tabela18[[#This Row],[Força (N)]]/$I$5</f>
        <v>18822065.860304378</v>
      </c>
      <c r="F534" s="1">
        <f>Tabela18[[#This Row],[Tensão (Pa)]]/1000000</f>
        <v>18.822065860304377</v>
      </c>
    </row>
    <row r="535" spans="1:6" x14ac:dyDescent="0.3">
      <c r="A535" s="1">
        <v>66.483000000000004</v>
      </c>
      <c r="B535" s="1">
        <v>5.5324999999999998</v>
      </c>
      <c r="C535" s="1">
        <f>Tabela18[[#This Row],[Alongamento (mm/mm)]]/$I$2</f>
        <v>0.11065</v>
      </c>
      <c r="D535" s="1">
        <v>913.6</v>
      </c>
      <c r="E535" s="1">
        <f>Tabela18[[#This Row],[Força (N)]]/$I$5</f>
        <v>18973881.836911011</v>
      </c>
      <c r="F535" s="1">
        <f>Tabela18[[#This Row],[Tensão (Pa)]]/1000000</f>
        <v>18.973881836911012</v>
      </c>
    </row>
    <row r="536" spans="1:6" x14ac:dyDescent="0.3">
      <c r="A536" s="1">
        <v>66.650000000000006</v>
      </c>
      <c r="B536" s="1">
        <v>5.5464000000000002</v>
      </c>
      <c r="C536" s="1">
        <f>Tabela18[[#This Row],[Alongamento (mm/mm)]]/$I$2</f>
        <v>0.110928</v>
      </c>
      <c r="D536" s="1">
        <v>920.74</v>
      </c>
      <c r="E536" s="1">
        <f>Tabela18[[#This Row],[Força (N)]]/$I$5</f>
        <v>19122167.209410515</v>
      </c>
      <c r="F536" s="1">
        <f>Tabela18[[#This Row],[Tensão (Pa)]]/1000000</f>
        <v>19.122167209410513</v>
      </c>
    </row>
    <row r="537" spans="1:6" x14ac:dyDescent="0.3">
      <c r="A537" s="1">
        <v>66.832999999999998</v>
      </c>
      <c r="B537" s="1">
        <v>5.5617999999999999</v>
      </c>
      <c r="C537" s="1">
        <f>Tabela18[[#This Row],[Alongamento (mm/mm)]]/$I$2</f>
        <v>0.111236</v>
      </c>
      <c r="D537" s="1">
        <v>928.57</v>
      </c>
      <c r="E537" s="1">
        <f>Tabela18[[#This Row],[Força (N)]]/$I$5</f>
        <v>19284782.680933077</v>
      </c>
      <c r="F537" s="1">
        <f>Tabela18[[#This Row],[Tensão (Pa)]]/1000000</f>
        <v>19.284782680933077</v>
      </c>
    </row>
    <row r="538" spans="1:6" x14ac:dyDescent="0.3">
      <c r="A538" s="1">
        <v>67</v>
      </c>
      <c r="B538" s="1">
        <v>5.5757000000000003</v>
      </c>
      <c r="C538" s="1">
        <f>Tabela18[[#This Row],[Alongamento (mm/mm)]]/$I$2</f>
        <v>0.111514</v>
      </c>
      <c r="D538" s="1">
        <v>935.88</v>
      </c>
      <c r="E538" s="1">
        <f>Tabela18[[#This Row],[Força (N)]]/$I$5</f>
        <v>19436598.65753971</v>
      </c>
      <c r="F538" s="1">
        <f>Tabela18[[#This Row],[Tensão (Pa)]]/1000000</f>
        <v>19.436598657539712</v>
      </c>
    </row>
    <row r="539" spans="1:6" x14ac:dyDescent="0.3">
      <c r="A539" s="1">
        <v>67.183000000000007</v>
      </c>
      <c r="B539" s="1">
        <v>5.5909000000000004</v>
      </c>
      <c r="C539" s="1">
        <f>Tabela18[[#This Row],[Alongamento (mm/mm)]]/$I$2</f>
        <v>0.11181800000000001</v>
      </c>
      <c r="D539" s="1">
        <v>943.54</v>
      </c>
      <c r="E539" s="1">
        <f>Tabela18[[#This Row],[Força (N)]]/$I$5</f>
        <v>19595683.524955139</v>
      </c>
      <c r="F539" s="1">
        <f>Tabela18[[#This Row],[Tensão (Pa)]]/1000000</f>
        <v>19.595683524955138</v>
      </c>
    </row>
    <row r="540" spans="1:6" x14ac:dyDescent="0.3">
      <c r="A540" s="1">
        <v>67.349999999999994</v>
      </c>
      <c r="B540" s="1">
        <v>5.6048</v>
      </c>
      <c r="C540" s="1">
        <f>Tabela18[[#This Row],[Alongamento (mm/mm)]]/$I$2</f>
        <v>0.112096</v>
      </c>
      <c r="D540" s="1">
        <v>950.68</v>
      </c>
      <c r="E540" s="1">
        <f>Tabela18[[#This Row],[Força (N)]]/$I$5</f>
        <v>19743968.897454642</v>
      </c>
      <c r="F540" s="1">
        <f>Tabela18[[#This Row],[Tensão (Pa)]]/1000000</f>
        <v>19.743968897454643</v>
      </c>
    </row>
    <row r="541" spans="1:6" x14ac:dyDescent="0.3">
      <c r="A541" s="1">
        <v>67.516999999999996</v>
      </c>
      <c r="B541" s="1">
        <v>5.6186999999999996</v>
      </c>
      <c r="C541" s="1">
        <f>Tabela18[[#This Row],[Alongamento (mm/mm)]]/$I$2</f>
        <v>0.11237399999999999</v>
      </c>
      <c r="D541" s="1">
        <v>957.83</v>
      </c>
      <c r="E541" s="1">
        <f>Tabela18[[#This Row],[Força (N)]]/$I$5</f>
        <v>19892461.952548683</v>
      </c>
      <c r="F541" s="1">
        <f>Tabela18[[#This Row],[Tensão (Pa)]]/1000000</f>
        <v>19.892461952548683</v>
      </c>
    </row>
    <row r="542" spans="1:6" x14ac:dyDescent="0.3">
      <c r="A542" s="1">
        <v>67.683000000000007</v>
      </c>
      <c r="B542" s="1">
        <v>5.6325000000000003</v>
      </c>
      <c r="C542" s="1">
        <f>Tabela18[[#This Row],[Alongamento (mm/mm)]]/$I$2</f>
        <v>0.11265</v>
      </c>
      <c r="D542" s="1">
        <v>964.97</v>
      </c>
      <c r="E542" s="1">
        <f>Tabela18[[#This Row],[Força (N)]]/$I$5</f>
        <v>20040747.325048182</v>
      </c>
      <c r="F542" s="1">
        <f>Tabela18[[#This Row],[Tensão (Pa)]]/1000000</f>
        <v>20.040747325048184</v>
      </c>
    </row>
    <row r="543" spans="1:6" x14ac:dyDescent="0.3">
      <c r="A543" s="1">
        <v>67.867000000000004</v>
      </c>
      <c r="B543" s="1">
        <v>5.6478999999999999</v>
      </c>
      <c r="C543" s="1">
        <f>Tabela18[[#This Row],[Alongamento (mm/mm)]]/$I$2</f>
        <v>0.112958</v>
      </c>
      <c r="D543" s="1">
        <v>972.8</v>
      </c>
      <c r="E543" s="1">
        <f>Tabela18[[#This Row],[Força (N)]]/$I$5</f>
        <v>20203362.796570744</v>
      </c>
      <c r="F543" s="1">
        <f>Tabela18[[#This Row],[Tensão (Pa)]]/1000000</f>
        <v>20.203362796570744</v>
      </c>
    </row>
    <row r="544" spans="1:6" x14ac:dyDescent="0.3">
      <c r="A544" s="1">
        <v>68.05</v>
      </c>
      <c r="B544" s="1">
        <v>5.6630000000000003</v>
      </c>
      <c r="C544" s="1">
        <f>Tabela18[[#This Row],[Alongamento (mm/mm)]]/$I$2</f>
        <v>0.11326</v>
      </c>
      <c r="D544" s="1">
        <v>980.62</v>
      </c>
      <c r="E544" s="1">
        <f>Tabela18[[#This Row],[Força (N)]]/$I$5</f>
        <v>20365770.585498773</v>
      </c>
      <c r="F544" s="1">
        <f>Tabela18[[#This Row],[Tensão (Pa)]]/1000000</f>
        <v>20.365770585498773</v>
      </c>
    </row>
    <row r="545" spans="1:6" x14ac:dyDescent="0.3">
      <c r="A545" s="1">
        <v>68.233000000000004</v>
      </c>
      <c r="B545" s="1">
        <v>5.6783999999999999</v>
      </c>
      <c r="C545" s="1">
        <f>Tabela18[[#This Row],[Alongamento (mm/mm)]]/$I$2</f>
        <v>0.113568</v>
      </c>
      <c r="D545" s="1">
        <v>988.44</v>
      </c>
      <c r="E545" s="1">
        <f>Tabela18[[#This Row],[Força (N)]]/$I$5</f>
        <v>20528178.374426797</v>
      </c>
      <c r="F545" s="1">
        <f>Tabela18[[#This Row],[Tensão (Pa)]]/1000000</f>
        <v>20.528178374426798</v>
      </c>
    </row>
    <row r="546" spans="1:6" x14ac:dyDescent="0.3">
      <c r="A546" s="1">
        <v>68.417000000000002</v>
      </c>
      <c r="B546" s="1">
        <v>5.6936999999999998</v>
      </c>
      <c r="C546" s="1">
        <f>Tabela18[[#This Row],[Alongamento (mm/mm)]]/$I$2</f>
        <v>0.11387399999999999</v>
      </c>
      <c r="D546" s="1">
        <v>996.27</v>
      </c>
      <c r="E546" s="1">
        <f>Tabela18[[#This Row],[Força (N)]]/$I$5</f>
        <v>20690793.845949359</v>
      </c>
      <c r="F546" s="1">
        <f>Tabela18[[#This Row],[Tensão (Pa)]]/1000000</f>
        <v>20.690793845949358</v>
      </c>
    </row>
    <row r="547" spans="1:6" x14ac:dyDescent="0.3">
      <c r="A547" s="1">
        <v>68.599999999999994</v>
      </c>
      <c r="B547" s="1">
        <v>5.7088999999999999</v>
      </c>
      <c r="C547" s="1">
        <f>Tabela18[[#This Row],[Alongamento (mm/mm)]]/$I$2</f>
        <v>0.114178</v>
      </c>
      <c r="D547" s="1">
        <v>1004.1</v>
      </c>
      <c r="E547" s="1">
        <f>Tabela18[[#This Row],[Força (N)]]/$I$5</f>
        <v>20853409.317471921</v>
      </c>
      <c r="F547" s="1">
        <f>Tabela18[[#This Row],[Tensão (Pa)]]/1000000</f>
        <v>20.853409317471922</v>
      </c>
    </row>
    <row r="548" spans="1:6" x14ac:dyDescent="0.3">
      <c r="A548" s="1">
        <v>68.783000000000001</v>
      </c>
      <c r="B548" s="1">
        <v>5.7241</v>
      </c>
      <c r="C548" s="1">
        <f>Tabela18[[#This Row],[Alongamento (mm/mm)]]/$I$2</f>
        <v>0.114482</v>
      </c>
      <c r="D548" s="1">
        <v>1011.9</v>
      </c>
      <c r="E548" s="1">
        <f>Tabela18[[#This Row],[Força (N)]]/$I$5</f>
        <v>21015401.741210874</v>
      </c>
      <c r="F548" s="1">
        <f>Tabela18[[#This Row],[Tensão (Pa)]]/1000000</f>
        <v>21.015401741210873</v>
      </c>
    </row>
    <row r="549" spans="1:6" x14ac:dyDescent="0.3">
      <c r="A549" s="1">
        <v>68.966999999999999</v>
      </c>
      <c r="B549" s="1">
        <v>5.7393999999999998</v>
      </c>
      <c r="C549" s="1">
        <f>Tabela18[[#This Row],[Alongamento (mm/mm)]]/$I$2</f>
        <v>0.114788</v>
      </c>
      <c r="D549" s="1">
        <v>1019.7</v>
      </c>
      <c r="E549" s="1">
        <f>Tabela18[[#This Row],[Força (N)]]/$I$5</f>
        <v>21177394.164949827</v>
      </c>
      <c r="F549" s="1">
        <f>Tabela18[[#This Row],[Tensão (Pa)]]/1000000</f>
        <v>21.177394164949828</v>
      </c>
    </row>
    <row r="550" spans="1:6" x14ac:dyDescent="0.3">
      <c r="A550" s="1">
        <v>69.150000000000006</v>
      </c>
      <c r="B550" s="1">
        <v>5.7546999999999997</v>
      </c>
      <c r="C550" s="1">
        <f>Tabela18[[#This Row],[Alongamento (mm/mm)]]/$I$2</f>
        <v>0.11509399999999999</v>
      </c>
      <c r="D550" s="1">
        <v>1027.5999999999999</v>
      </c>
      <c r="E550" s="1">
        <f>Tabela18[[#This Row],[Força (N)]]/$I$5</f>
        <v>21341463.414634146</v>
      </c>
      <c r="F550" s="1">
        <f>Tabela18[[#This Row],[Tensão (Pa)]]/1000000</f>
        <v>21.341463414634145</v>
      </c>
    </row>
    <row r="551" spans="1:6" x14ac:dyDescent="0.3">
      <c r="A551" s="1">
        <v>69.349999999999994</v>
      </c>
      <c r="B551" s="1">
        <v>5.7714999999999996</v>
      </c>
      <c r="C551" s="1">
        <f>Tabela18[[#This Row],[Alongamento (mm/mm)]]/$I$2</f>
        <v>0.11542999999999999</v>
      </c>
      <c r="D551" s="1">
        <v>1035.9000000000001</v>
      </c>
      <c r="E551" s="1">
        <f>Tabela18[[#This Row],[Força (N)]]/$I$5</f>
        <v>21513839.968099955</v>
      </c>
      <c r="F551" s="1">
        <f>Tabela18[[#This Row],[Tensão (Pa)]]/1000000</f>
        <v>21.513839968099955</v>
      </c>
    </row>
    <row r="552" spans="1:6" x14ac:dyDescent="0.3">
      <c r="A552" s="1">
        <v>69.55</v>
      </c>
      <c r="B552" s="1">
        <v>5.7881</v>
      </c>
      <c r="C552" s="1">
        <f>Tabela18[[#This Row],[Alongamento (mm/mm)]]/$I$2</f>
        <v>0.115762</v>
      </c>
      <c r="D552" s="1">
        <v>1044.4000000000001</v>
      </c>
      <c r="E552" s="1">
        <f>Tabela18[[#This Row],[Força (N)]]/$I$5</f>
        <v>21690370.173456505</v>
      </c>
      <c r="F552" s="1">
        <f>Tabela18[[#This Row],[Tensão (Pa)]]/1000000</f>
        <v>21.690370173456504</v>
      </c>
    </row>
    <row r="553" spans="1:6" x14ac:dyDescent="0.3">
      <c r="A553" s="1">
        <v>69.75</v>
      </c>
      <c r="B553" s="1">
        <v>5.8048000000000002</v>
      </c>
      <c r="C553" s="1">
        <f>Tabela18[[#This Row],[Alongamento (mm/mm)]]/$I$2</f>
        <v>0.116096</v>
      </c>
      <c r="D553" s="1">
        <v>1052.7</v>
      </c>
      <c r="E553" s="1">
        <f>Tabela18[[#This Row],[Força (N)]]/$I$5</f>
        <v>21862746.726922311</v>
      </c>
      <c r="F553" s="1">
        <f>Tabela18[[#This Row],[Tensão (Pa)]]/1000000</f>
        <v>21.86274672692231</v>
      </c>
    </row>
    <row r="554" spans="1:6" x14ac:dyDescent="0.3">
      <c r="A554" s="1">
        <v>69.95</v>
      </c>
      <c r="B554" s="1">
        <v>5.8213999999999997</v>
      </c>
      <c r="C554" s="1">
        <f>Tabela18[[#This Row],[Alongamento (mm/mm)]]/$I$2</f>
        <v>0.11642799999999999</v>
      </c>
      <c r="D554" s="1">
        <v>1061.2</v>
      </c>
      <c r="E554" s="1">
        <f>Tabela18[[#This Row],[Força (N)]]/$I$5</f>
        <v>22039276.93227886</v>
      </c>
      <c r="F554" s="1">
        <f>Tabela18[[#This Row],[Tensão (Pa)]]/1000000</f>
        <v>22.03927693227886</v>
      </c>
    </row>
    <row r="555" spans="1:6" x14ac:dyDescent="0.3">
      <c r="A555" s="1">
        <v>70.150000000000006</v>
      </c>
      <c r="B555" s="1">
        <v>5.8380999999999998</v>
      </c>
      <c r="C555" s="1">
        <f>Tabela18[[#This Row],[Alongamento (mm/mm)]]/$I$2</f>
        <v>0.11676199999999999</v>
      </c>
      <c r="D555" s="1">
        <v>1069.9000000000001</v>
      </c>
      <c r="E555" s="1">
        <f>Tabela18[[#This Row],[Força (N)]]/$I$5</f>
        <v>22219960.789526153</v>
      </c>
      <c r="F555" s="1">
        <f>Tabela18[[#This Row],[Tensão (Pa)]]/1000000</f>
        <v>22.219960789526155</v>
      </c>
    </row>
    <row r="556" spans="1:6" x14ac:dyDescent="0.3">
      <c r="A556" s="1">
        <v>70.349999999999994</v>
      </c>
      <c r="B556" s="1">
        <v>5.8547000000000002</v>
      </c>
      <c r="C556" s="1">
        <f>Tabela18[[#This Row],[Alongamento (mm/mm)]]/$I$2</f>
        <v>0.117094</v>
      </c>
      <c r="D556" s="1">
        <v>1078.4000000000001</v>
      </c>
      <c r="E556" s="1">
        <f>Tabela18[[#This Row],[Força (N)]]/$I$5</f>
        <v>22396490.994882703</v>
      </c>
      <c r="F556" s="1">
        <f>Tabela18[[#This Row],[Tensão (Pa)]]/1000000</f>
        <v>22.396490994882704</v>
      </c>
    </row>
    <row r="557" spans="1:6" x14ac:dyDescent="0.3">
      <c r="A557" s="1">
        <v>70.55</v>
      </c>
      <c r="B557" s="1">
        <v>5.8714000000000004</v>
      </c>
      <c r="C557" s="1">
        <f>Tabela18[[#This Row],[Alongamento (mm/mm)]]/$I$2</f>
        <v>0.117428</v>
      </c>
      <c r="D557" s="1">
        <v>1086.9000000000001</v>
      </c>
      <c r="E557" s="1">
        <f>Tabela18[[#This Row],[Força (N)]]/$I$5</f>
        <v>22573021.200239252</v>
      </c>
      <c r="F557" s="1">
        <f>Tabela18[[#This Row],[Tensão (Pa)]]/1000000</f>
        <v>22.573021200239253</v>
      </c>
    </row>
    <row r="558" spans="1:6" x14ac:dyDescent="0.3">
      <c r="A558" s="1">
        <v>70.75</v>
      </c>
      <c r="B558" s="1">
        <v>5.8882000000000003</v>
      </c>
      <c r="C558" s="1">
        <f>Tabela18[[#This Row],[Alongamento (mm/mm)]]/$I$2</f>
        <v>0.11776400000000001</v>
      </c>
      <c r="D558" s="1">
        <v>1095.4000000000001</v>
      </c>
      <c r="E558" s="1">
        <f>Tabela18[[#This Row],[Força (N)]]/$I$5</f>
        <v>22749551.405595802</v>
      </c>
      <c r="F558" s="1">
        <f>Tabela18[[#This Row],[Tensão (Pa)]]/1000000</f>
        <v>22.749551405595803</v>
      </c>
    </row>
    <row r="559" spans="1:6" x14ac:dyDescent="0.3">
      <c r="A559" s="1">
        <v>70.95</v>
      </c>
      <c r="B559" s="1">
        <v>5.9047000000000001</v>
      </c>
      <c r="C559" s="1">
        <f>Tabela18[[#This Row],[Alongamento (mm/mm)]]/$I$2</f>
        <v>0.118094</v>
      </c>
      <c r="D559" s="1">
        <v>1104.0999999999999</v>
      </c>
      <c r="E559" s="1">
        <f>Tabela18[[#This Row],[Força (N)]]/$I$5</f>
        <v>22930235.262843091</v>
      </c>
      <c r="F559" s="1">
        <f>Tabela18[[#This Row],[Tensão (Pa)]]/1000000</f>
        <v>22.930235262843091</v>
      </c>
    </row>
    <row r="560" spans="1:6" x14ac:dyDescent="0.3">
      <c r="A560" s="1">
        <v>71.150000000000006</v>
      </c>
      <c r="B560" s="1">
        <v>5.9215</v>
      </c>
      <c r="C560" s="1">
        <f>Tabela18[[#This Row],[Alongamento (mm/mm)]]/$I$2</f>
        <v>0.11842999999999999</v>
      </c>
      <c r="D560" s="1">
        <v>1112.5999999999999</v>
      </c>
      <c r="E560" s="1">
        <f>Tabela18[[#This Row],[Força (N)]]/$I$5</f>
        <v>23106765.468199641</v>
      </c>
      <c r="F560" s="1">
        <f>Tabela18[[#This Row],[Tensão (Pa)]]/1000000</f>
        <v>23.10676546819964</v>
      </c>
    </row>
    <row r="561" spans="1:6" x14ac:dyDescent="0.3">
      <c r="A561" s="1">
        <v>71.349999999999994</v>
      </c>
      <c r="B561" s="1">
        <v>5.9381000000000004</v>
      </c>
      <c r="C561" s="1">
        <f>Tabela18[[#This Row],[Alongamento (mm/mm)]]/$I$2</f>
        <v>0.11876200000000001</v>
      </c>
      <c r="D561" s="1">
        <v>1121.3</v>
      </c>
      <c r="E561" s="1">
        <f>Tabela18[[#This Row],[Força (N)]]/$I$5</f>
        <v>23287449.325446934</v>
      </c>
      <c r="F561" s="1">
        <f>Tabela18[[#This Row],[Tensão (Pa)]]/1000000</f>
        <v>23.287449325446932</v>
      </c>
    </row>
    <row r="562" spans="1:6" x14ac:dyDescent="0.3">
      <c r="A562" s="1">
        <v>71.55</v>
      </c>
      <c r="B562" s="1">
        <v>5.9547999999999996</v>
      </c>
      <c r="C562" s="1">
        <f>Tabela18[[#This Row],[Alongamento (mm/mm)]]/$I$2</f>
        <v>0.11909599999999999</v>
      </c>
      <c r="D562" s="1">
        <v>1129.8</v>
      </c>
      <c r="E562" s="1">
        <f>Tabela18[[#This Row],[Força (N)]]/$I$5</f>
        <v>23463979.530803483</v>
      </c>
      <c r="F562" s="1">
        <f>Tabela18[[#This Row],[Tensão (Pa)]]/1000000</f>
        <v>23.463979530803481</v>
      </c>
    </row>
    <row r="563" spans="1:6" x14ac:dyDescent="0.3">
      <c r="A563" s="1">
        <v>71.75</v>
      </c>
      <c r="B563" s="1">
        <v>5.9713000000000003</v>
      </c>
      <c r="C563" s="1">
        <f>Tabela18[[#This Row],[Alongamento (mm/mm)]]/$I$2</f>
        <v>0.119426</v>
      </c>
      <c r="D563" s="1">
        <v>1138.5</v>
      </c>
      <c r="E563" s="1">
        <f>Tabela18[[#This Row],[Força (N)]]/$I$5</f>
        <v>23644663.388050776</v>
      </c>
      <c r="F563" s="1">
        <f>Tabela18[[#This Row],[Tensão (Pa)]]/1000000</f>
        <v>23.644663388050777</v>
      </c>
    </row>
    <row r="564" spans="1:6" x14ac:dyDescent="0.3">
      <c r="A564" s="1">
        <v>71.966999999999999</v>
      </c>
      <c r="B564" s="1">
        <v>5.9894999999999996</v>
      </c>
      <c r="C564" s="1">
        <f>Tabela18[[#This Row],[Alongamento (mm/mm)]]/$I$2</f>
        <v>0.11978999999999999</v>
      </c>
      <c r="D564" s="1">
        <v>1147.7</v>
      </c>
      <c r="E564" s="1">
        <f>Tabela18[[#This Row],[Força (N)]]/$I$5</f>
        <v>23835731.375024922</v>
      </c>
      <c r="F564" s="1">
        <f>Tabela18[[#This Row],[Tensão (Pa)]]/1000000</f>
        <v>23.83573137502492</v>
      </c>
    </row>
    <row r="565" spans="1:6" x14ac:dyDescent="0.3">
      <c r="A565" s="1">
        <v>72.167000000000002</v>
      </c>
      <c r="B565" s="1">
        <v>6.0061</v>
      </c>
      <c r="C565" s="1">
        <f>Tabela18[[#This Row],[Alongamento (mm/mm)]]/$I$2</f>
        <v>0.12012200000000001</v>
      </c>
      <c r="D565" s="1">
        <v>1156.5</v>
      </c>
      <c r="E565" s="1">
        <f>Tabela18[[#This Row],[Força (N)]]/$I$5</f>
        <v>24018492.058217585</v>
      </c>
      <c r="F565" s="1">
        <f>Tabela18[[#This Row],[Tensão (Pa)]]/1000000</f>
        <v>24.018492058217586</v>
      </c>
    </row>
    <row r="566" spans="1:6" x14ac:dyDescent="0.3">
      <c r="A566" s="1">
        <v>72.382999999999996</v>
      </c>
      <c r="B566" s="1">
        <v>6.0242000000000004</v>
      </c>
      <c r="C566" s="1">
        <f>Tabela18[[#This Row],[Alongamento (mm/mm)]]/$I$2</f>
        <v>0.12048400000000001</v>
      </c>
      <c r="D566" s="1">
        <v>1166</v>
      </c>
      <c r="E566" s="1">
        <f>Tabela18[[#This Row],[Força (N)]]/$I$5</f>
        <v>24215790.523027848</v>
      </c>
      <c r="F566" s="1">
        <f>Tabela18[[#This Row],[Tensão (Pa)]]/1000000</f>
        <v>24.215790523027849</v>
      </c>
    </row>
    <row r="567" spans="1:6" x14ac:dyDescent="0.3">
      <c r="A567" s="1">
        <v>72.599999999999994</v>
      </c>
      <c r="B567" s="1">
        <v>6.0423</v>
      </c>
      <c r="C567" s="1">
        <f>Tabela18[[#This Row],[Alongamento (mm/mm)]]/$I$2</f>
        <v>0.120846</v>
      </c>
      <c r="D567" s="1">
        <v>1175.5999999999999</v>
      </c>
      <c r="E567" s="1">
        <f>Tabela18[[#This Row],[Força (N)]]/$I$5</f>
        <v>24415165.813783478</v>
      </c>
      <c r="F567" s="1">
        <f>Tabela18[[#This Row],[Tensão (Pa)]]/1000000</f>
        <v>24.415165813783478</v>
      </c>
    </row>
    <row r="568" spans="1:6" x14ac:dyDescent="0.3">
      <c r="A568" s="1">
        <v>72.8</v>
      </c>
      <c r="B568" s="1">
        <v>6.0589000000000004</v>
      </c>
      <c r="C568" s="1">
        <f>Tabela18[[#This Row],[Alongamento (mm/mm)]]/$I$2</f>
        <v>0.12117800000000001</v>
      </c>
      <c r="D568" s="1">
        <v>1184.4000000000001</v>
      </c>
      <c r="E568" s="1">
        <f>Tabela18[[#This Row],[Força (N)]]/$I$5</f>
        <v>24597926.496976145</v>
      </c>
      <c r="F568" s="1">
        <f>Tabela18[[#This Row],[Tensão (Pa)]]/1000000</f>
        <v>24.597926496976143</v>
      </c>
    </row>
    <row r="569" spans="1:6" x14ac:dyDescent="0.3">
      <c r="A569" s="1">
        <v>73.016999999999996</v>
      </c>
      <c r="B569" s="1">
        <v>6.0770999999999997</v>
      </c>
      <c r="C569" s="1">
        <f>Tabela18[[#This Row],[Alongamento (mm/mm)]]/$I$2</f>
        <v>0.121542</v>
      </c>
      <c r="D569" s="1">
        <v>1194.0999999999999</v>
      </c>
      <c r="E569" s="1">
        <f>Tabela18[[#This Row],[Força (N)]]/$I$5</f>
        <v>24799378.613677144</v>
      </c>
      <c r="F569" s="1">
        <f>Tabela18[[#This Row],[Tensão (Pa)]]/1000000</f>
        <v>24.799378613677145</v>
      </c>
    </row>
    <row r="570" spans="1:6" x14ac:dyDescent="0.3">
      <c r="A570" s="1">
        <v>73.233000000000004</v>
      </c>
      <c r="B570" s="1">
        <v>6.0949999999999998</v>
      </c>
      <c r="C570" s="1">
        <f>Tabela18[[#This Row],[Alongamento (mm/mm)]]/$I$2</f>
        <v>0.12189999999999999</v>
      </c>
      <c r="D570" s="1">
        <v>1204</v>
      </c>
      <c r="E570" s="1">
        <f>Tabela18[[#This Row],[Força (N)]]/$I$5</f>
        <v>25004984.382268891</v>
      </c>
      <c r="F570" s="1">
        <f>Tabela18[[#This Row],[Tensão (Pa)]]/1000000</f>
        <v>25.004984382268891</v>
      </c>
    </row>
    <row r="571" spans="1:6" x14ac:dyDescent="0.3">
      <c r="A571" s="1">
        <v>73.45</v>
      </c>
      <c r="B571" s="1">
        <v>6.1132</v>
      </c>
      <c r="C571" s="1">
        <f>Tabela18[[#This Row],[Alongamento (mm/mm)]]/$I$2</f>
        <v>0.122264</v>
      </c>
      <c r="D571" s="1">
        <v>1213.8</v>
      </c>
      <c r="E571" s="1">
        <f>Tabela18[[#This Row],[Força (N)]]/$I$5</f>
        <v>25208513.324915264</v>
      </c>
      <c r="F571" s="1">
        <f>Tabela18[[#This Row],[Tensão (Pa)]]/1000000</f>
        <v>25.208513324915263</v>
      </c>
    </row>
    <row r="572" spans="1:6" x14ac:dyDescent="0.3">
      <c r="A572" s="1">
        <v>73.667000000000002</v>
      </c>
      <c r="B572" s="1">
        <v>6.1311999999999998</v>
      </c>
      <c r="C572" s="1">
        <f>Tabela18[[#This Row],[Alongamento (mm/mm)]]/$I$2</f>
        <v>0.122624</v>
      </c>
      <c r="D572" s="1">
        <v>1223.7</v>
      </c>
      <c r="E572" s="1">
        <f>Tabela18[[#This Row],[Força (N)]]/$I$5</f>
        <v>25414119.093507014</v>
      </c>
      <c r="F572" s="1">
        <f>Tabela18[[#This Row],[Tensão (Pa)]]/1000000</f>
        <v>25.414119093507015</v>
      </c>
    </row>
    <row r="573" spans="1:6" x14ac:dyDescent="0.3">
      <c r="A573" s="1">
        <v>73.882999999999996</v>
      </c>
      <c r="B573" s="1">
        <v>6.1492000000000004</v>
      </c>
      <c r="C573" s="1">
        <f>Tabela18[[#This Row],[Alongamento (mm/mm)]]/$I$2</f>
        <v>0.12298400000000001</v>
      </c>
      <c r="D573" s="1">
        <v>1233.2</v>
      </c>
      <c r="E573" s="1">
        <f>Tabela18[[#This Row],[Força (N)]]/$I$5</f>
        <v>25611417.558317274</v>
      </c>
      <c r="F573" s="1">
        <f>Tabela18[[#This Row],[Tensão (Pa)]]/1000000</f>
        <v>25.611417558317275</v>
      </c>
    </row>
    <row r="574" spans="1:6" x14ac:dyDescent="0.3">
      <c r="A574" s="1">
        <v>74.099999999999994</v>
      </c>
      <c r="B574" s="1">
        <v>6.1673</v>
      </c>
      <c r="C574" s="1">
        <f>Tabela18[[#This Row],[Alongamento (mm/mm)]]/$I$2</f>
        <v>0.123346</v>
      </c>
      <c r="D574" s="1">
        <v>1243.0999999999999</v>
      </c>
      <c r="E574" s="1">
        <f>Tabela18[[#This Row],[Força (N)]]/$I$5</f>
        <v>25817023.326909017</v>
      </c>
      <c r="F574" s="1">
        <f>Tabela18[[#This Row],[Tensão (Pa)]]/1000000</f>
        <v>25.817023326909016</v>
      </c>
    </row>
    <row r="575" spans="1:6" x14ac:dyDescent="0.3">
      <c r="A575" s="1">
        <v>74.316999999999993</v>
      </c>
      <c r="B575" s="1">
        <v>6.1853999999999996</v>
      </c>
      <c r="C575" s="1">
        <f>Tabela18[[#This Row],[Alongamento (mm/mm)]]/$I$2</f>
        <v>0.12370799999999998</v>
      </c>
      <c r="D575" s="1">
        <v>1252.8</v>
      </c>
      <c r="E575" s="1">
        <f>Tabela18[[#This Row],[Força (N)]]/$I$5</f>
        <v>26018475.44361002</v>
      </c>
      <c r="F575" s="1">
        <f>Tabela18[[#This Row],[Tensão (Pa)]]/1000000</f>
        <v>26.018475443610019</v>
      </c>
    </row>
    <row r="576" spans="1:6" x14ac:dyDescent="0.3">
      <c r="A576" s="1">
        <v>74.533000000000001</v>
      </c>
      <c r="B576" s="1">
        <v>6.2032999999999996</v>
      </c>
      <c r="C576" s="1">
        <f>Tabela18[[#This Row],[Alongamento (mm/mm)]]/$I$2</f>
        <v>0.124066</v>
      </c>
      <c r="D576" s="1">
        <v>1262.5</v>
      </c>
      <c r="E576" s="1">
        <f>Tabela18[[#This Row],[Força (N)]]/$I$5</f>
        <v>26219927.560311027</v>
      </c>
      <c r="F576" s="1">
        <f>Tabela18[[#This Row],[Tensão (Pa)]]/1000000</f>
        <v>26.219927560311028</v>
      </c>
    </row>
    <row r="577" spans="1:6" x14ac:dyDescent="0.3">
      <c r="A577" s="1">
        <v>74.75</v>
      </c>
      <c r="B577" s="1">
        <v>6.2214</v>
      </c>
      <c r="C577" s="1">
        <f>Tabela18[[#This Row],[Alongamento (mm/mm)]]/$I$2</f>
        <v>0.124428</v>
      </c>
      <c r="D577" s="1">
        <v>1272.2</v>
      </c>
      <c r="E577" s="1">
        <f>Tabela18[[#This Row],[Força (N)]]/$I$5</f>
        <v>26421379.67701203</v>
      </c>
      <c r="F577" s="1">
        <f>Tabela18[[#This Row],[Tensão (Pa)]]/1000000</f>
        <v>26.42137967701203</v>
      </c>
    </row>
    <row r="578" spans="1:6" x14ac:dyDescent="0.3">
      <c r="A578" s="1">
        <v>74.983000000000004</v>
      </c>
      <c r="B578" s="1">
        <v>6.2408000000000001</v>
      </c>
      <c r="C578" s="1">
        <f>Tabela18[[#This Row],[Alongamento (mm/mm)]]/$I$2</f>
        <v>0.124816</v>
      </c>
      <c r="D578" s="1">
        <v>1282.5</v>
      </c>
      <c r="E578" s="1">
        <f>Tabela18[[#This Row],[Força (N)]]/$I$5</f>
        <v>26635292.74938526</v>
      </c>
      <c r="F578" s="1">
        <f>Tabela18[[#This Row],[Tensão (Pa)]]/1000000</f>
        <v>26.635292749385261</v>
      </c>
    </row>
    <row r="579" spans="1:6" x14ac:dyDescent="0.3">
      <c r="A579" s="1">
        <v>75.216999999999999</v>
      </c>
      <c r="B579" s="1">
        <v>6.2603999999999997</v>
      </c>
      <c r="C579" s="1">
        <f>Tabela18[[#This Row],[Alongamento (mm/mm)]]/$I$2</f>
        <v>0.12520799999999999</v>
      </c>
      <c r="D579" s="1">
        <v>1292.9000000000001</v>
      </c>
      <c r="E579" s="1">
        <f>Tabela18[[#This Row],[Força (N)]]/$I$5</f>
        <v>26851282.647703864</v>
      </c>
      <c r="F579" s="1">
        <f>Tabela18[[#This Row],[Tensão (Pa)]]/1000000</f>
        <v>26.851282647703865</v>
      </c>
    </row>
    <row r="580" spans="1:6" x14ac:dyDescent="0.3">
      <c r="A580" s="1">
        <v>75.45</v>
      </c>
      <c r="B580" s="1">
        <v>6.2797999999999998</v>
      </c>
      <c r="C580" s="1">
        <f>Tabela18[[#This Row],[Alongamento (mm/mm)]]/$I$2</f>
        <v>0.12559599999999999</v>
      </c>
      <c r="D580" s="1">
        <v>1303.3</v>
      </c>
      <c r="E580" s="1">
        <f>Tabela18[[#This Row],[Força (N)]]/$I$5</f>
        <v>27067272.546022464</v>
      </c>
      <c r="F580" s="1">
        <f>Tabela18[[#This Row],[Tensão (Pa)]]/1000000</f>
        <v>27.067272546022462</v>
      </c>
    </row>
    <row r="581" spans="1:6" x14ac:dyDescent="0.3">
      <c r="A581" s="1">
        <v>75.683000000000007</v>
      </c>
      <c r="B581" s="1">
        <v>6.2992999999999997</v>
      </c>
      <c r="C581" s="1">
        <f>Tabela18[[#This Row],[Alongamento (mm/mm)]]/$I$2</f>
        <v>0.12598599999999999</v>
      </c>
      <c r="D581" s="1">
        <v>1313.7</v>
      </c>
      <c r="E581" s="1">
        <f>Tabela18[[#This Row],[Força (N)]]/$I$5</f>
        <v>27283262.444341067</v>
      </c>
      <c r="F581" s="1">
        <f>Tabela18[[#This Row],[Tensão (Pa)]]/1000000</f>
        <v>27.283262444341066</v>
      </c>
    </row>
    <row r="582" spans="1:6" x14ac:dyDescent="0.3">
      <c r="A582" s="1">
        <v>75.917000000000002</v>
      </c>
      <c r="B582" s="1">
        <v>6.3186</v>
      </c>
      <c r="C582" s="1">
        <f>Tabela18[[#This Row],[Alongamento (mm/mm)]]/$I$2</f>
        <v>0.12637200000000001</v>
      </c>
      <c r="D582" s="1">
        <v>1324</v>
      </c>
      <c r="E582" s="1">
        <f>Tabela18[[#This Row],[Força (N)]]/$I$5</f>
        <v>27497175.516714297</v>
      </c>
      <c r="F582" s="1">
        <f>Tabela18[[#This Row],[Tensão (Pa)]]/1000000</f>
        <v>27.497175516714297</v>
      </c>
    </row>
    <row r="583" spans="1:6" x14ac:dyDescent="0.3">
      <c r="A583" s="1">
        <v>76.150000000000006</v>
      </c>
      <c r="B583" s="1">
        <v>6.3380999999999998</v>
      </c>
      <c r="C583" s="1">
        <f>Tabela18[[#This Row],[Alongamento (mm/mm)]]/$I$2</f>
        <v>0.12676199999999999</v>
      </c>
      <c r="D583" s="1">
        <v>1334.3</v>
      </c>
      <c r="E583" s="1">
        <f>Tabela18[[#This Row],[Força (N)]]/$I$5</f>
        <v>27711088.589087527</v>
      </c>
      <c r="F583" s="1">
        <f>Tabela18[[#This Row],[Tensão (Pa)]]/1000000</f>
        <v>27.711088589087527</v>
      </c>
    </row>
    <row r="584" spans="1:6" x14ac:dyDescent="0.3">
      <c r="A584" s="1">
        <v>76.382999999999996</v>
      </c>
      <c r="B584" s="1">
        <v>6.3575999999999997</v>
      </c>
      <c r="C584" s="1">
        <f>Tabela18[[#This Row],[Alongamento (mm/mm)]]/$I$2</f>
        <v>0.12715199999999999</v>
      </c>
      <c r="D584" s="1">
        <v>1344.8</v>
      </c>
      <c r="E584" s="1">
        <f>Tabela18[[#This Row],[Força (N)]]/$I$5</f>
        <v>27929155.313351497</v>
      </c>
      <c r="F584" s="1">
        <f>Tabela18[[#This Row],[Tensão (Pa)]]/1000000</f>
        <v>27.929155313351497</v>
      </c>
    </row>
    <row r="585" spans="1:6" x14ac:dyDescent="0.3">
      <c r="A585" s="1">
        <v>76.617000000000004</v>
      </c>
      <c r="B585" s="1">
        <v>6.3769999999999998</v>
      </c>
      <c r="C585" s="1">
        <f>Tabela18[[#This Row],[Alongamento (mm/mm)]]/$I$2</f>
        <v>0.12753999999999999</v>
      </c>
      <c r="D585" s="1">
        <v>1355.2</v>
      </c>
      <c r="E585" s="1">
        <f>Tabela18[[#This Row],[Força (N)]]/$I$5</f>
        <v>28145145.211670101</v>
      </c>
      <c r="F585" s="1">
        <f>Tabela18[[#This Row],[Tensão (Pa)]]/1000000</f>
        <v>28.145145211670101</v>
      </c>
    </row>
    <row r="586" spans="1:6" x14ac:dyDescent="0.3">
      <c r="A586" s="1">
        <v>76.867000000000004</v>
      </c>
      <c r="B586" s="1">
        <v>6.3978000000000002</v>
      </c>
      <c r="C586" s="1">
        <f>Tabela18[[#This Row],[Alongamento (mm/mm)]]/$I$2</f>
        <v>0.12795600000000001</v>
      </c>
      <c r="D586" s="1">
        <v>1366.4</v>
      </c>
      <c r="E586" s="1">
        <f>Tabela18[[#This Row],[Força (N)]]/$I$5</f>
        <v>28377749.717551675</v>
      </c>
      <c r="F586" s="1">
        <f>Tabela18[[#This Row],[Tensão (Pa)]]/1000000</f>
        <v>28.377749717551676</v>
      </c>
    </row>
    <row r="587" spans="1:6" x14ac:dyDescent="0.3">
      <c r="A587" s="1">
        <v>77.117000000000004</v>
      </c>
      <c r="B587" s="1">
        <v>6.4187000000000003</v>
      </c>
      <c r="C587" s="1">
        <f>Tabela18[[#This Row],[Alongamento (mm/mm)]]/$I$2</f>
        <v>0.12837400000000002</v>
      </c>
      <c r="D587" s="1">
        <v>1377.5</v>
      </c>
      <c r="E587" s="1">
        <f>Tabela18[[#This Row],[Força (N)]]/$I$5</f>
        <v>28608277.397487871</v>
      </c>
      <c r="F587" s="1">
        <f>Tabela18[[#This Row],[Tensão (Pa)]]/1000000</f>
        <v>28.608277397487871</v>
      </c>
    </row>
    <row r="588" spans="1:6" x14ac:dyDescent="0.3">
      <c r="A588" s="1">
        <v>77.367000000000004</v>
      </c>
      <c r="B588" s="1">
        <v>6.4394999999999998</v>
      </c>
      <c r="C588" s="1">
        <f>Tabela18[[#This Row],[Alongamento (mm/mm)]]/$I$2</f>
        <v>0.12878999999999999</v>
      </c>
      <c r="D588" s="1">
        <v>1388.3</v>
      </c>
      <c r="E588" s="1">
        <f>Tabela18[[#This Row],[Força (N)]]/$I$5</f>
        <v>28832574.599587958</v>
      </c>
      <c r="F588" s="1">
        <f>Tabela18[[#This Row],[Tensão (Pa)]]/1000000</f>
        <v>28.832574599587957</v>
      </c>
    </row>
    <row r="589" spans="1:6" x14ac:dyDescent="0.3">
      <c r="A589" s="1">
        <v>77.617000000000004</v>
      </c>
      <c r="B589" s="1">
        <v>6.4603999999999999</v>
      </c>
      <c r="C589" s="1">
        <f>Tabela18[[#This Row],[Alongamento (mm/mm)]]/$I$2</f>
        <v>0.12920799999999999</v>
      </c>
      <c r="D589" s="1">
        <v>1399.4</v>
      </c>
      <c r="E589" s="1">
        <f>Tabela18[[#This Row],[Força (N)]]/$I$5</f>
        <v>29063102.279524159</v>
      </c>
      <c r="F589" s="1">
        <f>Tabela18[[#This Row],[Tensão (Pa)]]/1000000</f>
        <v>29.063102279524159</v>
      </c>
    </row>
    <row r="590" spans="1:6" x14ac:dyDescent="0.3">
      <c r="A590" s="1">
        <v>77.867000000000004</v>
      </c>
      <c r="B590" s="1">
        <v>6.4812000000000003</v>
      </c>
      <c r="C590" s="1">
        <f>Tabela18[[#This Row],[Alongamento (mm/mm)]]/$I$2</f>
        <v>0.12962400000000002</v>
      </c>
      <c r="D590" s="1">
        <v>1410.6</v>
      </c>
      <c r="E590" s="1">
        <f>Tabela18[[#This Row],[Força (N)]]/$I$5</f>
        <v>29295706.785405729</v>
      </c>
      <c r="F590" s="1">
        <f>Tabela18[[#This Row],[Tensão (Pa)]]/1000000</f>
        <v>29.295706785405731</v>
      </c>
    </row>
    <row r="591" spans="1:6" x14ac:dyDescent="0.3">
      <c r="A591" s="1">
        <v>78.117000000000004</v>
      </c>
      <c r="B591" s="1">
        <v>6.5021000000000004</v>
      </c>
      <c r="C591" s="1">
        <f>Tabela18[[#This Row],[Alongamento (mm/mm)]]/$I$2</f>
        <v>0.13004200000000002</v>
      </c>
      <c r="D591" s="1">
        <v>1422</v>
      </c>
      <c r="E591" s="1">
        <f>Tabela18[[#This Row],[Força (N)]]/$I$5</f>
        <v>29532464.943178043</v>
      </c>
      <c r="F591" s="1">
        <f>Tabela18[[#This Row],[Tensão (Pa)]]/1000000</f>
        <v>29.532464943178041</v>
      </c>
    </row>
    <row r="592" spans="1:6" x14ac:dyDescent="0.3">
      <c r="A592" s="1">
        <v>78.367000000000004</v>
      </c>
      <c r="B592" s="1">
        <v>6.5228000000000002</v>
      </c>
      <c r="C592" s="1">
        <f>Tabela18[[#This Row],[Alongamento (mm/mm)]]/$I$2</f>
        <v>0.13045600000000002</v>
      </c>
      <c r="D592" s="1">
        <v>1433.3</v>
      </c>
      <c r="E592" s="1">
        <f>Tabela18[[#This Row],[Força (N)]]/$I$5</f>
        <v>29767146.275004983</v>
      </c>
      <c r="F592" s="1">
        <f>Tabela18[[#This Row],[Tensão (Pa)]]/1000000</f>
        <v>29.767146275004983</v>
      </c>
    </row>
    <row r="593" spans="1:6" x14ac:dyDescent="0.3">
      <c r="A593" s="1">
        <v>78.617000000000004</v>
      </c>
      <c r="B593" s="1">
        <v>6.5437000000000003</v>
      </c>
      <c r="C593" s="1">
        <f>Tabela18[[#This Row],[Alongamento (mm/mm)]]/$I$2</f>
        <v>0.13087400000000002</v>
      </c>
      <c r="D593" s="1">
        <v>1444.6</v>
      </c>
      <c r="E593" s="1">
        <f>Tabela18[[#This Row],[Força (N)]]/$I$5</f>
        <v>30001827.606831927</v>
      </c>
      <c r="F593" s="1">
        <f>Tabela18[[#This Row],[Tensão (Pa)]]/1000000</f>
        <v>30.001827606831927</v>
      </c>
    </row>
    <row r="594" spans="1:6" x14ac:dyDescent="0.3">
      <c r="A594" s="1">
        <v>78.867000000000004</v>
      </c>
      <c r="B594" s="1">
        <v>6.5644999999999998</v>
      </c>
      <c r="C594" s="1">
        <f>Tabela18[[#This Row],[Alongamento (mm/mm)]]/$I$2</f>
        <v>0.13128999999999999</v>
      </c>
      <c r="D594" s="1">
        <v>1456</v>
      </c>
      <c r="E594" s="1">
        <f>Tabela18[[#This Row],[Força (N)]]/$I$5</f>
        <v>30238585.764604241</v>
      </c>
      <c r="F594" s="1">
        <f>Tabela18[[#This Row],[Tensão (Pa)]]/1000000</f>
        <v>30.238585764604242</v>
      </c>
    </row>
    <row r="595" spans="1:6" x14ac:dyDescent="0.3">
      <c r="A595" s="1">
        <v>79.117000000000004</v>
      </c>
      <c r="B595" s="1">
        <v>6.5853000000000002</v>
      </c>
      <c r="C595" s="1">
        <f>Tabela18[[#This Row],[Alongamento (mm/mm)]]/$I$2</f>
        <v>0.13170599999999999</v>
      </c>
      <c r="D595" s="1">
        <v>1467.6</v>
      </c>
      <c r="E595" s="1">
        <f>Tabela18[[#This Row],[Força (N)]]/$I$5</f>
        <v>30479497.574267294</v>
      </c>
      <c r="F595" s="1">
        <f>Tabela18[[#This Row],[Tensão (Pa)]]/1000000</f>
        <v>30.479497574267295</v>
      </c>
    </row>
    <row r="596" spans="1:6" x14ac:dyDescent="0.3">
      <c r="A596" s="1">
        <v>79.367000000000004</v>
      </c>
      <c r="B596" s="1">
        <v>6.6062000000000003</v>
      </c>
      <c r="C596" s="1">
        <f>Tabela18[[#This Row],[Alongamento (mm/mm)]]/$I$2</f>
        <v>0.13212400000000002</v>
      </c>
      <c r="D596" s="1">
        <v>1479.2</v>
      </c>
      <c r="E596" s="1">
        <f>Tabela18[[#This Row],[Força (N)]]/$I$5</f>
        <v>30720409.383930352</v>
      </c>
      <c r="F596" s="1">
        <f>Tabela18[[#This Row],[Tensão (Pa)]]/1000000</f>
        <v>30.720409383930352</v>
      </c>
    </row>
    <row r="597" spans="1:6" x14ac:dyDescent="0.3">
      <c r="A597" s="1">
        <v>79.617000000000004</v>
      </c>
      <c r="B597" s="1">
        <v>6.6269999999999998</v>
      </c>
      <c r="C597" s="1">
        <f>Tabela18[[#This Row],[Alongamento (mm/mm)]]/$I$2</f>
        <v>0.13253999999999999</v>
      </c>
      <c r="D597" s="1">
        <v>1490.4</v>
      </c>
      <c r="E597" s="1">
        <f>Tabela18[[#This Row],[Força (N)]]/$I$5</f>
        <v>30953013.889811926</v>
      </c>
      <c r="F597" s="1">
        <f>Tabela18[[#This Row],[Tensão (Pa)]]/1000000</f>
        <v>30.953013889811924</v>
      </c>
    </row>
    <row r="598" spans="1:6" x14ac:dyDescent="0.3">
      <c r="A598" s="1">
        <v>79.867000000000004</v>
      </c>
      <c r="B598" s="1">
        <v>6.6478999999999999</v>
      </c>
      <c r="C598" s="1">
        <f>Tabela18[[#This Row],[Alongamento (mm/mm)]]/$I$2</f>
        <v>0.13295799999999999</v>
      </c>
      <c r="D598" s="1">
        <v>1502</v>
      </c>
      <c r="E598" s="1">
        <f>Tabela18[[#This Row],[Força (N)]]/$I$5</f>
        <v>31193925.699474979</v>
      </c>
      <c r="F598" s="1">
        <f>Tabela18[[#This Row],[Tensão (Pa)]]/1000000</f>
        <v>31.193925699474978</v>
      </c>
    </row>
    <row r="599" spans="1:6" x14ac:dyDescent="0.3">
      <c r="A599" s="1">
        <v>80.117000000000004</v>
      </c>
      <c r="B599" s="1">
        <v>6.6685999999999996</v>
      </c>
      <c r="C599" s="1">
        <f>Tabela18[[#This Row],[Alongamento (mm/mm)]]/$I$2</f>
        <v>0.13337199999999999</v>
      </c>
      <c r="D599" s="1">
        <v>1513.5</v>
      </c>
      <c r="E599" s="1">
        <f>Tabela18[[#This Row],[Força (N)]]/$I$5</f>
        <v>31432760.683192663</v>
      </c>
      <c r="F599" s="1">
        <f>Tabela18[[#This Row],[Tensão (Pa)]]/1000000</f>
        <v>31.432760683192662</v>
      </c>
    </row>
    <row r="600" spans="1:6" x14ac:dyDescent="0.3">
      <c r="A600" s="1">
        <v>80.367000000000004</v>
      </c>
      <c r="B600" s="1">
        <v>6.6896000000000004</v>
      </c>
      <c r="C600" s="1">
        <f>Tabela18[[#This Row],[Alongamento (mm/mm)]]/$I$2</f>
        <v>0.13379200000000002</v>
      </c>
      <c r="D600" s="1">
        <v>1525.1</v>
      </c>
      <c r="E600" s="1">
        <f>Tabela18[[#This Row],[Força (N)]]/$I$5</f>
        <v>31673672.492855716</v>
      </c>
      <c r="F600" s="1">
        <f>Tabela18[[#This Row],[Tensão (Pa)]]/1000000</f>
        <v>31.673672492855715</v>
      </c>
    </row>
    <row r="601" spans="1:6" x14ac:dyDescent="0.3">
      <c r="A601" s="1">
        <v>80.632999999999996</v>
      </c>
      <c r="B601" s="1">
        <v>6.7117000000000004</v>
      </c>
      <c r="C601" s="1">
        <f>Tabela18[[#This Row],[Alongamento (mm/mm)]]/$I$2</f>
        <v>0.13423400000000002</v>
      </c>
      <c r="D601" s="1">
        <v>1537.2</v>
      </c>
      <c r="E601" s="1">
        <f>Tabela18[[#This Row],[Força (N)]]/$I$5</f>
        <v>31924968.432245631</v>
      </c>
      <c r="F601" s="1">
        <f>Tabela18[[#This Row],[Tensão (Pa)]]/1000000</f>
        <v>31.924968432245631</v>
      </c>
    </row>
    <row r="602" spans="1:6" x14ac:dyDescent="0.3">
      <c r="A602" s="1">
        <v>80.900000000000006</v>
      </c>
      <c r="B602" s="1">
        <v>6.734</v>
      </c>
      <c r="C602" s="1">
        <f>Tabela18[[#This Row],[Alongamento (mm/mm)]]/$I$2</f>
        <v>0.13467999999999999</v>
      </c>
      <c r="D602" s="1">
        <v>1549.4</v>
      </c>
      <c r="E602" s="1">
        <f>Tabela18[[#This Row],[Força (N)]]/$I$5</f>
        <v>32178341.197580915</v>
      </c>
      <c r="F602" s="1">
        <f>Tabela18[[#This Row],[Tensão (Pa)]]/1000000</f>
        <v>32.178341197580913</v>
      </c>
    </row>
    <row r="603" spans="1:6" x14ac:dyDescent="0.3">
      <c r="A603" s="1">
        <v>81.167000000000002</v>
      </c>
      <c r="B603" s="1">
        <v>6.7561999999999998</v>
      </c>
      <c r="C603" s="1">
        <f>Tabela18[[#This Row],[Alongamento (mm/mm)]]/$I$2</f>
        <v>0.13512399999999999</v>
      </c>
      <c r="D603" s="1">
        <v>1561.5</v>
      </c>
      <c r="E603" s="1">
        <f>Tabela18[[#This Row],[Força (N)]]/$I$5</f>
        <v>32429637.136970825</v>
      </c>
      <c r="F603" s="1">
        <f>Tabela18[[#This Row],[Tensão (Pa)]]/1000000</f>
        <v>32.429637136970825</v>
      </c>
    </row>
    <row r="604" spans="1:6" x14ac:dyDescent="0.3">
      <c r="A604" s="1">
        <v>81.433000000000007</v>
      </c>
      <c r="B604" s="1">
        <v>6.7782999999999998</v>
      </c>
      <c r="C604" s="1">
        <f>Tabela18[[#This Row],[Alongamento (mm/mm)]]/$I$2</f>
        <v>0.13556599999999999</v>
      </c>
      <c r="D604" s="1">
        <v>1573.6</v>
      </c>
      <c r="E604" s="1">
        <f>Tabela18[[#This Row],[Força (N)]]/$I$5</f>
        <v>32680933.076360736</v>
      </c>
      <c r="F604" s="1">
        <f>Tabela18[[#This Row],[Tensão (Pa)]]/1000000</f>
        <v>32.680933076360738</v>
      </c>
    </row>
    <row r="605" spans="1:6" x14ac:dyDescent="0.3">
      <c r="A605" s="1">
        <v>81.716999999999999</v>
      </c>
      <c r="B605" s="1">
        <v>6.8019999999999996</v>
      </c>
      <c r="C605" s="1">
        <f>Tabela18[[#This Row],[Alongamento (mm/mm)]]/$I$2</f>
        <v>0.13603999999999999</v>
      </c>
      <c r="D605" s="1">
        <v>1586.3</v>
      </c>
      <c r="E605" s="1">
        <f>Tabela18[[#This Row],[Força (N)]]/$I$5</f>
        <v>32944689.971422873</v>
      </c>
      <c r="F605" s="1">
        <f>Tabela18[[#This Row],[Tensão (Pa)]]/1000000</f>
        <v>32.944689971422875</v>
      </c>
    </row>
    <row r="606" spans="1:6" x14ac:dyDescent="0.3">
      <c r="A606" s="1">
        <v>82</v>
      </c>
      <c r="B606" s="1">
        <v>6.8254999999999999</v>
      </c>
      <c r="C606" s="1">
        <f>Tabela18[[#This Row],[Alongamento (mm/mm)]]/$I$2</f>
        <v>0.13650999999999999</v>
      </c>
      <c r="D606" s="1">
        <v>1599.1</v>
      </c>
      <c r="E606" s="1">
        <f>Tabela18[[#This Row],[Força (N)]]/$I$5</f>
        <v>33210523.692430384</v>
      </c>
      <c r="F606" s="1">
        <f>Tabela18[[#This Row],[Tensão (Pa)]]/1000000</f>
        <v>33.210523692430385</v>
      </c>
    </row>
    <row r="607" spans="1:6" x14ac:dyDescent="0.3">
      <c r="A607" s="1">
        <v>82.283000000000001</v>
      </c>
      <c r="B607" s="1">
        <v>6.8493000000000004</v>
      </c>
      <c r="C607" s="1">
        <f>Tabela18[[#This Row],[Alongamento (mm/mm)]]/$I$2</f>
        <v>0.136986</v>
      </c>
      <c r="D607" s="1">
        <v>1611.9</v>
      </c>
      <c r="E607" s="1">
        <f>Tabela18[[#This Row],[Força (N)]]/$I$5</f>
        <v>33476357.413437895</v>
      </c>
      <c r="F607" s="1">
        <f>Tabela18[[#This Row],[Tensão (Pa)]]/1000000</f>
        <v>33.476357413437896</v>
      </c>
    </row>
    <row r="608" spans="1:6" x14ac:dyDescent="0.3">
      <c r="A608" s="1">
        <v>82.566999999999993</v>
      </c>
      <c r="B608" s="1">
        <v>6.8727999999999998</v>
      </c>
      <c r="C608" s="1">
        <f>Tabela18[[#This Row],[Alongamento (mm/mm)]]/$I$2</f>
        <v>0.13745599999999999</v>
      </c>
      <c r="D608" s="1">
        <v>1624.8</v>
      </c>
      <c r="E608" s="1">
        <f>Tabela18[[#This Row],[Força (N)]]/$I$5</f>
        <v>33744267.960390776</v>
      </c>
      <c r="F608" s="1">
        <f>Tabela18[[#This Row],[Tensão (Pa)]]/1000000</f>
        <v>33.744267960390779</v>
      </c>
    </row>
    <row r="609" spans="1:6" x14ac:dyDescent="0.3">
      <c r="A609" s="1">
        <v>82.85</v>
      </c>
      <c r="B609" s="1">
        <v>6.8963999999999999</v>
      </c>
      <c r="C609" s="1">
        <f>Tabela18[[#This Row],[Alongamento (mm/mm)]]/$I$2</f>
        <v>0.137928</v>
      </c>
      <c r="D609" s="1">
        <v>1637.4</v>
      </c>
      <c r="E609" s="1">
        <f>Tabela18[[#This Row],[Força (N)]]/$I$5</f>
        <v>34005948.029507548</v>
      </c>
      <c r="F609" s="1">
        <f>Tabela18[[#This Row],[Tensão (Pa)]]/1000000</f>
        <v>34.00594802950755</v>
      </c>
    </row>
    <row r="610" spans="1:6" x14ac:dyDescent="0.3">
      <c r="A610" s="1">
        <v>83.132999999999996</v>
      </c>
      <c r="B610" s="1">
        <v>6.9200999999999997</v>
      </c>
      <c r="C610" s="1">
        <f>Tabela18[[#This Row],[Alongamento (mm/mm)]]/$I$2</f>
        <v>0.138402</v>
      </c>
      <c r="D610" s="1">
        <v>1650.1</v>
      </c>
      <c r="E610" s="1">
        <f>Tabela18[[#This Row],[Força (N)]]/$I$5</f>
        <v>34269704.924569681</v>
      </c>
      <c r="F610" s="1">
        <f>Tabela18[[#This Row],[Tensão (Pa)]]/1000000</f>
        <v>34.26970492456968</v>
      </c>
    </row>
    <row r="611" spans="1:6" x14ac:dyDescent="0.3">
      <c r="A611" s="1">
        <v>83.417000000000002</v>
      </c>
      <c r="B611" s="1">
        <v>6.9436</v>
      </c>
      <c r="C611" s="1">
        <f>Tabela18[[#This Row],[Alongamento (mm/mm)]]/$I$2</f>
        <v>0.138872</v>
      </c>
      <c r="D611" s="1">
        <v>1662.7</v>
      </c>
      <c r="E611" s="1">
        <f>Tabela18[[#This Row],[Força (N)]]/$I$5</f>
        <v>34531384.993686453</v>
      </c>
      <c r="F611" s="1">
        <f>Tabela18[[#This Row],[Tensão (Pa)]]/1000000</f>
        <v>34.531384993686451</v>
      </c>
    </row>
    <row r="612" spans="1:6" x14ac:dyDescent="0.3">
      <c r="A612" s="1">
        <v>83.716999999999999</v>
      </c>
      <c r="B612" s="1">
        <v>6.9686000000000003</v>
      </c>
      <c r="C612" s="1">
        <f>Tabela18[[#This Row],[Alongamento (mm/mm)]]/$I$2</f>
        <v>0.139372</v>
      </c>
      <c r="D612" s="1">
        <v>1676</v>
      </c>
      <c r="E612" s="1">
        <f>Tabela18[[#This Row],[Força (N)]]/$I$5</f>
        <v>34807602.844420813</v>
      </c>
      <c r="F612" s="1">
        <f>Tabela18[[#This Row],[Tensão (Pa)]]/1000000</f>
        <v>34.807602844420813</v>
      </c>
    </row>
    <row r="613" spans="1:6" x14ac:dyDescent="0.3">
      <c r="A613" s="1">
        <v>84.016999999999996</v>
      </c>
      <c r="B613" s="1">
        <v>6.9936999999999996</v>
      </c>
      <c r="C613" s="1">
        <f>Tabela18[[#This Row],[Alongamento (mm/mm)]]/$I$2</f>
        <v>0.139874</v>
      </c>
      <c r="D613" s="1">
        <v>1689.4</v>
      </c>
      <c r="E613" s="1">
        <f>Tabela18[[#This Row],[Força (N)]]/$I$5</f>
        <v>35085897.521100551</v>
      </c>
      <c r="F613" s="1">
        <f>Tabela18[[#This Row],[Tensão (Pa)]]/1000000</f>
        <v>35.085897521100549</v>
      </c>
    </row>
    <row r="614" spans="1:6" x14ac:dyDescent="0.3">
      <c r="A614" s="1">
        <v>84.3</v>
      </c>
      <c r="B614" s="1">
        <v>7.0171999999999999</v>
      </c>
      <c r="C614" s="1">
        <f>Tabela18[[#This Row],[Alongamento (mm/mm)]]/$I$2</f>
        <v>0.140344</v>
      </c>
      <c r="D614" s="1">
        <v>1702.3</v>
      </c>
      <c r="E614" s="1">
        <f>Tabela18[[#This Row],[Força (N)]]/$I$5</f>
        <v>35353808.068053432</v>
      </c>
      <c r="F614" s="1">
        <f>Tabela18[[#This Row],[Tensão (Pa)]]/1000000</f>
        <v>35.353808068053432</v>
      </c>
    </row>
    <row r="615" spans="1:6" x14ac:dyDescent="0.3">
      <c r="A615" s="1">
        <v>84.6</v>
      </c>
      <c r="B615" s="1">
        <v>7.0423</v>
      </c>
      <c r="C615" s="1">
        <f>Tabela18[[#This Row],[Alongamento (mm/mm)]]/$I$2</f>
        <v>0.140846</v>
      </c>
      <c r="D615" s="1">
        <v>1716</v>
      </c>
      <c r="E615" s="1">
        <f>Tabela18[[#This Row],[Força (N)]]/$I$5</f>
        <v>35638333.222569287</v>
      </c>
      <c r="F615" s="1">
        <f>Tabela18[[#This Row],[Tensão (Pa)]]/1000000</f>
        <v>35.638333222569287</v>
      </c>
    </row>
    <row r="616" spans="1:6" x14ac:dyDescent="0.3">
      <c r="A616" s="1">
        <v>84.9</v>
      </c>
      <c r="B616" s="1">
        <v>7.0673000000000004</v>
      </c>
      <c r="C616" s="1">
        <f>Tabela18[[#This Row],[Alongamento (mm/mm)]]/$I$2</f>
        <v>0.141346</v>
      </c>
      <c r="D616" s="1">
        <v>1729.6</v>
      </c>
      <c r="E616" s="1">
        <f>Tabela18[[#This Row],[Força (N)]]/$I$5</f>
        <v>35920781.551139764</v>
      </c>
      <c r="F616" s="1">
        <f>Tabela18[[#This Row],[Tensão (Pa)]]/1000000</f>
        <v>35.920781551139761</v>
      </c>
    </row>
    <row r="617" spans="1:6" x14ac:dyDescent="0.3">
      <c r="A617" s="1">
        <v>85.2</v>
      </c>
      <c r="B617" s="1">
        <v>7.0922999999999998</v>
      </c>
      <c r="C617" s="1">
        <f>Tabela18[[#This Row],[Alongamento (mm/mm)]]/$I$2</f>
        <v>0.141846</v>
      </c>
      <c r="D617" s="1">
        <v>1743.3</v>
      </c>
      <c r="E617" s="1">
        <f>Tabela18[[#This Row],[Força (N)]]/$I$5</f>
        <v>36205306.705655612</v>
      </c>
      <c r="F617" s="1">
        <f>Tabela18[[#This Row],[Tensão (Pa)]]/1000000</f>
        <v>36.205306705655609</v>
      </c>
    </row>
    <row r="618" spans="1:6" x14ac:dyDescent="0.3">
      <c r="A618" s="1">
        <v>85.5</v>
      </c>
      <c r="B618" s="1">
        <v>7.1173000000000002</v>
      </c>
      <c r="C618" s="1">
        <f>Tabela18[[#This Row],[Alongamento (mm/mm)]]/$I$2</f>
        <v>0.142346</v>
      </c>
      <c r="D618" s="1">
        <v>1757.1</v>
      </c>
      <c r="E618" s="1">
        <f>Tabela18[[#This Row],[Força (N)]]/$I$5</f>
        <v>36491908.68611683</v>
      </c>
      <c r="F618" s="1">
        <f>Tabela18[[#This Row],[Tensão (Pa)]]/1000000</f>
        <v>36.49190868611683</v>
      </c>
    </row>
    <row r="619" spans="1:6" x14ac:dyDescent="0.3">
      <c r="A619" s="1">
        <v>85.8</v>
      </c>
      <c r="B619" s="1">
        <v>7.1422999999999996</v>
      </c>
      <c r="C619" s="1">
        <f>Tabela18[[#This Row],[Alongamento (mm/mm)]]/$I$2</f>
        <v>0.142846</v>
      </c>
      <c r="D619" s="1">
        <v>1771.1</v>
      </c>
      <c r="E619" s="1">
        <f>Tabela18[[#This Row],[Força (N)]]/$I$5</f>
        <v>36782664.318468794</v>
      </c>
      <c r="F619" s="1">
        <f>Tabela18[[#This Row],[Tensão (Pa)]]/1000000</f>
        <v>36.782664318468797</v>
      </c>
    </row>
    <row r="620" spans="1:6" x14ac:dyDescent="0.3">
      <c r="A620" s="1">
        <v>86.1</v>
      </c>
      <c r="B620" s="1">
        <v>7.1672000000000002</v>
      </c>
      <c r="C620" s="1">
        <f>Tabela18[[#This Row],[Alongamento (mm/mm)]]/$I$2</f>
        <v>0.143344</v>
      </c>
      <c r="D620" s="1">
        <v>1784.8</v>
      </c>
      <c r="E620" s="1">
        <f>Tabela18[[#This Row],[Força (N)]]/$I$5</f>
        <v>37067189.472984649</v>
      </c>
      <c r="F620" s="1">
        <f>Tabela18[[#This Row],[Tensão (Pa)]]/1000000</f>
        <v>37.067189472984651</v>
      </c>
    </row>
    <row r="621" spans="1:6" x14ac:dyDescent="0.3">
      <c r="A621" s="1">
        <v>86.4</v>
      </c>
      <c r="B621" s="1">
        <v>7.1923000000000004</v>
      </c>
      <c r="C621" s="1">
        <f>Tabela18[[#This Row],[Alongamento (mm/mm)]]/$I$2</f>
        <v>0.143846</v>
      </c>
      <c r="D621" s="1">
        <v>1798.5</v>
      </c>
      <c r="E621" s="1">
        <f>Tabela18[[#This Row],[Força (N)]]/$I$5</f>
        <v>37351714.627500497</v>
      </c>
      <c r="F621" s="1">
        <f>Tabela18[[#This Row],[Tensão (Pa)]]/1000000</f>
        <v>37.351714627500499</v>
      </c>
    </row>
    <row r="622" spans="1:6" x14ac:dyDescent="0.3">
      <c r="A622" s="1">
        <v>86.716999999999999</v>
      </c>
      <c r="B622" s="1">
        <v>7.2186000000000003</v>
      </c>
      <c r="C622" s="1">
        <f>Tabela18[[#This Row],[Alongamento (mm/mm)]]/$I$2</f>
        <v>0.144372</v>
      </c>
      <c r="D622" s="1">
        <v>1812.7</v>
      </c>
      <c r="E622" s="1">
        <f>Tabela18[[#This Row],[Força (N)]]/$I$5</f>
        <v>37646623.911743209</v>
      </c>
      <c r="F622" s="1">
        <f>Tabela18[[#This Row],[Tensão (Pa)]]/1000000</f>
        <v>37.646623911743205</v>
      </c>
    </row>
    <row r="623" spans="1:6" x14ac:dyDescent="0.3">
      <c r="A623" s="1">
        <v>87.033000000000001</v>
      </c>
      <c r="B623" s="1">
        <v>7.2450000000000001</v>
      </c>
      <c r="C623" s="1">
        <f>Tabela18[[#This Row],[Alongamento (mm/mm)]]/$I$2</f>
        <v>0.1449</v>
      </c>
      <c r="D623" s="1">
        <v>1827</v>
      </c>
      <c r="E623" s="1">
        <f>Tabela18[[#This Row],[Força (N)]]/$I$5</f>
        <v>37943610.021931283</v>
      </c>
      <c r="F623" s="1">
        <f>Tabela18[[#This Row],[Tensão (Pa)]]/1000000</f>
        <v>37.943610021931285</v>
      </c>
    </row>
    <row r="624" spans="1:6" x14ac:dyDescent="0.3">
      <c r="A624" s="1">
        <v>87.367000000000004</v>
      </c>
      <c r="B624" s="1">
        <v>7.2728999999999999</v>
      </c>
      <c r="C624" s="1">
        <f>Tabela18[[#This Row],[Alongamento (mm/mm)]]/$I$2</f>
        <v>0.145458</v>
      </c>
      <c r="D624" s="1">
        <v>1841.5</v>
      </c>
      <c r="E624" s="1">
        <f>Tabela18[[#This Row],[Força (N)]]/$I$5</f>
        <v>38244749.784010105</v>
      </c>
      <c r="F624" s="1">
        <f>Tabela18[[#This Row],[Tensão (Pa)]]/1000000</f>
        <v>38.244749784010104</v>
      </c>
    </row>
    <row r="625" spans="1:6" x14ac:dyDescent="0.3">
      <c r="A625" s="1">
        <v>87.7</v>
      </c>
      <c r="B625" s="1">
        <v>7.3006000000000002</v>
      </c>
      <c r="C625" s="1">
        <f>Tabela18[[#This Row],[Alongamento (mm/mm)]]/$I$2</f>
        <v>0.146012</v>
      </c>
      <c r="D625" s="1">
        <v>1855.9</v>
      </c>
      <c r="E625" s="1">
        <f>Tabela18[[#This Row],[Força (N)]]/$I$5</f>
        <v>38543812.720143557</v>
      </c>
      <c r="F625" s="1">
        <f>Tabela18[[#This Row],[Tensão (Pa)]]/1000000</f>
        <v>38.543812720143556</v>
      </c>
    </row>
    <row r="626" spans="1:6" x14ac:dyDescent="0.3">
      <c r="A626" s="1">
        <v>88.033000000000001</v>
      </c>
      <c r="B626" s="1">
        <v>7.3284000000000002</v>
      </c>
      <c r="C626" s="1">
        <f>Tabela18[[#This Row],[Alongamento (mm/mm)]]/$I$2</f>
        <v>0.146568</v>
      </c>
      <c r="D626" s="1">
        <v>1870.6</v>
      </c>
      <c r="E626" s="1">
        <f>Tabela18[[#This Row],[Força (N)]]/$I$5</f>
        <v>38849106.134113111</v>
      </c>
      <c r="F626" s="1">
        <f>Tabela18[[#This Row],[Tensão (Pa)]]/1000000</f>
        <v>38.849106134113107</v>
      </c>
    </row>
    <row r="627" spans="1:6" x14ac:dyDescent="0.3">
      <c r="A627" s="1">
        <v>88.367000000000004</v>
      </c>
      <c r="B627" s="1">
        <v>7.3562000000000003</v>
      </c>
      <c r="C627" s="1">
        <f>Tabela18[[#This Row],[Alongamento (mm/mm)]]/$I$2</f>
        <v>0.147124</v>
      </c>
      <c r="D627" s="1">
        <v>1884.9</v>
      </c>
      <c r="E627" s="1">
        <f>Tabela18[[#This Row],[Força (N)]]/$I$5</f>
        <v>39146092.244301192</v>
      </c>
      <c r="F627" s="1">
        <f>Tabela18[[#This Row],[Tensão (Pa)]]/1000000</f>
        <v>39.146092244301194</v>
      </c>
    </row>
    <row r="628" spans="1:6" x14ac:dyDescent="0.3">
      <c r="A628" s="1">
        <v>88.716999999999999</v>
      </c>
      <c r="B628" s="1">
        <v>7.3853999999999997</v>
      </c>
      <c r="C628" s="1">
        <f>Tabela18[[#This Row],[Alongamento (mm/mm)]]/$I$2</f>
        <v>0.14770800000000001</v>
      </c>
      <c r="D628" s="1">
        <v>1900</v>
      </c>
      <c r="E628" s="1">
        <f>Tabela18[[#This Row],[Força (N)]]/$I$5</f>
        <v>39459692.962052234</v>
      </c>
      <c r="F628" s="1">
        <f>Tabela18[[#This Row],[Tensão (Pa)]]/1000000</f>
        <v>39.45969296205223</v>
      </c>
    </row>
    <row r="629" spans="1:6" x14ac:dyDescent="0.3">
      <c r="A629" s="1">
        <v>89.066999999999993</v>
      </c>
      <c r="B629" s="1">
        <v>7.4145000000000003</v>
      </c>
      <c r="C629" s="1">
        <f>Tabela18[[#This Row],[Alongamento (mm/mm)]]/$I$2</f>
        <v>0.14829000000000001</v>
      </c>
      <c r="D629" s="1">
        <v>1915</v>
      </c>
      <c r="E629" s="1">
        <f>Tabela18[[#This Row],[Força (N)]]/$I$5</f>
        <v>39771216.853857912</v>
      </c>
      <c r="F629" s="1">
        <f>Tabela18[[#This Row],[Tensão (Pa)]]/1000000</f>
        <v>39.771216853857915</v>
      </c>
    </row>
    <row r="630" spans="1:6" x14ac:dyDescent="0.3">
      <c r="A630" s="1">
        <v>89.417000000000002</v>
      </c>
      <c r="B630" s="1">
        <v>7.4436999999999998</v>
      </c>
      <c r="C630" s="1">
        <f>Tabela18[[#This Row],[Alongamento (mm/mm)]]/$I$2</f>
        <v>0.14887400000000001</v>
      </c>
      <c r="D630" s="1">
        <v>1929.6</v>
      </c>
      <c r="E630" s="1">
        <f>Tabela18[[#This Row],[Força (N)]]/$I$5</f>
        <v>40074433.441882104</v>
      </c>
      <c r="F630" s="1">
        <f>Tabela18[[#This Row],[Tensão (Pa)]]/1000000</f>
        <v>40.074433441882107</v>
      </c>
    </row>
    <row r="631" spans="1:6" x14ac:dyDescent="0.3">
      <c r="A631" s="1">
        <v>89.783000000000001</v>
      </c>
      <c r="B631" s="1">
        <v>7.4741999999999997</v>
      </c>
      <c r="C631" s="1">
        <f>Tabela18[[#This Row],[Alongamento (mm/mm)]]/$I$2</f>
        <v>0.14948400000000001</v>
      </c>
      <c r="D631" s="1">
        <v>1944.7</v>
      </c>
      <c r="E631" s="1">
        <f>Tabela18[[#This Row],[Força (N)]]/$I$5</f>
        <v>40388034.159633152</v>
      </c>
      <c r="F631" s="1">
        <f>Tabela18[[#This Row],[Tensão (Pa)]]/1000000</f>
        <v>40.38803415963315</v>
      </c>
    </row>
    <row r="632" spans="1:6" x14ac:dyDescent="0.3">
      <c r="A632" s="1">
        <v>90.15</v>
      </c>
      <c r="B632" s="1">
        <v>7.5048000000000004</v>
      </c>
      <c r="C632" s="1">
        <f>Tabela18[[#This Row],[Alongamento (mm/mm)]]/$I$2</f>
        <v>0.15009600000000001</v>
      </c>
      <c r="D632" s="1">
        <v>1960</v>
      </c>
      <c r="E632" s="1">
        <f>Tabela18[[#This Row],[Força (N)]]/$I$5</f>
        <v>40705788.52927494</v>
      </c>
      <c r="F632" s="1">
        <f>Tabela18[[#This Row],[Tensão (Pa)]]/1000000</f>
        <v>40.70578852927494</v>
      </c>
    </row>
    <row r="633" spans="1:6" x14ac:dyDescent="0.3">
      <c r="A633" s="1">
        <v>90.516999999999996</v>
      </c>
      <c r="B633" s="1">
        <v>7.5354000000000001</v>
      </c>
      <c r="C633" s="1">
        <f>Tabela18[[#This Row],[Alongamento (mm/mm)]]/$I$2</f>
        <v>0.15070800000000001</v>
      </c>
      <c r="D633" s="1">
        <v>1975.9</v>
      </c>
      <c r="E633" s="1">
        <f>Tabela18[[#This Row],[Força (N)]]/$I$5</f>
        <v>41036003.854588956</v>
      </c>
      <c r="F633" s="1">
        <f>Tabela18[[#This Row],[Tensão (Pa)]]/1000000</f>
        <v>41.036003854588955</v>
      </c>
    </row>
    <row r="634" spans="1:6" x14ac:dyDescent="0.3">
      <c r="A634" s="1">
        <v>90.882999999999996</v>
      </c>
      <c r="B634" s="1">
        <v>7.5659000000000001</v>
      </c>
      <c r="C634" s="1">
        <f>Tabela18[[#This Row],[Alongamento (mm/mm)]]/$I$2</f>
        <v>0.15131800000000001</v>
      </c>
      <c r="D634" s="1">
        <v>1991.2</v>
      </c>
      <c r="E634" s="1">
        <f>Tabela18[[#This Row],[Força (N)]]/$I$5</f>
        <v>41353758.224230744</v>
      </c>
      <c r="F634" s="1">
        <f>Tabela18[[#This Row],[Tensão (Pa)]]/1000000</f>
        <v>41.353758224230745</v>
      </c>
    </row>
    <row r="635" spans="1:6" x14ac:dyDescent="0.3">
      <c r="A635" s="1">
        <v>91.25</v>
      </c>
      <c r="B635" s="1">
        <v>7.5964</v>
      </c>
      <c r="C635" s="1">
        <f>Tabela18[[#This Row],[Alongamento (mm/mm)]]/$I$2</f>
        <v>0.15192800000000001</v>
      </c>
      <c r="D635" s="1">
        <v>2006.5</v>
      </c>
      <c r="E635" s="1">
        <f>Tabela18[[#This Row],[Força (N)]]/$I$5</f>
        <v>41671512.593872532</v>
      </c>
      <c r="F635" s="1">
        <f>Tabela18[[#This Row],[Tensão (Pa)]]/1000000</f>
        <v>41.671512593872535</v>
      </c>
    </row>
    <row r="636" spans="1:6" x14ac:dyDescent="0.3">
      <c r="A636" s="1">
        <v>91.632999999999996</v>
      </c>
      <c r="B636" s="1">
        <v>7.6284000000000001</v>
      </c>
      <c r="C636" s="1">
        <f>Tabela18[[#This Row],[Alongamento (mm/mm)]]/$I$2</f>
        <v>0.15256800000000001</v>
      </c>
      <c r="D636" s="1">
        <v>2022.1</v>
      </c>
      <c r="E636" s="1">
        <f>Tabela18[[#This Row],[Força (N)]]/$I$5</f>
        <v>41995497.441350438</v>
      </c>
      <c r="F636" s="1">
        <f>Tabela18[[#This Row],[Tensão (Pa)]]/1000000</f>
        <v>41.995497441350437</v>
      </c>
    </row>
    <row r="637" spans="1:6" x14ac:dyDescent="0.3">
      <c r="A637" s="1">
        <v>92.033000000000001</v>
      </c>
      <c r="B637" s="1">
        <v>7.6616999999999997</v>
      </c>
      <c r="C637" s="1">
        <f>Tabela18[[#This Row],[Alongamento (mm/mm)]]/$I$2</f>
        <v>0.15323399999999998</v>
      </c>
      <c r="D637" s="1">
        <v>2038</v>
      </c>
      <c r="E637" s="1">
        <f>Tabela18[[#This Row],[Força (N)]]/$I$5</f>
        <v>42325712.766664453</v>
      </c>
      <c r="F637" s="1">
        <f>Tabela18[[#This Row],[Tensão (Pa)]]/1000000</f>
        <v>42.325712766664452</v>
      </c>
    </row>
    <row r="638" spans="1:6" x14ac:dyDescent="0.3">
      <c r="A638" s="1">
        <v>92.433000000000007</v>
      </c>
      <c r="B638" s="1">
        <v>7.6951000000000001</v>
      </c>
      <c r="C638" s="1">
        <f>Tabela18[[#This Row],[Alongamento (mm/mm)]]/$I$2</f>
        <v>0.15390200000000001</v>
      </c>
      <c r="D638" s="1">
        <v>2053.6</v>
      </c>
      <c r="E638" s="1">
        <f>Tabela18[[#This Row],[Força (N)]]/$I$5</f>
        <v>42649697.614142351</v>
      </c>
      <c r="F638" s="1">
        <f>Tabela18[[#This Row],[Tensão (Pa)]]/1000000</f>
        <v>42.649697614142347</v>
      </c>
    </row>
    <row r="639" spans="1:6" x14ac:dyDescent="0.3">
      <c r="A639" s="1">
        <v>92.867000000000004</v>
      </c>
      <c r="B639" s="1">
        <v>7.7312000000000003</v>
      </c>
      <c r="C639" s="1">
        <f>Tabela18[[#This Row],[Alongamento (mm/mm)]]/$I$2</f>
        <v>0.15462400000000001</v>
      </c>
      <c r="D639" s="1">
        <v>2069.9</v>
      </c>
      <c r="E639" s="1">
        <f>Tabela18[[#This Row],[Força (N)]]/$I$5</f>
        <v>42988220.243237861</v>
      </c>
      <c r="F639" s="1">
        <f>Tabela18[[#This Row],[Tensão (Pa)]]/1000000</f>
        <v>42.988220243237862</v>
      </c>
    </row>
    <row r="640" spans="1:6" x14ac:dyDescent="0.3">
      <c r="A640" s="1">
        <v>93.316999999999993</v>
      </c>
      <c r="B640" s="1">
        <v>7.7686999999999999</v>
      </c>
      <c r="C640" s="1">
        <f>Tabela18[[#This Row],[Alongamento (mm/mm)]]/$I$2</f>
        <v>0.15537400000000001</v>
      </c>
      <c r="D640" s="1">
        <v>2086.3000000000002</v>
      </c>
      <c r="E640" s="1">
        <f>Tabela18[[#This Row],[Força (N)]]/$I$5</f>
        <v>43328819.698278733</v>
      </c>
      <c r="F640" s="1">
        <f>Tabela18[[#This Row],[Tensão (Pa)]]/1000000</f>
        <v>43.328819698278735</v>
      </c>
    </row>
    <row r="641" spans="1:6" x14ac:dyDescent="0.3">
      <c r="A641" s="1">
        <v>93.783000000000001</v>
      </c>
      <c r="B641" s="1">
        <v>7.8075999999999999</v>
      </c>
      <c r="C641" s="1">
        <f>Tabela18[[#This Row],[Alongamento (mm/mm)]]/$I$2</f>
        <v>0.15615199999999999</v>
      </c>
      <c r="D641" s="1">
        <v>2102.4</v>
      </c>
      <c r="E641" s="1">
        <f>Tabela18[[#This Row],[Força (N)]]/$I$5</f>
        <v>43663188.675483488</v>
      </c>
      <c r="F641" s="1">
        <f>Tabela18[[#This Row],[Tensão (Pa)]]/1000000</f>
        <v>43.663188675483489</v>
      </c>
    </row>
    <row r="642" spans="1:6" x14ac:dyDescent="0.3">
      <c r="A642" s="1">
        <v>94.283000000000001</v>
      </c>
      <c r="B642" s="1">
        <v>7.8491999999999997</v>
      </c>
      <c r="C642" s="1">
        <f>Tabela18[[#This Row],[Alongamento (mm/mm)]]/$I$2</f>
        <v>0.15698399999999998</v>
      </c>
      <c r="D642" s="1">
        <v>2118.9</v>
      </c>
      <c r="E642" s="1">
        <f>Tabela18[[#This Row],[Força (N)]]/$I$5</f>
        <v>44005864.95646973</v>
      </c>
      <c r="F642" s="1">
        <f>Tabela18[[#This Row],[Tensão (Pa)]]/1000000</f>
        <v>44.005864956469729</v>
      </c>
    </row>
    <row r="643" spans="1:6" x14ac:dyDescent="0.3">
      <c r="A643" s="1">
        <v>94.783000000000001</v>
      </c>
      <c r="B643" s="1">
        <v>7.8909000000000002</v>
      </c>
      <c r="C643" s="1">
        <f>Tabela18[[#This Row],[Alongamento (mm/mm)]]/$I$2</f>
        <v>0.15781800000000001</v>
      </c>
      <c r="D643" s="1">
        <v>2134.9</v>
      </c>
      <c r="E643" s="1">
        <f>Tabela18[[#This Row],[Força (N)]]/$I$5</f>
        <v>44338157.107729115</v>
      </c>
      <c r="F643" s="1">
        <f>Tabela18[[#This Row],[Tensão (Pa)]]/1000000</f>
        <v>44.338157107729117</v>
      </c>
    </row>
    <row r="644" spans="1:6" x14ac:dyDescent="0.3">
      <c r="A644" s="1">
        <v>95.283000000000001</v>
      </c>
      <c r="B644" s="1">
        <v>7.9325000000000001</v>
      </c>
      <c r="C644" s="1">
        <f>Tabela18[[#This Row],[Alongamento (mm/mm)]]/$I$2</f>
        <v>0.15865000000000001</v>
      </c>
      <c r="D644" s="1">
        <v>2149.6999999999998</v>
      </c>
      <c r="E644" s="1">
        <f>Tabela18[[#This Row],[Força (N)]]/$I$5</f>
        <v>44645527.347644046</v>
      </c>
      <c r="F644" s="1">
        <f>Tabela18[[#This Row],[Tensão (Pa)]]/1000000</f>
        <v>44.645527347644048</v>
      </c>
    </row>
    <row r="645" spans="1:6" x14ac:dyDescent="0.3">
      <c r="A645" s="1">
        <v>95.783000000000001</v>
      </c>
      <c r="B645" s="1">
        <v>7.9741999999999997</v>
      </c>
      <c r="C645" s="1">
        <f>Tabela18[[#This Row],[Alongamento (mm/mm)]]/$I$2</f>
        <v>0.15948399999999999</v>
      </c>
      <c r="D645" s="1">
        <v>2163.3000000000002</v>
      </c>
      <c r="E645" s="1">
        <f>Tabela18[[#This Row],[Força (N)]]/$I$5</f>
        <v>44927975.676214531</v>
      </c>
      <c r="F645" s="1">
        <f>Tabela18[[#This Row],[Tensão (Pa)]]/1000000</f>
        <v>44.92797567621453</v>
      </c>
    </row>
    <row r="646" spans="1:6" x14ac:dyDescent="0.3">
      <c r="A646" s="1">
        <v>96.283000000000001</v>
      </c>
      <c r="B646" s="1">
        <v>8.0159000000000002</v>
      </c>
      <c r="C646" s="1">
        <f>Tabela18[[#This Row],[Alongamento (mm/mm)]]/$I$2</f>
        <v>0.16031800000000002</v>
      </c>
      <c r="D646" s="1">
        <v>2175.6999999999998</v>
      </c>
      <c r="E646" s="1">
        <f>Tabela18[[#This Row],[Força (N)]]/$I$5</f>
        <v>45185502.093440548</v>
      </c>
      <c r="F646" s="1">
        <f>Tabela18[[#This Row],[Tensão (Pa)]]/1000000</f>
        <v>45.185502093440547</v>
      </c>
    </row>
    <row r="647" spans="1:6" x14ac:dyDescent="0.3">
      <c r="A647" s="1">
        <v>96.783000000000001</v>
      </c>
      <c r="B647" s="1">
        <v>8.0574999999999992</v>
      </c>
      <c r="C647" s="1">
        <f>Tabela18[[#This Row],[Alongamento (mm/mm)]]/$I$2</f>
        <v>0.16114999999999999</v>
      </c>
      <c r="D647" s="1">
        <v>2187</v>
      </c>
      <c r="E647" s="1">
        <f>Tabela18[[#This Row],[Força (N)]]/$I$5</f>
        <v>45420183.425267495</v>
      </c>
      <c r="F647" s="1">
        <f>Tabela18[[#This Row],[Tensão (Pa)]]/1000000</f>
        <v>45.420183425267496</v>
      </c>
    </row>
    <row r="648" spans="1:6" x14ac:dyDescent="0.3">
      <c r="A648" s="1">
        <v>97.283000000000001</v>
      </c>
      <c r="B648" s="1">
        <v>8.0991999999999997</v>
      </c>
      <c r="C648" s="1">
        <f>Tabela18[[#This Row],[Alongamento (mm/mm)]]/$I$2</f>
        <v>0.16198399999999999</v>
      </c>
      <c r="D648" s="1">
        <v>2196.3000000000002</v>
      </c>
      <c r="E648" s="1">
        <f>Tabela18[[#This Row],[Força (N)]]/$I$5</f>
        <v>45613328.238187015</v>
      </c>
      <c r="F648" s="1">
        <f>Tabela18[[#This Row],[Tensão (Pa)]]/1000000</f>
        <v>45.613328238187016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B91D-905A-4AEF-873C-5567B5416A81}">
  <dimension ref="A1:K572"/>
  <sheetViews>
    <sheetView workbookViewId="0">
      <selection activeCell="G23" sqref="G23"/>
    </sheetView>
  </sheetViews>
  <sheetFormatPr defaultRowHeight="14.4" x14ac:dyDescent="0.3"/>
  <cols>
    <col min="1" max="1" width="14.44140625" style="2" bestFit="1" customWidth="1"/>
    <col min="2" max="2" width="26.33203125" style="2" bestFit="1" customWidth="1"/>
    <col min="3" max="3" width="26.33203125" style="2" customWidth="1"/>
    <col min="4" max="4" width="13.5546875" style="2" bestFit="1" customWidth="1"/>
    <col min="5" max="5" width="15.88671875" bestFit="1" customWidth="1"/>
    <col min="6" max="6" width="17.88671875" bestFit="1" customWidth="1"/>
    <col min="8" max="8" width="13" bestFit="1" customWidth="1"/>
    <col min="9" max="9" width="18" bestFit="1" customWidth="1"/>
    <col min="10" max="10" width="12" bestFit="1" customWidth="1"/>
    <col min="11" max="11" width="14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>
        <v>1.6667000000000001E-2</v>
      </c>
      <c r="B2" s="1">
        <v>0</v>
      </c>
      <c r="C2" s="1">
        <f>Tabela110[[#This Row],[Alongamento (mm/mm)]]/$I$2</f>
        <v>0</v>
      </c>
      <c r="D2" s="1">
        <v>0</v>
      </c>
      <c r="E2" s="1">
        <f>Tabela110[[#This Row],[Força (N)]]/$I$5</f>
        <v>0</v>
      </c>
      <c r="F2" s="1">
        <f>Tabela110[[#This Row],[Tensão (Pa)]]/1000000</f>
        <v>0</v>
      </c>
      <c r="H2" s="2" t="s">
        <v>10</v>
      </c>
      <c r="I2" s="1">
        <v>50</v>
      </c>
      <c r="J2" s="1">
        <v>13.11</v>
      </c>
      <c r="K2" s="1">
        <v>3.67</v>
      </c>
    </row>
    <row r="3" spans="1:11" x14ac:dyDescent="0.3">
      <c r="A3" s="1">
        <v>11.7</v>
      </c>
      <c r="B3" s="1">
        <v>0.96723999999999999</v>
      </c>
      <c r="C3" s="1">
        <f>Tabela110[[#This Row],[Alongamento (mm/mm)]]/$I$2</f>
        <v>1.9344799999999999E-2</v>
      </c>
      <c r="D3" s="1">
        <v>13.778</v>
      </c>
      <c r="E3" s="1">
        <f>Tabela110[[#This Row],[Força (N)]]/$I$5</f>
        <v>286363.34349675872</v>
      </c>
      <c r="F3" s="1">
        <f>Tabela110[[#This Row],[Tensão (Pa)]]/1000000</f>
        <v>0.28636334349675874</v>
      </c>
      <c r="H3" s="2" t="s">
        <v>11</v>
      </c>
      <c r="I3" s="1">
        <f>I2/1000</f>
        <v>0.05</v>
      </c>
      <c r="J3" s="1">
        <f>J2/1000</f>
        <v>1.311E-2</v>
      </c>
      <c r="K3" s="1">
        <f>K2/1000</f>
        <v>3.6700000000000001E-3</v>
      </c>
    </row>
    <row r="4" spans="1:11" x14ac:dyDescent="0.3">
      <c r="A4" s="1">
        <v>11.8</v>
      </c>
      <c r="B4" s="1">
        <v>0.97562000000000004</v>
      </c>
      <c r="C4" s="1">
        <f>Tabela110[[#This Row],[Alongamento (mm/mm)]]/$I$2</f>
        <v>1.9512399999999999E-2</v>
      </c>
      <c r="D4" s="1">
        <v>13.948</v>
      </c>
      <c r="E4" s="1">
        <f>Tabela110[[#This Row],[Força (N)]]/$I$5</f>
        <v>289896.64066575631</v>
      </c>
      <c r="F4" s="1">
        <f>Tabela110[[#This Row],[Tensão (Pa)]]/1000000</f>
        <v>0.28989664066575632</v>
      </c>
    </row>
    <row r="5" spans="1:11" ht="15" thickBot="1" x14ac:dyDescent="0.35">
      <c r="A5" s="1">
        <v>11.9</v>
      </c>
      <c r="B5" s="1">
        <v>0.9839</v>
      </c>
      <c r="C5" s="1">
        <f>Tabela110[[#This Row],[Alongamento (mm/mm)]]/$I$2</f>
        <v>1.9678000000000001E-2</v>
      </c>
      <c r="D5" s="1">
        <v>14.118</v>
      </c>
      <c r="E5" s="1">
        <f>Tabela110[[#This Row],[Força (N)]]/$I$5</f>
        <v>293429.93783475395</v>
      </c>
      <c r="F5" s="1">
        <f>Tabela110[[#This Row],[Tensão (Pa)]]/1000000</f>
        <v>0.29342993783475396</v>
      </c>
      <c r="H5" s="11" t="s">
        <v>12</v>
      </c>
      <c r="I5" s="12">
        <f>J3*K3</f>
        <v>4.81137E-5</v>
      </c>
    </row>
    <row r="6" spans="1:11" ht="15" thickTop="1" x14ac:dyDescent="0.3">
      <c r="A6" s="1">
        <v>12</v>
      </c>
      <c r="B6" s="1">
        <v>0.99228000000000005</v>
      </c>
      <c r="C6" s="1">
        <f>Tabela110[[#This Row],[Alongamento (mm/mm)]]/$I$2</f>
        <v>1.9845600000000001E-2</v>
      </c>
      <c r="D6" s="1">
        <v>14.118</v>
      </c>
      <c r="E6" s="1">
        <f>Tabela110[[#This Row],[Força (N)]]/$I$5</f>
        <v>293429.93783475395</v>
      </c>
      <c r="F6" s="1">
        <f>Tabela110[[#This Row],[Tensão (Pa)]]/1000000</f>
        <v>0.29342993783475396</v>
      </c>
    </row>
    <row r="7" spans="1:11" x14ac:dyDescent="0.3">
      <c r="A7" s="1">
        <v>12.1</v>
      </c>
      <c r="B7" s="1">
        <v>1.0006999999999999</v>
      </c>
      <c r="C7" s="1">
        <f>Tabela110[[#This Row],[Alongamento (mm/mm)]]/$I$2</f>
        <v>2.0013999999999997E-2</v>
      </c>
      <c r="D7" s="1">
        <v>14.118</v>
      </c>
      <c r="E7" s="1">
        <f>Tabela110[[#This Row],[Força (N)]]/$I$5</f>
        <v>293429.93783475395</v>
      </c>
      <c r="F7" s="1">
        <f>Tabela110[[#This Row],[Tensão (Pa)]]/1000000</f>
        <v>0.29342993783475396</v>
      </c>
    </row>
    <row r="8" spans="1:11" x14ac:dyDescent="0.3">
      <c r="A8" s="1">
        <v>12.2</v>
      </c>
      <c r="B8" s="1">
        <v>1.0088999999999999</v>
      </c>
      <c r="C8" s="1">
        <f>Tabela110[[#This Row],[Alongamento (mm/mm)]]/$I$2</f>
        <v>2.0177999999999998E-2</v>
      </c>
      <c r="D8" s="1">
        <v>14.288</v>
      </c>
      <c r="E8" s="1">
        <f>Tabela110[[#This Row],[Força (N)]]/$I$5</f>
        <v>296963.23500375153</v>
      </c>
      <c r="F8" s="1">
        <f>Tabela110[[#This Row],[Tensão (Pa)]]/1000000</f>
        <v>0.29696323500375155</v>
      </c>
    </row>
    <row r="9" spans="1:11" x14ac:dyDescent="0.3">
      <c r="A9" s="1">
        <v>12.3</v>
      </c>
      <c r="B9" s="1">
        <v>1.0173000000000001</v>
      </c>
      <c r="C9" s="1">
        <f>Tabela110[[#This Row],[Alongamento (mm/mm)]]/$I$2</f>
        <v>2.0346000000000003E-2</v>
      </c>
      <c r="D9" s="1">
        <v>14.458</v>
      </c>
      <c r="E9" s="1">
        <f>Tabela110[[#This Row],[Força (N)]]/$I$5</f>
        <v>300496.53217274911</v>
      </c>
      <c r="F9" s="1">
        <f>Tabela110[[#This Row],[Tensão (Pa)]]/1000000</f>
        <v>0.30049653217274913</v>
      </c>
    </row>
    <row r="10" spans="1:11" x14ac:dyDescent="0.3">
      <c r="A10" s="1">
        <v>12.4</v>
      </c>
      <c r="B10" s="1">
        <v>1.0256000000000001</v>
      </c>
      <c r="C10" s="1">
        <f>Tabela110[[#This Row],[Alongamento (mm/mm)]]/$I$2</f>
        <v>2.0512000000000002E-2</v>
      </c>
      <c r="D10" s="1">
        <v>14.628</v>
      </c>
      <c r="E10" s="1">
        <f>Tabela110[[#This Row],[Força (N)]]/$I$5</f>
        <v>304029.82934174675</v>
      </c>
      <c r="F10" s="1">
        <f>Tabela110[[#This Row],[Tensão (Pa)]]/1000000</f>
        <v>0.30402982934174677</v>
      </c>
    </row>
    <row r="11" spans="1:11" x14ac:dyDescent="0.3">
      <c r="A11" s="1">
        <v>12.5</v>
      </c>
      <c r="B11" s="1">
        <v>1.034</v>
      </c>
      <c r="C11" s="1">
        <f>Tabela110[[#This Row],[Alongamento (mm/mm)]]/$I$2</f>
        <v>2.068E-2</v>
      </c>
      <c r="D11" s="1">
        <v>14.798999999999999</v>
      </c>
      <c r="E11" s="1">
        <f>Tabela110[[#This Row],[Força (N)]]/$I$5</f>
        <v>307583.91061173845</v>
      </c>
      <c r="F11" s="1">
        <f>Tabela110[[#This Row],[Tensão (Pa)]]/1000000</f>
        <v>0.30758391061173845</v>
      </c>
    </row>
    <row r="12" spans="1:11" x14ac:dyDescent="0.3">
      <c r="A12" s="1">
        <v>12.6</v>
      </c>
      <c r="B12" s="1">
        <v>1.0422</v>
      </c>
      <c r="C12" s="1">
        <f>Tabela110[[#This Row],[Alongamento (mm/mm)]]/$I$2</f>
        <v>2.0844000000000001E-2</v>
      </c>
      <c r="D12" s="1">
        <v>14.968999999999999</v>
      </c>
      <c r="E12" s="1">
        <f>Tabela110[[#This Row],[Força (N)]]/$I$5</f>
        <v>311117.20778073603</v>
      </c>
      <c r="F12" s="1">
        <f>Tabela110[[#This Row],[Tensão (Pa)]]/1000000</f>
        <v>0.31111720778073604</v>
      </c>
    </row>
    <row r="13" spans="1:11" x14ac:dyDescent="0.3">
      <c r="A13" s="1">
        <v>12.7</v>
      </c>
      <c r="B13" s="1">
        <v>1.0505</v>
      </c>
      <c r="C13" s="1">
        <f>Tabela110[[#This Row],[Alongamento (mm/mm)]]/$I$2</f>
        <v>2.1010000000000001E-2</v>
      </c>
      <c r="D13" s="1">
        <v>15.138999999999999</v>
      </c>
      <c r="E13" s="1">
        <f>Tabela110[[#This Row],[Força (N)]]/$I$5</f>
        <v>314650.50494973361</v>
      </c>
      <c r="F13" s="1">
        <f>Tabela110[[#This Row],[Tensão (Pa)]]/1000000</f>
        <v>0.31465050494973362</v>
      </c>
    </row>
    <row r="14" spans="1:11" x14ac:dyDescent="0.3">
      <c r="A14" s="1">
        <v>12.8</v>
      </c>
      <c r="B14" s="1">
        <v>1.0589999999999999</v>
      </c>
      <c r="C14" s="1">
        <f>Tabela110[[#This Row],[Alongamento (mm/mm)]]/$I$2</f>
        <v>2.1179999999999997E-2</v>
      </c>
      <c r="D14" s="1">
        <v>15.138999999999999</v>
      </c>
      <c r="E14" s="1">
        <f>Tabela110[[#This Row],[Força (N)]]/$I$5</f>
        <v>314650.50494973361</v>
      </c>
      <c r="F14" s="1">
        <f>Tabela110[[#This Row],[Tensão (Pa)]]/1000000</f>
        <v>0.31465050494973362</v>
      </c>
    </row>
    <row r="15" spans="1:11" x14ac:dyDescent="0.3">
      <c r="A15" s="1">
        <v>12.9</v>
      </c>
      <c r="B15" s="1">
        <v>1.0672999999999999</v>
      </c>
      <c r="C15" s="1">
        <f>Tabela110[[#This Row],[Alongamento (mm/mm)]]/$I$2</f>
        <v>2.1345999999999997E-2</v>
      </c>
      <c r="D15" s="1">
        <v>15.308999999999999</v>
      </c>
      <c r="E15" s="1">
        <f>Tabela110[[#This Row],[Força (N)]]/$I$5</f>
        <v>318183.80211873126</v>
      </c>
      <c r="F15" s="1">
        <f>Tabela110[[#This Row],[Tensão (Pa)]]/1000000</f>
        <v>0.31818380211873126</v>
      </c>
    </row>
    <row r="16" spans="1:11" x14ac:dyDescent="0.3">
      <c r="A16" s="1">
        <v>13</v>
      </c>
      <c r="B16" s="1">
        <v>1.0755999999999999</v>
      </c>
      <c r="C16" s="1">
        <f>Tabela110[[#This Row],[Alongamento (mm/mm)]]/$I$2</f>
        <v>2.1511999999999996E-2</v>
      </c>
      <c r="D16" s="1">
        <v>15.308999999999999</v>
      </c>
      <c r="E16" s="1">
        <f>Tabela110[[#This Row],[Força (N)]]/$I$5</f>
        <v>318183.80211873126</v>
      </c>
      <c r="F16" s="1">
        <f>Tabela110[[#This Row],[Tensão (Pa)]]/1000000</f>
        <v>0.31818380211873126</v>
      </c>
    </row>
    <row r="17" spans="1:6" x14ac:dyDescent="0.3">
      <c r="A17" s="1">
        <v>13.1</v>
      </c>
      <c r="B17" s="1">
        <v>1.0840000000000001</v>
      </c>
      <c r="C17" s="1">
        <f>Tabela110[[#This Row],[Alongamento (mm/mm)]]/$I$2</f>
        <v>2.1680000000000001E-2</v>
      </c>
      <c r="D17" s="1">
        <v>15.308999999999999</v>
      </c>
      <c r="E17" s="1">
        <f>Tabela110[[#This Row],[Força (N)]]/$I$5</f>
        <v>318183.80211873126</v>
      </c>
      <c r="F17" s="1">
        <f>Tabela110[[#This Row],[Tensão (Pa)]]/1000000</f>
        <v>0.31818380211873126</v>
      </c>
    </row>
    <row r="18" spans="1:6" x14ac:dyDescent="0.3">
      <c r="A18" s="1">
        <v>13.217000000000001</v>
      </c>
      <c r="B18" s="1">
        <v>1.0936999999999999</v>
      </c>
      <c r="C18" s="1">
        <f>Tabela110[[#This Row],[Alongamento (mm/mm)]]/$I$2</f>
        <v>2.1873999999999998E-2</v>
      </c>
      <c r="D18" s="1">
        <v>15.308999999999999</v>
      </c>
      <c r="E18" s="1">
        <f>Tabela110[[#This Row],[Força (N)]]/$I$5</f>
        <v>318183.80211873126</v>
      </c>
      <c r="F18" s="1">
        <f>Tabela110[[#This Row],[Tensão (Pa)]]/1000000</f>
        <v>0.31818380211873126</v>
      </c>
    </row>
    <row r="19" spans="1:6" x14ac:dyDescent="0.3">
      <c r="A19" s="1">
        <v>13.333</v>
      </c>
      <c r="B19" s="1">
        <v>1.1033999999999999</v>
      </c>
      <c r="C19" s="1">
        <f>Tabela110[[#This Row],[Alongamento (mm/mm)]]/$I$2</f>
        <v>2.2067999999999997E-2</v>
      </c>
      <c r="D19" s="1">
        <v>15.308999999999999</v>
      </c>
      <c r="E19" s="1">
        <f>Tabela110[[#This Row],[Força (N)]]/$I$5</f>
        <v>318183.80211873126</v>
      </c>
      <c r="F19" s="1">
        <f>Tabela110[[#This Row],[Tensão (Pa)]]/1000000</f>
        <v>0.31818380211873126</v>
      </c>
    </row>
    <row r="20" spans="1:6" x14ac:dyDescent="0.3">
      <c r="A20" s="1">
        <v>13.45</v>
      </c>
      <c r="B20" s="1">
        <v>1.1131</v>
      </c>
      <c r="C20" s="1">
        <f>Tabela110[[#This Row],[Alongamento (mm/mm)]]/$I$2</f>
        <v>2.2262000000000001E-2</v>
      </c>
      <c r="D20" s="1">
        <v>15.308999999999999</v>
      </c>
      <c r="E20" s="1">
        <f>Tabela110[[#This Row],[Força (N)]]/$I$5</f>
        <v>318183.80211873126</v>
      </c>
      <c r="F20" s="1">
        <f>Tabela110[[#This Row],[Tensão (Pa)]]/1000000</f>
        <v>0.31818380211873126</v>
      </c>
    </row>
    <row r="21" spans="1:6" x14ac:dyDescent="0.3">
      <c r="A21" s="1">
        <v>13.567</v>
      </c>
      <c r="B21" s="1">
        <v>1.1227</v>
      </c>
      <c r="C21" s="1">
        <f>Tabela110[[#This Row],[Alongamento (mm/mm)]]/$I$2</f>
        <v>2.2454000000000002E-2</v>
      </c>
      <c r="D21" s="1">
        <v>15.308999999999999</v>
      </c>
      <c r="E21" s="1">
        <f>Tabela110[[#This Row],[Força (N)]]/$I$5</f>
        <v>318183.80211873126</v>
      </c>
      <c r="F21" s="1">
        <f>Tabela110[[#This Row],[Tensão (Pa)]]/1000000</f>
        <v>0.31818380211873126</v>
      </c>
    </row>
    <row r="22" spans="1:6" x14ac:dyDescent="0.3">
      <c r="A22" s="1">
        <v>13.683</v>
      </c>
      <c r="B22" s="1">
        <v>1.1326000000000001</v>
      </c>
      <c r="C22" s="1">
        <f>Tabela110[[#This Row],[Alongamento (mm/mm)]]/$I$2</f>
        <v>2.2652000000000002E-2</v>
      </c>
      <c r="D22" s="1">
        <v>15.308999999999999</v>
      </c>
      <c r="E22" s="1">
        <f>Tabela110[[#This Row],[Força (N)]]/$I$5</f>
        <v>318183.80211873126</v>
      </c>
      <c r="F22" s="1">
        <f>Tabela110[[#This Row],[Tensão (Pa)]]/1000000</f>
        <v>0.31818380211873126</v>
      </c>
    </row>
    <row r="23" spans="1:6" x14ac:dyDescent="0.3">
      <c r="A23" s="1">
        <v>13.8</v>
      </c>
      <c r="B23" s="1">
        <v>1.1423000000000001</v>
      </c>
      <c r="C23" s="1">
        <f>Tabela110[[#This Row],[Alongamento (mm/mm)]]/$I$2</f>
        <v>2.2846000000000002E-2</v>
      </c>
      <c r="D23" s="1">
        <v>15.308999999999999</v>
      </c>
      <c r="E23" s="1">
        <f>Tabela110[[#This Row],[Força (N)]]/$I$5</f>
        <v>318183.80211873126</v>
      </c>
      <c r="F23" s="1">
        <f>Tabela110[[#This Row],[Tensão (Pa)]]/1000000</f>
        <v>0.31818380211873126</v>
      </c>
    </row>
    <row r="24" spans="1:6" x14ac:dyDescent="0.3">
      <c r="A24" s="1">
        <v>13.917</v>
      </c>
      <c r="B24" s="1">
        <v>1.1519999999999999</v>
      </c>
      <c r="C24" s="1">
        <f>Tabela110[[#This Row],[Alongamento (mm/mm)]]/$I$2</f>
        <v>2.3039999999999998E-2</v>
      </c>
      <c r="D24" s="1">
        <v>15.308999999999999</v>
      </c>
      <c r="E24" s="1">
        <f>Tabela110[[#This Row],[Força (N)]]/$I$5</f>
        <v>318183.80211873126</v>
      </c>
      <c r="F24" s="1">
        <f>Tabela110[[#This Row],[Tensão (Pa)]]/1000000</f>
        <v>0.31818380211873126</v>
      </c>
    </row>
    <row r="25" spans="1:6" x14ac:dyDescent="0.3">
      <c r="A25" s="1">
        <v>14.032999999999999</v>
      </c>
      <c r="B25" s="1">
        <v>1.1617</v>
      </c>
      <c r="C25" s="1">
        <f>Tabela110[[#This Row],[Alongamento (mm/mm)]]/$I$2</f>
        <v>2.3233999999999998E-2</v>
      </c>
      <c r="D25" s="1">
        <v>15.308999999999999</v>
      </c>
      <c r="E25" s="1">
        <f>Tabela110[[#This Row],[Força (N)]]/$I$5</f>
        <v>318183.80211873126</v>
      </c>
      <c r="F25" s="1">
        <f>Tabela110[[#This Row],[Tensão (Pa)]]/1000000</f>
        <v>0.31818380211873126</v>
      </c>
    </row>
    <row r="26" spans="1:6" x14ac:dyDescent="0.3">
      <c r="A26" s="1">
        <v>14.15</v>
      </c>
      <c r="B26" s="1">
        <v>1.1715</v>
      </c>
      <c r="C26" s="1">
        <f>Tabela110[[#This Row],[Alongamento (mm/mm)]]/$I$2</f>
        <v>2.3429999999999999E-2</v>
      </c>
      <c r="D26" s="1">
        <v>15.308999999999999</v>
      </c>
      <c r="E26" s="1">
        <f>Tabela110[[#This Row],[Força (N)]]/$I$5</f>
        <v>318183.80211873126</v>
      </c>
      <c r="F26" s="1">
        <f>Tabela110[[#This Row],[Tensão (Pa)]]/1000000</f>
        <v>0.31818380211873126</v>
      </c>
    </row>
    <row r="27" spans="1:6" x14ac:dyDescent="0.3">
      <c r="A27" s="1">
        <v>14.266999999999999</v>
      </c>
      <c r="B27" s="1">
        <v>1.1812</v>
      </c>
      <c r="C27" s="1">
        <f>Tabela110[[#This Row],[Alongamento (mm/mm)]]/$I$2</f>
        <v>2.3623999999999999E-2</v>
      </c>
      <c r="D27" s="1">
        <v>15.478999999999999</v>
      </c>
      <c r="E27" s="1">
        <f>Tabela110[[#This Row],[Força (N)]]/$I$5</f>
        <v>321717.09928772884</v>
      </c>
      <c r="F27" s="1">
        <f>Tabela110[[#This Row],[Tensão (Pa)]]/1000000</f>
        <v>0.32171709928772885</v>
      </c>
    </row>
    <row r="28" spans="1:6" x14ac:dyDescent="0.3">
      <c r="A28" s="1">
        <v>14.382999999999999</v>
      </c>
      <c r="B28" s="1">
        <v>1.1909000000000001</v>
      </c>
      <c r="C28" s="1">
        <f>Tabela110[[#This Row],[Alongamento (mm/mm)]]/$I$2</f>
        <v>2.3818000000000002E-2</v>
      </c>
      <c r="D28" s="1">
        <v>15.308999999999999</v>
      </c>
      <c r="E28" s="1">
        <f>Tabela110[[#This Row],[Força (N)]]/$I$5</f>
        <v>318183.80211873126</v>
      </c>
      <c r="F28" s="1">
        <f>Tabela110[[#This Row],[Tensão (Pa)]]/1000000</f>
        <v>0.31818380211873126</v>
      </c>
    </row>
    <row r="29" spans="1:6" x14ac:dyDescent="0.3">
      <c r="A29" s="1">
        <v>14.5</v>
      </c>
      <c r="B29" s="1">
        <v>1.2004999999999999</v>
      </c>
      <c r="C29" s="1">
        <f>Tabela110[[#This Row],[Alongamento (mm/mm)]]/$I$2</f>
        <v>2.4009999999999997E-2</v>
      </c>
      <c r="D29" s="1">
        <v>15.478999999999999</v>
      </c>
      <c r="E29" s="1">
        <f>Tabela110[[#This Row],[Força (N)]]/$I$5</f>
        <v>321717.09928772884</v>
      </c>
      <c r="F29" s="1">
        <f>Tabela110[[#This Row],[Tensão (Pa)]]/1000000</f>
        <v>0.32171709928772885</v>
      </c>
    </row>
    <row r="30" spans="1:6" x14ac:dyDescent="0.3">
      <c r="A30" s="1">
        <v>14.617000000000001</v>
      </c>
      <c r="B30" s="1">
        <v>1.2102999999999999</v>
      </c>
      <c r="C30" s="1">
        <f>Tabela110[[#This Row],[Alongamento (mm/mm)]]/$I$2</f>
        <v>2.4205999999999998E-2</v>
      </c>
      <c r="D30" s="1">
        <v>15.478999999999999</v>
      </c>
      <c r="E30" s="1">
        <f>Tabela110[[#This Row],[Força (N)]]/$I$5</f>
        <v>321717.09928772884</v>
      </c>
      <c r="F30" s="1">
        <f>Tabela110[[#This Row],[Tensão (Pa)]]/1000000</f>
        <v>0.32171709928772885</v>
      </c>
    </row>
    <row r="31" spans="1:6" x14ac:dyDescent="0.3">
      <c r="A31" s="1">
        <v>14.733000000000001</v>
      </c>
      <c r="B31" s="1">
        <v>1.22</v>
      </c>
      <c r="C31" s="1">
        <f>Tabela110[[#This Row],[Alongamento (mm/mm)]]/$I$2</f>
        <v>2.4399999999999998E-2</v>
      </c>
      <c r="D31" s="1">
        <v>15.478999999999999</v>
      </c>
      <c r="E31" s="1">
        <f>Tabela110[[#This Row],[Força (N)]]/$I$5</f>
        <v>321717.09928772884</v>
      </c>
      <c r="F31" s="1">
        <f>Tabela110[[#This Row],[Tensão (Pa)]]/1000000</f>
        <v>0.32171709928772885</v>
      </c>
    </row>
    <row r="32" spans="1:6" x14ac:dyDescent="0.3">
      <c r="A32" s="1">
        <v>14.85</v>
      </c>
      <c r="B32" s="1">
        <v>1.2299</v>
      </c>
      <c r="C32" s="1">
        <f>Tabela110[[#This Row],[Alongamento (mm/mm)]]/$I$2</f>
        <v>2.4597999999999998E-2</v>
      </c>
      <c r="D32" s="1">
        <v>15.478999999999999</v>
      </c>
      <c r="E32" s="1">
        <f>Tabela110[[#This Row],[Força (N)]]/$I$5</f>
        <v>321717.09928772884</v>
      </c>
      <c r="F32" s="1">
        <f>Tabela110[[#This Row],[Tensão (Pa)]]/1000000</f>
        <v>0.32171709928772885</v>
      </c>
    </row>
    <row r="33" spans="1:6" x14ac:dyDescent="0.3">
      <c r="A33" s="1">
        <v>14.967000000000001</v>
      </c>
      <c r="B33" s="1">
        <v>1.2395</v>
      </c>
      <c r="C33" s="1">
        <f>Tabela110[[#This Row],[Alongamento (mm/mm)]]/$I$2</f>
        <v>2.479E-2</v>
      </c>
      <c r="D33" s="1">
        <v>15.478999999999999</v>
      </c>
      <c r="E33" s="1">
        <f>Tabela110[[#This Row],[Força (N)]]/$I$5</f>
        <v>321717.09928772884</v>
      </c>
      <c r="F33" s="1">
        <f>Tabela110[[#This Row],[Tensão (Pa)]]/1000000</f>
        <v>0.32171709928772885</v>
      </c>
    </row>
    <row r="34" spans="1:6" x14ac:dyDescent="0.3">
      <c r="A34" s="1">
        <v>15.083</v>
      </c>
      <c r="B34" s="1">
        <v>1.2492000000000001</v>
      </c>
      <c r="C34" s="1">
        <f>Tabela110[[#This Row],[Alongamento (mm/mm)]]/$I$2</f>
        <v>2.4984000000000003E-2</v>
      </c>
      <c r="D34" s="1">
        <v>15.478999999999999</v>
      </c>
      <c r="E34" s="1">
        <f>Tabela110[[#This Row],[Força (N)]]/$I$5</f>
        <v>321717.09928772884</v>
      </c>
      <c r="F34" s="1">
        <f>Tabela110[[#This Row],[Tensão (Pa)]]/1000000</f>
        <v>0.32171709928772885</v>
      </c>
    </row>
    <row r="35" spans="1:6" x14ac:dyDescent="0.3">
      <c r="A35" s="1">
        <v>15.2</v>
      </c>
      <c r="B35" s="1">
        <v>1.2588999999999999</v>
      </c>
      <c r="C35" s="1">
        <f>Tabela110[[#This Row],[Alongamento (mm/mm)]]/$I$2</f>
        <v>2.5177999999999999E-2</v>
      </c>
      <c r="D35" s="1">
        <v>15.478999999999999</v>
      </c>
      <c r="E35" s="1">
        <f>Tabela110[[#This Row],[Força (N)]]/$I$5</f>
        <v>321717.09928772884</v>
      </c>
      <c r="F35" s="1">
        <f>Tabela110[[#This Row],[Tensão (Pa)]]/1000000</f>
        <v>0.32171709928772885</v>
      </c>
    </row>
    <row r="36" spans="1:6" x14ac:dyDescent="0.3">
      <c r="A36" s="1">
        <v>15.317</v>
      </c>
      <c r="B36" s="1">
        <v>1.2686999999999999</v>
      </c>
      <c r="C36" s="1">
        <f>Tabela110[[#This Row],[Alongamento (mm/mm)]]/$I$2</f>
        <v>2.5373999999999997E-2</v>
      </c>
      <c r="D36" s="1">
        <v>15.478999999999999</v>
      </c>
      <c r="E36" s="1">
        <f>Tabela110[[#This Row],[Força (N)]]/$I$5</f>
        <v>321717.09928772884</v>
      </c>
      <c r="F36" s="1">
        <f>Tabela110[[#This Row],[Tensão (Pa)]]/1000000</f>
        <v>0.32171709928772885</v>
      </c>
    </row>
    <row r="37" spans="1:6" x14ac:dyDescent="0.3">
      <c r="A37" s="1">
        <v>15.45</v>
      </c>
      <c r="B37" s="1">
        <v>1.2798</v>
      </c>
      <c r="C37" s="1">
        <f>Tabela110[[#This Row],[Alongamento (mm/mm)]]/$I$2</f>
        <v>2.5596000000000001E-2</v>
      </c>
      <c r="D37" s="1">
        <v>15.478999999999999</v>
      </c>
      <c r="E37" s="1">
        <f>Tabela110[[#This Row],[Força (N)]]/$I$5</f>
        <v>321717.09928772884</v>
      </c>
      <c r="F37" s="1">
        <f>Tabela110[[#This Row],[Tensão (Pa)]]/1000000</f>
        <v>0.32171709928772885</v>
      </c>
    </row>
    <row r="38" spans="1:6" x14ac:dyDescent="0.3">
      <c r="A38" s="1">
        <v>15.583</v>
      </c>
      <c r="B38" s="1">
        <v>1.2907999999999999</v>
      </c>
      <c r="C38" s="1">
        <f>Tabela110[[#This Row],[Alongamento (mm/mm)]]/$I$2</f>
        <v>2.5815999999999999E-2</v>
      </c>
      <c r="D38" s="1">
        <v>15.478999999999999</v>
      </c>
      <c r="E38" s="1">
        <f>Tabela110[[#This Row],[Força (N)]]/$I$5</f>
        <v>321717.09928772884</v>
      </c>
      <c r="F38" s="1">
        <f>Tabela110[[#This Row],[Tensão (Pa)]]/1000000</f>
        <v>0.32171709928772885</v>
      </c>
    </row>
    <row r="39" spans="1:6" x14ac:dyDescent="0.3">
      <c r="A39" s="1">
        <v>15.717000000000001</v>
      </c>
      <c r="B39" s="1">
        <v>1.302</v>
      </c>
      <c r="C39" s="1">
        <f>Tabela110[[#This Row],[Alongamento (mm/mm)]]/$I$2</f>
        <v>2.6040000000000001E-2</v>
      </c>
      <c r="D39" s="1">
        <v>15.478999999999999</v>
      </c>
      <c r="E39" s="1">
        <f>Tabela110[[#This Row],[Força (N)]]/$I$5</f>
        <v>321717.09928772884</v>
      </c>
      <c r="F39" s="1">
        <f>Tabela110[[#This Row],[Tensão (Pa)]]/1000000</f>
        <v>0.32171709928772885</v>
      </c>
    </row>
    <row r="40" spans="1:6" x14ac:dyDescent="0.3">
      <c r="A40" s="1">
        <v>15.85</v>
      </c>
      <c r="B40" s="1">
        <v>1.3129999999999999</v>
      </c>
      <c r="C40" s="1">
        <f>Tabela110[[#This Row],[Alongamento (mm/mm)]]/$I$2</f>
        <v>2.6259999999999999E-2</v>
      </c>
      <c r="D40" s="1">
        <v>15.478999999999999</v>
      </c>
      <c r="E40" s="1">
        <f>Tabela110[[#This Row],[Força (N)]]/$I$5</f>
        <v>321717.09928772884</v>
      </c>
      <c r="F40" s="1">
        <f>Tabela110[[#This Row],[Tensão (Pa)]]/1000000</f>
        <v>0.32171709928772885</v>
      </c>
    </row>
    <row r="41" spans="1:6" x14ac:dyDescent="0.3">
      <c r="A41" s="1">
        <v>15.983000000000001</v>
      </c>
      <c r="B41" s="1">
        <v>1.3242</v>
      </c>
      <c r="C41" s="1">
        <f>Tabela110[[#This Row],[Alongamento (mm/mm)]]/$I$2</f>
        <v>2.6484000000000001E-2</v>
      </c>
      <c r="D41" s="1">
        <v>15.478999999999999</v>
      </c>
      <c r="E41" s="1">
        <f>Tabela110[[#This Row],[Força (N)]]/$I$5</f>
        <v>321717.09928772884</v>
      </c>
      <c r="F41" s="1">
        <f>Tabela110[[#This Row],[Tensão (Pa)]]/1000000</f>
        <v>0.32171709928772885</v>
      </c>
    </row>
    <row r="42" spans="1:6" x14ac:dyDescent="0.3">
      <c r="A42" s="1">
        <v>16.117000000000001</v>
      </c>
      <c r="B42" s="1">
        <v>1.3352999999999999</v>
      </c>
      <c r="C42" s="1">
        <f>Tabela110[[#This Row],[Alongamento (mm/mm)]]/$I$2</f>
        <v>2.6705999999999997E-2</v>
      </c>
      <c r="D42" s="1">
        <v>15.648999999999999</v>
      </c>
      <c r="E42" s="1">
        <f>Tabela110[[#This Row],[Força (N)]]/$I$5</f>
        <v>325250.39645672642</v>
      </c>
      <c r="F42" s="1">
        <f>Tabela110[[#This Row],[Tensão (Pa)]]/1000000</f>
        <v>0.32525039645672643</v>
      </c>
    </row>
    <row r="43" spans="1:6" x14ac:dyDescent="0.3">
      <c r="A43" s="1">
        <v>16.25</v>
      </c>
      <c r="B43" s="1">
        <v>1.3465</v>
      </c>
      <c r="C43" s="1">
        <f>Tabela110[[#This Row],[Alongamento (mm/mm)]]/$I$2</f>
        <v>2.6929999999999999E-2</v>
      </c>
      <c r="D43" s="1">
        <v>15.648999999999999</v>
      </c>
      <c r="E43" s="1">
        <f>Tabela110[[#This Row],[Força (N)]]/$I$5</f>
        <v>325250.39645672642</v>
      </c>
      <c r="F43" s="1">
        <f>Tabela110[[#This Row],[Tensão (Pa)]]/1000000</f>
        <v>0.32525039645672643</v>
      </c>
    </row>
    <row r="44" spans="1:6" x14ac:dyDescent="0.3">
      <c r="A44" s="1">
        <v>16.382999999999999</v>
      </c>
      <c r="B44" s="1">
        <v>1.3574999999999999</v>
      </c>
      <c r="C44" s="1">
        <f>Tabela110[[#This Row],[Alongamento (mm/mm)]]/$I$2</f>
        <v>2.7149999999999997E-2</v>
      </c>
      <c r="D44" s="1">
        <v>15.819000000000001</v>
      </c>
      <c r="E44" s="1">
        <f>Tabela110[[#This Row],[Força (N)]]/$I$5</f>
        <v>328783.69362572406</v>
      </c>
      <c r="F44" s="1">
        <f>Tabela110[[#This Row],[Tensão (Pa)]]/1000000</f>
        <v>0.32878369362572407</v>
      </c>
    </row>
    <row r="45" spans="1:6" x14ac:dyDescent="0.3">
      <c r="A45" s="1">
        <v>16.516999999999999</v>
      </c>
      <c r="B45" s="1">
        <v>1.3687</v>
      </c>
      <c r="C45" s="1">
        <f>Tabela110[[#This Row],[Alongamento (mm/mm)]]/$I$2</f>
        <v>2.7373999999999999E-2</v>
      </c>
      <c r="D45" s="1">
        <v>15.819000000000001</v>
      </c>
      <c r="E45" s="1">
        <f>Tabela110[[#This Row],[Força (N)]]/$I$5</f>
        <v>328783.69362572406</v>
      </c>
      <c r="F45" s="1">
        <f>Tabela110[[#This Row],[Tensão (Pa)]]/1000000</f>
        <v>0.32878369362572407</v>
      </c>
    </row>
    <row r="46" spans="1:6" x14ac:dyDescent="0.3">
      <c r="A46" s="1">
        <v>16.649999999999999</v>
      </c>
      <c r="B46" s="1">
        <v>1.3797999999999999</v>
      </c>
      <c r="C46" s="1">
        <f>Tabela110[[#This Row],[Alongamento (mm/mm)]]/$I$2</f>
        <v>2.7595999999999999E-2</v>
      </c>
      <c r="D46" s="1">
        <v>15.989000000000001</v>
      </c>
      <c r="E46" s="1">
        <f>Tabela110[[#This Row],[Força (N)]]/$I$5</f>
        <v>332316.9907947217</v>
      </c>
      <c r="F46" s="1">
        <f>Tabela110[[#This Row],[Tensão (Pa)]]/1000000</f>
        <v>0.33231699079472171</v>
      </c>
    </row>
    <row r="47" spans="1:6" x14ac:dyDescent="0.3">
      <c r="A47" s="1">
        <v>16.783000000000001</v>
      </c>
      <c r="B47" s="1">
        <v>1.3908</v>
      </c>
      <c r="C47" s="1">
        <f>Tabela110[[#This Row],[Alongamento (mm/mm)]]/$I$2</f>
        <v>2.7816E-2</v>
      </c>
      <c r="D47" s="1">
        <v>16.158999999999999</v>
      </c>
      <c r="E47" s="1">
        <f>Tabela110[[#This Row],[Força (N)]]/$I$5</f>
        <v>335850.28796371922</v>
      </c>
      <c r="F47" s="1">
        <f>Tabela110[[#This Row],[Tensão (Pa)]]/1000000</f>
        <v>0.33585028796371924</v>
      </c>
    </row>
    <row r="48" spans="1:6" x14ac:dyDescent="0.3">
      <c r="A48" s="1">
        <v>16.917000000000002</v>
      </c>
      <c r="B48" s="1">
        <v>1.4018999999999999</v>
      </c>
      <c r="C48" s="1">
        <f>Tabela110[[#This Row],[Alongamento (mm/mm)]]/$I$2</f>
        <v>2.8037999999999997E-2</v>
      </c>
      <c r="D48" s="1">
        <v>16.329000000000001</v>
      </c>
      <c r="E48" s="1">
        <f>Tabela110[[#This Row],[Força (N)]]/$I$5</f>
        <v>339383.58513271686</v>
      </c>
      <c r="F48" s="1">
        <f>Tabela110[[#This Row],[Tensão (Pa)]]/1000000</f>
        <v>0.33938358513271688</v>
      </c>
    </row>
    <row r="49" spans="1:6" x14ac:dyDescent="0.3">
      <c r="A49" s="1">
        <v>17.05</v>
      </c>
      <c r="B49" s="1">
        <v>1.4131</v>
      </c>
      <c r="C49" s="1">
        <f>Tabela110[[#This Row],[Alongamento (mm/mm)]]/$I$2</f>
        <v>2.8261999999999999E-2</v>
      </c>
      <c r="D49" s="1">
        <v>16.5</v>
      </c>
      <c r="E49" s="1">
        <f>Tabela110[[#This Row],[Força (N)]]/$I$5</f>
        <v>342937.66640270856</v>
      </c>
      <c r="F49" s="1">
        <f>Tabela110[[#This Row],[Tensão (Pa)]]/1000000</f>
        <v>0.34293766640270856</v>
      </c>
    </row>
    <row r="50" spans="1:6" x14ac:dyDescent="0.3">
      <c r="A50" s="1">
        <v>17.183</v>
      </c>
      <c r="B50" s="1">
        <v>1.4242999999999999</v>
      </c>
      <c r="C50" s="1">
        <f>Tabela110[[#This Row],[Alongamento (mm/mm)]]/$I$2</f>
        <v>2.8485999999999997E-2</v>
      </c>
      <c r="D50" s="1">
        <v>16.670000000000002</v>
      </c>
      <c r="E50" s="1">
        <f>Tabela110[[#This Row],[Força (N)]]/$I$5</f>
        <v>346470.9635717062</v>
      </c>
      <c r="F50" s="1">
        <f>Tabela110[[#This Row],[Tensão (Pa)]]/1000000</f>
        <v>0.3464709635717062</v>
      </c>
    </row>
    <row r="51" spans="1:6" x14ac:dyDescent="0.3">
      <c r="A51" s="1">
        <v>17.317</v>
      </c>
      <c r="B51" s="1">
        <v>1.4353</v>
      </c>
      <c r="C51" s="1">
        <f>Tabela110[[#This Row],[Alongamento (mm/mm)]]/$I$2</f>
        <v>2.8705999999999999E-2</v>
      </c>
      <c r="D51" s="1">
        <v>16.84</v>
      </c>
      <c r="E51" s="1">
        <f>Tabela110[[#This Row],[Força (N)]]/$I$5</f>
        <v>350004.26074070379</v>
      </c>
      <c r="F51" s="1">
        <f>Tabela110[[#This Row],[Tensão (Pa)]]/1000000</f>
        <v>0.35000426074070379</v>
      </c>
    </row>
    <row r="52" spans="1:6" x14ac:dyDescent="0.3">
      <c r="A52" s="1">
        <v>17.466999999999999</v>
      </c>
      <c r="B52" s="1">
        <v>1.4478</v>
      </c>
      <c r="C52" s="1">
        <f>Tabela110[[#This Row],[Alongamento (mm/mm)]]/$I$2</f>
        <v>2.8955999999999999E-2</v>
      </c>
      <c r="D52" s="1">
        <v>17.350000000000001</v>
      </c>
      <c r="E52" s="1">
        <f>Tabela110[[#This Row],[Força (N)]]/$I$5</f>
        <v>360604.15224769665</v>
      </c>
      <c r="F52" s="1">
        <f>Tabela110[[#This Row],[Tensão (Pa)]]/1000000</f>
        <v>0.36060415224769665</v>
      </c>
    </row>
    <row r="53" spans="1:6" x14ac:dyDescent="0.3">
      <c r="A53" s="1">
        <v>17.617000000000001</v>
      </c>
      <c r="B53" s="1">
        <v>1.4603999999999999</v>
      </c>
      <c r="C53" s="1">
        <f>Tabela110[[#This Row],[Alongamento (mm/mm)]]/$I$2</f>
        <v>2.9207999999999998E-2</v>
      </c>
      <c r="D53" s="1">
        <v>17.690000000000001</v>
      </c>
      <c r="E53" s="1">
        <f>Tabela110[[#This Row],[Força (N)]]/$I$5</f>
        <v>367670.74658569181</v>
      </c>
      <c r="F53" s="1">
        <f>Tabela110[[#This Row],[Tensão (Pa)]]/1000000</f>
        <v>0.36767074658569182</v>
      </c>
    </row>
    <row r="54" spans="1:6" x14ac:dyDescent="0.3">
      <c r="A54" s="1">
        <v>17.766999999999999</v>
      </c>
      <c r="B54" s="1">
        <v>1.4728000000000001</v>
      </c>
      <c r="C54" s="1">
        <f>Tabela110[[#This Row],[Alongamento (mm/mm)]]/$I$2</f>
        <v>2.9456000000000003E-2</v>
      </c>
      <c r="D54" s="1">
        <v>18.03</v>
      </c>
      <c r="E54" s="1">
        <f>Tabela110[[#This Row],[Força (N)]]/$I$5</f>
        <v>374737.34092368704</v>
      </c>
      <c r="F54" s="1">
        <f>Tabela110[[#This Row],[Tensão (Pa)]]/1000000</f>
        <v>0.37473734092368705</v>
      </c>
    </row>
    <row r="55" spans="1:6" x14ac:dyDescent="0.3">
      <c r="A55" s="1">
        <v>17.917000000000002</v>
      </c>
      <c r="B55" s="1">
        <v>1.4853000000000001</v>
      </c>
      <c r="C55" s="1">
        <f>Tabela110[[#This Row],[Alongamento (mm/mm)]]/$I$2</f>
        <v>2.9706E-2</v>
      </c>
      <c r="D55" s="1">
        <v>18.541</v>
      </c>
      <c r="E55" s="1">
        <f>Tabela110[[#This Row],[Força (N)]]/$I$5</f>
        <v>385358.01653167396</v>
      </c>
      <c r="F55" s="1">
        <f>Tabela110[[#This Row],[Tensão (Pa)]]/1000000</f>
        <v>0.38535801653167395</v>
      </c>
    </row>
    <row r="56" spans="1:6" x14ac:dyDescent="0.3">
      <c r="A56" s="1">
        <v>18.067</v>
      </c>
      <c r="B56" s="1">
        <v>1.4979</v>
      </c>
      <c r="C56" s="1">
        <f>Tabela110[[#This Row],[Alongamento (mm/mm)]]/$I$2</f>
        <v>2.9957999999999999E-2</v>
      </c>
      <c r="D56" s="1">
        <v>19.050999999999998</v>
      </c>
      <c r="E56" s="1">
        <f>Tabela110[[#This Row],[Força (N)]]/$I$5</f>
        <v>395957.9080386667</v>
      </c>
      <c r="F56" s="1">
        <f>Tabela110[[#This Row],[Tensão (Pa)]]/1000000</f>
        <v>0.39595790803866671</v>
      </c>
    </row>
    <row r="57" spans="1:6" x14ac:dyDescent="0.3">
      <c r="A57" s="1">
        <v>18.216999999999999</v>
      </c>
      <c r="B57" s="1">
        <v>1.5103</v>
      </c>
      <c r="C57" s="1">
        <f>Tabela110[[#This Row],[Alongamento (mm/mm)]]/$I$2</f>
        <v>3.0206E-2</v>
      </c>
      <c r="D57" s="1">
        <v>19.561</v>
      </c>
      <c r="E57" s="1">
        <f>Tabela110[[#This Row],[Força (N)]]/$I$5</f>
        <v>406557.79954565957</v>
      </c>
      <c r="F57" s="1">
        <f>Tabela110[[#This Row],[Tensão (Pa)]]/1000000</f>
        <v>0.40655779954565957</v>
      </c>
    </row>
    <row r="58" spans="1:6" x14ac:dyDescent="0.3">
      <c r="A58" s="1">
        <v>18.367000000000001</v>
      </c>
      <c r="B58" s="1">
        <v>1.5227999999999999</v>
      </c>
      <c r="C58" s="1">
        <f>Tabela110[[#This Row],[Alongamento (mm/mm)]]/$I$2</f>
        <v>3.0455999999999997E-2</v>
      </c>
      <c r="D58" s="1">
        <v>20.071999999999999</v>
      </c>
      <c r="E58" s="1">
        <f>Tabela110[[#This Row],[Força (N)]]/$I$5</f>
        <v>417178.47515364643</v>
      </c>
      <c r="F58" s="1">
        <f>Tabela110[[#This Row],[Tensão (Pa)]]/1000000</f>
        <v>0.41717847515364642</v>
      </c>
    </row>
    <row r="59" spans="1:6" x14ac:dyDescent="0.3">
      <c r="A59" s="1">
        <v>18.516999999999999</v>
      </c>
      <c r="B59" s="1">
        <v>1.5354000000000001</v>
      </c>
      <c r="C59" s="1">
        <f>Tabela110[[#This Row],[Alongamento (mm/mm)]]/$I$2</f>
        <v>3.0708000000000003E-2</v>
      </c>
      <c r="D59" s="1">
        <v>20.582000000000001</v>
      </c>
      <c r="E59" s="1">
        <f>Tabela110[[#This Row],[Força (N)]]/$I$5</f>
        <v>427778.36666063929</v>
      </c>
      <c r="F59" s="1">
        <f>Tabela110[[#This Row],[Tensão (Pa)]]/1000000</f>
        <v>0.42777836666063929</v>
      </c>
    </row>
    <row r="60" spans="1:6" x14ac:dyDescent="0.3">
      <c r="A60" s="1">
        <v>18.667000000000002</v>
      </c>
      <c r="B60" s="1">
        <v>1.5478000000000001</v>
      </c>
      <c r="C60" s="1">
        <f>Tabela110[[#This Row],[Alongamento (mm/mm)]]/$I$2</f>
        <v>3.0956000000000001E-2</v>
      </c>
      <c r="D60" s="1">
        <v>21.091999999999999</v>
      </c>
      <c r="E60" s="1">
        <f>Tabela110[[#This Row],[Força (N)]]/$I$5</f>
        <v>438378.25816763204</v>
      </c>
      <c r="F60" s="1">
        <f>Tabela110[[#This Row],[Tensão (Pa)]]/1000000</f>
        <v>0.43837825816763204</v>
      </c>
    </row>
    <row r="61" spans="1:6" x14ac:dyDescent="0.3">
      <c r="A61" s="1">
        <v>18.817</v>
      </c>
      <c r="B61" s="1">
        <v>1.5604</v>
      </c>
      <c r="C61" s="1">
        <f>Tabela110[[#This Row],[Alongamento (mm/mm)]]/$I$2</f>
        <v>3.1208E-2</v>
      </c>
      <c r="D61" s="1">
        <v>21.431999999999999</v>
      </c>
      <c r="E61" s="1">
        <f>Tabela110[[#This Row],[Força (N)]]/$I$5</f>
        <v>445444.85250562726</v>
      </c>
      <c r="F61" s="1">
        <f>Tabela110[[#This Row],[Tensão (Pa)]]/1000000</f>
        <v>0.44544485250562726</v>
      </c>
    </row>
    <row r="62" spans="1:6" x14ac:dyDescent="0.3">
      <c r="A62" s="1">
        <v>18.966999999999999</v>
      </c>
      <c r="B62" s="1">
        <v>1.5728</v>
      </c>
      <c r="C62" s="1">
        <f>Tabela110[[#This Row],[Alongamento (mm/mm)]]/$I$2</f>
        <v>3.1455999999999998E-2</v>
      </c>
      <c r="D62" s="1">
        <v>21.943000000000001</v>
      </c>
      <c r="E62" s="1">
        <f>Tabela110[[#This Row],[Força (N)]]/$I$5</f>
        <v>456065.52811361424</v>
      </c>
      <c r="F62" s="1">
        <f>Tabela110[[#This Row],[Tensão (Pa)]]/1000000</f>
        <v>0.45606552811361423</v>
      </c>
    </row>
    <row r="63" spans="1:6" x14ac:dyDescent="0.3">
      <c r="A63" s="1">
        <v>19.117000000000001</v>
      </c>
      <c r="B63" s="1">
        <v>1.5852999999999999</v>
      </c>
      <c r="C63" s="1">
        <f>Tabela110[[#This Row],[Alongamento (mm/mm)]]/$I$2</f>
        <v>3.1705999999999998E-2</v>
      </c>
      <c r="D63" s="1">
        <v>22.452999999999999</v>
      </c>
      <c r="E63" s="1">
        <f>Tabela110[[#This Row],[Força (N)]]/$I$5</f>
        <v>466665.41962060699</v>
      </c>
      <c r="F63" s="1">
        <f>Tabela110[[#This Row],[Tensão (Pa)]]/1000000</f>
        <v>0.46666541962060698</v>
      </c>
    </row>
    <row r="64" spans="1:6" x14ac:dyDescent="0.3">
      <c r="A64" s="1">
        <v>19.266999999999999</v>
      </c>
      <c r="B64" s="1">
        <v>1.5978000000000001</v>
      </c>
      <c r="C64" s="1">
        <f>Tabela110[[#This Row],[Alongamento (mm/mm)]]/$I$2</f>
        <v>3.1956000000000005E-2</v>
      </c>
      <c r="D64" s="1">
        <v>22.963000000000001</v>
      </c>
      <c r="E64" s="1">
        <f>Tabela110[[#This Row],[Força (N)]]/$I$5</f>
        <v>477265.31112759985</v>
      </c>
      <c r="F64" s="1">
        <f>Tabela110[[#This Row],[Tensão (Pa)]]/1000000</f>
        <v>0.47726531112759984</v>
      </c>
    </row>
    <row r="65" spans="1:6" x14ac:dyDescent="0.3">
      <c r="A65" s="1">
        <v>19.417000000000002</v>
      </c>
      <c r="B65" s="1">
        <v>1.6104000000000001</v>
      </c>
      <c r="C65" s="1">
        <f>Tabela110[[#This Row],[Alongamento (mm/mm)]]/$I$2</f>
        <v>3.2208000000000001E-2</v>
      </c>
      <c r="D65" s="1">
        <v>23.303999999999998</v>
      </c>
      <c r="E65" s="1">
        <f>Tabela110[[#This Row],[Força (N)]]/$I$5</f>
        <v>484352.68956658914</v>
      </c>
      <c r="F65" s="1">
        <f>Tabela110[[#This Row],[Tensão (Pa)]]/1000000</f>
        <v>0.48435268956658911</v>
      </c>
    </row>
    <row r="66" spans="1:6" x14ac:dyDescent="0.3">
      <c r="A66" s="1">
        <v>19.533000000000001</v>
      </c>
      <c r="B66" s="1">
        <v>1.62</v>
      </c>
      <c r="C66" s="1">
        <f>Tabela110[[#This Row],[Alongamento (mm/mm)]]/$I$2</f>
        <v>3.2400000000000005E-2</v>
      </c>
      <c r="D66" s="1">
        <v>23.984000000000002</v>
      </c>
      <c r="E66" s="1">
        <f>Tabela110[[#This Row],[Força (N)]]/$I$5</f>
        <v>498485.87824257958</v>
      </c>
      <c r="F66" s="1">
        <f>Tabela110[[#This Row],[Tensão (Pa)]]/1000000</f>
        <v>0.49848587824257956</v>
      </c>
    </row>
    <row r="67" spans="1:6" x14ac:dyDescent="0.3">
      <c r="A67" s="1">
        <v>19.7</v>
      </c>
      <c r="B67" s="1">
        <v>1.6338999999999999</v>
      </c>
      <c r="C67" s="1">
        <f>Tabela110[[#This Row],[Alongamento (mm/mm)]]/$I$2</f>
        <v>3.2677999999999999E-2</v>
      </c>
      <c r="D67" s="1">
        <v>24.324000000000002</v>
      </c>
      <c r="E67" s="1">
        <f>Tabela110[[#This Row],[Força (N)]]/$I$5</f>
        <v>505552.4725805748</v>
      </c>
      <c r="F67" s="1">
        <f>Tabela110[[#This Row],[Tensão (Pa)]]/1000000</f>
        <v>0.50555247258057479</v>
      </c>
    </row>
    <row r="68" spans="1:6" x14ac:dyDescent="0.3">
      <c r="A68" s="1">
        <v>19.817</v>
      </c>
      <c r="B68" s="1">
        <v>1.6436999999999999</v>
      </c>
      <c r="C68" s="1">
        <f>Tabela110[[#This Row],[Alongamento (mm/mm)]]/$I$2</f>
        <v>3.2874E-2</v>
      </c>
      <c r="D68" s="1">
        <v>25.004999999999999</v>
      </c>
      <c r="E68" s="1">
        <f>Tabela110[[#This Row],[Força (N)]]/$I$5</f>
        <v>519706.44535755925</v>
      </c>
      <c r="F68" s="1">
        <f>Tabela110[[#This Row],[Tensão (Pa)]]/1000000</f>
        <v>0.51970644535755928</v>
      </c>
    </row>
    <row r="69" spans="1:6" x14ac:dyDescent="0.3">
      <c r="A69" s="1">
        <v>19.983000000000001</v>
      </c>
      <c r="B69" s="1">
        <v>1.6575</v>
      </c>
      <c r="C69" s="1">
        <f>Tabela110[[#This Row],[Alongamento (mm/mm)]]/$I$2</f>
        <v>3.3149999999999999E-2</v>
      </c>
      <c r="D69" s="1">
        <v>25.344999999999999</v>
      </c>
      <c r="E69" s="1">
        <f>Tabela110[[#This Row],[Força (N)]]/$I$5</f>
        <v>526773.03969555441</v>
      </c>
      <c r="F69" s="1">
        <f>Tabela110[[#This Row],[Tensão (Pa)]]/1000000</f>
        <v>0.52677303969555445</v>
      </c>
    </row>
    <row r="70" spans="1:6" x14ac:dyDescent="0.3">
      <c r="A70" s="1">
        <v>20.100000000000001</v>
      </c>
      <c r="B70" s="1">
        <v>1.6673</v>
      </c>
      <c r="C70" s="1">
        <f>Tabela110[[#This Row],[Alongamento (mm/mm)]]/$I$2</f>
        <v>3.3346000000000001E-2</v>
      </c>
      <c r="D70" s="1">
        <v>26.024999999999999</v>
      </c>
      <c r="E70" s="1">
        <f>Tabela110[[#This Row],[Força (N)]]/$I$5</f>
        <v>540906.22837154486</v>
      </c>
      <c r="F70" s="1">
        <f>Tabela110[[#This Row],[Tensão (Pa)]]/1000000</f>
        <v>0.54090622837154489</v>
      </c>
    </row>
    <row r="71" spans="1:6" x14ac:dyDescent="0.3">
      <c r="A71" s="1">
        <v>20.266999999999999</v>
      </c>
      <c r="B71" s="1">
        <v>1.6811</v>
      </c>
      <c r="C71" s="1">
        <f>Tabela110[[#This Row],[Alongamento (mm/mm)]]/$I$2</f>
        <v>3.3621999999999999E-2</v>
      </c>
      <c r="D71" s="1">
        <v>26.535</v>
      </c>
      <c r="E71" s="1">
        <f>Tabela110[[#This Row],[Força (N)]]/$I$5</f>
        <v>551506.11987853772</v>
      </c>
      <c r="F71" s="1">
        <f>Tabela110[[#This Row],[Tensão (Pa)]]/1000000</f>
        <v>0.5515061198785377</v>
      </c>
    </row>
    <row r="72" spans="1:6" x14ac:dyDescent="0.3">
      <c r="A72" s="1">
        <v>20.417000000000002</v>
      </c>
      <c r="B72" s="1">
        <v>1.6937</v>
      </c>
      <c r="C72" s="1">
        <f>Tabela110[[#This Row],[Alongamento (mm/mm)]]/$I$2</f>
        <v>3.3874000000000001E-2</v>
      </c>
      <c r="D72" s="1">
        <v>27.216000000000001</v>
      </c>
      <c r="E72" s="1">
        <f>Tabela110[[#This Row],[Força (N)]]/$I$5</f>
        <v>565660.09265552228</v>
      </c>
      <c r="F72" s="1">
        <f>Tabela110[[#This Row],[Tensão (Pa)]]/1000000</f>
        <v>0.56566009265552231</v>
      </c>
    </row>
    <row r="73" spans="1:6" x14ac:dyDescent="0.3">
      <c r="A73" s="1">
        <v>20.567</v>
      </c>
      <c r="B73" s="1">
        <v>1.7060999999999999</v>
      </c>
      <c r="C73" s="1">
        <f>Tabela110[[#This Row],[Alongamento (mm/mm)]]/$I$2</f>
        <v>3.4122E-2</v>
      </c>
      <c r="D73" s="1">
        <v>27.896000000000001</v>
      </c>
      <c r="E73" s="1">
        <f>Tabela110[[#This Row],[Força (N)]]/$I$5</f>
        <v>579793.28133151261</v>
      </c>
      <c r="F73" s="1">
        <f>Tabela110[[#This Row],[Tensão (Pa)]]/1000000</f>
        <v>0.57979328133151264</v>
      </c>
    </row>
    <row r="74" spans="1:6" x14ac:dyDescent="0.3">
      <c r="A74" s="1">
        <v>20.683</v>
      </c>
      <c r="B74" s="1">
        <v>1.7159</v>
      </c>
      <c r="C74" s="1">
        <f>Tabela110[[#This Row],[Alongamento (mm/mm)]]/$I$2</f>
        <v>3.4318000000000001E-2</v>
      </c>
      <c r="D74" s="1">
        <v>28.577000000000002</v>
      </c>
      <c r="E74" s="1">
        <f>Tabela110[[#This Row],[Força (N)]]/$I$5</f>
        <v>593947.25410849717</v>
      </c>
      <c r="F74" s="1">
        <f>Tabela110[[#This Row],[Tensão (Pa)]]/1000000</f>
        <v>0.59394725410849714</v>
      </c>
    </row>
    <row r="75" spans="1:6" x14ac:dyDescent="0.3">
      <c r="A75" s="1">
        <v>20.817</v>
      </c>
      <c r="B75" s="1">
        <v>1.7270000000000001</v>
      </c>
      <c r="C75" s="1">
        <f>Tabela110[[#This Row],[Alongamento (mm/mm)]]/$I$2</f>
        <v>3.4540000000000001E-2</v>
      </c>
      <c r="D75" s="1">
        <v>29.257000000000001</v>
      </c>
      <c r="E75" s="1">
        <f>Tabela110[[#This Row],[Força (N)]]/$I$5</f>
        <v>608080.44278448762</v>
      </c>
      <c r="F75" s="1">
        <f>Tabela110[[#This Row],[Tensão (Pa)]]/1000000</f>
        <v>0.60808044278448758</v>
      </c>
    </row>
    <row r="76" spans="1:6" x14ac:dyDescent="0.3">
      <c r="A76" s="1">
        <v>20.917000000000002</v>
      </c>
      <c r="B76" s="1">
        <v>1.7353000000000001</v>
      </c>
      <c r="C76" s="1">
        <f>Tabela110[[#This Row],[Alongamento (mm/mm)]]/$I$2</f>
        <v>3.4706000000000001E-2</v>
      </c>
      <c r="D76" s="1">
        <v>29.937000000000001</v>
      </c>
      <c r="E76" s="1">
        <f>Tabela110[[#This Row],[Força (N)]]/$I$5</f>
        <v>622213.63146047806</v>
      </c>
      <c r="F76" s="1">
        <f>Tabela110[[#This Row],[Tensão (Pa)]]/1000000</f>
        <v>0.62221363146047803</v>
      </c>
    </row>
    <row r="77" spans="1:6" x14ac:dyDescent="0.3">
      <c r="A77" s="1">
        <v>21.033000000000001</v>
      </c>
      <c r="B77" s="1">
        <v>1.7451000000000001</v>
      </c>
      <c r="C77" s="1">
        <f>Tabela110[[#This Row],[Alongamento (mm/mm)]]/$I$2</f>
        <v>3.4902000000000002E-2</v>
      </c>
      <c r="D77" s="1">
        <v>30.617999999999999</v>
      </c>
      <c r="E77" s="1">
        <f>Tabela110[[#This Row],[Força (N)]]/$I$5</f>
        <v>636367.60423746251</v>
      </c>
      <c r="F77" s="1">
        <f>Tabela110[[#This Row],[Tensão (Pa)]]/1000000</f>
        <v>0.63636760423746253</v>
      </c>
    </row>
    <row r="78" spans="1:6" x14ac:dyDescent="0.3">
      <c r="A78" s="1">
        <v>21.167000000000002</v>
      </c>
      <c r="B78" s="1">
        <v>1.7561</v>
      </c>
      <c r="C78" s="1">
        <f>Tabela110[[#This Row],[Alongamento (mm/mm)]]/$I$2</f>
        <v>3.5122E-2</v>
      </c>
      <c r="D78" s="1">
        <v>31.297999999999998</v>
      </c>
      <c r="E78" s="1">
        <f>Tabela110[[#This Row],[Força (N)]]/$I$5</f>
        <v>650500.79291345284</v>
      </c>
      <c r="F78" s="1">
        <f>Tabela110[[#This Row],[Tensão (Pa)]]/1000000</f>
        <v>0.65050079291345286</v>
      </c>
    </row>
    <row r="79" spans="1:6" x14ac:dyDescent="0.3">
      <c r="A79" s="1">
        <v>21.283000000000001</v>
      </c>
      <c r="B79" s="1">
        <v>1.7659</v>
      </c>
      <c r="C79" s="1">
        <f>Tabela110[[#This Row],[Alongamento (mm/mm)]]/$I$2</f>
        <v>3.5318000000000002E-2</v>
      </c>
      <c r="D79" s="1">
        <v>31.978999999999999</v>
      </c>
      <c r="E79" s="1">
        <f>Tabela110[[#This Row],[Força (N)]]/$I$5</f>
        <v>664654.7656904374</v>
      </c>
      <c r="F79" s="1">
        <f>Tabela110[[#This Row],[Tensão (Pa)]]/1000000</f>
        <v>0.66465476569043735</v>
      </c>
    </row>
    <row r="80" spans="1:6" x14ac:dyDescent="0.3">
      <c r="A80" s="1">
        <v>21.382999999999999</v>
      </c>
      <c r="B80" s="1">
        <v>1.7742</v>
      </c>
      <c r="C80" s="1">
        <f>Tabela110[[#This Row],[Alongamento (mm/mm)]]/$I$2</f>
        <v>3.5484000000000002E-2</v>
      </c>
      <c r="D80" s="1">
        <v>32.658999999999999</v>
      </c>
      <c r="E80" s="1">
        <f>Tabela110[[#This Row],[Força (N)]]/$I$5</f>
        <v>678787.95436642785</v>
      </c>
      <c r="F80" s="1">
        <f>Tabela110[[#This Row],[Tensão (Pa)]]/1000000</f>
        <v>0.6787879543664278</v>
      </c>
    </row>
    <row r="81" spans="1:6" x14ac:dyDescent="0.3">
      <c r="A81" s="1">
        <v>21.5</v>
      </c>
      <c r="B81" s="1">
        <v>1.7839</v>
      </c>
      <c r="C81" s="1">
        <f>Tabela110[[#This Row],[Alongamento (mm/mm)]]/$I$2</f>
        <v>3.5678000000000001E-2</v>
      </c>
      <c r="D81" s="1">
        <v>33.338999999999999</v>
      </c>
      <c r="E81" s="1">
        <f>Tabela110[[#This Row],[Força (N)]]/$I$5</f>
        <v>692921.14304241829</v>
      </c>
      <c r="F81" s="1">
        <f>Tabela110[[#This Row],[Tensão (Pa)]]/1000000</f>
        <v>0.69292114304241825</v>
      </c>
    </row>
    <row r="82" spans="1:6" x14ac:dyDescent="0.3">
      <c r="A82" s="1">
        <v>21.6</v>
      </c>
      <c r="B82" s="1">
        <v>1.7923</v>
      </c>
      <c r="C82" s="1">
        <f>Tabela110[[#This Row],[Alongamento (mm/mm)]]/$I$2</f>
        <v>3.5846000000000003E-2</v>
      </c>
      <c r="D82" s="1">
        <v>34.020000000000003</v>
      </c>
      <c r="E82" s="1">
        <f>Tabela110[[#This Row],[Força (N)]]/$I$5</f>
        <v>707075.11581940285</v>
      </c>
      <c r="F82" s="1">
        <f>Tabela110[[#This Row],[Tensão (Pa)]]/1000000</f>
        <v>0.70707511581940286</v>
      </c>
    </row>
    <row r="83" spans="1:6" x14ac:dyDescent="0.3">
      <c r="A83" s="1">
        <v>21.716999999999999</v>
      </c>
      <c r="B83" s="1">
        <v>1.802</v>
      </c>
      <c r="C83" s="1">
        <f>Tabela110[[#This Row],[Alongamento (mm/mm)]]/$I$2</f>
        <v>3.6040000000000003E-2</v>
      </c>
      <c r="D83" s="1">
        <v>34.700000000000003</v>
      </c>
      <c r="E83" s="1">
        <f>Tabela110[[#This Row],[Força (N)]]/$I$5</f>
        <v>721208.3044953933</v>
      </c>
      <c r="F83" s="1">
        <f>Tabela110[[#This Row],[Tensão (Pa)]]/1000000</f>
        <v>0.7212083044953933</v>
      </c>
    </row>
    <row r="84" spans="1:6" x14ac:dyDescent="0.3">
      <c r="A84" s="1">
        <v>21.817</v>
      </c>
      <c r="B84" s="1">
        <v>1.8103</v>
      </c>
      <c r="C84" s="1">
        <f>Tabela110[[#This Row],[Alongamento (mm/mm)]]/$I$2</f>
        <v>3.6206000000000002E-2</v>
      </c>
      <c r="D84" s="1">
        <v>35.381</v>
      </c>
      <c r="E84" s="1">
        <f>Tabela110[[#This Row],[Força (N)]]/$I$5</f>
        <v>735362.27727237775</v>
      </c>
      <c r="F84" s="1">
        <f>Tabela110[[#This Row],[Tensão (Pa)]]/1000000</f>
        <v>0.7353622772723778</v>
      </c>
    </row>
    <row r="85" spans="1:6" x14ac:dyDescent="0.3">
      <c r="A85" s="1">
        <v>21.917000000000002</v>
      </c>
      <c r="B85" s="1">
        <v>1.8186</v>
      </c>
      <c r="C85" s="1">
        <f>Tabela110[[#This Row],[Alongamento (mm/mm)]]/$I$2</f>
        <v>3.6372000000000002E-2</v>
      </c>
      <c r="D85" s="1">
        <v>36.061</v>
      </c>
      <c r="E85" s="1">
        <f>Tabela110[[#This Row],[Força (N)]]/$I$5</f>
        <v>749495.46594836819</v>
      </c>
      <c r="F85" s="1">
        <f>Tabela110[[#This Row],[Tensão (Pa)]]/1000000</f>
        <v>0.74949546594836824</v>
      </c>
    </row>
    <row r="86" spans="1:6" x14ac:dyDescent="0.3">
      <c r="A86" s="1">
        <v>22.033000000000001</v>
      </c>
      <c r="B86" s="1">
        <v>1.8284</v>
      </c>
      <c r="C86" s="1">
        <f>Tabela110[[#This Row],[Alongamento (mm/mm)]]/$I$2</f>
        <v>3.6568000000000003E-2</v>
      </c>
      <c r="D86" s="1">
        <v>36.741</v>
      </c>
      <c r="E86" s="1">
        <f>Tabela110[[#This Row],[Força (N)]]/$I$5</f>
        <v>763628.65462435852</v>
      </c>
      <c r="F86" s="1">
        <f>Tabela110[[#This Row],[Tensão (Pa)]]/1000000</f>
        <v>0.76362865462435847</v>
      </c>
    </row>
    <row r="87" spans="1:6" x14ac:dyDescent="0.3">
      <c r="A87" s="1">
        <v>22.132999999999999</v>
      </c>
      <c r="B87" s="1">
        <v>1.8367</v>
      </c>
      <c r="C87" s="1">
        <f>Tabela110[[#This Row],[Alongamento (mm/mm)]]/$I$2</f>
        <v>3.6734000000000003E-2</v>
      </c>
      <c r="D87" s="1">
        <v>37.421999999999997</v>
      </c>
      <c r="E87" s="1">
        <f>Tabela110[[#This Row],[Força (N)]]/$I$5</f>
        <v>777782.62740134296</v>
      </c>
      <c r="F87" s="1">
        <f>Tabela110[[#This Row],[Tensão (Pa)]]/1000000</f>
        <v>0.77778262740134296</v>
      </c>
    </row>
    <row r="88" spans="1:6" x14ac:dyDescent="0.3">
      <c r="A88" s="1">
        <v>22.233000000000001</v>
      </c>
      <c r="B88" s="1">
        <v>1.8451</v>
      </c>
      <c r="C88" s="1">
        <f>Tabela110[[#This Row],[Alongamento (mm/mm)]]/$I$2</f>
        <v>3.6901999999999997E-2</v>
      </c>
      <c r="D88" s="1">
        <v>38.101999999999997</v>
      </c>
      <c r="E88" s="1">
        <f>Tabela110[[#This Row],[Força (N)]]/$I$5</f>
        <v>791915.81607733341</v>
      </c>
      <c r="F88" s="1">
        <f>Tabela110[[#This Row],[Tensão (Pa)]]/1000000</f>
        <v>0.79191581607733341</v>
      </c>
    </row>
    <row r="89" spans="1:6" x14ac:dyDescent="0.3">
      <c r="A89" s="1">
        <v>22.35</v>
      </c>
      <c r="B89" s="1">
        <v>1.8547</v>
      </c>
      <c r="C89" s="1">
        <f>Tabela110[[#This Row],[Alongamento (mm/mm)]]/$I$2</f>
        <v>3.7094000000000002E-2</v>
      </c>
      <c r="D89" s="1">
        <v>38.783000000000001</v>
      </c>
      <c r="E89" s="1">
        <f>Tabela110[[#This Row],[Força (N)]]/$I$5</f>
        <v>806069.78885431797</v>
      </c>
      <c r="F89" s="1">
        <f>Tabela110[[#This Row],[Tensão (Pa)]]/1000000</f>
        <v>0.80606978885431801</v>
      </c>
    </row>
    <row r="90" spans="1:6" x14ac:dyDescent="0.3">
      <c r="A90" s="1">
        <v>22.45</v>
      </c>
      <c r="B90" s="1">
        <v>1.8631</v>
      </c>
      <c r="C90" s="1">
        <f>Tabela110[[#This Row],[Alongamento (mm/mm)]]/$I$2</f>
        <v>3.7261999999999997E-2</v>
      </c>
      <c r="D90" s="1">
        <v>39.463000000000001</v>
      </c>
      <c r="E90" s="1">
        <f>Tabela110[[#This Row],[Força (N)]]/$I$5</f>
        <v>820202.97753030842</v>
      </c>
      <c r="F90" s="1">
        <f>Tabela110[[#This Row],[Tensão (Pa)]]/1000000</f>
        <v>0.82020297753030846</v>
      </c>
    </row>
    <row r="91" spans="1:6" x14ac:dyDescent="0.3">
      <c r="A91" s="1">
        <v>22.55</v>
      </c>
      <c r="B91" s="1">
        <v>1.8714</v>
      </c>
      <c r="C91" s="1">
        <f>Tabela110[[#This Row],[Alongamento (mm/mm)]]/$I$2</f>
        <v>3.7427999999999996E-2</v>
      </c>
      <c r="D91" s="1">
        <v>40.143000000000001</v>
      </c>
      <c r="E91" s="1">
        <f>Tabela110[[#This Row],[Força (N)]]/$I$5</f>
        <v>834336.16620629886</v>
      </c>
      <c r="F91" s="1">
        <f>Tabela110[[#This Row],[Tensão (Pa)]]/1000000</f>
        <v>0.83433616620629891</v>
      </c>
    </row>
    <row r="92" spans="1:6" x14ac:dyDescent="0.3">
      <c r="A92" s="1">
        <v>22.667000000000002</v>
      </c>
      <c r="B92" s="1">
        <v>1.8812</v>
      </c>
      <c r="C92" s="1">
        <f>Tabela110[[#This Row],[Alongamento (mm/mm)]]/$I$2</f>
        <v>3.7623999999999998E-2</v>
      </c>
      <c r="D92" s="1">
        <v>40.823999999999998</v>
      </c>
      <c r="E92" s="1">
        <f>Tabela110[[#This Row],[Força (N)]]/$I$5</f>
        <v>848490.13898328331</v>
      </c>
      <c r="F92" s="1">
        <f>Tabela110[[#This Row],[Tensão (Pa)]]/1000000</f>
        <v>0.84849013898328329</v>
      </c>
    </row>
    <row r="93" spans="1:6" x14ac:dyDescent="0.3">
      <c r="A93" s="1">
        <v>22.766999999999999</v>
      </c>
      <c r="B93" s="1">
        <v>1.8894</v>
      </c>
      <c r="C93" s="1">
        <f>Tabela110[[#This Row],[Alongamento (mm/mm)]]/$I$2</f>
        <v>3.7788000000000002E-2</v>
      </c>
      <c r="D93" s="1">
        <v>41.503999999999998</v>
      </c>
      <c r="E93" s="1">
        <f>Tabela110[[#This Row],[Força (N)]]/$I$5</f>
        <v>862623.32765927375</v>
      </c>
      <c r="F93" s="1">
        <f>Tabela110[[#This Row],[Tensão (Pa)]]/1000000</f>
        <v>0.86262332765927374</v>
      </c>
    </row>
    <row r="94" spans="1:6" x14ac:dyDescent="0.3">
      <c r="A94" s="1">
        <v>22.867000000000001</v>
      </c>
      <c r="B94" s="1">
        <v>1.8977999999999999</v>
      </c>
      <c r="C94" s="1">
        <f>Tabela110[[#This Row],[Alongamento (mm/mm)]]/$I$2</f>
        <v>3.7955999999999997E-2</v>
      </c>
      <c r="D94" s="1">
        <v>42.185000000000002</v>
      </c>
      <c r="E94" s="1">
        <f>Tabela110[[#This Row],[Força (N)]]/$I$5</f>
        <v>876777.30043625832</v>
      </c>
      <c r="F94" s="1">
        <f>Tabela110[[#This Row],[Tensão (Pa)]]/1000000</f>
        <v>0.87677730043625834</v>
      </c>
    </row>
    <row r="95" spans="1:6" x14ac:dyDescent="0.3">
      <c r="A95" s="1">
        <v>22.983000000000001</v>
      </c>
      <c r="B95" s="1">
        <v>1.9076</v>
      </c>
      <c r="C95" s="1">
        <f>Tabela110[[#This Row],[Alongamento (mm/mm)]]/$I$2</f>
        <v>3.8151999999999998E-2</v>
      </c>
      <c r="D95" s="1">
        <v>42.865000000000002</v>
      </c>
      <c r="E95" s="1">
        <f>Tabela110[[#This Row],[Força (N)]]/$I$5</f>
        <v>890910.48911224876</v>
      </c>
      <c r="F95" s="1">
        <f>Tabela110[[#This Row],[Tensão (Pa)]]/1000000</f>
        <v>0.89091048911224879</v>
      </c>
    </row>
    <row r="96" spans="1:6" x14ac:dyDescent="0.3">
      <c r="A96" s="1">
        <v>23.1</v>
      </c>
      <c r="B96" s="1">
        <v>1.9173</v>
      </c>
      <c r="C96" s="1">
        <f>Tabela110[[#This Row],[Alongamento (mm/mm)]]/$I$2</f>
        <v>3.8345999999999998E-2</v>
      </c>
      <c r="D96" s="1">
        <v>43.545000000000002</v>
      </c>
      <c r="E96" s="1">
        <f>Tabela110[[#This Row],[Força (N)]]/$I$5</f>
        <v>905043.67778823921</v>
      </c>
      <c r="F96" s="1">
        <f>Tabela110[[#This Row],[Tensão (Pa)]]/1000000</f>
        <v>0.90504367778823924</v>
      </c>
    </row>
    <row r="97" spans="1:6" x14ac:dyDescent="0.3">
      <c r="A97" s="1">
        <v>23.2</v>
      </c>
      <c r="B97" s="1">
        <v>1.9256</v>
      </c>
      <c r="C97" s="1">
        <f>Tabela110[[#This Row],[Alongamento (mm/mm)]]/$I$2</f>
        <v>3.8511999999999998E-2</v>
      </c>
      <c r="D97" s="1">
        <v>44.225999999999999</v>
      </c>
      <c r="E97" s="1">
        <f>Tabela110[[#This Row],[Força (N)]]/$I$5</f>
        <v>919197.65056522365</v>
      </c>
      <c r="F97" s="1">
        <f>Tabela110[[#This Row],[Tensão (Pa)]]/1000000</f>
        <v>0.91919765056522362</v>
      </c>
    </row>
    <row r="98" spans="1:6" x14ac:dyDescent="0.3">
      <c r="A98" s="1">
        <v>23.3</v>
      </c>
      <c r="B98" s="1">
        <v>1.9339</v>
      </c>
      <c r="C98" s="1">
        <f>Tabela110[[#This Row],[Alongamento (mm/mm)]]/$I$2</f>
        <v>3.8677999999999997E-2</v>
      </c>
      <c r="D98" s="1">
        <v>44.905999999999999</v>
      </c>
      <c r="E98" s="1">
        <f>Tabela110[[#This Row],[Força (N)]]/$I$5</f>
        <v>933330.83924121398</v>
      </c>
      <c r="F98" s="1">
        <f>Tabela110[[#This Row],[Tensão (Pa)]]/1000000</f>
        <v>0.93333083924121396</v>
      </c>
    </row>
    <row r="99" spans="1:6" x14ac:dyDescent="0.3">
      <c r="A99" s="1">
        <v>23.417000000000002</v>
      </c>
      <c r="B99" s="1">
        <v>1.9436</v>
      </c>
      <c r="C99" s="1">
        <f>Tabela110[[#This Row],[Alongamento (mm/mm)]]/$I$2</f>
        <v>3.8871999999999997E-2</v>
      </c>
      <c r="D99" s="1">
        <v>45.585999999999999</v>
      </c>
      <c r="E99" s="1">
        <f>Tabela110[[#This Row],[Força (N)]]/$I$5</f>
        <v>947464.02791720442</v>
      </c>
      <c r="F99" s="1">
        <f>Tabela110[[#This Row],[Tensão (Pa)]]/1000000</f>
        <v>0.94746402791720441</v>
      </c>
    </row>
    <row r="100" spans="1:6" x14ac:dyDescent="0.3">
      <c r="A100" s="1">
        <v>23.516999999999999</v>
      </c>
      <c r="B100" s="1">
        <v>1.952</v>
      </c>
      <c r="C100" s="1">
        <f>Tabela110[[#This Row],[Alongamento (mm/mm)]]/$I$2</f>
        <v>3.9039999999999998E-2</v>
      </c>
      <c r="D100" s="1">
        <v>46.267000000000003</v>
      </c>
      <c r="E100" s="1">
        <f>Tabela110[[#This Row],[Força (N)]]/$I$5</f>
        <v>961618.00069418899</v>
      </c>
      <c r="F100" s="1">
        <f>Tabela110[[#This Row],[Tensão (Pa)]]/1000000</f>
        <v>0.96161800069418901</v>
      </c>
    </row>
    <row r="101" spans="1:6" x14ac:dyDescent="0.3">
      <c r="A101" s="1">
        <v>23.617000000000001</v>
      </c>
      <c r="B101" s="1">
        <v>1.9602999999999999</v>
      </c>
      <c r="C101" s="1">
        <f>Tabela110[[#This Row],[Alongamento (mm/mm)]]/$I$2</f>
        <v>3.9205999999999998E-2</v>
      </c>
      <c r="D101" s="1">
        <v>46.947000000000003</v>
      </c>
      <c r="E101" s="1">
        <f>Tabela110[[#This Row],[Força (N)]]/$I$5</f>
        <v>975751.18937017943</v>
      </c>
      <c r="F101" s="1">
        <f>Tabela110[[#This Row],[Tensão (Pa)]]/1000000</f>
        <v>0.97575118937017946</v>
      </c>
    </row>
    <row r="102" spans="1:6" x14ac:dyDescent="0.3">
      <c r="A102" s="1">
        <v>23.716999999999999</v>
      </c>
      <c r="B102" s="1">
        <v>1.9686999999999999</v>
      </c>
      <c r="C102" s="1">
        <f>Tabela110[[#This Row],[Alongamento (mm/mm)]]/$I$2</f>
        <v>3.9373999999999999E-2</v>
      </c>
      <c r="D102" s="1">
        <v>47.628</v>
      </c>
      <c r="E102" s="1">
        <f>Tabela110[[#This Row],[Força (N)]]/$I$5</f>
        <v>989905.16214716388</v>
      </c>
      <c r="F102" s="1">
        <f>Tabela110[[#This Row],[Tensão (Pa)]]/1000000</f>
        <v>0.98990516214716384</v>
      </c>
    </row>
    <row r="103" spans="1:6" x14ac:dyDescent="0.3">
      <c r="A103" s="1">
        <v>23.8</v>
      </c>
      <c r="B103" s="1">
        <v>1.9756</v>
      </c>
      <c r="C103" s="1">
        <f>Tabela110[[#This Row],[Alongamento (mm/mm)]]/$I$2</f>
        <v>3.9511999999999999E-2</v>
      </c>
      <c r="D103" s="1">
        <v>48.308</v>
      </c>
      <c r="E103" s="1">
        <f>Tabela110[[#This Row],[Força (N)]]/$I$5</f>
        <v>1004038.3508231543</v>
      </c>
      <c r="F103" s="1">
        <f>Tabela110[[#This Row],[Tensão (Pa)]]/1000000</f>
        <v>1.0040383508231543</v>
      </c>
    </row>
    <row r="104" spans="1:6" x14ac:dyDescent="0.3">
      <c r="A104" s="1">
        <v>23.882999999999999</v>
      </c>
      <c r="B104" s="1">
        <v>1.9824999999999999</v>
      </c>
      <c r="C104" s="1">
        <f>Tabela110[[#This Row],[Alongamento (mm/mm)]]/$I$2</f>
        <v>3.9649999999999998E-2</v>
      </c>
      <c r="D104" s="1">
        <v>48.988</v>
      </c>
      <c r="E104" s="1">
        <f>Tabela110[[#This Row],[Força (N)]]/$I$5</f>
        <v>1018171.5394991448</v>
      </c>
      <c r="F104" s="1">
        <f>Tabela110[[#This Row],[Tensão (Pa)]]/1000000</f>
        <v>1.0181715394991449</v>
      </c>
    </row>
    <row r="105" spans="1:6" x14ac:dyDescent="0.3">
      <c r="A105" s="1">
        <v>23.983000000000001</v>
      </c>
      <c r="B105" s="1">
        <v>1.9908999999999999</v>
      </c>
      <c r="C105" s="1">
        <f>Tabela110[[#This Row],[Alongamento (mm/mm)]]/$I$2</f>
        <v>3.9817999999999999E-2</v>
      </c>
      <c r="D105" s="1">
        <v>49.668999999999997</v>
      </c>
      <c r="E105" s="1">
        <f>Tabela110[[#This Row],[Força (N)]]/$I$5</f>
        <v>1032325.5122761292</v>
      </c>
      <c r="F105" s="1">
        <f>Tabela110[[#This Row],[Tensão (Pa)]]/1000000</f>
        <v>1.0323255122761292</v>
      </c>
    </row>
    <row r="106" spans="1:6" x14ac:dyDescent="0.3">
      <c r="A106" s="1">
        <v>24.067</v>
      </c>
      <c r="B106" s="1">
        <v>1.9978</v>
      </c>
      <c r="C106" s="1">
        <f>Tabela110[[#This Row],[Alongamento (mm/mm)]]/$I$2</f>
        <v>3.9955999999999998E-2</v>
      </c>
      <c r="D106" s="1">
        <v>50.348999999999997</v>
      </c>
      <c r="E106" s="1">
        <f>Tabela110[[#This Row],[Força (N)]]/$I$5</f>
        <v>1046458.7009521195</v>
      </c>
      <c r="F106" s="1">
        <f>Tabela110[[#This Row],[Tensão (Pa)]]/1000000</f>
        <v>1.0464587009521196</v>
      </c>
    </row>
    <row r="107" spans="1:6" x14ac:dyDescent="0.3">
      <c r="A107" s="1">
        <v>24.15</v>
      </c>
      <c r="B107" s="1">
        <v>2.0047000000000001</v>
      </c>
      <c r="C107" s="1">
        <f>Tabela110[[#This Row],[Alongamento (mm/mm)]]/$I$2</f>
        <v>4.0094000000000005E-2</v>
      </c>
      <c r="D107" s="1">
        <v>51.03</v>
      </c>
      <c r="E107" s="1">
        <f>Tabela110[[#This Row],[Força (N)]]/$I$5</f>
        <v>1060612.6737291042</v>
      </c>
      <c r="F107" s="1">
        <f>Tabela110[[#This Row],[Tensão (Pa)]]/1000000</f>
        <v>1.0606126737291042</v>
      </c>
    </row>
    <row r="108" spans="1:6" x14ac:dyDescent="0.3">
      <c r="A108" s="1">
        <v>24.233000000000001</v>
      </c>
      <c r="B108" s="1">
        <v>2.0116000000000001</v>
      </c>
      <c r="C108" s="1">
        <f>Tabela110[[#This Row],[Alongamento (mm/mm)]]/$I$2</f>
        <v>4.0232000000000004E-2</v>
      </c>
      <c r="D108" s="1">
        <v>51.71</v>
      </c>
      <c r="E108" s="1">
        <f>Tabela110[[#This Row],[Força (N)]]/$I$5</f>
        <v>1074745.8624050946</v>
      </c>
      <c r="F108" s="1">
        <f>Tabela110[[#This Row],[Tensão (Pa)]]/1000000</f>
        <v>1.0747458624050945</v>
      </c>
    </row>
    <row r="109" spans="1:6" x14ac:dyDescent="0.3">
      <c r="A109" s="1">
        <v>24.3</v>
      </c>
      <c r="B109" s="1">
        <v>2.0171999999999999</v>
      </c>
      <c r="C109" s="1">
        <f>Tabela110[[#This Row],[Alongamento (mm/mm)]]/$I$2</f>
        <v>4.0343999999999998E-2</v>
      </c>
      <c r="D109" s="1">
        <v>52.39</v>
      </c>
      <c r="E109" s="1">
        <f>Tabela110[[#This Row],[Força (N)]]/$I$5</f>
        <v>1088879.0510810851</v>
      </c>
      <c r="F109" s="1">
        <f>Tabela110[[#This Row],[Tensão (Pa)]]/1000000</f>
        <v>1.0888790510810851</v>
      </c>
    </row>
    <row r="110" spans="1:6" x14ac:dyDescent="0.3">
      <c r="A110" s="1">
        <v>24.382999999999999</v>
      </c>
      <c r="B110" s="1">
        <v>2.0242</v>
      </c>
      <c r="C110" s="1">
        <f>Tabela110[[#This Row],[Alongamento (mm/mm)]]/$I$2</f>
        <v>4.0483999999999999E-2</v>
      </c>
      <c r="D110" s="1">
        <v>53.070999999999998</v>
      </c>
      <c r="E110" s="1">
        <f>Tabela110[[#This Row],[Força (N)]]/$I$5</f>
        <v>1103033.0238580694</v>
      </c>
      <c r="F110" s="1">
        <f>Tabela110[[#This Row],[Tensão (Pa)]]/1000000</f>
        <v>1.1030330238580695</v>
      </c>
    </row>
    <row r="111" spans="1:6" x14ac:dyDescent="0.3">
      <c r="A111" s="1">
        <v>24.466999999999999</v>
      </c>
      <c r="B111" s="1">
        <v>2.0312000000000001</v>
      </c>
      <c r="C111" s="1">
        <f>Tabela110[[#This Row],[Alongamento (mm/mm)]]/$I$2</f>
        <v>4.0624E-2</v>
      </c>
      <c r="D111" s="1">
        <v>53.750999999999998</v>
      </c>
      <c r="E111" s="1">
        <f>Tabela110[[#This Row],[Força (N)]]/$I$5</f>
        <v>1117166.21253406</v>
      </c>
      <c r="F111" s="1">
        <f>Tabela110[[#This Row],[Tensão (Pa)]]/1000000</f>
        <v>1.11716621253406</v>
      </c>
    </row>
    <row r="112" spans="1:6" x14ac:dyDescent="0.3">
      <c r="A112" s="1">
        <v>24.533000000000001</v>
      </c>
      <c r="B112" s="1">
        <v>2.0367999999999999</v>
      </c>
      <c r="C112" s="1">
        <f>Tabela110[[#This Row],[Alongamento (mm/mm)]]/$I$2</f>
        <v>4.0736000000000001E-2</v>
      </c>
      <c r="D112" s="1">
        <v>54.432000000000002</v>
      </c>
      <c r="E112" s="1">
        <f>Tabela110[[#This Row],[Força (N)]]/$I$5</f>
        <v>1131320.1853110446</v>
      </c>
      <c r="F112" s="1">
        <f>Tabela110[[#This Row],[Tensão (Pa)]]/1000000</f>
        <v>1.1313201853110446</v>
      </c>
    </row>
    <row r="113" spans="1:6" x14ac:dyDescent="0.3">
      <c r="A113" s="1">
        <v>24.617000000000001</v>
      </c>
      <c r="B113" s="1">
        <v>2.0436000000000001</v>
      </c>
      <c r="C113" s="1">
        <f>Tabela110[[#This Row],[Alongamento (mm/mm)]]/$I$2</f>
        <v>4.0871999999999999E-2</v>
      </c>
      <c r="D113" s="1">
        <v>55.112000000000002</v>
      </c>
      <c r="E113" s="1">
        <f>Tabela110[[#This Row],[Força (N)]]/$I$5</f>
        <v>1145453.3739870349</v>
      </c>
      <c r="F113" s="1">
        <f>Tabela110[[#This Row],[Tensão (Pa)]]/1000000</f>
        <v>1.145453373987035</v>
      </c>
    </row>
    <row r="114" spans="1:6" x14ac:dyDescent="0.3">
      <c r="A114" s="1">
        <v>24.7</v>
      </c>
      <c r="B114" s="1">
        <v>2.0506000000000002</v>
      </c>
      <c r="C114" s="1">
        <f>Tabela110[[#This Row],[Alongamento (mm/mm)]]/$I$2</f>
        <v>4.1012000000000007E-2</v>
      </c>
      <c r="D114" s="1">
        <v>55.792000000000002</v>
      </c>
      <c r="E114" s="1">
        <f>Tabela110[[#This Row],[Força (N)]]/$I$5</f>
        <v>1159586.5626630252</v>
      </c>
      <c r="F114" s="1">
        <f>Tabela110[[#This Row],[Tensão (Pa)]]/1000000</f>
        <v>1.1595865626630253</v>
      </c>
    </row>
    <row r="115" spans="1:6" x14ac:dyDescent="0.3">
      <c r="A115" s="1">
        <v>24.766999999999999</v>
      </c>
      <c r="B115" s="1">
        <v>2.0562</v>
      </c>
      <c r="C115" s="1">
        <f>Tabela110[[#This Row],[Alongamento (mm/mm)]]/$I$2</f>
        <v>4.1124000000000001E-2</v>
      </c>
      <c r="D115" s="1">
        <v>56.472999999999999</v>
      </c>
      <c r="E115" s="1">
        <f>Tabela110[[#This Row],[Força (N)]]/$I$5</f>
        <v>1173740.5354400098</v>
      </c>
      <c r="F115" s="1">
        <f>Tabela110[[#This Row],[Tensão (Pa)]]/1000000</f>
        <v>1.1737405354400099</v>
      </c>
    </row>
    <row r="116" spans="1:6" x14ac:dyDescent="0.3">
      <c r="A116" s="1">
        <v>24.85</v>
      </c>
      <c r="B116" s="1">
        <v>2.0630999999999999</v>
      </c>
      <c r="C116" s="1">
        <f>Tabela110[[#This Row],[Alongamento (mm/mm)]]/$I$2</f>
        <v>4.1262E-2</v>
      </c>
      <c r="D116" s="1">
        <v>57.152999999999999</v>
      </c>
      <c r="E116" s="1">
        <f>Tabela110[[#This Row],[Força (N)]]/$I$5</f>
        <v>1187873.7241160001</v>
      </c>
      <c r="F116" s="1">
        <f>Tabela110[[#This Row],[Tensão (Pa)]]/1000000</f>
        <v>1.187873724116</v>
      </c>
    </row>
    <row r="117" spans="1:6" x14ac:dyDescent="0.3">
      <c r="A117" s="1">
        <v>24.933</v>
      </c>
      <c r="B117" s="1">
        <v>2.0701000000000001</v>
      </c>
      <c r="C117" s="1">
        <f>Tabela110[[#This Row],[Alongamento (mm/mm)]]/$I$2</f>
        <v>4.1402000000000001E-2</v>
      </c>
      <c r="D117" s="1">
        <v>57.834000000000003</v>
      </c>
      <c r="E117" s="1">
        <f>Tabela110[[#This Row],[Força (N)]]/$I$5</f>
        <v>1202027.6968929849</v>
      </c>
      <c r="F117" s="1">
        <f>Tabela110[[#This Row],[Tensão (Pa)]]/1000000</f>
        <v>1.2020276968929848</v>
      </c>
    </row>
    <row r="118" spans="1:6" x14ac:dyDescent="0.3">
      <c r="A118" s="1">
        <v>25</v>
      </c>
      <c r="B118" s="1">
        <v>2.0756000000000001</v>
      </c>
      <c r="C118" s="1">
        <f>Tabela110[[#This Row],[Alongamento (mm/mm)]]/$I$2</f>
        <v>4.1512E-2</v>
      </c>
      <c r="D118" s="1">
        <v>58.514000000000003</v>
      </c>
      <c r="E118" s="1">
        <f>Tabela110[[#This Row],[Força (N)]]/$I$5</f>
        <v>1216160.8855689752</v>
      </c>
      <c r="F118" s="1">
        <f>Tabela110[[#This Row],[Tensão (Pa)]]/1000000</f>
        <v>1.2161608855689752</v>
      </c>
    </row>
    <row r="119" spans="1:6" x14ac:dyDescent="0.3">
      <c r="A119" s="1">
        <v>25.082999999999998</v>
      </c>
      <c r="B119" s="1">
        <v>2.0825</v>
      </c>
      <c r="C119" s="1">
        <f>Tabela110[[#This Row],[Alongamento (mm/mm)]]/$I$2</f>
        <v>4.165E-2</v>
      </c>
      <c r="D119" s="1">
        <v>59.194000000000003</v>
      </c>
      <c r="E119" s="1">
        <f>Tabela110[[#This Row],[Força (N)]]/$I$5</f>
        <v>1230294.0742449656</v>
      </c>
      <c r="F119" s="1">
        <f>Tabela110[[#This Row],[Tensão (Pa)]]/1000000</f>
        <v>1.2302940742449655</v>
      </c>
    </row>
    <row r="120" spans="1:6" x14ac:dyDescent="0.3">
      <c r="A120" s="1">
        <v>25.167000000000002</v>
      </c>
      <c r="B120" s="1">
        <v>2.0893999999999999</v>
      </c>
      <c r="C120" s="1">
        <f>Tabela110[[#This Row],[Alongamento (mm/mm)]]/$I$2</f>
        <v>4.1787999999999999E-2</v>
      </c>
      <c r="D120" s="1">
        <v>59.875</v>
      </c>
      <c r="E120" s="1">
        <f>Tabela110[[#This Row],[Força (N)]]/$I$5</f>
        <v>1244448.0470219501</v>
      </c>
      <c r="F120" s="1">
        <f>Tabela110[[#This Row],[Tensão (Pa)]]/1000000</f>
        <v>1.2444480470219501</v>
      </c>
    </row>
    <row r="121" spans="1:6" x14ac:dyDescent="0.3">
      <c r="A121" s="1">
        <v>25.25</v>
      </c>
      <c r="B121" s="1">
        <v>2.0964</v>
      </c>
      <c r="C121" s="1">
        <f>Tabela110[[#This Row],[Alongamento (mm/mm)]]/$I$2</f>
        <v>4.1928E-2</v>
      </c>
      <c r="D121" s="1">
        <v>60.555</v>
      </c>
      <c r="E121" s="1">
        <f>Tabela110[[#This Row],[Força (N)]]/$I$5</f>
        <v>1258581.2356979405</v>
      </c>
      <c r="F121" s="1">
        <f>Tabela110[[#This Row],[Tensão (Pa)]]/1000000</f>
        <v>1.2585812356979404</v>
      </c>
    </row>
    <row r="122" spans="1:6" x14ac:dyDescent="0.3">
      <c r="A122" s="1">
        <v>25.317</v>
      </c>
      <c r="B122" s="1">
        <v>2.1019999999999999</v>
      </c>
      <c r="C122" s="1">
        <f>Tabela110[[#This Row],[Alongamento (mm/mm)]]/$I$2</f>
        <v>4.2039999999999994E-2</v>
      </c>
      <c r="D122" s="1">
        <v>61.235999999999997</v>
      </c>
      <c r="E122" s="1">
        <f>Tabela110[[#This Row],[Força (N)]]/$I$5</f>
        <v>1272735.208474925</v>
      </c>
      <c r="F122" s="1">
        <f>Tabela110[[#This Row],[Tensão (Pa)]]/1000000</f>
        <v>1.2727352084749251</v>
      </c>
    </row>
    <row r="123" spans="1:6" x14ac:dyDescent="0.3">
      <c r="A123" s="1">
        <v>25.4</v>
      </c>
      <c r="B123" s="1">
        <v>2.109</v>
      </c>
      <c r="C123" s="1">
        <f>Tabela110[[#This Row],[Alongamento (mm/mm)]]/$I$2</f>
        <v>4.2180000000000002E-2</v>
      </c>
      <c r="D123" s="1">
        <v>61.915999999999997</v>
      </c>
      <c r="E123" s="1">
        <f>Tabela110[[#This Row],[Força (N)]]/$I$5</f>
        <v>1286868.3971509153</v>
      </c>
      <c r="F123" s="1">
        <f>Tabela110[[#This Row],[Tensão (Pa)]]/1000000</f>
        <v>1.2868683971509154</v>
      </c>
    </row>
    <row r="124" spans="1:6" x14ac:dyDescent="0.3">
      <c r="A124" s="1">
        <v>25.483000000000001</v>
      </c>
      <c r="B124" s="1">
        <v>2.1158999999999999</v>
      </c>
      <c r="C124" s="1">
        <f>Tabela110[[#This Row],[Alongamento (mm/mm)]]/$I$2</f>
        <v>4.2317999999999995E-2</v>
      </c>
      <c r="D124" s="1">
        <v>62.595999999999997</v>
      </c>
      <c r="E124" s="1">
        <f>Tabela110[[#This Row],[Força (N)]]/$I$5</f>
        <v>1301001.5858269057</v>
      </c>
      <c r="F124" s="1">
        <f>Tabela110[[#This Row],[Tensão (Pa)]]/1000000</f>
        <v>1.3010015858269057</v>
      </c>
    </row>
    <row r="125" spans="1:6" x14ac:dyDescent="0.3">
      <c r="A125" s="1">
        <v>25.55</v>
      </c>
      <c r="B125" s="1">
        <v>2.1214</v>
      </c>
      <c r="C125" s="1">
        <f>Tabela110[[#This Row],[Alongamento (mm/mm)]]/$I$2</f>
        <v>4.2428E-2</v>
      </c>
      <c r="D125" s="1">
        <v>63.277000000000001</v>
      </c>
      <c r="E125" s="1">
        <f>Tabela110[[#This Row],[Força (N)]]/$I$5</f>
        <v>1315155.5586038905</v>
      </c>
      <c r="F125" s="1">
        <f>Tabela110[[#This Row],[Tensão (Pa)]]/1000000</f>
        <v>1.3151555586038906</v>
      </c>
    </row>
    <row r="126" spans="1:6" x14ac:dyDescent="0.3">
      <c r="A126" s="1">
        <v>25.632999999999999</v>
      </c>
      <c r="B126" s="1">
        <v>2.1282999999999999</v>
      </c>
      <c r="C126" s="1">
        <f>Tabela110[[#This Row],[Alongamento (mm/mm)]]/$I$2</f>
        <v>4.2566E-2</v>
      </c>
      <c r="D126" s="1">
        <v>63.957000000000001</v>
      </c>
      <c r="E126" s="1">
        <f>Tabela110[[#This Row],[Força (N)]]/$I$5</f>
        <v>1329288.7472798808</v>
      </c>
      <c r="F126" s="1">
        <f>Tabela110[[#This Row],[Tensão (Pa)]]/1000000</f>
        <v>1.3292887472798809</v>
      </c>
    </row>
    <row r="127" spans="1:6" x14ac:dyDescent="0.3">
      <c r="A127" s="1">
        <v>25.7</v>
      </c>
      <c r="B127" s="1">
        <v>2.1339000000000001</v>
      </c>
      <c r="C127" s="1">
        <f>Tabela110[[#This Row],[Alongamento (mm/mm)]]/$I$2</f>
        <v>4.2678000000000001E-2</v>
      </c>
      <c r="D127" s="1">
        <v>64.638000000000005</v>
      </c>
      <c r="E127" s="1">
        <f>Tabela110[[#This Row],[Força (N)]]/$I$5</f>
        <v>1343442.7200568654</v>
      </c>
      <c r="F127" s="1">
        <f>Tabela110[[#This Row],[Tensão (Pa)]]/1000000</f>
        <v>1.3434427200568653</v>
      </c>
    </row>
    <row r="128" spans="1:6" x14ac:dyDescent="0.3">
      <c r="A128" s="1">
        <v>25.783000000000001</v>
      </c>
      <c r="B128" s="1">
        <v>2.1408</v>
      </c>
      <c r="C128" s="1">
        <f>Tabela110[[#This Row],[Alongamento (mm/mm)]]/$I$2</f>
        <v>4.2816E-2</v>
      </c>
      <c r="D128" s="1">
        <v>65.317999999999998</v>
      </c>
      <c r="E128" s="1">
        <f>Tabela110[[#This Row],[Força (N)]]/$I$5</f>
        <v>1357575.9087328557</v>
      </c>
      <c r="F128" s="1">
        <f>Tabela110[[#This Row],[Tensão (Pa)]]/1000000</f>
        <v>1.3575759087328556</v>
      </c>
    </row>
    <row r="129" spans="1:6" x14ac:dyDescent="0.3">
      <c r="A129" s="1">
        <v>25.85</v>
      </c>
      <c r="B129" s="1">
        <v>2.1463999999999999</v>
      </c>
      <c r="C129" s="1">
        <f>Tabela110[[#This Row],[Alongamento (mm/mm)]]/$I$2</f>
        <v>4.2927999999999994E-2</v>
      </c>
      <c r="D129" s="1">
        <v>65.998000000000005</v>
      </c>
      <c r="E129" s="1">
        <f>Tabela110[[#This Row],[Força (N)]]/$I$5</f>
        <v>1371709.0974088463</v>
      </c>
      <c r="F129" s="1">
        <f>Tabela110[[#This Row],[Tensão (Pa)]]/1000000</f>
        <v>1.3717090974088462</v>
      </c>
    </row>
    <row r="130" spans="1:6" x14ac:dyDescent="0.3">
      <c r="A130" s="1">
        <v>25.933</v>
      </c>
      <c r="B130" s="1">
        <v>2.1535000000000002</v>
      </c>
      <c r="C130" s="1">
        <f>Tabela110[[#This Row],[Alongamento (mm/mm)]]/$I$2</f>
        <v>4.3070000000000004E-2</v>
      </c>
      <c r="D130" s="1">
        <v>66.679000000000002</v>
      </c>
      <c r="E130" s="1">
        <f>Tabela110[[#This Row],[Força (N)]]/$I$5</f>
        <v>1385863.0701858306</v>
      </c>
      <c r="F130" s="1">
        <f>Tabela110[[#This Row],[Tensão (Pa)]]/1000000</f>
        <v>1.3858630701858305</v>
      </c>
    </row>
    <row r="131" spans="1:6" x14ac:dyDescent="0.3">
      <c r="A131" s="1">
        <v>26</v>
      </c>
      <c r="B131" s="1">
        <v>2.1589</v>
      </c>
      <c r="C131" s="1">
        <f>Tabela110[[#This Row],[Alongamento (mm/mm)]]/$I$2</f>
        <v>4.3178000000000001E-2</v>
      </c>
      <c r="D131" s="1">
        <v>67.358999999999995</v>
      </c>
      <c r="E131" s="1">
        <f>Tabela110[[#This Row],[Força (N)]]/$I$5</f>
        <v>1399996.2588618209</v>
      </c>
      <c r="F131" s="1">
        <f>Tabela110[[#This Row],[Tensão (Pa)]]/1000000</f>
        <v>1.3999962588618209</v>
      </c>
    </row>
    <row r="132" spans="1:6" x14ac:dyDescent="0.3">
      <c r="A132" s="1">
        <v>26.082999999999998</v>
      </c>
      <c r="B132" s="1">
        <v>2.1659000000000002</v>
      </c>
      <c r="C132" s="1">
        <f>Tabela110[[#This Row],[Alongamento (mm/mm)]]/$I$2</f>
        <v>4.3318000000000002E-2</v>
      </c>
      <c r="D132" s="1">
        <v>68.040000000000006</v>
      </c>
      <c r="E132" s="1">
        <f>Tabela110[[#This Row],[Força (N)]]/$I$5</f>
        <v>1414150.2316388057</v>
      </c>
      <c r="F132" s="1">
        <f>Tabela110[[#This Row],[Tensão (Pa)]]/1000000</f>
        <v>1.4141502316388057</v>
      </c>
    </row>
    <row r="133" spans="1:6" x14ac:dyDescent="0.3">
      <c r="A133" s="1">
        <v>26.15</v>
      </c>
      <c r="B133" s="1">
        <v>2.1714000000000002</v>
      </c>
      <c r="C133" s="1">
        <f>Tabela110[[#This Row],[Alongamento (mm/mm)]]/$I$2</f>
        <v>4.3428000000000001E-2</v>
      </c>
      <c r="D133" s="1">
        <v>68.72</v>
      </c>
      <c r="E133" s="1">
        <f>Tabela110[[#This Row],[Força (N)]]/$I$5</f>
        <v>1428283.420314796</v>
      </c>
      <c r="F133" s="1">
        <f>Tabela110[[#This Row],[Tensão (Pa)]]/1000000</f>
        <v>1.428283420314796</v>
      </c>
    </row>
    <row r="134" spans="1:6" x14ac:dyDescent="0.3">
      <c r="A134" s="1">
        <v>26.216999999999999</v>
      </c>
      <c r="B134" s="1">
        <v>2.177</v>
      </c>
      <c r="C134" s="1">
        <f>Tabela110[[#This Row],[Alongamento (mm/mm)]]/$I$2</f>
        <v>4.3540000000000002E-2</v>
      </c>
      <c r="D134" s="1">
        <v>69.400000000000006</v>
      </c>
      <c r="E134" s="1">
        <f>Tabela110[[#This Row],[Força (N)]]/$I$5</f>
        <v>1442416.6089907866</v>
      </c>
      <c r="F134" s="1">
        <f>Tabela110[[#This Row],[Tensão (Pa)]]/1000000</f>
        <v>1.4424166089907866</v>
      </c>
    </row>
    <row r="135" spans="1:6" x14ac:dyDescent="0.3">
      <c r="A135" s="1">
        <v>26.3</v>
      </c>
      <c r="B135" s="1">
        <v>2.1839</v>
      </c>
      <c r="C135" s="1">
        <f>Tabela110[[#This Row],[Alongamento (mm/mm)]]/$I$2</f>
        <v>4.3678000000000002E-2</v>
      </c>
      <c r="D135" s="1">
        <v>70.081000000000003</v>
      </c>
      <c r="E135" s="1">
        <f>Tabela110[[#This Row],[Força (N)]]/$I$5</f>
        <v>1456570.5817677709</v>
      </c>
      <c r="F135" s="1">
        <f>Tabela110[[#This Row],[Tensão (Pa)]]/1000000</f>
        <v>1.456570581767771</v>
      </c>
    </row>
    <row r="136" spans="1:6" x14ac:dyDescent="0.3">
      <c r="A136" s="1">
        <v>26.367000000000001</v>
      </c>
      <c r="B136" s="1">
        <v>2.1894999999999998</v>
      </c>
      <c r="C136" s="1">
        <f>Tabela110[[#This Row],[Alongamento (mm/mm)]]/$I$2</f>
        <v>4.3789999999999996E-2</v>
      </c>
      <c r="D136" s="1">
        <v>70.760999999999996</v>
      </c>
      <c r="E136" s="1">
        <f>Tabela110[[#This Row],[Força (N)]]/$I$5</f>
        <v>1470703.7704437613</v>
      </c>
      <c r="F136" s="1">
        <f>Tabela110[[#This Row],[Tensão (Pa)]]/1000000</f>
        <v>1.4707037704437613</v>
      </c>
    </row>
    <row r="137" spans="1:6" x14ac:dyDescent="0.3">
      <c r="A137" s="1">
        <v>26.433</v>
      </c>
      <c r="B137" s="1">
        <v>2.1951000000000001</v>
      </c>
      <c r="C137" s="1">
        <f>Tabela110[[#This Row],[Alongamento (mm/mm)]]/$I$2</f>
        <v>4.3902000000000004E-2</v>
      </c>
      <c r="D137" s="1">
        <v>71.441000000000003</v>
      </c>
      <c r="E137" s="1">
        <f>Tabela110[[#This Row],[Força (N)]]/$I$5</f>
        <v>1484836.9591197518</v>
      </c>
      <c r="F137" s="1">
        <f>Tabela110[[#This Row],[Tensão (Pa)]]/1000000</f>
        <v>1.4848369591197519</v>
      </c>
    </row>
    <row r="138" spans="1:6" x14ac:dyDescent="0.3">
      <c r="A138" s="1">
        <v>26.5</v>
      </c>
      <c r="B138" s="1">
        <v>2.2006000000000001</v>
      </c>
      <c r="C138" s="1">
        <f>Tabela110[[#This Row],[Alongamento (mm/mm)]]/$I$2</f>
        <v>4.4012000000000003E-2</v>
      </c>
      <c r="D138" s="1">
        <v>72.122</v>
      </c>
      <c r="E138" s="1">
        <f>Tabela110[[#This Row],[Força (N)]]/$I$5</f>
        <v>1498990.9318967364</v>
      </c>
      <c r="F138" s="1">
        <f>Tabela110[[#This Row],[Tensão (Pa)]]/1000000</f>
        <v>1.4989909318967365</v>
      </c>
    </row>
    <row r="139" spans="1:6" x14ac:dyDescent="0.3">
      <c r="A139" s="1">
        <v>26.567</v>
      </c>
      <c r="B139" s="1">
        <v>2.2061999999999999</v>
      </c>
      <c r="C139" s="1">
        <f>Tabela110[[#This Row],[Alongamento (mm/mm)]]/$I$2</f>
        <v>4.4123999999999997E-2</v>
      </c>
      <c r="D139" s="1">
        <v>72.802000000000007</v>
      </c>
      <c r="E139" s="1">
        <f>Tabela110[[#This Row],[Força (N)]]/$I$5</f>
        <v>1513124.1205727269</v>
      </c>
      <c r="F139" s="1">
        <f>Tabela110[[#This Row],[Tensão (Pa)]]/1000000</f>
        <v>1.513124120572727</v>
      </c>
    </row>
    <row r="140" spans="1:6" x14ac:dyDescent="0.3">
      <c r="A140" s="1">
        <v>26.617000000000001</v>
      </c>
      <c r="B140" s="1">
        <v>2.2103000000000002</v>
      </c>
      <c r="C140" s="1">
        <f>Tabela110[[#This Row],[Alongamento (mm/mm)]]/$I$2</f>
        <v>4.4206000000000002E-2</v>
      </c>
      <c r="D140" s="1">
        <v>73.483000000000004</v>
      </c>
      <c r="E140" s="1">
        <f>Tabela110[[#This Row],[Força (N)]]/$I$5</f>
        <v>1527278.0933497113</v>
      </c>
      <c r="F140" s="1">
        <f>Tabela110[[#This Row],[Tensão (Pa)]]/1000000</f>
        <v>1.5272780933497112</v>
      </c>
    </row>
    <row r="141" spans="1:6" x14ac:dyDescent="0.3">
      <c r="A141" s="1">
        <v>26.683</v>
      </c>
      <c r="B141" s="1">
        <v>2.2159</v>
      </c>
      <c r="C141" s="1">
        <f>Tabela110[[#This Row],[Alongamento (mm/mm)]]/$I$2</f>
        <v>4.4317999999999996E-2</v>
      </c>
      <c r="D141" s="1">
        <v>74.162999999999997</v>
      </c>
      <c r="E141" s="1">
        <f>Tabela110[[#This Row],[Força (N)]]/$I$5</f>
        <v>1541411.2820257016</v>
      </c>
      <c r="F141" s="1">
        <f>Tabela110[[#This Row],[Tensão (Pa)]]/1000000</f>
        <v>1.5414112820257015</v>
      </c>
    </row>
    <row r="142" spans="1:6" x14ac:dyDescent="0.3">
      <c r="A142" s="1">
        <v>26.75</v>
      </c>
      <c r="B142" s="1">
        <v>2.2214</v>
      </c>
      <c r="C142" s="1">
        <f>Tabela110[[#This Row],[Alongamento (mm/mm)]]/$I$2</f>
        <v>4.4428000000000002E-2</v>
      </c>
      <c r="D142" s="1">
        <v>74.843000000000004</v>
      </c>
      <c r="E142" s="1">
        <f>Tabela110[[#This Row],[Força (N)]]/$I$5</f>
        <v>1555544.4707016922</v>
      </c>
      <c r="F142" s="1">
        <f>Tabela110[[#This Row],[Tensão (Pa)]]/1000000</f>
        <v>1.5555444707016921</v>
      </c>
    </row>
    <row r="143" spans="1:6" x14ac:dyDescent="0.3">
      <c r="A143" s="1">
        <v>26.817</v>
      </c>
      <c r="B143" s="1">
        <v>2.2269999999999999</v>
      </c>
      <c r="C143" s="1">
        <f>Tabela110[[#This Row],[Alongamento (mm/mm)]]/$I$2</f>
        <v>4.4539999999999996E-2</v>
      </c>
      <c r="D143" s="1">
        <v>75.524000000000001</v>
      </c>
      <c r="E143" s="1">
        <f>Tabela110[[#This Row],[Força (N)]]/$I$5</f>
        <v>1569698.4434786765</v>
      </c>
      <c r="F143" s="1">
        <f>Tabela110[[#This Row],[Tensão (Pa)]]/1000000</f>
        <v>1.5696984434786765</v>
      </c>
    </row>
    <row r="144" spans="1:6" x14ac:dyDescent="0.3">
      <c r="A144" s="1">
        <v>26.867000000000001</v>
      </c>
      <c r="B144" s="1">
        <v>2.2311999999999999</v>
      </c>
      <c r="C144" s="1">
        <f>Tabela110[[#This Row],[Alongamento (mm/mm)]]/$I$2</f>
        <v>4.4623999999999997E-2</v>
      </c>
      <c r="D144" s="1">
        <v>76.203999999999994</v>
      </c>
      <c r="E144" s="1">
        <f>Tabela110[[#This Row],[Força (N)]]/$I$5</f>
        <v>1583831.6321546668</v>
      </c>
      <c r="F144" s="1">
        <f>Tabela110[[#This Row],[Tensão (Pa)]]/1000000</f>
        <v>1.5838316321546668</v>
      </c>
    </row>
    <row r="145" spans="1:6" x14ac:dyDescent="0.3">
      <c r="A145" s="1">
        <v>26.933</v>
      </c>
      <c r="B145" s="1">
        <v>2.2366000000000001</v>
      </c>
      <c r="C145" s="1">
        <f>Tabela110[[#This Row],[Alongamento (mm/mm)]]/$I$2</f>
        <v>4.4732000000000001E-2</v>
      </c>
      <c r="D145" s="1">
        <v>76.885000000000005</v>
      </c>
      <c r="E145" s="1">
        <f>Tabela110[[#This Row],[Força (N)]]/$I$5</f>
        <v>1597985.6049316516</v>
      </c>
      <c r="F145" s="1">
        <f>Tabela110[[#This Row],[Tensão (Pa)]]/1000000</f>
        <v>1.5979856049316516</v>
      </c>
    </row>
    <row r="146" spans="1:6" x14ac:dyDescent="0.3">
      <c r="A146" s="1">
        <v>27</v>
      </c>
      <c r="B146" s="1">
        <v>2.2423000000000002</v>
      </c>
      <c r="C146" s="1">
        <f>Tabela110[[#This Row],[Alongamento (mm/mm)]]/$I$2</f>
        <v>4.4846000000000004E-2</v>
      </c>
      <c r="D146" s="1">
        <v>77.564999999999998</v>
      </c>
      <c r="E146" s="1">
        <f>Tabela110[[#This Row],[Força (N)]]/$I$5</f>
        <v>1612118.7936076419</v>
      </c>
      <c r="F146" s="1">
        <f>Tabela110[[#This Row],[Tensão (Pa)]]/1000000</f>
        <v>1.612118793607642</v>
      </c>
    </row>
    <row r="147" spans="1:6" x14ac:dyDescent="0.3">
      <c r="A147" s="1">
        <v>27.05</v>
      </c>
      <c r="B147" s="1">
        <v>2.2464</v>
      </c>
      <c r="C147" s="1">
        <f>Tabela110[[#This Row],[Alongamento (mm/mm)]]/$I$2</f>
        <v>4.4927999999999996E-2</v>
      </c>
      <c r="D147" s="1">
        <v>78.245000000000005</v>
      </c>
      <c r="E147" s="1">
        <f>Tabela110[[#This Row],[Força (N)]]/$I$5</f>
        <v>1626251.9822836325</v>
      </c>
      <c r="F147" s="1">
        <f>Tabela110[[#This Row],[Tensão (Pa)]]/1000000</f>
        <v>1.6262519822836325</v>
      </c>
    </row>
    <row r="148" spans="1:6" x14ac:dyDescent="0.3">
      <c r="A148" s="1">
        <v>27.117000000000001</v>
      </c>
      <c r="B148" s="1">
        <v>2.2519999999999998</v>
      </c>
      <c r="C148" s="1">
        <f>Tabela110[[#This Row],[Alongamento (mm/mm)]]/$I$2</f>
        <v>4.5039999999999997E-2</v>
      </c>
      <c r="D148" s="1">
        <v>78.926000000000002</v>
      </c>
      <c r="E148" s="1">
        <f>Tabela110[[#This Row],[Força (N)]]/$I$5</f>
        <v>1640405.9550606168</v>
      </c>
      <c r="F148" s="1">
        <f>Tabela110[[#This Row],[Tensão (Pa)]]/1000000</f>
        <v>1.6404059550606169</v>
      </c>
    </row>
    <row r="149" spans="1:6" x14ac:dyDescent="0.3">
      <c r="A149" s="1">
        <v>27.183</v>
      </c>
      <c r="B149" s="1">
        <v>2.2576000000000001</v>
      </c>
      <c r="C149" s="1">
        <f>Tabela110[[#This Row],[Alongamento (mm/mm)]]/$I$2</f>
        <v>4.5151999999999998E-2</v>
      </c>
      <c r="D149" s="1">
        <v>79.605999999999995</v>
      </c>
      <c r="E149" s="1">
        <f>Tabela110[[#This Row],[Força (N)]]/$I$5</f>
        <v>1654539.1437366072</v>
      </c>
      <c r="F149" s="1">
        <f>Tabela110[[#This Row],[Tensão (Pa)]]/1000000</f>
        <v>1.6545391437366073</v>
      </c>
    </row>
    <row r="150" spans="1:6" x14ac:dyDescent="0.3">
      <c r="A150" s="1">
        <v>27.25</v>
      </c>
      <c r="B150" s="1">
        <v>2.2631000000000001</v>
      </c>
      <c r="C150" s="1">
        <f>Tabela110[[#This Row],[Alongamento (mm/mm)]]/$I$2</f>
        <v>4.5262000000000004E-2</v>
      </c>
      <c r="D150" s="1">
        <v>80.287000000000006</v>
      </c>
      <c r="E150" s="1">
        <f>Tabela110[[#This Row],[Força (N)]]/$I$5</f>
        <v>1668693.116513592</v>
      </c>
      <c r="F150" s="1">
        <f>Tabela110[[#This Row],[Tensão (Pa)]]/1000000</f>
        <v>1.6686931165135919</v>
      </c>
    </row>
    <row r="151" spans="1:6" x14ac:dyDescent="0.3">
      <c r="A151" s="1">
        <v>27.3</v>
      </c>
      <c r="B151" s="1">
        <v>2.2673000000000001</v>
      </c>
      <c r="C151" s="1">
        <f>Tabela110[[#This Row],[Alongamento (mm/mm)]]/$I$2</f>
        <v>4.5346000000000004E-2</v>
      </c>
      <c r="D151" s="1">
        <v>80.966999999999999</v>
      </c>
      <c r="E151" s="1">
        <f>Tabela110[[#This Row],[Força (N)]]/$I$5</f>
        <v>1682826.3051895821</v>
      </c>
      <c r="F151" s="1">
        <f>Tabela110[[#This Row],[Tensão (Pa)]]/1000000</f>
        <v>1.682826305189582</v>
      </c>
    </row>
    <row r="152" spans="1:6" x14ac:dyDescent="0.3">
      <c r="A152" s="1">
        <v>27.367000000000001</v>
      </c>
      <c r="B152" s="1">
        <v>2.2728000000000002</v>
      </c>
      <c r="C152" s="1">
        <f>Tabela110[[#This Row],[Alongamento (mm/mm)]]/$I$2</f>
        <v>4.5456000000000003E-2</v>
      </c>
      <c r="D152" s="1">
        <v>81.647000000000006</v>
      </c>
      <c r="E152" s="1">
        <f>Tabela110[[#This Row],[Força (N)]]/$I$5</f>
        <v>1696959.4938655726</v>
      </c>
      <c r="F152" s="1">
        <f>Tabela110[[#This Row],[Tensão (Pa)]]/1000000</f>
        <v>1.6969594938655725</v>
      </c>
    </row>
    <row r="153" spans="1:6" x14ac:dyDescent="0.3">
      <c r="A153" s="1">
        <v>27.433</v>
      </c>
      <c r="B153" s="1">
        <v>2.2784</v>
      </c>
      <c r="C153" s="1">
        <f>Tabela110[[#This Row],[Alongamento (mm/mm)]]/$I$2</f>
        <v>4.5567999999999997E-2</v>
      </c>
      <c r="D153" s="1">
        <v>82.328000000000003</v>
      </c>
      <c r="E153" s="1">
        <f>Tabela110[[#This Row],[Força (N)]]/$I$5</f>
        <v>1711113.4666425572</v>
      </c>
      <c r="F153" s="1">
        <f>Tabela110[[#This Row],[Tensão (Pa)]]/1000000</f>
        <v>1.7111134666425571</v>
      </c>
    </row>
    <row r="154" spans="1:6" x14ac:dyDescent="0.3">
      <c r="A154" s="1">
        <v>27.483000000000001</v>
      </c>
      <c r="B154" s="1">
        <v>2.2825000000000002</v>
      </c>
      <c r="C154" s="1">
        <f>Tabela110[[#This Row],[Alongamento (mm/mm)]]/$I$2</f>
        <v>4.5650000000000003E-2</v>
      </c>
      <c r="D154" s="1">
        <v>83.007999999999996</v>
      </c>
      <c r="E154" s="1">
        <f>Tabela110[[#This Row],[Força (N)]]/$I$5</f>
        <v>1725246.6553185475</v>
      </c>
      <c r="F154" s="1">
        <f>Tabela110[[#This Row],[Tensão (Pa)]]/1000000</f>
        <v>1.7252466553185475</v>
      </c>
    </row>
    <row r="155" spans="1:6" x14ac:dyDescent="0.3">
      <c r="A155" s="1">
        <v>27.55</v>
      </c>
      <c r="B155" s="1">
        <v>2.2881</v>
      </c>
      <c r="C155" s="1">
        <f>Tabela110[[#This Row],[Alongamento (mm/mm)]]/$I$2</f>
        <v>4.5761999999999997E-2</v>
      </c>
      <c r="D155" s="1">
        <v>83.688999999999993</v>
      </c>
      <c r="E155" s="1">
        <f>Tabela110[[#This Row],[Força (N)]]/$I$5</f>
        <v>1739400.6280955318</v>
      </c>
      <c r="F155" s="1">
        <f>Tabela110[[#This Row],[Tensão (Pa)]]/1000000</f>
        <v>1.7394006280955319</v>
      </c>
    </row>
    <row r="156" spans="1:6" x14ac:dyDescent="0.3">
      <c r="A156" s="1">
        <v>27.6</v>
      </c>
      <c r="B156" s="1">
        <v>2.2923</v>
      </c>
      <c r="C156" s="1">
        <f>Tabela110[[#This Row],[Alongamento (mm/mm)]]/$I$2</f>
        <v>4.5845999999999998E-2</v>
      </c>
      <c r="D156" s="1">
        <v>84.369</v>
      </c>
      <c r="E156" s="1">
        <f>Tabela110[[#This Row],[Força (N)]]/$I$5</f>
        <v>1753533.8167715224</v>
      </c>
      <c r="F156" s="1">
        <f>Tabela110[[#This Row],[Tensão (Pa)]]/1000000</f>
        <v>1.7535338167715224</v>
      </c>
    </row>
    <row r="157" spans="1:6" x14ac:dyDescent="0.3">
      <c r="A157" s="1">
        <v>27.667000000000002</v>
      </c>
      <c r="B157" s="1">
        <v>2.2978000000000001</v>
      </c>
      <c r="C157" s="1">
        <f>Tabela110[[#This Row],[Alongamento (mm/mm)]]/$I$2</f>
        <v>4.5956000000000004E-2</v>
      </c>
      <c r="D157" s="1">
        <v>85.049000000000007</v>
      </c>
      <c r="E157" s="1">
        <f>Tabela110[[#This Row],[Força (N)]]/$I$5</f>
        <v>1767667.005447513</v>
      </c>
      <c r="F157" s="1">
        <f>Tabela110[[#This Row],[Tensão (Pa)]]/1000000</f>
        <v>1.767667005447513</v>
      </c>
    </row>
    <row r="158" spans="1:6" x14ac:dyDescent="0.3">
      <c r="A158" s="1">
        <v>27.733000000000001</v>
      </c>
      <c r="B158" s="1">
        <v>2.3035000000000001</v>
      </c>
      <c r="C158" s="1">
        <f>Tabela110[[#This Row],[Alongamento (mm/mm)]]/$I$2</f>
        <v>4.607E-2</v>
      </c>
      <c r="D158" s="1">
        <v>85.9</v>
      </c>
      <c r="E158" s="1">
        <f>Tabela110[[#This Row],[Força (N)]]/$I$5</f>
        <v>1785354.2753934951</v>
      </c>
      <c r="F158" s="1">
        <f>Tabela110[[#This Row],[Tensão (Pa)]]/1000000</f>
        <v>1.785354275393495</v>
      </c>
    </row>
    <row r="159" spans="1:6" x14ac:dyDescent="0.3">
      <c r="A159" s="1">
        <v>27.8</v>
      </c>
      <c r="B159" s="1">
        <v>2.3090000000000002</v>
      </c>
      <c r="C159" s="1">
        <f>Tabela110[[#This Row],[Alongamento (mm/mm)]]/$I$2</f>
        <v>4.6180000000000006E-2</v>
      </c>
      <c r="D159" s="1">
        <v>86.58</v>
      </c>
      <c r="E159" s="1">
        <f>Tabela110[[#This Row],[Força (N)]]/$I$5</f>
        <v>1799487.4640694854</v>
      </c>
      <c r="F159" s="1">
        <f>Tabela110[[#This Row],[Tensão (Pa)]]/1000000</f>
        <v>1.7994874640694853</v>
      </c>
    </row>
    <row r="160" spans="1:6" x14ac:dyDescent="0.3">
      <c r="A160" s="1">
        <v>27.867000000000001</v>
      </c>
      <c r="B160" s="1">
        <v>2.3144</v>
      </c>
      <c r="C160" s="1">
        <f>Tabela110[[#This Row],[Alongamento (mm/mm)]]/$I$2</f>
        <v>4.6288000000000003E-2</v>
      </c>
      <c r="D160" s="1">
        <v>87.260999999999996</v>
      </c>
      <c r="E160" s="1">
        <f>Tabela110[[#This Row],[Força (N)]]/$I$5</f>
        <v>1813641.4368464698</v>
      </c>
      <c r="F160" s="1">
        <f>Tabela110[[#This Row],[Tensão (Pa)]]/1000000</f>
        <v>1.8136414368464697</v>
      </c>
    </row>
    <row r="161" spans="1:6" x14ac:dyDescent="0.3">
      <c r="A161" s="1">
        <v>27.917000000000002</v>
      </c>
      <c r="B161" s="1">
        <v>2.3186</v>
      </c>
      <c r="C161" s="1">
        <f>Tabela110[[#This Row],[Alongamento (mm/mm)]]/$I$2</f>
        <v>4.6371999999999997E-2</v>
      </c>
      <c r="D161" s="1">
        <v>87.941000000000003</v>
      </c>
      <c r="E161" s="1">
        <f>Tabela110[[#This Row],[Força (N)]]/$I$5</f>
        <v>1827774.6255224603</v>
      </c>
      <c r="F161" s="1">
        <f>Tabela110[[#This Row],[Tensão (Pa)]]/1000000</f>
        <v>1.8277746255224603</v>
      </c>
    </row>
    <row r="162" spans="1:6" x14ac:dyDescent="0.3">
      <c r="A162" s="1">
        <v>27.983000000000001</v>
      </c>
      <c r="B162" s="1">
        <v>2.3241999999999998</v>
      </c>
      <c r="C162" s="1">
        <f>Tabela110[[#This Row],[Alongamento (mm/mm)]]/$I$2</f>
        <v>4.6483999999999998E-2</v>
      </c>
      <c r="D162" s="1">
        <v>88.792000000000002</v>
      </c>
      <c r="E162" s="1">
        <f>Tabela110[[#This Row],[Força (N)]]/$I$5</f>
        <v>1845461.8954684425</v>
      </c>
      <c r="F162" s="1">
        <f>Tabela110[[#This Row],[Tensão (Pa)]]/1000000</f>
        <v>1.8454618954684425</v>
      </c>
    </row>
    <row r="163" spans="1:6" x14ac:dyDescent="0.3">
      <c r="A163" s="1">
        <v>28.05</v>
      </c>
      <c r="B163" s="1">
        <v>2.3298000000000001</v>
      </c>
      <c r="C163" s="1">
        <f>Tabela110[[#This Row],[Alongamento (mm/mm)]]/$I$2</f>
        <v>4.6595999999999999E-2</v>
      </c>
      <c r="D163" s="1">
        <v>89.471999999999994</v>
      </c>
      <c r="E163" s="1">
        <f>Tabela110[[#This Row],[Força (N)]]/$I$5</f>
        <v>1859595.0841444328</v>
      </c>
      <c r="F163" s="1">
        <f>Tabela110[[#This Row],[Tensão (Pa)]]/1000000</f>
        <v>1.8595950841444329</v>
      </c>
    </row>
    <row r="164" spans="1:6" x14ac:dyDescent="0.3">
      <c r="A164" s="1">
        <v>28.1</v>
      </c>
      <c r="B164" s="1">
        <v>2.3340000000000001</v>
      </c>
      <c r="C164" s="1">
        <f>Tabela110[[#This Row],[Alongamento (mm/mm)]]/$I$2</f>
        <v>4.6679999999999999E-2</v>
      </c>
      <c r="D164" s="1">
        <v>90.152000000000001</v>
      </c>
      <c r="E164" s="1">
        <f>Tabela110[[#This Row],[Força (N)]]/$I$5</f>
        <v>1873728.2728204234</v>
      </c>
      <c r="F164" s="1">
        <f>Tabela110[[#This Row],[Tensão (Pa)]]/1000000</f>
        <v>1.8737282728204234</v>
      </c>
    </row>
    <row r="165" spans="1:6" x14ac:dyDescent="0.3">
      <c r="A165" s="1">
        <v>28.167000000000002</v>
      </c>
      <c r="B165" s="1">
        <v>2.3395999999999999</v>
      </c>
      <c r="C165" s="1">
        <f>Tabela110[[#This Row],[Alongamento (mm/mm)]]/$I$2</f>
        <v>4.6792E-2</v>
      </c>
      <c r="D165" s="1">
        <v>91.003</v>
      </c>
      <c r="E165" s="1">
        <f>Tabela110[[#This Row],[Força (N)]]/$I$5</f>
        <v>1891415.5427664055</v>
      </c>
      <c r="F165" s="1">
        <f>Tabela110[[#This Row],[Tensão (Pa)]]/1000000</f>
        <v>1.8914155427664054</v>
      </c>
    </row>
    <row r="166" spans="1:6" x14ac:dyDescent="0.3">
      <c r="A166" s="1">
        <v>28.233000000000001</v>
      </c>
      <c r="B166" s="1">
        <v>2.3451</v>
      </c>
      <c r="C166" s="1">
        <f>Tabela110[[#This Row],[Alongamento (mm/mm)]]/$I$2</f>
        <v>4.6901999999999999E-2</v>
      </c>
      <c r="D166" s="1">
        <v>91.683000000000007</v>
      </c>
      <c r="E166" s="1">
        <f>Tabela110[[#This Row],[Força (N)]]/$I$5</f>
        <v>1905548.7314423961</v>
      </c>
      <c r="F166" s="1">
        <f>Tabela110[[#This Row],[Tensão (Pa)]]/1000000</f>
        <v>1.905548731442396</v>
      </c>
    </row>
    <row r="167" spans="1:6" x14ac:dyDescent="0.3">
      <c r="A167" s="1">
        <v>28.283000000000001</v>
      </c>
      <c r="B167" s="1">
        <v>2.3492000000000002</v>
      </c>
      <c r="C167" s="1">
        <f>Tabela110[[#This Row],[Alongamento (mm/mm)]]/$I$2</f>
        <v>4.6984000000000005E-2</v>
      </c>
      <c r="D167" s="1">
        <v>92.364000000000004</v>
      </c>
      <c r="E167" s="1">
        <f>Tabela110[[#This Row],[Força (N)]]/$I$5</f>
        <v>1919702.7042193804</v>
      </c>
      <c r="F167" s="1">
        <f>Tabela110[[#This Row],[Tensão (Pa)]]/1000000</f>
        <v>1.9197027042193804</v>
      </c>
    </row>
    <row r="168" spans="1:6" x14ac:dyDescent="0.3">
      <c r="A168" s="1">
        <v>28.35</v>
      </c>
      <c r="B168" s="1">
        <v>2.3546999999999998</v>
      </c>
      <c r="C168" s="1">
        <f>Tabela110[[#This Row],[Alongamento (mm/mm)]]/$I$2</f>
        <v>4.7093999999999997E-2</v>
      </c>
      <c r="D168" s="1">
        <v>93.213999999999999</v>
      </c>
      <c r="E168" s="1">
        <f>Tabela110[[#This Row],[Força (N)]]/$I$5</f>
        <v>1937369.1900643683</v>
      </c>
      <c r="F168" s="1">
        <f>Tabela110[[#This Row],[Tensão (Pa)]]/1000000</f>
        <v>1.9373691900643684</v>
      </c>
    </row>
    <row r="169" spans="1:6" x14ac:dyDescent="0.3">
      <c r="A169" s="1">
        <v>28.417000000000002</v>
      </c>
      <c r="B169" s="1">
        <v>2.3603000000000001</v>
      </c>
      <c r="C169" s="1">
        <f>Tabela110[[#This Row],[Alongamento (mm/mm)]]/$I$2</f>
        <v>4.7205999999999998E-2</v>
      </c>
      <c r="D169" s="1">
        <v>93.894999999999996</v>
      </c>
      <c r="E169" s="1">
        <f>Tabela110[[#This Row],[Força (N)]]/$I$5</f>
        <v>1951523.1628413529</v>
      </c>
      <c r="F169" s="1">
        <f>Tabela110[[#This Row],[Tensão (Pa)]]/1000000</f>
        <v>1.951523162841353</v>
      </c>
    </row>
    <row r="170" spans="1:6" x14ac:dyDescent="0.3">
      <c r="A170" s="1">
        <v>28.466999999999999</v>
      </c>
      <c r="B170" s="1">
        <v>2.3645</v>
      </c>
      <c r="C170" s="1">
        <f>Tabela110[[#This Row],[Alongamento (mm/mm)]]/$I$2</f>
        <v>4.7289999999999999E-2</v>
      </c>
      <c r="D170" s="1">
        <v>94.575000000000003</v>
      </c>
      <c r="E170" s="1">
        <f>Tabela110[[#This Row],[Força (N)]]/$I$5</f>
        <v>1965656.3515173434</v>
      </c>
      <c r="F170" s="1">
        <f>Tabela110[[#This Row],[Tensão (Pa)]]/1000000</f>
        <v>1.9656563515173435</v>
      </c>
    </row>
    <row r="171" spans="1:6" x14ac:dyDescent="0.3">
      <c r="A171" s="1">
        <v>28.516999999999999</v>
      </c>
      <c r="B171" s="1">
        <v>2.3685999999999998</v>
      </c>
      <c r="C171" s="1">
        <f>Tabela110[[#This Row],[Alongamento (mm/mm)]]/$I$2</f>
        <v>4.7371999999999997E-2</v>
      </c>
      <c r="D171" s="1">
        <v>95.254999999999995</v>
      </c>
      <c r="E171" s="1">
        <f>Tabela110[[#This Row],[Força (N)]]/$I$5</f>
        <v>1979789.5401933335</v>
      </c>
      <c r="F171" s="1">
        <f>Tabela110[[#This Row],[Tensão (Pa)]]/1000000</f>
        <v>1.9797895401933334</v>
      </c>
    </row>
    <row r="172" spans="1:6" x14ac:dyDescent="0.3">
      <c r="A172" s="1">
        <v>28.582999999999998</v>
      </c>
      <c r="B172" s="1">
        <v>2.3742000000000001</v>
      </c>
      <c r="C172" s="1">
        <f>Tabela110[[#This Row],[Alongamento (mm/mm)]]/$I$2</f>
        <v>4.7483999999999998E-2</v>
      </c>
      <c r="D172" s="1">
        <v>95.936000000000007</v>
      </c>
      <c r="E172" s="1">
        <f>Tabela110[[#This Row],[Força (N)]]/$I$5</f>
        <v>1993943.5129703183</v>
      </c>
      <c r="F172" s="1">
        <f>Tabela110[[#This Row],[Tensão (Pa)]]/1000000</f>
        <v>1.9939435129703182</v>
      </c>
    </row>
    <row r="173" spans="1:6" x14ac:dyDescent="0.3">
      <c r="A173" s="1">
        <v>28.632999999999999</v>
      </c>
      <c r="B173" s="1">
        <v>2.3784000000000001</v>
      </c>
      <c r="C173" s="1">
        <f>Tabela110[[#This Row],[Alongamento (mm/mm)]]/$I$2</f>
        <v>4.7567999999999999E-2</v>
      </c>
      <c r="D173" s="1">
        <v>96.616</v>
      </c>
      <c r="E173" s="1">
        <f>Tabela110[[#This Row],[Força (N)]]/$I$5</f>
        <v>2008076.7016463086</v>
      </c>
      <c r="F173" s="1">
        <f>Tabela110[[#This Row],[Tensão (Pa)]]/1000000</f>
        <v>2.0080767016463086</v>
      </c>
    </row>
    <row r="174" spans="1:6" x14ac:dyDescent="0.3">
      <c r="A174" s="1">
        <v>28.683</v>
      </c>
      <c r="B174" s="1">
        <v>2.3826000000000001</v>
      </c>
      <c r="C174" s="1">
        <f>Tabela110[[#This Row],[Alongamento (mm/mm)]]/$I$2</f>
        <v>4.7652E-2</v>
      </c>
      <c r="D174" s="1">
        <v>97.296999999999997</v>
      </c>
      <c r="E174" s="1">
        <f>Tabela110[[#This Row],[Força (N)]]/$I$5</f>
        <v>2022230.6744232932</v>
      </c>
      <c r="F174" s="1">
        <f>Tabela110[[#This Row],[Tensão (Pa)]]/1000000</f>
        <v>2.0222306744232932</v>
      </c>
    </row>
    <row r="175" spans="1:6" x14ac:dyDescent="0.3">
      <c r="A175" s="1">
        <v>28.75</v>
      </c>
      <c r="B175" s="1">
        <v>2.3881000000000001</v>
      </c>
      <c r="C175" s="1">
        <f>Tabela110[[#This Row],[Alongamento (mm/mm)]]/$I$2</f>
        <v>4.7761999999999999E-2</v>
      </c>
      <c r="D175" s="1">
        <v>98.147000000000006</v>
      </c>
      <c r="E175" s="1">
        <f>Tabela110[[#This Row],[Força (N)]]/$I$5</f>
        <v>2039897.1602682814</v>
      </c>
      <c r="F175" s="1">
        <f>Tabela110[[#This Row],[Tensão (Pa)]]/1000000</f>
        <v>2.0398971602682812</v>
      </c>
    </row>
    <row r="176" spans="1:6" x14ac:dyDescent="0.3">
      <c r="A176" s="1">
        <v>28.817</v>
      </c>
      <c r="B176" s="1">
        <v>2.3936999999999999</v>
      </c>
      <c r="C176" s="1">
        <f>Tabela110[[#This Row],[Alongamento (mm/mm)]]/$I$2</f>
        <v>4.7874E-2</v>
      </c>
      <c r="D176" s="1">
        <v>98.826999999999998</v>
      </c>
      <c r="E176" s="1">
        <f>Tabela110[[#This Row],[Força (N)]]/$I$5</f>
        <v>2054030.3489442714</v>
      </c>
      <c r="F176" s="1">
        <f>Tabela110[[#This Row],[Tensão (Pa)]]/1000000</f>
        <v>2.0540303489442713</v>
      </c>
    </row>
    <row r="177" spans="1:6" x14ac:dyDescent="0.3">
      <c r="A177" s="1">
        <v>28.867000000000001</v>
      </c>
      <c r="B177" s="1">
        <v>2.3978000000000002</v>
      </c>
      <c r="C177" s="1">
        <f>Tabela110[[#This Row],[Alongamento (mm/mm)]]/$I$2</f>
        <v>4.7956000000000006E-2</v>
      </c>
      <c r="D177" s="1">
        <v>99.507999999999996</v>
      </c>
      <c r="E177" s="1">
        <f>Tabela110[[#This Row],[Força (N)]]/$I$5</f>
        <v>2068184.321721256</v>
      </c>
      <c r="F177" s="1">
        <f>Tabela110[[#This Row],[Tensão (Pa)]]/1000000</f>
        <v>2.0681843217212559</v>
      </c>
    </row>
    <row r="178" spans="1:6" x14ac:dyDescent="0.3">
      <c r="A178" s="1">
        <v>28.917000000000002</v>
      </c>
      <c r="B178" s="1">
        <v>2.4020000000000001</v>
      </c>
      <c r="C178" s="1">
        <f>Tabela110[[#This Row],[Alongamento (mm/mm)]]/$I$2</f>
        <v>4.8039999999999999E-2</v>
      </c>
      <c r="D178" s="1">
        <v>100.19</v>
      </c>
      <c r="E178" s="1">
        <f>Tabela110[[#This Row],[Força (N)]]/$I$5</f>
        <v>2082359.0785992346</v>
      </c>
      <c r="F178" s="1">
        <f>Tabela110[[#This Row],[Tensão (Pa)]]/1000000</f>
        <v>2.0823590785992345</v>
      </c>
    </row>
    <row r="179" spans="1:6" x14ac:dyDescent="0.3">
      <c r="A179" s="1">
        <v>28.966999999999999</v>
      </c>
      <c r="B179" s="1">
        <v>2.4060999999999999</v>
      </c>
      <c r="C179" s="1">
        <f>Tabela110[[#This Row],[Alongamento (mm/mm)]]/$I$2</f>
        <v>4.8121999999999998E-2</v>
      </c>
      <c r="D179" s="1">
        <v>100.87</v>
      </c>
      <c r="E179" s="1">
        <f>Tabela110[[#This Row],[Força (N)]]/$I$5</f>
        <v>2096492.2672752251</v>
      </c>
      <c r="F179" s="1">
        <f>Tabela110[[#This Row],[Tensão (Pa)]]/1000000</f>
        <v>2.0964922672752251</v>
      </c>
    </row>
    <row r="180" spans="1:6" x14ac:dyDescent="0.3">
      <c r="A180" s="1">
        <v>29.016999999999999</v>
      </c>
      <c r="B180" s="1">
        <v>2.4102999999999999</v>
      </c>
      <c r="C180" s="1">
        <f>Tabela110[[#This Row],[Alongamento (mm/mm)]]/$I$2</f>
        <v>4.8205999999999999E-2</v>
      </c>
      <c r="D180" s="1">
        <v>101.55</v>
      </c>
      <c r="E180" s="1">
        <f>Tabela110[[#This Row],[Força (N)]]/$I$5</f>
        <v>2110625.4559512157</v>
      </c>
      <c r="F180" s="1">
        <f>Tabela110[[#This Row],[Tensão (Pa)]]/1000000</f>
        <v>2.1106254559512156</v>
      </c>
    </row>
    <row r="181" spans="1:6" x14ac:dyDescent="0.3">
      <c r="A181" s="1">
        <v>29.082999999999998</v>
      </c>
      <c r="B181" s="1">
        <v>2.4157999999999999</v>
      </c>
      <c r="C181" s="1">
        <f>Tabela110[[#This Row],[Alongamento (mm/mm)]]/$I$2</f>
        <v>4.8315999999999998E-2</v>
      </c>
      <c r="D181" s="1">
        <v>102.4</v>
      </c>
      <c r="E181" s="1">
        <f>Tabela110[[#This Row],[Força (N)]]/$I$5</f>
        <v>2128291.9417962036</v>
      </c>
      <c r="F181" s="1">
        <f>Tabela110[[#This Row],[Tensão (Pa)]]/1000000</f>
        <v>2.1282919417962036</v>
      </c>
    </row>
    <row r="182" spans="1:6" x14ac:dyDescent="0.3">
      <c r="A182" s="1">
        <v>29.132999999999999</v>
      </c>
      <c r="B182" s="1">
        <v>2.42</v>
      </c>
      <c r="C182" s="1">
        <f>Tabela110[[#This Row],[Alongamento (mm/mm)]]/$I$2</f>
        <v>4.8399999999999999E-2</v>
      </c>
      <c r="D182" s="1">
        <v>103.08</v>
      </c>
      <c r="E182" s="1">
        <f>Tabela110[[#This Row],[Força (N)]]/$I$5</f>
        <v>2142425.1304721939</v>
      </c>
      <c r="F182" s="1">
        <f>Tabela110[[#This Row],[Tensão (Pa)]]/1000000</f>
        <v>2.1424251304721937</v>
      </c>
    </row>
    <row r="183" spans="1:6" x14ac:dyDescent="0.3">
      <c r="A183" s="1">
        <v>29.2</v>
      </c>
      <c r="B183" s="1">
        <v>2.4256000000000002</v>
      </c>
      <c r="C183" s="1">
        <f>Tabela110[[#This Row],[Alongamento (mm/mm)]]/$I$2</f>
        <v>4.8512000000000007E-2</v>
      </c>
      <c r="D183" s="1">
        <v>103.93</v>
      </c>
      <c r="E183" s="1">
        <f>Tabela110[[#This Row],[Força (N)]]/$I$5</f>
        <v>2160091.6163171823</v>
      </c>
      <c r="F183" s="1">
        <f>Tabela110[[#This Row],[Tensão (Pa)]]/1000000</f>
        <v>2.1600916163171822</v>
      </c>
    </row>
    <row r="184" spans="1:6" x14ac:dyDescent="0.3">
      <c r="A184" s="1">
        <v>29.266999999999999</v>
      </c>
      <c r="B184" s="1">
        <v>2.4310999999999998</v>
      </c>
      <c r="C184" s="1">
        <f>Tabela110[[#This Row],[Alongamento (mm/mm)]]/$I$2</f>
        <v>4.8621999999999999E-2</v>
      </c>
      <c r="D184" s="1">
        <v>104.78</v>
      </c>
      <c r="E184" s="1">
        <f>Tabela110[[#This Row],[Força (N)]]/$I$5</f>
        <v>2177758.1021621702</v>
      </c>
      <c r="F184" s="1">
        <f>Tabela110[[#This Row],[Tensão (Pa)]]/1000000</f>
        <v>2.1777581021621701</v>
      </c>
    </row>
    <row r="185" spans="1:6" x14ac:dyDescent="0.3">
      <c r="A185" s="1">
        <v>29.317</v>
      </c>
      <c r="B185" s="1">
        <v>2.4352999999999998</v>
      </c>
      <c r="C185" s="1">
        <f>Tabela110[[#This Row],[Alongamento (mm/mm)]]/$I$2</f>
        <v>4.8705999999999999E-2</v>
      </c>
      <c r="D185" s="1">
        <v>105.46</v>
      </c>
      <c r="E185" s="1">
        <f>Tabela110[[#This Row],[Força (N)]]/$I$5</f>
        <v>2191891.2908381606</v>
      </c>
      <c r="F185" s="1">
        <f>Tabela110[[#This Row],[Tensão (Pa)]]/1000000</f>
        <v>2.1918912908381607</v>
      </c>
    </row>
    <row r="186" spans="1:6" x14ac:dyDescent="0.3">
      <c r="A186" s="1">
        <v>29.382999999999999</v>
      </c>
      <c r="B186" s="1">
        <v>2.4407999999999999</v>
      </c>
      <c r="C186" s="1">
        <f>Tabela110[[#This Row],[Alongamento (mm/mm)]]/$I$2</f>
        <v>4.8815999999999998E-2</v>
      </c>
      <c r="D186" s="1">
        <v>106.31</v>
      </c>
      <c r="E186" s="1">
        <f>Tabela110[[#This Row],[Força (N)]]/$I$5</f>
        <v>2209557.7766831485</v>
      </c>
      <c r="F186" s="1">
        <f>Tabela110[[#This Row],[Tensão (Pa)]]/1000000</f>
        <v>2.2095577766831487</v>
      </c>
    </row>
    <row r="187" spans="1:6" x14ac:dyDescent="0.3">
      <c r="A187" s="1">
        <v>29.433</v>
      </c>
      <c r="B187" s="1">
        <v>2.4451000000000001</v>
      </c>
      <c r="C187" s="1">
        <f>Tabela110[[#This Row],[Alongamento (mm/mm)]]/$I$2</f>
        <v>4.8902000000000001E-2</v>
      </c>
      <c r="D187" s="1">
        <v>106.99</v>
      </c>
      <c r="E187" s="1">
        <f>Tabela110[[#This Row],[Força (N)]]/$I$5</f>
        <v>2223690.9653591388</v>
      </c>
      <c r="F187" s="1">
        <f>Tabela110[[#This Row],[Tensão (Pa)]]/1000000</f>
        <v>2.2236909653591388</v>
      </c>
    </row>
    <row r="188" spans="1:6" x14ac:dyDescent="0.3">
      <c r="A188" s="1">
        <v>29.483000000000001</v>
      </c>
      <c r="B188" s="1">
        <v>2.4491999999999998</v>
      </c>
      <c r="C188" s="1">
        <f>Tabela110[[#This Row],[Alongamento (mm/mm)]]/$I$2</f>
        <v>4.8984E-2</v>
      </c>
      <c r="D188" s="1">
        <v>107.67</v>
      </c>
      <c r="E188" s="1">
        <f>Tabela110[[#This Row],[Força (N)]]/$I$5</f>
        <v>2237824.1540351291</v>
      </c>
      <c r="F188" s="1">
        <f>Tabela110[[#This Row],[Tensão (Pa)]]/1000000</f>
        <v>2.2378241540351289</v>
      </c>
    </row>
    <row r="189" spans="1:6" x14ac:dyDescent="0.3">
      <c r="A189" s="1">
        <v>29.533000000000001</v>
      </c>
      <c r="B189" s="1">
        <v>2.4533999999999998</v>
      </c>
      <c r="C189" s="1">
        <f>Tabela110[[#This Row],[Alongamento (mm/mm)]]/$I$2</f>
        <v>4.9067999999999994E-2</v>
      </c>
      <c r="D189" s="1">
        <v>108.35</v>
      </c>
      <c r="E189" s="1">
        <f>Tabela110[[#This Row],[Força (N)]]/$I$5</f>
        <v>2251957.3427111194</v>
      </c>
      <c r="F189" s="1">
        <f>Tabela110[[#This Row],[Tensão (Pa)]]/1000000</f>
        <v>2.2519573427111195</v>
      </c>
    </row>
    <row r="190" spans="1:6" x14ac:dyDescent="0.3">
      <c r="A190" s="1">
        <v>29.582999999999998</v>
      </c>
      <c r="B190" s="1">
        <v>2.4575999999999998</v>
      </c>
      <c r="C190" s="1">
        <f>Tabela110[[#This Row],[Alongamento (mm/mm)]]/$I$2</f>
        <v>4.9151999999999994E-2</v>
      </c>
      <c r="D190" s="1">
        <v>109.03</v>
      </c>
      <c r="E190" s="1">
        <f>Tabela110[[#This Row],[Força (N)]]/$I$5</f>
        <v>2266090.5313871102</v>
      </c>
      <c r="F190" s="1">
        <f>Tabela110[[#This Row],[Tensão (Pa)]]/1000000</f>
        <v>2.26609053138711</v>
      </c>
    </row>
    <row r="191" spans="1:6" x14ac:dyDescent="0.3">
      <c r="A191" s="1">
        <v>29.632999999999999</v>
      </c>
      <c r="B191" s="1">
        <v>2.4617</v>
      </c>
      <c r="C191" s="1">
        <f>Tabela110[[#This Row],[Alongamento (mm/mm)]]/$I$2</f>
        <v>4.9234E-2</v>
      </c>
      <c r="D191" s="1">
        <v>109.71</v>
      </c>
      <c r="E191" s="1">
        <f>Tabela110[[#This Row],[Força (N)]]/$I$5</f>
        <v>2280223.7200631006</v>
      </c>
      <c r="F191" s="1">
        <f>Tabela110[[#This Row],[Tensão (Pa)]]/1000000</f>
        <v>2.2802237200631006</v>
      </c>
    </row>
    <row r="192" spans="1:6" x14ac:dyDescent="0.3">
      <c r="A192" s="1">
        <v>29.683</v>
      </c>
      <c r="B192" s="1">
        <v>2.4659</v>
      </c>
      <c r="C192" s="1">
        <f>Tabela110[[#This Row],[Alongamento (mm/mm)]]/$I$2</f>
        <v>4.9318000000000001E-2</v>
      </c>
      <c r="D192" s="1">
        <v>110.39</v>
      </c>
      <c r="E192" s="1">
        <f>Tabela110[[#This Row],[Força (N)]]/$I$5</f>
        <v>2294356.9087390909</v>
      </c>
      <c r="F192" s="1">
        <f>Tabela110[[#This Row],[Tensão (Pa)]]/1000000</f>
        <v>2.2943569087390907</v>
      </c>
    </row>
    <row r="193" spans="1:6" x14ac:dyDescent="0.3">
      <c r="A193" s="1">
        <v>29.733000000000001</v>
      </c>
      <c r="B193" s="1">
        <v>2.4700000000000002</v>
      </c>
      <c r="C193" s="1">
        <f>Tabela110[[#This Row],[Alongamento (mm/mm)]]/$I$2</f>
        <v>4.9400000000000006E-2</v>
      </c>
      <c r="D193" s="1">
        <v>111.07</v>
      </c>
      <c r="E193" s="1">
        <f>Tabela110[[#This Row],[Força (N)]]/$I$5</f>
        <v>2308490.0974150812</v>
      </c>
      <c r="F193" s="1">
        <f>Tabela110[[#This Row],[Tensão (Pa)]]/1000000</f>
        <v>2.3084900974150813</v>
      </c>
    </row>
    <row r="194" spans="1:6" x14ac:dyDescent="0.3">
      <c r="A194" s="1">
        <v>29.783000000000001</v>
      </c>
      <c r="B194" s="1">
        <v>2.4742000000000002</v>
      </c>
      <c r="C194" s="1">
        <f>Tabela110[[#This Row],[Alongamento (mm/mm)]]/$I$2</f>
        <v>4.9484E-2</v>
      </c>
      <c r="D194" s="1">
        <v>111.75</v>
      </c>
      <c r="E194" s="1">
        <f>Tabela110[[#This Row],[Força (N)]]/$I$5</f>
        <v>2322623.2860910716</v>
      </c>
      <c r="F194" s="1">
        <f>Tabela110[[#This Row],[Tensão (Pa)]]/1000000</f>
        <v>2.3226232860910714</v>
      </c>
    </row>
    <row r="195" spans="1:6" x14ac:dyDescent="0.3">
      <c r="A195" s="1">
        <v>29.832999999999998</v>
      </c>
      <c r="B195" s="1">
        <v>2.4784000000000002</v>
      </c>
      <c r="C195" s="1">
        <f>Tabela110[[#This Row],[Alongamento (mm/mm)]]/$I$2</f>
        <v>4.9568000000000001E-2</v>
      </c>
      <c r="D195" s="1">
        <v>112.44</v>
      </c>
      <c r="E195" s="1">
        <f>Tabela110[[#This Row],[Força (N)]]/$I$5</f>
        <v>2336964.3157770033</v>
      </c>
      <c r="F195" s="1">
        <f>Tabela110[[#This Row],[Tensão (Pa)]]/1000000</f>
        <v>2.3369643157770033</v>
      </c>
    </row>
    <row r="196" spans="1:6" x14ac:dyDescent="0.3">
      <c r="A196" s="1">
        <v>29.882999999999999</v>
      </c>
      <c r="B196" s="1">
        <v>2.4824999999999999</v>
      </c>
      <c r="C196" s="1">
        <f>Tabela110[[#This Row],[Alongamento (mm/mm)]]/$I$2</f>
        <v>4.965E-2</v>
      </c>
      <c r="D196" s="1">
        <v>113.12</v>
      </c>
      <c r="E196" s="1">
        <f>Tabela110[[#This Row],[Força (N)]]/$I$5</f>
        <v>2351097.5044529936</v>
      </c>
      <c r="F196" s="1">
        <f>Tabela110[[#This Row],[Tensão (Pa)]]/1000000</f>
        <v>2.3510975044529938</v>
      </c>
    </row>
    <row r="197" spans="1:6" x14ac:dyDescent="0.3">
      <c r="A197" s="1">
        <v>29.933</v>
      </c>
      <c r="B197" s="1">
        <v>2.4866999999999999</v>
      </c>
      <c r="C197" s="1">
        <f>Tabela110[[#This Row],[Alongamento (mm/mm)]]/$I$2</f>
        <v>4.9734E-2</v>
      </c>
      <c r="D197" s="1">
        <v>113.8</v>
      </c>
      <c r="E197" s="1">
        <f>Tabela110[[#This Row],[Força (N)]]/$I$5</f>
        <v>2365230.693128984</v>
      </c>
      <c r="F197" s="1">
        <f>Tabela110[[#This Row],[Tensão (Pa)]]/1000000</f>
        <v>2.3652306931289839</v>
      </c>
    </row>
    <row r="198" spans="1:6" x14ac:dyDescent="0.3">
      <c r="A198" s="1">
        <v>29.983000000000001</v>
      </c>
      <c r="B198" s="1">
        <v>2.4908999999999999</v>
      </c>
      <c r="C198" s="1">
        <f>Tabela110[[#This Row],[Alongamento (mm/mm)]]/$I$2</f>
        <v>4.9818000000000001E-2</v>
      </c>
      <c r="D198" s="1">
        <v>114.48</v>
      </c>
      <c r="E198" s="1">
        <f>Tabela110[[#This Row],[Força (N)]]/$I$5</f>
        <v>2379363.8818049747</v>
      </c>
      <c r="F198" s="1">
        <f>Tabela110[[#This Row],[Tensão (Pa)]]/1000000</f>
        <v>2.3793638818049749</v>
      </c>
    </row>
    <row r="199" spans="1:6" x14ac:dyDescent="0.3">
      <c r="A199" s="1">
        <v>30.033000000000001</v>
      </c>
      <c r="B199" s="1">
        <v>2.4950999999999999</v>
      </c>
      <c r="C199" s="1">
        <f>Tabela110[[#This Row],[Alongamento (mm/mm)]]/$I$2</f>
        <v>4.9901999999999995E-2</v>
      </c>
      <c r="D199" s="1">
        <v>115.33</v>
      </c>
      <c r="E199" s="1">
        <f>Tabela110[[#This Row],[Força (N)]]/$I$5</f>
        <v>2397030.3676499627</v>
      </c>
      <c r="F199" s="1">
        <f>Tabela110[[#This Row],[Tensão (Pa)]]/1000000</f>
        <v>2.3970303676499625</v>
      </c>
    </row>
    <row r="200" spans="1:6" x14ac:dyDescent="0.3">
      <c r="A200" s="1">
        <v>30.082999999999998</v>
      </c>
      <c r="B200" s="1">
        <v>2.4992000000000001</v>
      </c>
      <c r="C200" s="1">
        <f>Tabela110[[#This Row],[Alongamento (mm/mm)]]/$I$2</f>
        <v>4.9984000000000001E-2</v>
      </c>
      <c r="D200" s="1">
        <v>116.01</v>
      </c>
      <c r="E200" s="1">
        <f>Tabela110[[#This Row],[Força (N)]]/$I$5</f>
        <v>2411163.556325953</v>
      </c>
      <c r="F200" s="1">
        <f>Tabela110[[#This Row],[Tensão (Pa)]]/1000000</f>
        <v>2.411163556325953</v>
      </c>
    </row>
    <row r="201" spans="1:6" x14ac:dyDescent="0.3">
      <c r="A201" s="1">
        <v>30.132999999999999</v>
      </c>
      <c r="B201" s="1">
        <v>2.5034000000000001</v>
      </c>
      <c r="C201" s="1">
        <f>Tabela110[[#This Row],[Alongamento (mm/mm)]]/$I$2</f>
        <v>5.0068000000000001E-2</v>
      </c>
      <c r="D201" s="1">
        <v>116.69</v>
      </c>
      <c r="E201" s="1">
        <f>Tabela110[[#This Row],[Força (N)]]/$I$5</f>
        <v>2425296.7450019433</v>
      </c>
      <c r="F201" s="1">
        <f>Tabela110[[#This Row],[Tensão (Pa)]]/1000000</f>
        <v>2.4252967450019431</v>
      </c>
    </row>
    <row r="202" spans="1:6" x14ac:dyDescent="0.3">
      <c r="A202" s="1">
        <v>30.183</v>
      </c>
      <c r="B202" s="1">
        <v>2.5074999999999998</v>
      </c>
      <c r="C202" s="1">
        <f>Tabela110[[#This Row],[Alongamento (mm/mm)]]/$I$2</f>
        <v>5.015E-2</v>
      </c>
      <c r="D202" s="1">
        <v>117.37</v>
      </c>
      <c r="E202" s="1">
        <f>Tabela110[[#This Row],[Força (N)]]/$I$5</f>
        <v>2439429.9336779336</v>
      </c>
      <c r="F202" s="1">
        <f>Tabela110[[#This Row],[Tensão (Pa)]]/1000000</f>
        <v>2.4394299336779337</v>
      </c>
    </row>
    <row r="203" spans="1:6" x14ac:dyDescent="0.3">
      <c r="A203" s="1">
        <v>30.233000000000001</v>
      </c>
      <c r="B203" s="1">
        <v>2.5116999999999998</v>
      </c>
      <c r="C203" s="1">
        <f>Tabela110[[#This Row],[Alongamento (mm/mm)]]/$I$2</f>
        <v>5.0233999999999994E-2</v>
      </c>
      <c r="D203" s="1">
        <v>118.05</v>
      </c>
      <c r="E203" s="1">
        <f>Tabela110[[#This Row],[Força (N)]]/$I$5</f>
        <v>2453563.122353924</v>
      </c>
      <c r="F203" s="1">
        <f>Tabela110[[#This Row],[Tensão (Pa)]]/1000000</f>
        <v>2.4535631223539238</v>
      </c>
    </row>
    <row r="204" spans="1:6" x14ac:dyDescent="0.3">
      <c r="A204" s="1">
        <v>30.283000000000001</v>
      </c>
      <c r="B204" s="1">
        <v>2.5158999999999998</v>
      </c>
      <c r="C204" s="1">
        <f>Tabela110[[#This Row],[Alongamento (mm/mm)]]/$I$2</f>
        <v>5.0317999999999995E-2</v>
      </c>
      <c r="D204" s="1">
        <v>118.9</v>
      </c>
      <c r="E204" s="1">
        <f>Tabela110[[#This Row],[Força (N)]]/$I$5</f>
        <v>2471229.6081989123</v>
      </c>
      <c r="F204" s="1">
        <f>Tabela110[[#This Row],[Tensão (Pa)]]/1000000</f>
        <v>2.4712296081989122</v>
      </c>
    </row>
    <row r="205" spans="1:6" x14ac:dyDescent="0.3">
      <c r="A205" s="1">
        <v>30.332999999999998</v>
      </c>
      <c r="B205" s="1">
        <v>2.5200999999999998</v>
      </c>
      <c r="C205" s="1">
        <f>Tabela110[[#This Row],[Alongamento (mm/mm)]]/$I$2</f>
        <v>5.0401999999999995E-2</v>
      </c>
      <c r="D205" s="1">
        <v>119.58</v>
      </c>
      <c r="E205" s="1">
        <f>Tabela110[[#This Row],[Força (N)]]/$I$5</f>
        <v>2485362.7968749027</v>
      </c>
      <c r="F205" s="1">
        <f>Tabela110[[#This Row],[Tensão (Pa)]]/1000000</f>
        <v>2.4853627968749028</v>
      </c>
    </row>
    <row r="206" spans="1:6" x14ac:dyDescent="0.3">
      <c r="A206" s="1">
        <v>30.382999999999999</v>
      </c>
      <c r="B206" s="1">
        <v>2.5242</v>
      </c>
      <c r="C206" s="1">
        <f>Tabela110[[#This Row],[Alongamento (mm/mm)]]/$I$2</f>
        <v>5.0484000000000001E-2</v>
      </c>
      <c r="D206" s="1">
        <v>120.26</v>
      </c>
      <c r="E206" s="1">
        <f>Tabela110[[#This Row],[Força (N)]]/$I$5</f>
        <v>2499495.985550893</v>
      </c>
      <c r="F206" s="1">
        <f>Tabela110[[#This Row],[Tensão (Pa)]]/1000000</f>
        <v>2.4994959855508929</v>
      </c>
    </row>
    <row r="207" spans="1:6" x14ac:dyDescent="0.3">
      <c r="A207" s="1">
        <v>30.433</v>
      </c>
      <c r="B207" s="1">
        <v>2.5284</v>
      </c>
      <c r="C207" s="1">
        <f>Tabela110[[#This Row],[Alongamento (mm/mm)]]/$I$2</f>
        <v>5.0568000000000002E-2</v>
      </c>
      <c r="D207" s="1">
        <v>121.11</v>
      </c>
      <c r="E207" s="1">
        <f>Tabela110[[#This Row],[Força (N)]]/$I$5</f>
        <v>2517162.4713958809</v>
      </c>
      <c r="F207" s="1">
        <f>Tabela110[[#This Row],[Tensão (Pa)]]/1000000</f>
        <v>2.5171624713958809</v>
      </c>
    </row>
    <row r="208" spans="1:6" x14ac:dyDescent="0.3">
      <c r="A208" s="1">
        <v>30.483000000000001</v>
      </c>
      <c r="B208" s="1">
        <v>2.5326</v>
      </c>
      <c r="C208" s="1">
        <f>Tabela110[[#This Row],[Alongamento (mm/mm)]]/$I$2</f>
        <v>5.0652000000000003E-2</v>
      </c>
      <c r="D208" s="1">
        <v>121.79</v>
      </c>
      <c r="E208" s="1">
        <f>Tabela110[[#This Row],[Força (N)]]/$I$5</f>
        <v>2531295.6600718717</v>
      </c>
      <c r="F208" s="1">
        <f>Tabela110[[#This Row],[Tensão (Pa)]]/1000000</f>
        <v>2.5312956600718719</v>
      </c>
    </row>
    <row r="209" spans="1:6" x14ac:dyDescent="0.3">
      <c r="A209" s="1">
        <v>30.533000000000001</v>
      </c>
      <c r="B209" s="1">
        <v>2.5367999999999999</v>
      </c>
      <c r="C209" s="1">
        <f>Tabela110[[#This Row],[Alongamento (mm/mm)]]/$I$2</f>
        <v>5.0735999999999996E-2</v>
      </c>
      <c r="D209" s="1">
        <v>122.47</v>
      </c>
      <c r="E209" s="1">
        <f>Tabela110[[#This Row],[Força (N)]]/$I$5</f>
        <v>2545428.848747862</v>
      </c>
      <c r="F209" s="1">
        <f>Tabela110[[#This Row],[Tensão (Pa)]]/1000000</f>
        <v>2.545428848747862</v>
      </c>
    </row>
    <row r="210" spans="1:6" x14ac:dyDescent="0.3">
      <c r="A210" s="1">
        <v>30.582999999999998</v>
      </c>
      <c r="B210" s="1">
        <v>2.5409000000000002</v>
      </c>
      <c r="C210" s="1">
        <f>Tabela110[[#This Row],[Alongamento (mm/mm)]]/$I$2</f>
        <v>5.0818000000000002E-2</v>
      </c>
      <c r="D210" s="1">
        <v>123.15</v>
      </c>
      <c r="E210" s="1">
        <f>Tabela110[[#This Row],[Força (N)]]/$I$5</f>
        <v>2559562.0374238524</v>
      </c>
      <c r="F210" s="1">
        <f>Tabela110[[#This Row],[Tensão (Pa)]]/1000000</f>
        <v>2.5595620374238526</v>
      </c>
    </row>
    <row r="211" spans="1:6" x14ac:dyDescent="0.3">
      <c r="A211" s="1">
        <v>30.632999999999999</v>
      </c>
      <c r="B211" s="1">
        <v>2.5449999999999999</v>
      </c>
      <c r="C211" s="1">
        <f>Tabela110[[#This Row],[Alongamento (mm/mm)]]/$I$2</f>
        <v>5.0900000000000001E-2</v>
      </c>
      <c r="D211" s="1">
        <v>124</v>
      </c>
      <c r="E211" s="1">
        <f>Tabela110[[#This Row],[Força (N)]]/$I$5</f>
        <v>2577228.5232688403</v>
      </c>
      <c r="F211" s="1">
        <f>Tabela110[[#This Row],[Tensão (Pa)]]/1000000</f>
        <v>2.5772285232688401</v>
      </c>
    </row>
    <row r="212" spans="1:6" x14ac:dyDescent="0.3">
      <c r="A212" s="1">
        <v>30.683</v>
      </c>
      <c r="B212" s="1">
        <v>2.5491999999999999</v>
      </c>
      <c r="C212" s="1">
        <f>Tabela110[[#This Row],[Alongamento (mm/mm)]]/$I$2</f>
        <v>5.0984000000000002E-2</v>
      </c>
      <c r="D212" s="1">
        <v>124.68</v>
      </c>
      <c r="E212" s="1">
        <f>Tabela110[[#This Row],[Força (N)]]/$I$5</f>
        <v>2591361.7119448306</v>
      </c>
      <c r="F212" s="1">
        <f>Tabela110[[#This Row],[Tensão (Pa)]]/1000000</f>
        <v>2.5913617119448307</v>
      </c>
    </row>
    <row r="213" spans="1:6" x14ac:dyDescent="0.3">
      <c r="A213" s="1">
        <v>30.733000000000001</v>
      </c>
      <c r="B213" s="1">
        <v>2.5533999999999999</v>
      </c>
      <c r="C213" s="1">
        <f>Tabela110[[#This Row],[Alongamento (mm/mm)]]/$I$2</f>
        <v>5.1067999999999995E-2</v>
      </c>
      <c r="D213" s="1">
        <v>125.53</v>
      </c>
      <c r="E213" s="1">
        <f>Tabela110[[#This Row],[Força (N)]]/$I$5</f>
        <v>2609028.1977898185</v>
      </c>
      <c r="F213" s="1">
        <f>Tabela110[[#This Row],[Tensão (Pa)]]/1000000</f>
        <v>2.6090281977898186</v>
      </c>
    </row>
    <row r="214" spans="1:6" x14ac:dyDescent="0.3">
      <c r="A214" s="1">
        <v>30.783000000000001</v>
      </c>
      <c r="B214" s="1">
        <v>2.5575999999999999</v>
      </c>
      <c r="C214" s="1">
        <f>Tabela110[[#This Row],[Alongamento (mm/mm)]]/$I$2</f>
        <v>5.1151999999999996E-2</v>
      </c>
      <c r="D214" s="1">
        <v>126.21</v>
      </c>
      <c r="E214" s="1">
        <f>Tabela110[[#This Row],[Força (N)]]/$I$5</f>
        <v>2623161.3864658088</v>
      </c>
      <c r="F214" s="1">
        <f>Tabela110[[#This Row],[Tensão (Pa)]]/1000000</f>
        <v>2.6231613864658088</v>
      </c>
    </row>
    <row r="215" spans="1:6" x14ac:dyDescent="0.3">
      <c r="A215" s="1">
        <v>30.832999999999998</v>
      </c>
      <c r="B215" s="1">
        <v>2.5617000000000001</v>
      </c>
      <c r="C215" s="1">
        <f>Tabela110[[#This Row],[Alongamento (mm/mm)]]/$I$2</f>
        <v>5.1234000000000002E-2</v>
      </c>
      <c r="D215" s="1">
        <v>126.89</v>
      </c>
      <c r="E215" s="1">
        <f>Tabela110[[#This Row],[Força (N)]]/$I$5</f>
        <v>2637294.5751417996</v>
      </c>
      <c r="F215" s="1">
        <f>Tabela110[[#This Row],[Tensão (Pa)]]/1000000</f>
        <v>2.6372945751417998</v>
      </c>
    </row>
    <row r="216" spans="1:6" x14ac:dyDescent="0.3">
      <c r="A216" s="1">
        <v>30.882999999999999</v>
      </c>
      <c r="B216" s="1">
        <v>2.5659000000000001</v>
      </c>
      <c r="C216" s="1">
        <f>Tabela110[[#This Row],[Alongamento (mm/mm)]]/$I$2</f>
        <v>5.1318000000000003E-2</v>
      </c>
      <c r="D216" s="1">
        <v>127.74</v>
      </c>
      <c r="E216" s="1">
        <f>Tabela110[[#This Row],[Força (N)]]/$I$5</f>
        <v>2654961.0609867875</v>
      </c>
      <c r="F216" s="1">
        <f>Tabela110[[#This Row],[Tensão (Pa)]]/1000000</f>
        <v>2.6549610609867877</v>
      </c>
    </row>
    <row r="217" spans="1:6" x14ac:dyDescent="0.3">
      <c r="A217" s="1">
        <v>30.933</v>
      </c>
      <c r="B217" s="1">
        <v>2.57</v>
      </c>
      <c r="C217" s="1">
        <f>Tabela110[[#This Row],[Alongamento (mm/mm)]]/$I$2</f>
        <v>5.1399999999999994E-2</v>
      </c>
      <c r="D217" s="1">
        <v>128.41999999999999</v>
      </c>
      <c r="E217" s="1">
        <f>Tabela110[[#This Row],[Força (N)]]/$I$5</f>
        <v>2669094.2496627779</v>
      </c>
      <c r="F217" s="1">
        <f>Tabela110[[#This Row],[Tensão (Pa)]]/1000000</f>
        <v>2.6690942496627779</v>
      </c>
    </row>
    <row r="218" spans="1:6" x14ac:dyDescent="0.3">
      <c r="A218" s="1">
        <v>30.983000000000001</v>
      </c>
      <c r="B218" s="1">
        <v>2.5743</v>
      </c>
      <c r="C218" s="1">
        <f>Tabela110[[#This Row],[Alongamento (mm/mm)]]/$I$2</f>
        <v>5.1486000000000004E-2</v>
      </c>
      <c r="D218" s="1">
        <v>129.28</v>
      </c>
      <c r="E218" s="1">
        <f>Tabela110[[#This Row],[Força (N)]]/$I$5</f>
        <v>2686968.5765177072</v>
      </c>
      <c r="F218" s="1">
        <f>Tabela110[[#This Row],[Tensão (Pa)]]/1000000</f>
        <v>2.6869685765177072</v>
      </c>
    </row>
    <row r="219" spans="1:6" x14ac:dyDescent="0.3">
      <c r="A219" s="1">
        <v>31.033000000000001</v>
      </c>
      <c r="B219" s="1">
        <v>2.5785</v>
      </c>
      <c r="C219" s="1">
        <f>Tabela110[[#This Row],[Alongamento (mm/mm)]]/$I$2</f>
        <v>5.1569999999999998E-2</v>
      </c>
      <c r="D219" s="1">
        <v>129.96</v>
      </c>
      <c r="E219" s="1">
        <f>Tabela110[[#This Row],[Força (N)]]/$I$5</f>
        <v>2701101.7651936975</v>
      </c>
      <c r="F219" s="1">
        <f>Tabela110[[#This Row],[Tensão (Pa)]]/1000000</f>
        <v>2.7011017651936977</v>
      </c>
    </row>
    <row r="220" spans="1:6" x14ac:dyDescent="0.3">
      <c r="A220" s="1">
        <v>31.082999999999998</v>
      </c>
      <c r="B220" s="1">
        <v>2.5825</v>
      </c>
      <c r="C220" s="1">
        <f>Tabela110[[#This Row],[Alongamento (mm/mm)]]/$I$2</f>
        <v>5.1650000000000001E-2</v>
      </c>
      <c r="D220" s="1">
        <v>130.81</v>
      </c>
      <c r="E220" s="1">
        <f>Tabela110[[#This Row],[Força (N)]]/$I$5</f>
        <v>2718768.2510386854</v>
      </c>
      <c r="F220" s="1">
        <f>Tabela110[[#This Row],[Tensão (Pa)]]/1000000</f>
        <v>2.7187682510386852</v>
      </c>
    </row>
    <row r="221" spans="1:6" x14ac:dyDescent="0.3">
      <c r="A221" s="1">
        <v>31.15</v>
      </c>
      <c r="B221" s="1">
        <v>2.5880999999999998</v>
      </c>
      <c r="C221" s="1">
        <f>Tabela110[[#This Row],[Alongamento (mm/mm)]]/$I$2</f>
        <v>5.1761999999999996E-2</v>
      </c>
      <c r="D221" s="1">
        <v>131.83000000000001</v>
      </c>
      <c r="E221" s="1">
        <f>Tabela110[[#This Row],[Força (N)]]/$I$5</f>
        <v>2739968.0340526714</v>
      </c>
      <c r="F221" s="1">
        <f>Tabela110[[#This Row],[Tensão (Pa)]]/1000000</f>
        <v>2.7399680340526715</v>
      </c>
    </row>
    <row r="222" spans="1:6" x14ac:dyDescent="0.3">
      <c r="A222" s="1">
        <v>31.216999999999999</v>
      </c>
      <c r="B222" s="1">
        <v>2.5935999999999999</v>
      </c>
      <c r="C222" s="1">
        <f>Tabela110[[#This Row],[Alongamento (mm/mm)]]/$I$2</f>
        <v>5.1872000000000001E-2</v>
      </c>
      <c r="D222" s="1">
        <v>132.85</v>
      </c>
      <c r="E222" s="1">
        <f>Tabela110[[#This Row],[Força (N)]]/$I$5</f>
        <v>2761167.8170666564</v>
      </c>
      <c r="F222" s="1">
        <f>Tabela110[[#This Row],[Tensão (Pa)]]/1000000</f>
        <v>2.7611678170666565</v>
      </c>
    </row>
    <row r="223" spans="1:6" x14ac:dyDescent="0.3">
      <c r="A223" s="1">
        <v>31.283000000000001</v>
      </c>
      <c r="B223" s="1">
        <v>2.5992000000000002</v>
      </c>
      <c r="C223" s="1">
        <f>Tabela110[[#This Row],[Alongamento (mm/mm)]]/$I$2</f>
        <v>5.1984000000000002E-2</v>
      </c>
      <c r="D223" s="1">
        <v>133.87</v>
      </c>
      <c r="E223" s="1">
        <f>Tabela110[[#This Row],[Força (N)]]/$I$5</f>
        <v>2782367.6000806424</v>
      </c>
      <c r="F223" s="1">
        <f>Tabela110[[#This Row],[Tensão (Pa)]]/1000000</f>
        <v>2.7823676000806423</v>
      </c>
    </row>
    <row r="224" spans="1:6" x14ac:dyDescent="0.3">
      <c r="A224" s="1">
        <v>31.35</v>
      </c>
      <c r="B224" s="1">
        <v>2.6048</v>
      </c>
      <c r="C224" s="1">
        <f>Tabela110[[#This Row],[Alongamento (mm/mm)]]/$I$2</f>
        <v>5.2096000000000003E-2</v>
      </c>
      <c r="D224" s="1">
        <v>135.06</v>
      </c>
      <c r="E224" s="1">
        <f>Tabela110[[#This Row],[Força (N)]]/$I$5</f>
        <v>2807100.6802636255</v>
      </c>
      <c r="F224" s="1">
        <f>Tabela110[[#This Row],[Tensão (Pa)]]/1000000</f>
        <v>2.8071006802636256</v>
      </c>
    </row>
    <row r="225" spans="1:6" x14ac:dyDescent="0.3">
      <c r="A225" s="1">
        <v>31.417000000000002</v>
      </c>
      <c r="B225" s="1">
        <v>2.6103999999999998</v>
      </c>
      <c r="C225" s="1">
        <f>Tabela110[[#This Row],[Alongamento (mm/mm)]]/$I$2</f>
        <v>5.2207999999999997E-2</v>
      </c>
      <c r="D225" s="1">
        <v>136.08000000000001</v>
      </c>
      <c r="E225" s="1">
        <f>Tabela110[[#This Row],[Força (N)]]/$I$5</f>
        <v>2828300.4632776114</v>
      </c>
      <c r="F225" s="1">
        <f>Tabela110[[#This Row],[Tensão (Pa)]]/1000000</f>
        <v>2.8283004632776114</v>
      </c>
    </row>
    <row r="226" spans="1:6" x14ac:dyDescent="0.3">
      <c r="A226" s="1">
        <v>31.483000000000001</v>
      </c>
      <c r="B226" s="1">
        <v>2.6158999999999999</v>
      </c>
      <c r="C226" s="1">
        <f>Tabela110[[#This Row],[Alongamento (mm/mm)]]/$I$2</f>
        <v>5.2317999999999996E-2</v>
      </c>
      <c r="D226" s="1">
        <v>137.1</v>
      </c>
      <c r="E226" s="1">
        <f>Tabela110[[#This Row],[Força (N)]]/$I$5</f>
        <v>2849500.2462915964</v>
      </c>
      <c r="F226" s="1">
        <f>Tabela110[[#This Row],[Tensão (Pa)]]/1000000</f>
        <v>2.8495002462915964</v>
      </c>
    </row>
    <row r="227" spans="1:6" x14ac:dyDescent="0.3">
      <c r="A227" s="1">
        <v>31.55</v>
      </c>
      <c r="B227" s="1">
        <v>2.6214</v>
      </c>
      <c r="C227" s="1">
        <f>Tabela110[[#This Row],[Alongamento (mm/mm)]]/$I$2</f>
        <v>5.2428000000000002E-2</v>
      </c>
      <c r="D227" s="1">
        <v>138.29</v>
      </c>
      <c r="E227" s="1">
        <f>Tabela110[[#This Row],[Força (N)]]/$I$5</f>
        <v>2874233.32647458</v>
      </c>
      <c r="F227" s="1">
        <f>Tabela110[[#This Row],[Tensão (Pa)]]/1000000</f>
        <v>2.8742333264745801</v>
      </c>
    </row>
    <row r="228" spans="1:6" x14ac:dyDescent="0.3">
      <c r="A228" s="1">
        <v>31.617000000000001</v>
      </c>
      <c r="B228" s="1">
        <v>2.6269</v>
      </c>
      <c r="C228" s="1">
        <f>Tabela110[[#This Row],[Alongamento (mm/mm)]]/$I$2</f>
        <v>5.2538000000000001E-2</v>
      </c>
      <c r="D228" s="1">
        <v>139.31</v>
      </c>
      <c r="E228" s="1">
        <f>Tabela110[[#This Row],[Força (N)]]/$I$5</f>
        <v>2895433.1094885655</v>
      </c>
      <c r="F228" s="1">
        <f>Tabela110[[#This Row],[Tensão (Pa)]]/1000000</f>
        <v>2.8954331094885655</v>
      </c>
    </row>
    <row r="229" spans="1:6" x14ac:dyDescent="0.3">
      <c r="A229" s="1">
        <v>31.683</v>
      </c>
      <c r="B229" s="1">
        <v>2.6324999999999998</v>
      </c>
      <c r="C229" s="1">
        <f>Tabela110[[#This Row],[Alongamento (mm/mm)]]/$I$2</f>
        <v>5.2649999999999995E-2</v>
      </c>
      <c r="D229" s="1">
        <v>140.33000000000001</v>
      </c>
      <c r="E229" s="1">
        <f>Tabela110[[#This Row],[Força (N)]]/$I$5</f>
        <v>2916632.8925025514</v>
      </c>
      <c r="F229" s="1">
        <f>Tabela110[[#This Row],[Tensão (Pa)]]/1000000</f>
        <v>2.9166328925025513</v>
      </c>
    </row>
    <row r="230" spans="1:6" x14ac:dyDescent="0.3">
      <c r="A230" s="1">
        <v>31.75</v>
      </c>
      <c r="B230" s="1">
        <v>2.6379999999999999</v>
      </c>
      <c r="C230" s="1">
        <f>Tabela110[[#This Row],[Alongamento (mm/mm)]]/$I$2</f>
        <v>5.2760000000000001E-2</v>
      </c>
      <c r="D230" s="1">
        <v>141.35</v>
      </c>
      <c r="E230" s="1">
        <f>Tabela110[[#This Row],[Força (N)]]/$I$5</f>
        <v>2937832.6755165369</v>
      </c>
      <c r="F230" s="1">
        <f>Tabela110[[#This Row],[Tensão (Pa)]]/1000000</f>
        <v>2.9378326755165367</v>
      </c>
    </row>
    <row r="231" spans="1:6" x14ac:dyDescent="0.3">
      <c r="A231" s="1">
        <v>31.817</v>
      </c>
      <c r="B231" s="1">
        <v>2.6436999999999999</v>
      </c>
      <c r="C231" s="1">
        <f>Tabela110[[#This Row],[Alongamento (mm/mm)]]/$I$2</f>
        <v>5.2873999999999997E-2</v>
      </c>
      <c r="D231" s="1">
        <v>142.54</v>
      </c>
      <c r="E231" s="1">
        <f>Tabela110[[#This Row],[Força (N)]]/$I$5</f>
        <v>2962565.75569952</v>
      </c>
      <c r="F231" s="1">
        <f>Tabela110[[#This Row],[Tensão (Pa)]]/1000000</f>
        <v>2.96256575569952</v>
      </c>
    </row>
    <row r="232" spans="1:6" x14ac:dyDescent="0.3">
      <c r="A232" s="1">
        <v>31.882999999999999</v>
      </c>
      <c r="B232" s="1">
        <v>2.6492</v>
      </c>
      <c r="C232" s="1">
        <f>Tabela110[[#This Row],[Alongamento (mm/mm)]]/$I$2</f>
        <v>5.2984000000000003E-2</v>
      </c>
      <c r="D232" s="1">
        <v>143.56</v>
      </c>
      <c r="E232" s="1">
        <f>Tabela110[[#This Row],[Força (N)]]/$I$5</f>
        <v>2983765.538713506</v>
      </c>
      <c r="F232" s="1">
        <f>Tabela110[[#This Row],[Tensão (Pa)]]/1000000</f>
        <v>2.9837655387135058</v>
      </c>
    </row>
    <row r="233" spans="1:6" x14ac:dyDescent="0.3">
      <c r="A233" s="1">
        <v>31.95</v>
      </c>
      <c r="B233" s="1">
        <v>2.6547999999999998</v>
      </c>
      <c r="C233" s="1">
        <f>Tabela110[[#This Row],[Alongamento (mm/mm)]]/$I$2</f>
        <v>5.3095999999999997E-2</v>
      </c>
      <c r="D233" s="1">
        <v>144.75</v>
      </c>
      <c r="E233" s="1">
        <f>Tabela110[[#This Row],[Força (N)]]/$I$5</f>
        <v>3008498.618896489</v>
      </c>
      <c r="F233" s="1">
        <f>Tabela110[[#This Row],[Tensão (Pa)]]/1000000</f>
        <v>3.0084986188964891</v>
      </c>
    </row>
    <row r="234" spans="1:6" x14ac:dyDescent="0.3">
      <c r="A234" s="1">
        <v>32.017000000000003</v>
      </c>
      <c r="B234" s="1">
        <v>2.6602999999999999</v>
      </c>
      <c r="C234" s="1">
        <f>Tabela110[[#This Row],[Alongamento (mm/mm)]]/$I$2</f>
        <v>5.3205999999999996E-2</v>
      </c>
      <c r="D234" s="1">
        <v>145.77000000000001</v>
      </c>
      <c r="E234" s="1">
        <f>Tabela110[[#This Row],[Força (N)]]/$I$5</f>
        <v>3029698.401910475</v>
      </c>
      <c r="F234" s="1">
        <f>Tabela110[[#This Row],[Tensão (Pa)]]/1000000</f>
        <v>3.0296984019104749</v>
      </c>
    </row>
    <row r="235" spans="1:6" x14ac:dyDescent="0.3">
      <c r="A235" s="1">
        <v>32.082999999999998</v>
      </c>
      <c r="B235" s="1">
        <v>2.6659000000000002</v>
      </c>
      <c r="C235" s="1">
        <f>Tabela110[[#This Row],[Alongamento (mm/mm)]]/$I$2</f>
        <v>5.3318000000000004E-2</v>
      </c>
      <c r="D235" s="1">
        <v>146.80000000000001</v>
      </c>
      <c r="E235" s="1">
        <f>Tabela110[[#This Row],[Força (N)]]/$I$5</f>
        <v>3051106.0259344014</v>
      </c>
      <c r="F235" s="1">
        <f>Tabela110[[#This Row],[Tensão (Pa)]]/1000000</f>
        <v>3.0511060259344016</v>
      </c>
    </row>
    <row r="236" spans="1:6" x14ac:dyDescent="0.3">
      <c r="A236" s="1">
        <v>32.15</v>
      </c>
      <c r="B236" s="1">
        <v>2.6715</v>
      </c>
      <c r="C236" s="1">
        <f>Tabela110[[#This Row],[Alongamento (mm/mm)]]/$I$2</f>
        <v>5.3429999999999998E-2</v>
      </c>
      <c r="D236" s="1">
        <v>147.99</v>
      </c>
      <c r="E236" s="1">
        <f>Tabela110[[#This Row],[Força (N)]]/$I$5</f>
        <v>3075839.1061173845</v>
      </c>
      <c r="F236" s="1">
        <f>Tabela110[[#This Row],[Tensão (Pa)]]/1000000</f>
        <v>3.0758391061173844</v>
      </c>
    </row>
    <row r="237" spans="1:6" x14ac:dyDescent="0.3">
      <c r="A237" s="1">
        <v>32.216999999999999</v>
      </c>
      <c r="B237" s="1">
        <v>2.677</v>
      </c>
      <c r="C237" s="1">
        <f>Tabela110[[#This Row],[Alongamento (mm/mm)]]/$I$2</f>
        <v>5.3540000000000004E-2</v>
      </c>
      <c r="D237" s="1">
        <v>149.01</v>
      </c>
      <c r="E237" s="1">
        <f>Tabela110[[#This Row],[Força (N)]]/$I$5</f>
        <v>3097038.88913137</v>
      </c>
      <c r="F237" s="1">
        <f>Tabela110[[#This Row],[Tensão (Pa)]]/1000000</f>
        <v>3.0970388891313698</v>
      </c>
    </row>
    <row r="238" spans="1:6" x14ac:dyDescent="0.3">
      <c r="A238" s="1">
        <v>32.267000000000003</v>
      </c>
      <c r="B238" s="1">
        <v>2.6812</v>
      </c>
      <c r="C238" s="1">
        <f>Tabela110[[#This Row],[Alongamento (mm/mm)]]/$I$2</f>
        <v>5.3623999999999998E-2</v>
      </c>
      <c r="D238" s="1">
        <v>150.03</v>
      </c>
      <c r="E238" s="1">
        <f>Tabela110[[#This Row],[Força (N)]]/$I$5</f>
        <v>3118238.6721453555</v>
      </c>
      <c r="F238" s="1">
        <f>Tabela110[[#This Row],[Tensão (Pa)]]/1000000</f>
        <v>3.1182386721453557</v>
      </c>
    </row>
    <row r="239" spans="1:6" x14ac:dyDescent="0.3">
      <c r="A239" s="1">
        <v>32.332999999999998</v>
      </c>
      <c r="B239" s="1">
        <v>2.6867000000000001</v>
      </c>
      <c r="C239" s="1">
        <f>Tabela110[[#This Row],[Alongamento (mm/mm)]]/$I$2</f>
        <v>5.3734000000000004E-2</v>
      </c>
      <c r="D239" s="1">
        <v>151.05000000000001</v>
      </c>
      <c r="E239" s="1">
        <f>Tabela110[[#This Row],[Força (N)]]/$I$5</f>
        <v>3139438.4551593415</v>
      </c>
      <c r="F239" s="1">
        <f>Tabela110[[#This Row],[Tensão (Pa)]]/1000000</f>
        <v>3.1394384551593415</v>
      </c>
    </row>
    <row r="240" spans="1:6" x14ac:dyDescent="0.3">
      <c r="A240" s="1">
        <v>32.4</v>
      </c>
      <c r="B240" s="1">
        <v>2.6922999999999999</v>
      </c>
      <c r="C240" s="1">
        <f>Tabela110[[#This Row],[Alongamento (mm/mm)]]/$I$2</f>
        <v>5.3845999999999998E-2</v>
      </c>
      <c r="D240" s="1">
        <v>152.24</v>
      </c>
      <c r="E240" s="1">
        <f>Tabela110[[#This Row],[Força (N)]]/$I$5</f>
        <v>3164171.5353423245</v>
      </c>
      <c r="F240" s="1">
        <f>Tabela110[[#This Row],[Tensão (Pa)]]/1000000</f>
        <v>3.1641715353423243</v>
      </c>
    </row>
    <row r="241" spans="1:6" x14ac:dyDescent="0.3">
      <c r="A241" s="1">
        <v>32.466999999999999</v>
      </c>
      <c r="B241" s="1">
        <v>2.6978</v>
      </c>
      <c r="C241" s="1">
        <f>Tabela110[[#This Row],[Alongamento (mm/mm)]]/$I$2</f>
        <v>5.3955999999999997E-2</v>
      </c>
      <c r="D241" s="1">
        <v>153.43</v>
      </c>
      <c r="E241" s="1">
        <f>Tabela110[[#This Row],[Força (N)]]/$I$5</f>
        <v>3188904.6155253081</v>
      </c>
      <c r="F241" s="1">
        <f>Tabela110[[#This Row],[Tensão (Pa)]]/1000000</f>
        <v>3.188904615525308</v>
      </c>
    </row>
    <row r="242" spans="1:6" x14ac:dyDescent="0.3">
      <c r="A242" s="1">
        <v>32.533000000000001</v>
      </c>
      <c r="B242" s="1">
        <v>2.7033</v>
      </c>
      <c r="C242" s="1">
        <f>Tabela110[[#This Row],[Alongamento (mm/mm)]]/$I$2</f>
        <v>5.4066000000000003E-2</v>
      </c>
      <c r="D242" s="1">
        <v>154.44999999999999</v>
      </c>
      <c r="E242" s="1">
        <f>Tabela110[[#This Row],[Força (N)]]/$I$5</f>
        <v>3210104.3985392931</v>
      </c>
      <c r="F242" s="1">
        <f>Tabela110[[#This Row],[Tensão (Pa)]]/1000000</f>
        <v>3.210104398539293</v>
      </c>
    </row>
    <row r="243" spans="1:6" x14ac:dyDescent="0.3">
      <c r="A243" s="1">
        <v>32.6</v>
      </c>
      <c r="B243" s="1">
        <v>2.7088999999999999</v>
      </c>
      <c r="C243" s="1">
        <f>Tabela110[[#This Row],[Alongamento (mm/mm)]]/$I$2</f>
        <v>5.4177999999999997E-2</v>
      </c>
      <c r="D243" s="1">
        <v>155.63999999999999</v>
      </c>
      <c r="E243" s="1">
        <f>Tabela110[[#This Row],[Força (N)]]/$I$5</f>
        <v>3234837.4787222762</v>
      </c>
      <c r="F243" s="1">
        <f>Tabela110[[#This Row],[Tensão (Pa)]]/1000000</f>
        <v>3.2348374787222762</v>
      </c>
    </row>
    <row r="244" spans="1:6" x14ac:dyDescent="0.3">
      <c r="A244" s="1">
        <v>32.667000000000002</v>
      </c>
      <c r="B244" s="1">
        <v>2.7145000000000001</v>
      </c>
      <c r="C244" s="1">
        <f>Tabela110[[#This Row],[Alongamento (mm/mm)]]/$I$2</f>
        <v>5.4290000000000005E-2</v>
      </c>
      <c r="D244" s="1">
        <v>156.83000000000001</v>
      </c>
      <c r="E244" s="1">
        <f>Tabela110[[#This Row],[Força (N)]]/$I$5</f>
        <v>3259570.5589052602</v>
      </c>
      <c r="F244" s="1">
        <f>Tabela110[[#This Row],[Tensão (Pa)]]/1000000</f>
        <v>3.2595705589052604</v>
      </c>
    </row>
    <row r="245" spans="1:6" x14ac:dyDescent="0.3">
      <c r="A245" s="1">
        <v>32.732999999999997</v>
      </c>
      <c r="B245" s="1">
        <v>2.72</v>
      </c>
      <c r="C245" s="1">
        <f>Tabela110[[#This Row],[Alongamento (mm/mm)]]/$I$2</f>
        <v>5.4400000000000004E-2</v>
      </c>
      <c r="D245" s="1">
        <v>158.02000000000001</v>
      </c>
      <c r="E245" s="1">
        <f>Tabela110[[#This Row],[Força (N)]]/$I$5</f>
        <v>3284303.6390882432</v>
      </c>
      <c r="F245" s="1">
        <f>Tabela110[[#This Row],[Tensão (Pa)]]/1000000</f>
        <v>3.2843036390882432</v>
      </c>
    </row>
    <row r="246" spans="1:6" x14ac:dyDescent="0.3">
      <c r="A246" s="1">
        <v>32.799999999999997</v>
      </c>
      <c r="B246" s="1">
        <v>2.7256</v>
      </c>
      <c r="C246" s="1">
        <f>Tabela110[[#This Row],[Alongamento (mm/mm)]]/$I$2</f>
        <v>5.4511999999999998E-2</v>
      </c>
      <c r="D246" s="1">
        <v>159.21</v>
      </c>
      <c r="E246" s="1">
        <f>Tabela110[[#This Row],[Força (N)]]/$I$5</f>
        <v>3309036.7192712263</v>
      </c>
      <c r="F246" s="1">
        <f>Tabela110[[#This Row],[Tensão (Pa)]]/1000000</f>
        <v>3.3090367192712264</v>
      </c>
    </row>
    <row r="247" spans="1:6" x14ac:dyDescent="0.3">
      <c r="A247" s="1">
        <v>32.85</v>
      </c>
      <c r="B247" s="1">
        <v>2.7298</v>
      </c>
      <c r="C247" s="1">
        <f>Tabela110[[#This Row],[Alongamento (mm/mm)]]/$I$2</f>
        <v>5.4595999999999999E-2</v>
      </c>
      <c r="D247" s="1">
        <v>160.22999999999999</v>
      </c>
      <c r="E247" s="1">
        <f>Tabela110[[#This Row],[Força (N)]]/$I$5</f>
        <v>3330236.5022852118</v>
      </c>
      <c r="F247" s="1">
        <f>Tabela110[[#This Row],[Tensão (Pa)]]/1000000</f>
        <v>3.3302365022852118</v>
      </c>
    </row>
    <row r="248" spans="1:6" x14ac:dyDescent="0.3">
      <c r="A248" s="1">
        <v>32.917000000000002</v>
      </c>
      <c r="B248" s="1">
        <v>2.7353000000000001</v>
      </c>
      <c r="C248" s="1">
        <f>Tabela110[[#This Row],[Alongamento (mm/mm)]]/$I$2</f>
        <v>5.4706000000000005E-2</v>
      </c>
      <c r="D248" s="1">
        <v>161.41999999999999</v>
      </c>
      <c r="E248" s="1">
        <f>Tabela110[[#This Row],[Força (N)]]/$I$5</f>
        <v>3354969.5824681949</v>
      </c>
      <c r="F248" s="1">
        <f>Tabela110[[#This Row],[Tensão (Pa)]]/1000000</f>
        <v>3.3549695824681951</v>
      </c>
    </row>
    <row r="249" spans="1:6" x14ac:dyDescent="0.3">
      <c r="A249" s="1">
        <v>32.982999999999997</v>
      </c>
      <c r="B249" s="1">
        <v>2.7408000000000001</v>
      </c>
      <c r="C249" s="1">
        <f>Tabela110[[#This Row],[Alongamento (mm/mm)]]/$I$2</f>
        <v>5.4816000000000004E-2</v>
      </c>
      <c r="D249" s="1">
        <v>162.61000000000001</v>
      </c>
      <c r="E249" s="1">
        <f>Tabela110[[#This Row],[Força (N)]]/$I$5</f>
        <v>3379702.6626511784</v>
      </c>
      <c r="F249" s="1">
        <f>Tabela110[[#This Row],[Tensão (Pa)]]/1000000</f>
        <v>3.3797026626511784</v>
      </c>
    </row>
    <row r="250" spans="1:6" x14ac:dyDescent="0.3">
      <c r="A250" s="1">
        <v>33.049999999999997</v>
      </c>
      <c r="B250" s="1">
        <v>2.7464</v>
      </c>
      <c r="C250" s="1">
        <f>Tabela110[[#This Row],[Alongamento (mm/mm)]]/$I$2</f>
        <v>5.4927999999999998E-2</v>
      </c>
      <c r="D250" s="1">
        <v>163.81</v>
      </c>
      <c r="E250" s="1">
        <f>Tabela110[[#This Row],[Força (N)]]/$I$5</f>
        <v>3404643.5838441025</v>
      </c>
      <c r="F250" s="1">
        <f>Tabela110[[#This Row],[Tensão (Pa)]]/1000000</f>
        <v>3.4046435838441025</v>
      </c>
    </row>
    <row r="251" spans="1:6" x14ac:dyDescent="0.3">
      <c r="A251" s="1">
        <v>33.116999999999997</v>
      </c>
      <c r="B251" s="1">
        <v>2.7519999999999998</v>
      </c>
      <c r="C251" s="1">
        <f>Tabela110[[#This Row],[Alongamento (mm/mm)]]/$I$2</f>
        <v>5.5039999999999999E-2</v>
      </c>
      <c r="D251" s="1">
        <v>165</v>
      </c>
      <c r="E251" s="1">
        <f>Tabela110[[#This Row],[Força (N)]]/$I$5</f>
        <v>3429376.664027086</v>
      </c>
      <c r="F251" s="1">
        <f>Tabela110[[#This Row],[Tensão (Pa)]]/1000000</f>
        <v>3.4293766640270862</v>
      </c>
    </row>
    <row r="252" spans="1:6" x14ac:dyDescent="0.3">
      <c r="A252" s="1">
        <v>33.167000000000002</v>
      </c>
      <c r="B252" s="1">
        <v>2.7561</v>
      </c>
      <c r="C252" s="1">
        <f>Tabela110[[#This Row],[Alongamento (mm/mm)]]/$I$2</f>
        <v>5.5121999999999997E-2</v>
      </c>
      <c r="D252" s="1">
        <v>166.02</v>
      </c>
      <c r="E252" s="1">
        <f>Tabela110[[#This Row],[Força (N)]]/$I$5</f>
        <v>3450576.4470410715</v>
      </c>
      <c r="F252" s="1">
        <f>Tabela110[[#This Row],[Tensão (Pa)]]/1000000</f>
        <v>3.4505764470410716</v>
      </c>
    </row>
    <row r="253" spans="1:6" x14ac:dyDescent="0.3">
      <c r="A253" s="1">
        <v>33.232999999999997</v>
      </c>
      <c r="B253" s="1">
        <v>2.7616999999999998</v>
      </c>
      <c r="C253" s="1">
        <f>Tabela110[[#This Row],[Alongamento (mm/mm)]]/$I$2</f>
        <v>5.5233999999999998E-2</v>
      </c>
      <c r="D253" s="1">
        <v>167.21</v>
      </c>
      <c r="E253" s="1">
        <f>Tabela110[[#This Row],[Força (N)]]/$I$5</f>
        <v>3475309.527224055</v>
      </c>
      <c r="F253" s="1">
        <f>Tabela110[[#This Row],[Tensão (Pa)]]/1000000</f>
        <v>3.4753095272240548</v>
      </c>
    </row>
    <row r="254" spans="1:6" x14ac:dyDescent="0.3">
      <c r="A254" s="1">
        <v>33.299999999999997</v>
      </c>
      <c r="B254" s="1">
        <v>2.7673000000000001</v>
      </c>
      <c r="C254" s="1">
        <f>Tabela110[[#This Row],[Alongamento (mm/mm)]]/$I$2</f>
        <v>5.5345999999999999E-2</v>
      </c>
      <c r="D254" s="1">
        <v>168.4</v>
      </c>
      <c r="E254" s="1">
        <f>Tabela110[[#This Row],[Força (N)]]/$I$5</f>
        <v>3500042.6074070381</v>
      </c>
      <c r="F254" s="1">
        <f>Tabela110[[#This Row],[Tensão (Pa)]]/1000000</f>
        <v>3.5000426074070381</v>
      </c>
    </row>
    <row r="255" spans="1:6" x14ac:dyDescent="0.3">
      <c r="A255" s="1">
        <v>33.35</v>
      </c>
      <c r="B255" s="1">
        <v>2.7713999999999999</v>
      </c>
      <c r="C255" s="1">
        <f>Tabela110[[#This Row],[Alongamento (mm/mm)]]/$I$2</f>
        <v>5.5427999999999998E-2</v>
      </c>
      <c r="D255" s="1">
        <v>169.42</v>
      </c>
      <c r="E255" s="1">
        <f>Tabela110[[#This Row],[Força (N)]]/$I$5</f>
        <v>3521242.3904210231</v>
      </c>
      <c r="F255" s="1">
        <f>Tabela110[[#This Row],[Tensão (Pa)]]/1000000</f>
        <v>3.521242390421023</v>
      </c>
    </row>
    <row r="256" spans="1:6" x14ac:dyDescent="0.3">
      <c r="A256" s="1">
        <v>33.417000000000002</v>
      </c>
      <c r="B256" s="1">
        <v>2.7768999999999999</v>
      </c>
      <c r="C256" s="1">
        <f>Tabela110[[#This Row],[Alongamento (mm/mm)]]/$I$2</f>
        <v>5.5537999999999997E-2</v>
      </c>
      <c r="D256" s="1">
        <v>170.61</v>
      </c>
      <c r="E256" s="1">
        <f>Tabela110[[#This Row],[Força (N)]]/$I$5</f>
        <v>3545975.4706040071</v>
      </c>
      <c r="F256" s="1">
        <f>Tabela110[[#This Row],[Tensão (Pa)]]/1000000</f>
        <v>3.5459754706040072</v>
      </c>
    </row>
    <row r="257" spans="1:6" x14ac:dyDescent="0.3">
      <c r="A257" s="1">
        <v>33.466999999999999</v>
      </c>
      <c r="B257" s="1">
        <v>2.7810999999999999</v>
      </c>
      <c r="C257" s="1">
        <f>Tabela110[[#This Row],[Alongamento (mm/mm)]]/$I$2</f>
        <v>5.5621999999999998E-2</v>
      </c>
      <c r="D257" s="1">
        <v>171.63</v>
      </c>
      <c r="E257" s="1">
        <f>Tabela110[[#This Row],[Força (N)]]/$I$5</f>
        <v>3567175.2536179922</v>
      </c>
      <c r="F257" s="1">
        <f>Tabela110[[#This Row],[Tensão (Pa)]]/1000000</f>
        <v>3.5671752536179921</v>
      </c>
    </row>
    <row r="258" spans="1:6" x14ac:dyDescent="0.3">
      <c r="A258" s="1">
        <v>33.533000000000001</v>
      </c>
      <c r="B258" s="1">
        <v>2.7867000000000002</v>
      </c>
      <c r="C258" s="1">
        <f>Tabela110[[#This Row],[Alongamento (mm/mm)]]/$I$2</f>
        <v>5.5734000000000006E-2</v>
      </c>
      <c r="D258" s="1">
        <v>172.82</v>
      </c>
      <c r="E258" s="1">
        <f>Tabela110[[#This Row],[Força (N)]]/$I$5</f>
        <v>3591908.3338009757</v>
      </c>
      <c r="F258" s="1">
        <f>Tabela110[[#This Row],[Tensão (Pa)]]/1000000</f>
        <v>3.5919083338009758</v>
      </c>
    </row>
    <row r="259" spans="1:6" x14ac:dyDescent="0.3">
      <c r="A259" s="1">
        <v>33.582999999999998</v>
      </c>
      <c r="B259" s="1">
        <v>2.7909000000000002</v>
      </c>
      <c r="C259" s="1">
        <f>Tabela110[[#This Row],[Alongamento (mm/mm)]]/$I$2</f>
        <v>5.5818000000000006E-2</v>
      </c>
      <c r="D259" s="1">
        <v>173.84</v>
      </c>
      <c r="E259" s="1">
        <f>Tabela110[[#This Row],[Força (N)]]/$I$5</f>
        <v>3613108.1168149612</v>
      </c>
      <c r="F259" s="1">
        <f>Tabela110[[#This Row],[Tensão (Pa)]]/1000000</f>
        <v>3.6131081168149612</v>
      </c>
    </row>
    <row r="260" spans="1:6" x14ac:dyDescent="0.3">
      <c r="A260" s="1">
        <v>33.65</v>
      </c>
      <c r="B260" s="1">
        <v>2.7964000000000002</v>
      </c>
      <c r="C260" s="1">
        <f>Tabela110[[#This Row],[Alongamento (mm/mm)]]/$I$2</f>
        <v>5.5928000000000005E-2</v>
      </c>
      <c r="D260" s="1">
        <v>175.03</v>
      </c>
      <c r="E260" s="1">
        <f>Tabela110[[#This Row],[Força (N)]]/$I$5</f>
        <v>3637841.1969979443</v>
      </c>
      <c r="F260" s="1">
        <f>Tabela110[[#This Row],[Tensão (Pa)]]/1000000</f>
        <v>3.6378411969979441</v>
      </c>
    </row>
    <row r="261" spans="1:6" x14ac:dyDescent="0.3">
      <c r="A261" s="1">
        <v>33.716999999999999</v>
      </c>
      <c r="B261" s="1">
        <v>2.802</v>
      </c>
      <c r="C261" s="1">
        <f>Tabela110[[#This Row],[Alongamento (mm/mm)]]/$I$2</f>
        <v>5.604E-2</v>
      </c>
      <c r="D261" s="1">
        <v>176.39</v>
      </c>
      <c r="E261" s="1">
        <f>Tabela110[[#This Row],[Força (N)]]/$I$5</f>
        <v>3666107.5743499249</v>
      </c>
      <c r="F261" s="1">
        <f>Tabela110[[#This Row],[Tensão (Pa)]]/1000000</f>
        <v>3.6661075743499247</v>
      </c>
    </row>
    <row r="262" spans="1:6" x14ac:dyDescent="0.3">
      <c r="A262" s="1">
        <v>33.799999999999997</v>
      </c>
      <c r="B262" s="1">
        <v>2.8090000000000002</v>
      </c>
      <c r="C262" s="1">
        <f>Tabela110[[#This Row],[Alongamento (mm/mm)]]/$I$2</f>
        <v>5.6180000000000001E-2</v>
      </c>
      <c r="D262" s="1">
        <v>177.92</v>
      </c>
      <c r="E262" s="1">
        <f>Tabela110[[#This Row],[Força (N)]]/$I$5</f>
        <v>3697907.2488709036</v>
      </c>
      <c r="F262" s="1">
        <f>Tabela110[[#This Row],[Tensão (Pa)]]/1000000</f>
        <v>3.6979072488709037</v>
      </c>
    </row>
    <row r="263" spans="1:6" x14ac:dyDescent="0.3">
      <c r="A263" s="1">
        <v>33.866999999999997</v>
      </c>
      <c r="B263" s="1">
        <v>2.8144999999999998</v>
      </c>
      <c r="C263" s="1">
        <f>Tabela110[[#This Row],[Alongamento (mm/mm)]]/$I$2</f>
        <v>5.6289999999999993E-2</v>
      </c>
      <c r="D263" s="1">
        <v>179.28</v>
      </c>
      <c r="E263" s="1">
        <f>Tabela110[[#This Row],[Força (N)]]/$I$5</f>
        <v>3726173.6262228847</v>
      </c>
      <c r="F263" s="1">
        <f>Tabela110[[#This Row],[Tensão (Pa)]]/1000000</f>
        <v>3.7261736262228848</v>
      </c>
    </row>
    <row r="264" spans="1:6" x14ac:dyDescent="0.3">
      <c r="A264" s="1">
        <v>33.933</v>
      </c>
      <c r="B264" s="1">
        <v>2.82</v>
      </c>
      <c r="C264" s="1">
        <f>Tabela110[[#This Row],[Alongamento (mm/mm)]]/$I$2</f>
        <v>5.6399999999999999E-2</v>
      </c>
      <c r="D264" s="1">
        <v>180.64</v>
      </c>
      <c r="E264" s="1">
        <f>Tabela110[[#This Row],[Força (N)]]/$I$5</f>
        <v>3754440.0035748649</v>
      </c>
      <c r="F264" s="1">
        <f>Tabela110[[#This Row],[Tensão (Pa)]]/1000000</f>
        <v>3.7544400035748651</v>
      </c>
    </row>
    <row r="265" spans="1:6" x14ac:dyDescent="0.3">
      <c r="A265" s="1">
        <v>34.017000000000003</v>
      </c>
      <c r="B265" s="1">
        <v>2.827</v>
      </c>
      <c r="C265" s="1">
        <f>Tabela110[[#This Row],[Alongamento (mm/mm)]]/$I$2</f>
        <v>5.654E-2</v>
      </c>
      <c r="D265" s="1">
        <v>182.18</v>
      </c>
      <c r="E265" s="1">
        <f>Tabela110[[#This Row],[Força (N)]]/$I$5</f>
        <v>3786447.5191057851</v>
      </c>
      <c r="F265" s="1">
        <f>Tabela110[[#This Row],[Tensão (Pa)]]/1000000</f>
        <v>3.7864475191057849</v>
      </c>
    </row>
    <row r="266" spans="1:6" x14ac:dyDescent="0.3">
      <c r="A266" s="1">
        <v>34.082999999999998</v>
      </c>
      <c r="B266" s="1">
        <v>2.8325999999999998</v>
      </c>
      <c r="C266" s="1">
        <f>Tabela110[[#This Row],[Alongamento (mm/mm)]]/$I$2</f>
        <v>5.6651999999999994E-2</v>
      </c>
      <c r="D266" s="1">
        <v>183.54</v>
      </c>
      <c r="E266" s="1">
        <f>Tabela110[[#This Row],[Força (N)]]/$I$5</f>
        <v>3814713.8964577657</v>
      </c>
      <c r="F266" s="1">
        <f>Tabela110[[#This Row],[Tensão (Pa)]]/1000000</f>
        <v>3.8147138964577656</v>
      </c>
    </row>
    <row r="267" spans="1:6" x14ac:dyDescent="0.3">
      <c r="A267" s="1">
        <v>34.15</v>
      </c>
      <c r="B267" s="1">
        <v>2.8380999999999998</v>
      </c>
      <c r="C267" s="1">
        <f>Tabela110[[#This Row],[Alongamento (mm/mm)]]/$I$2</f>
        <v>5.6762E-2</v>
      </c>
      <c r="D267" s="1">
        <v>184.9</v>
      </c>
      <c r="E267" s="1">
        <f>Tabela110[[#This Row],[Força (N)]]/$I$5</f>
        <v>3842980.2738097468</v>
      </c>
      <c r="F267" s="1">
        <f>Tabela110[[#This Row],[Tensão (Pa)]]/1000000</f>
        <v>3.8429802738097467</v>
      </c>
    </row>
    <row r="268" spans="1:6" x14ac:dyDescent="0.3">
      <c r="A268" s="1">
        <v>34.216999999999999</v>
      </c>
      <c r="B268" s="1">
        <v>2.8437000000000001</v>
      </c>
      <c r="C268" s="1">
        <f>Tabela110[[#This Row],[Alongamento (mm/mm)]]/$I$2</f>
        <v>5.6874000000000001E-2</v>
      </c>
      <c r="D268" s="1">
        <v>186.26</v>
      </c>
      <c r="E268" s="1">
        <f>Tabela110[[#This Row],[Força (N)]]/$I$5</f>
        <v>3871246.651161727</v>
      </c>
      <c r="F268" s="1">
        <f>Tabela110[[#This Row],[Tensão (Pa)]]/1000000</f>
        <v>3.8712466511617269</v>
      </c>
    </row>
    <row r="269" spans="1:6" x14ac:dyDescent="0.3">
      <c r="A269" s="1">
        <v>34.299999999999997</v>
      </c>
      <c r="B269" s="1">
        <v>2.8506</v>
      </c>
      <c r="C269" s="1">
        <f>Tabela110[[#This Row],[Alongamento (mm/mm)]]/$I$2</f>
        <v>5.7012E-2</v>
      </c>
      <c r="D269" s="1">
        <v>187.79</v>
      </c>
      <c r="E269" s="1">
        <f>Tabela110[[#This Row],[Força (N)]]/$I$5</f>
        <v>3903046.3256827057</v>
      </c>
      <c r="F269" s="1">
        <f>Tabela110[[#This Row],[Tensão (Pa)]]/1000000</f>
        <v>3.9030463256827059</v>
      </c>
    </row>
    <row r="270" spans="1:6" x14ac:dyDescent="0.3">
      <c r="A270" s="1">
        <v>34.366999999999997</v>
      </c>
      <c r="B270" s="1">
        <v>2.8561000000000001</v>
      </c>
      <c r="C270" s="1">
        <f>Tabela110[[#This Row],[Alongamento (mm/mm)]]/$I$2</f>
        <v>5.7121999999999999E-2</v>
      </c>
      <c r="D270" s="1">
        <v>189.15</v>
      </c>
      <c r="E270" s="1">
        <f>Tabela110[[#This Row],[Força (N)]]/$I$5</f>
        <v>3931312.7030346869</v>
      </c>
      <c r="F270" s="1">
        <f>Tabela110[[#This Row],[Tensão (Pa)]]/1000000</f>
        <v>3.9313127030346871</v>
      </c>
    </row>
    <row r="271" spans="1:6" x14ac:dyDescent="0.3">
      <c r="A271" s="1">
        <v>34.433</v>
      </c>
      <c r="B271" s="1">
        <v>2.8616999999999999</v>
      </c>
      <c r="C271" s="1">
        <f>Tabela110[[#This Row],[Alongamento (mm/mm)]]/$I$2</f>
        <v>5.7234E-2</v>
      </c>
      <c r="D271" s="1">
        <v>190.51</v>
      </c>
      <c r="E271" s="1">
        <f>Tabela110[[#This Row],[Força (N)]]/$I$5</f>
        <v>3959579.080386667</v>
      </c>
      <c r="F271" s="1">
        <f>Tabela110[[#This Row],[Tensão (Pa)]]/1000000</f>
        <v>3.9595790803866668</v>
      </c>
    </row>
    <row r="272" spans="1:6" x14ac:dyDescent="0.3">
      <c r="A272" s="1">
        <v>34.5</v>
      </c>
      <c r="B272" s="1">
        <v>2.8673000000000002</v>
      </c>
      <c r="C272" s="1">
        <f>Tabela110[[#This Row],[Alongamento (mm/mm)]]/$I$2</f>
        <v>5.7346000000000001E-2</v>
      </c>
      <c r="D272" s="1">
        <v>191.87</v>
      </c>
      <c r="E272" s="1">
        <f>Tabela110[[#This Row],[Força (N)]]/$I$5</f>
        <v>3987845.4577386482</v>
      </c>
      <c r="F272" s="1">
        <f>Tabela110[[#This Row],[Tensão (Pa)]]/1000000</f>
        <v>3.987845457738648</v>
      </c>
    </row>
    <row r="273" spans="1:6" x14ac:dyDescent="0.3">
      <c r="A273" s="1">
        <v>34.567</v>
      </c>
      <c r="B273" s="1">
        <v>2.8727999999999998</v>
      </c>
      <c r="C273" s="1">
        <f>Tabela110[[#This Row],[Alongamento (mm/mm)]]/$I$2</f>
        <v>5.7455999999999993E-2</v>
      </c>
      <c r="D273" s="1">
        <v>193.23</v>
      </c>
      <c r="E273" s="1">
        <f>Tabela110[[#This Row],[Força (N)]]/$I$5</f>
        <v>4016111.8350906288</v>
      </c>
      <c r="F273" s="1">
        <f>Tabela110[[#This Row],[Tensão (Pa)]]/1000000</f>
        <v>4.0161118350906291</v>
      </c>
    </row>
    <row r="274" spans="1:6" x14ac:dyDescent="0.3">
      <c r="A274" s="1">
        <v>34.633000000000003</v>
      </c>
      <c r="B274" s="1">
        <v>2.8784000000000001</v>
      </c>
      <c r="C274" s="1">
        <f>Tabela110[[#This Row],[Alongamento (mm/mm)]]/$I$2</f>
        <v>5.7568000000000001E-2</v>
      </c>
      <c r="D274" s="1">
        <v>194.59</v>
      </c>
      <c r="E274" s="1">
        <f>Tabela110[[#This Row],[Força (N)]]/$I$5</f>
        <v>4044378.2124426099</v>
      </c>
      <c r="F274" s="1">
        <f>Tabela110[[#This Row],[Tensão (Pa)]]/1000000</f>
        <v>4.0443782124426102</v>
      </c>
    </row>
    <row r="275" spans="1:6" x14ac:dyDescent="0.3">
      <c r="A275" s="1">
        <v>34.700000000000003</v>
      </c>
      <c r="B275" s="1">
        <v>2.8839999999999999</v>
      </c>
      <c r="C275" s="1">
        <f>Tabela110[[#This Row],[Alongamento (mm/mm)]]/$I$2</f>
        <v>5.7679999999999995E-2</v>
      </c>
      <c r="D275" s="1">
        <v>195.95</v>
      </c>
      <c r="E275" s="1">
        <f>Tabela110[[#This Row],[Força (N)]]/$I$5</f>
        <v>4072644.5897945906</v>
      </c>
      <c r="F275" s="1">
        <f>Tabela110[[#This Row],[Tensão (Pa)]]/1000000</f>
        <v>4.0726445897945904</v>
      </c>
    </row>
    <row r="276" spans="1:6" x14ac:dyDescent="0.3">
      <c r="A276" s="1">
        <v>34.767000000000003</v>
      </c>
      <c r="B276" s="1">
        <v>2.8895</v>
      </c>
      <c r="C276" s="1">
        <f>Tabela110[[#This Row],[Alongamento (mm/mm)]]/$I$2</f>
        <v>5.7790000000000001E-2</v>
      </c>
      <c r="D276" s="1">
        <v>197.48</v>
      </c>
      <c r="E276" s="1">
        <f>Tabela110[[#This Row],[Força (N)]]/$I$5</f>
        <v>4104444.2643155688</v>
      </c>
      <c r="F276" s="1">
        <f>Tabela110[[#This Row],[Tensão (Pa)]]/1000000</f>
        <v>4.1044442643155685</v>
      </c>
    </row>
    <row r="277" spans="1:6" x14ac:dyDescent="0.3">
      <c r="A277" s="1">
        <v>34.832999999999998</v>
      </c>
      <c r="B277" s="1">
        <v>2.895</v>
      </c>
      <c r="C277" s="1">
        <f>Tabela110[[#This Row],[Alongamento (mm/mm)]]/$I$2</f>
        <v>5.79E-2</v>
      </c>
      <c r="D277" s="1">
        <v>198.85</v>
      </c>
      <c r="E277" s="1">
        <f>Tabela110[[#This Row],[Força (N)]]/$I$5</f>
        <v>4132918.4826774909</v>
      </c>
      <c r="F277" s="1">
        <f>Tabela110[[#This Row],[Tensão (Pa)]]/1000000</f>
        <v>4.132918482677491</v>
      </c>
    </row>
    <row r="278" spans="1:6" x14ac:dyDescent="0.3">
      <c r="A278" s="1">
        <v>34.9</v>
      </c>
      <c r="B278" s="1">
        <v>2.9005999999999998</v>
      </c>
      <c r="C278" s="1">
        <f>Tabela110[[#This Row],[Alongamento (mm/mm)]]/$I$2</f>
        <v>5.8011999999999994E-2</v>
      </c>
      <c r="D278" s="1">
        <v>200.21</v>
      </c>
      <c r="E278" s="1">
        <f>Tabela110[[#This Row],[Força (N)]]/$I$5</f>
        <v>4161184.860029472</v>
      </c>
      <c r="F278" s="1">
        <f>Tabela110[[#This Row],[Tensão (Pa)]]/1000000</f>
        <v>4.1611848600294721</v>
      </c>
    </row>
    <row r="279" spans="1:6" x14ac:dyDescent="0.3">
      <c r="A279" s="1">
        <v>34.966999999999999</v>
      </c>
      <c r="B279" s="1">
        <v>2.9060999999999999</v>
      </c>
      <c r="C279" s="1">
        <f>Tabela110[[#This Row],[Alongamento (mm/mm)]]/$I$2</f>
        <v>5.8122E-2</v>
      </c>
      <c r="D279" s="1">
        <v>201.74</v>
      </c>
      <c r="E279" s="1">
        <f>Tabela110[[#This Row],[Força (N)]]/$I$5</f>
        <v>4192984.5345504503</v>
      </c>
      <c r="F279" s="1">
        <f>Tabela110[[#This Row],[Tensão (Pa)]]/1000000</f>
        <v>4.1929845345504502</v>
      </c>
    </row>
    <row r="280" spans="1:6" x14ac:dyDescent="0.3">
      <c r="A280" s="1">
        <v>35.033000000000001</v>
      </c>
      <c r="B280" s="1">
        <v>2.9117000000000002</v>
      </c>
      <c r="C280" s="1">
        <f>Tabela110[[#This Row],[Alongamento (mm/mm)]]/$I$2</f>
        <v>5.8234000000000001E-2</v>
      </c>
      <c r="D280" s="1">
        <v>203.1</v>
      </c>
      <c r="E280" s="1">
        <f>Tabela110[[#This Row],[Força (N)]]/$I$5</f>
        <v>4221250.9119024314</v>
      </c>
      <c r="F280" s="1">
        <f>Tabela110[[#This Row],[Tensão (Pa)]]/1000000</f>
        <v>4.2212509119024313</v>
      </c>
    </row>
    <row r="281" spans="1:6" x14ac:dyDescent="0.3">
      <c r="A281" s="1">
        <v>35.1</v>
      </c>
      <c r="B281" s="1">
        <v>2.9173</v>
      </c>
      <c r="C281" s="1">
        <f>Tabela110[[#This Row],[Alongamento (mm/mm)]]/$I$2</f>
        <v>5.8346000000000002E-2</v>
      </c>
      <c r="D281" s="1">
        <v>204.63</v>
      </c>
      <c r="E281" s="1">
        <f>Tabela110[[#This Row],[Força (N)]]/$I$5</f>
        <v>4253050.5864234092</v>
      </c>
      <c r="F281" s="1">
        <f>Tabela110[[#This Row],[Tensão (Pa)]]/1000000</f>
        <v>4.2530505864234094</v>
      </c>
    </row>
    <row r="282" spans="1:6" x14ac:dyDescent="0.3">
      <c r="A282" s="1">
        <v>35.167000000000002</v>
      </c>
      <c r="B282" s="1">
        <v>2.9228999999999998</v>
      </c>
      <c r="C282" s="1">
        <f>Tabela110[[#This Row],[Alongamento (mm/mm)]]/$I$2</f>
        <v>5.8457999999999996E-2</v>
      </c>
      <c r="D282" s="1">
        <v>205.99</v>
      </c>
      <c r="E282" s="1">
        <f>Tabela110[[#This Row],[Força (N)]]/$I$5</f>
        <v>4281316.9637753908</v>
      </c>
      <c r="F282" s="1">
        <f>Tabela110[[#This Row],[Tensão (Pa)]]/1000000</f>
        <v>4.2813169637753905</v>
      </c>
    </row>
    <row r="283" spans="1:6" x14ac:dyDescent="0.3">
      <c r="A283" s="1">
        <v>35.232999999999997</v>
      </c>
      <c r="B283" s="1">
        <v>2.9283000000000001</v>
      </c>
      <c r="C283" s="1">
        <f>Tabela110[[#This Row],[Alongamento (mm/mm)]]/$I$2</f>
        <v>5.8566E-2</v>
      </c>
      <c r="D283" s="1">
        <v>207.52</v>
      </c>
      <c r="E283" s="1">
        <f>Tabela110[[#This Row],[Força (N)]]/$I$5</f>
        <v>4313116.6382963695</v>
      </c>
      <c r="F283" s="1">
        <f>Tabela110[[#This Row],[Tensão (Pa)]]/1000000</f>
        <v>4.3131166382963695</v>
      </c>
    </row>
    <row r="284" spans="1:6" x14ac:dyDescent="0.3">
      <c r="A284" s="1">
        <v>35.299999999999997</v>
      </c>
      <c r="B284" s="1">
        <v>2.9339</v>
      </c>
      <c r="C284" s="1">
        <f>Tabela110[[#This Row],[Alongamento (mm/mm)]]/$I$2</f>
        <v>5.8678000000000001E-2</v>
      </c>
      <c r="D284" s="1">
        <v>208.88</v>
      </c>
      <c r="E284" s="1">
        <f>Tabela110[[#This Row],[Força (N)]]/$I$5</f>
        <v>4341383.0156483492</v>
      </c>
      <c r="F284" s="1">
        <f>Tabela110[[#This Row],[Tensão (Pa)]]/1000000</f>
        <v>4.3413830156483488</v>
      </c>
    </row>
    <row r="285" spans="1:6" x14ac:dyDescent="0.3">
      <c r="A285" s="1">
        <v>35.366999999999997</v>
      </c>
      <c r="B285" s="1">
        <v>2.9394999999999998</v>
      </c>
      <c r="C285" s="1">
        <f>Tabela110[[#This Row],[Alongamento (mm/mm)]]/$I$2</f>
        <v>5.8789999999999995E-2</v>
      </c>
      <c r="D285" s="1">
        <v>210.41</v>
      </c>
      <c r="E285" s="1">
        <f>Tabela110[[#This Row],[Força (N)]]/$I$5</f>
        <v>4373182.6901693279</v>
      </c>
      <c r="F285" s="1">
        <f>Tabela110[[#This Row],[Tensão (Pa)]]/1000000</f>
        <v>4.3731826901693278</v>
      </c>
    </row>
    <row r="286" spans="1:6" x14ac:dyDescent="0.3">
      <c r="A286" s="1">
        <v>35.433</v>
      </c>
      <c r="B286" s="1">
        <v>2.9451000000000001</v>
      </c>
      <c r="C286" s="1">
        <f>Tabela110[[#This Row],[Alongamento (mm/mm)]]/$I$2</f>
        <v>5.8902000000000003E-2</v>
      </c>
      <c r="D286" s="1">
        <v>211.77</v>
      </c>
      <c r="E286" s="1">
        <f>Tabela110[[#This Row],[Força (N)]]/$I$5</f>
        <v>4401449.0675213095</v>
      </c>
      <c r="F286" s="1">
        <f>Tabela110[[#This Row],[Tensão (Pa)]]/1000000</f>
        <v>4.4014490675213098</v>
      </c>
    </row>
    <row r="287" spans="1:6" x14ac:dyDescent="0.3">
      <c r="A287" s="1">
        <v>35.5</v>
      </c>
      <c r="B287" s="1">
        <v>2.9506000000000001</v>
      </c>
      <c r="C287" s="1">
        <f>Tabela110[[#This Row],[Alongamento (mm/mm)]]/$I$2</f>
        <v>5.9012000000000002E-2</v>
      </c>
      <c r="D287" s="1">
        <v>213.3</v>
      </c>
      <c r="E287" s="1">
        <f>Tabela110[[#This Row],[Força (N)]]/$I$5</f>
        <v>4433248.7420422873</v>
      </c>
      <c r="F287" s="1">
        <f>Tabela110[[#This Row],[Tensão (Pa)]]/1000000</f>
        <v>4.433248742042287</v>
      </c>
    </row>
    <row r="288" spans="1:6" x14ac:dyDescent="0.3">
      <c r="A288" s="1">
        <v>35.567</v>
      </c>
      <c r="B288" s="1">
        <v>2.9561999999999999</v>
      </c>
      <c r="C288" s="1">
        <f>Tabela110[[#This Row],[Alongamento (mm/mm)]]/$I$2</f>
        <v>5.9123999999999996E-2</v>
      </c>
      <c r="D288" s="1">
        <v>214.83</v>
      </c>
      <c r="E288" s="1">
        <f>Tabela110[[#This Row],[Força (N)]]/$I$5</f>
        <v>4465048.416563266</v>
      </c>
      <c r="F288" s="1">
        <f>Tabela110[[#This Row],[Tensão (Pa)]]/1000000</f>
        <v>4.465048416563266</v>
      </c>
    </row>
    <row r="289" spans="1:6" x14ac:dyDescent="0.3">
      <c r="A289" s="1">
        <v>35.633000000000003</v>
      </c>
      <c r="B289" s="1">
        <v>2.9618000000000002</v>
      </c>
      <c r="C289" s="1">
        <f>Tabela110[[#This Row],[Alongamento (mm/mm)]]/$I$2</f>
        <v>5.9236000000000004E-2</v>
      </c>
      <c r="D289" s="1">
        <v>216.37</v>
      </c>
      <c r="E289" s="1">
        <f>Tabela110[[#This Row],[Força (N)]]/$I$5</f>
        <v>4497055.9320941856</v>
      </c>
      <c r="F289" s="1">
        <f>Tabela110[[#This Row],[Tensão (Pa)]]/1000000</f>
        <v>4.4970559320941854</v>
      </c>
    </row>
    <row r="290" spans="1:6" x14ac:dyDescent="0.3">
      <c r="A290" s="1">
        <v>35.700000000000003</v>
      </c>
      <c r="B290" s="1">
        <v>2.9672000000000001</v>
      </c>
      <c r="C290" s="1">
        <f>Tabela110[[#This Row],[Alongamento (mm/mm)]]/$I$2</f>
        <v>5.9344000000000001E-2</v>
      </c>
      <c r="D290" s="1">
        <v>217.9</v>
      </c>
      <c r="E290" s="1">
        <f>Tabela110[[#This Row],[Força (N)]]/$I$5</f>
        <v>4528855.6066151634</v>
      </c>
      <c r="F290" s="1">
        <f>Tabela110[[#This Row],[Tensão (Pa)]]/1000000</f>
        <v>4.5288556066151635</v>
      </c>
    </row>
    <row r="291" spans="1:6" x14ac:dyDescent="0.3">
      <c r="A291" s="1">
        <v>35.783000000000001</v>
      </c>
      <c r="B291" s="1">
        <v>2.9741</v>
      </c>
      <c r="C291" s="1">
        <f>Tabela110[[#This Row],[Alongamento (mm/mm)]]/$I$2</f>
        <v>5.9482E-2</v>
      </c>
      <c r="D291" s="1">
        <v>219.94</v>
      </c>
      <c r="E291" s="1">
        <f>Tabela110[[#This Row],[Força (N)]]/$I$5</f>
        <v>4571255.1726431353</v>
      </c>
      <c r="F291" s="1">
        <f>Tabela110[[#This Row],[Tensão (Pa)]]/1000000</f>
        <v>4.5712551726431352</v>
      </c>
    </row>
    <row r="292" spans="1:6" x14ac:dyDescent="0.3">
      <c r="A292" s="1">
        <v>35.866999999999997</v>
      </c>
      <c r="B292" s="1">
        <v>2.9811000000000001</v>
      </c>
      <c r="C292" s="1">
        <f>Tabela110[[#This Row],[Alongamento (mm/mm)]]/$I$2</f>
        <v>5.9622000000000001E-2</v>
      </c>
      <c r="D292" s="1">
        <v>221.81</v>
      </c>
      <c r="E292" s="1">
        <f>Tabela110[[#This Row],[Força (N)]]/$I$5</f>
        <v>4610121.4415021082</v>
      </c>
      <c r="F292" s="1">
        <f>Tabela110[[#This Row],[Tensão (Pa)]]/1000000</f>
        <v>4.6101214415021081</v>
      </c>
    </row>
    <row r="293" spans="1:6" x14ac:dyDescent="0.3">
      <c r="A293" s="1">
        <v>35.950000000000003</v>
      </c>
      <c r="B293" s="1">
        <v>2.9881000000000002</v>
      </c>
      <c r="C293" s="1">
        <f>Tabela110[[#This Row],[Alongamento (mm/mm)]]/$I$2</f>
        <v>5.9762000000000003E-2</v>
      </c>
      <c r="D293" s="1">
        <v>223.68</v>
      </c>
      <c r="E293" s="1">
        <f>Tabela110[[#This Row],[Força (N)]]/$I$5</f>
        <v>4648987.7103610821</v>
      </c>
      <c r="F293" s="1">
        <f>Tabela110[[#This Row],[Tensão (Pa)]]/1000000</f>
        <v>4.6489877103610819</v>
      </c>
    </row>
    <row r="294" spans="1:6" x14ac:dyDescent="0.3">
      <c r="A294" s="1">
        <v>36.033000000000001</v>
      </c>
      <c r="B294" s="1">
        <v>2.9950999999999999</v>
      </c>
      <c r="C294" s="1">
        <f>Tabela110[[#This Row],[Alongamento (mm/mm)]]/$I$2</f>
        <v>5.9901999999999997E-2</v>
      </c>
      <c r="D294" s="1">
        <v>225.55</v>
      </c>
      <c r="E294" s="1">
        <f>Tabela110[[#This Row],[Força (N)]]/$I$5</f>
        <v>4687853.979220056</v>
      </c>
      <c r="F294" s="1">
        <f>Tabela110[[#This Row],[Tensão (Pa)]]/1000000</f>
        <v>4.6878539792200558</v>
      </c>
    </row>
    <row r="295" spans="1:6" x14ac:dyDescent="0.3">
      <c r="A295" s="1">
        <v>36.1</v>
      </c>
      <c r="B295" s="1">
        <v>3.0007000000000001</v>
      </c>
      <c r="C295" s="1">
        <f>Tabela110[[#This Row],[Alongamento (mm/mm)]]/$I$2</f>
        <v>6.0014000000000005E-2</v>
      </c>
      <c r="D295" s="1">
        <v>227.25</v>
      </c>
      <c r="E295" s="1">
        <f>Tabela110[[#This Row],[Força (N)]]/$I$5</f>
        <v>4723186.9509100318</v>
      </c>
      <c r="F295" s="1">
        <f>Tabela110[[#This Row],[Tensão (Pa)]]/1000000</f>
        <v>4.7231869509100317</v>
      </c>
    </row>
    <row r="296" spans="1:6" x14ac:dyDescent="0.3">
      <c r="A296" s="1">
        <v>36.183</v>
      </c>
      <c r="B296" s="1">
        <v>3.0074999999999998</v>
      </c>
      <c r="C296" s="1">
        <f>Tabela110[[#This Row],[Alongamento (mm/mm)]]/$I$2</f>
        <v>6.0149999999999995E-2</v>
      </c>
      <c r="D296" s="1">
        <v>229.12</v>
      </c>
      <c r="E296" s="1">
        <f>Tabela110[[#This Row],[Força (N)]]/$I$5</f>
        <v>4762053.2197690057</v>
      </c>
      <c r="F296" s="1">
        <f>Tabela110[[#This Row],[Tensão (Pa)]]/1000000</f>
        <v>4.7620532197690055</v>
      </c>
    </row>
    <row r="297" spans="1:6" x14ac:dyDescent="0.3">
      <c r="A297" s="1">
        <v>36.267000000000003</v>
      </c>
      <c r="B297" s="1">
        <v>3.0144000000000002</v>
      </c>
      <c r="C297" s="1">
        <f>Tabela110[[#This Row],[Alongamento (mm/mm)]]/$I$2</f>
        <v>6.0288000000000001E-2</v>
      </c>
      <c r="D297" s="1">
        <v>231.16</v>
      </c>
      <c r="E297" s="1">
        <f>Tabela110[[#This Row],[Força (N)]]/$I$5</f>
        <v>4804452.7857969766</v>
      </c>
      <c r="F297" s="1">
        <f>Tabela110[[#This Row],[Tensão (Pa)]]/1000000</f>
        <v>4.8044527857969763</v>
      </c>
    </row>
    <row r="298" spans="1:6" x14ac:dyDescent="0.3">
      <c r="A298" s="1">
        <v>36.35</v>
      </c>
      <c r="B298" s="1">
        <v>3.0213999999999999</v>
      </c>
      <c r="C298" s="1">
        <f>Tabela110[[#This Row],[Alongamento (mm/mm)]]/$I$2</f>
        <v>6.0427999999999996E-2</v>
      </c>
      <c r="D298" s="1">
        <v>233.04</v>
      </c>
      <c r="E298" s="1">
        <f>Tabela110[[#This Row],[Força (N)]]/$I$5</f>
        <v>4843526.8956658915</v>
      </c>
      <c r="F298" s="1">
        <f>Tabela110[[#This Row],[Tensão (Pa)]]/1000000</f>
        <v>4.8435268956658915</v>
      </c>
    </row>
    <row r="299" spans="1:6" x14ac:dyDescent="0.3">
      <c r="A299" s="1">
        <v>36.417000000000002</v>
      </c>
      <c r="B299" s="1">
        <v>3.0270000000000001</v>
      </c>
      <c r="C299" s="1">
        <f>Tabela110[[#This Row],[Alongamento (mm/mm)]]/$I$2</f>
        <v>6.0540000000000004E-2</v>
      </c>
      <c r="D299" s="1">
        <v>234.74</v>
      </c>
      <c r="E299" s="1">
        <f>Tabela110[[#This Row],[Força (N)]]/$I$5</f>
        <v>4878859.8673558673</v>
      </c>
      <c r="F299" s="1">
        <f>Tabela110[[#This Row],[Tensão (Pa)]]/1000000</f>
        <v>4.8788598673558674</v>
      </c>
    </row>
    <row r="300" spans="1:6" x14ac:dyDescent="0.3">
      <c r="A300" s="1">
        <v>36.5</v>
      </c>
      <c r="B300" s="1">
        <v>3.0339999999999998</v>
      </c>
      <c r="C300" s="1">
        <f>Tabela110[[#This Row],[Alongamento (mm/mm)]]/$I$2</f>
        <v>6.0679999999999998E-2</v>
      </c>
      <c r="D300" s="1">
        <v>236.61</v>
      </c>
      <c r="E300" s="1">
        <f>Tabela110[[#This Row],[Força (N)]]/$I$5</f>
        <v>4917726.1362148412</v>
      </c>
      <c r="F300" s="1">
        <f>Tabela110[[#This Row],[Tensão (Pa)]]/1000000</f>
        <v>4.9177261362148412</v>
      </c>
    </row>
    <row r="301" spans="1:6" x14ac:dyDescent="0.3">
      <c r="A301" s="1">
        <v>36.567</v>
      </c>
      <c r="B301" s="1">
        <v>3.0396000000000001</v>
      </c>
      <c r="C301" s="1">
        <f>Tabela110[[#This Row],[Alongamento (mm/mm)]]/$I$2</f>
        <v>6.0791999999999999E-2</v>
      </c>
      <c r="D301" s="1">
        <v>238.31</v>
      </c>
      <c r="E301" s="1">
        <f>Tabela110[[#This Row],[Força (N)]]/$I$5</f>
        <v>4953059.107904817</v>
      </c>
      <c r="F301" s="1">
        <f>Tabela110[[#This Row],[Tensão (Pa)]]/1000000</f>
        <v>4.9530591079048172</v>
      </c>
    </row>
    <row r="302" spans="1:6" x14ac:dyDescent="0.3">
      <c r="A302" s="1">
        <v>36.65</v>
      </c>
      <c r="B302" s="1">
        <v>3.0464000000000002</v>
      </c>
      <c r="C302" s="1">
        <f>Tabela110[[#This Row],[Alongamento (mm/mm)]]/$I$2</f>
        <v>6.0928000000000003E-2</v>
      </c>
      <c r="D302" s="1">
        <v>240.35</v>
      </c>
      <c r="E302" s="1">
        <f>Tabela110[[#This Row],[Força (N)]]/$I$5</f>
        <v>4995458.673932788</v>
      </c>
      <c r="F302" s="1">
        <f>Tabela110[[#This Row],[Tensão (Pa)]]/1000000</f>
        <v>4.995458673932788</v>
      </c>
    </row>
    <row r="303" spans="1:6" x14ac:dyDescent="0.3">
      <c r="A303" s="1">
        <v>36.732999999999997</v>
      </c>
      <c r="B303" s="1">
        <v>3.0533999999999999</v>
      </c>
      <c r="C303" s="1">
        <f>Tabela110[[#This Row],[Alongamento (mm/mm)]]/$I$2</f>
        <v>6.1067999999999997E-2</v>
      </c>
      <c r="D303" s="1">
        <v>242.22</v>
      </c>
      <c r="E303" s="1">
        <f>Tabela110[[#This Row],[Força (N)]]/$I$5</f>
        <v>5034324.9427917618</v>
      </c>
      <c r="F303" s="1">
        <f>Tabela110[[#This Row],[Tensão (Pa)]]/1000000</f>
        <v>5.0343249427917618</v>
      </c>
    </row>
    <row r="304" spans="1:6" x14ac:dyDescent="0.3">
      <c r="A304" s="1">
        <v>36.799999999999997</v>
      </c>
      <c r="B304" s="1">
        <v>3.0589</v>
      </c>
      <c r="C304" s="1">
        <f>Tabela110[[#This Row],[Alongamento (mm/mm)]]/$I$2</f>
        <v>6.1177999999999996E-2</v>
      </c>
      <c r="D304" s="1">
        <v>243.92</v>
      </c>
      <c r="E304" s="1">
        <f>Tabela110[[#This Row],[Força (N)]]/$I$5</f>
        <v>5069657.9144817377</v>
      </c>
      <c r="F304" s="1">
        <f>Tabela110[[#This Row],[Tensão (Pa)]]/1000000</f>
        <v>5.0696579144817377</v>
      </c>
    </row>
    <row r="305" spans="1:6" x14ac:dyDescent="0.3">
      <c r="A305" s="1">
        <v>36.883000000000003</v>
      </c>
      <c r="B305" s="1">
        <v>3.0659000000000001</v>
      </c>
      <c r="C305" s="1">
        <f>Tabela110[[#This Row],[Alongamento (mm/mm)]]/$I$2</f>
        <v>6.1318000000000004E-2</v>
      </c>
      <c r="D305" s="1">
        <v>245.96</v>
      </c>
      <c r="E305" s="1">
        <f>Tabela110[[#This Row],[Força (N)]]/$I$5</f>
        <v>5112057.4805097096</v>
      </c>
      <c r="F305" s="1">
        <f>Tabela110[[#This Row],[Tensão (Pa)]]/1000000</f>
        <v>5.1120574805097094</v>
      </c>
    </row>
    <row r="306" spans="1:6" x14ac:dyDescent="0.3">
      <c r="A306" s="1">
        <v>36.966999999999999</v>
      </c>
      <c r="B306" s="1">
        <v>3.0728</v>
      </c>
      <c r="C306" s="1">
        <f>Tabela110[[#This Row],[Alongamento (mm/mm)]]/$I$2</f>
        <v>6.1455999999999997E-2</v>
      </c>
      <c r="D306" s="1">
        <v>248</v>
      </c>
      <c r="E306" s="1">
        <f>Tabela110[[#This Row],[Força (N)]]/$I$5</f>
        <v>5154457.0465376806</v>
      </c>
      <c r="F306" s="1">
        <f>Tabela110[[#This Row],[Tensão (Pa)]]/1000000</f>
        <v>5.1544570465376802</v>
      </c>
    </row>
    <row r="307" spans="1:6" x14ac:dyDescent="0.3">
      <c r="A307" s="1">
        <v>37.049999999999997</v>
      </c>
      <c r="B307" s="1">
        <v>3.0798000000000001</v>
      </c>
      <c r="C307" s="1">
        <f>Tabela110[[#This Row],[Alongamento (mm/mm)]]/$I$2</f>
        <v>6.1596000000000005E-2</v>
      </c>
      <c r="D307" s="1">
        <v>250.05</v>
      </c>
      <c r="E307" s="1">
        <f>Tabela110[[#This Row],[Força (N)]]/$I$5</f>
        <v>5197064.4535755934</v>
      </c>
      <c r="F307" s="1">
        <f>Tabela110[[#This Row],[Tensão (Pa)]]/1000000</f>
        <v>5.1970644535755932</v>
      </c>
    </row>
    <row r="308" spans="1:6" x14ac:dyDescent="0.3">
      <c r="A308" s="1">
        <v>37.116999999999997</v>
      </c>
      <c r="B308" s="1">
        <v>3.0853999999999999</v>
      </c>
      <c r="C308" s="1">
        <f>Tabela110[[#This Row],[Alongamento (mm/mm)]]/$I$2</f>
        <v>6.1707999999999999E-2</v>
      </c>
      <c r="D308" s="1">
        <v>251.75</v>
      </c>
      <c r="E308" s="1">
        <f>Tabela110[[#This Row],[Força (N)]]/$I$5</f>
        <v>5232397.4252655692</v>
      </c>
      <c r="F308" s="1">
        <f>Tabela110[[#This Row],[Tensão (Pa)]]/1000000</f>
        <v>5.2323974252655692</v>
      </c>
    </row>
    <row r="309" spans="1:6" x14ac:dyDescent="0.3">
      <c r="A309" s="1">
        <v>37.200000000000003</v>
      </c>
      <c r="B309" s="1">
        <v>3.0922000000000001</v>
      </c>
      <c r="C309" s="1">
        <f>Tabela110[[#This Row],[Alongamento (mm/mm)]]/$I$2</f>
        <v>6.1844000000000003E-2</v>
      </c>
      <c r="D309" s="1">
        <v>253.79</v>
      </c>
      <c r="E309" s="1">
        <f>Tabela110[[#This Row],[Força (N)]]/$I$5</f>
        <v>5274796.9912935402</v>
      </c>
      <c r="F309" s="1">
        <f>Tabela110[[#This Row],[Tensão (Pa)]]/1000000</f>
        <v>5.27479699129354</v>
      </c>
    </row>
    <row r="310" spans="1:6" x14ac:dyDescent="0.3">
      <c r="A310" s="1">
        <v>37.283000000000001</v>
      </c>
      <c r="B310" s="1">
        <v>3.0992000000000002</v>
      </c>
      <c r="C310" s="1">
        <f>Tabela110[[#This Row],[Alongamento (mm/mm)]]/$I$2</f>
        <v>6.1984000000000004E-2</v>
      </c>
      <c r="D310" s="1">
        <v>255.83</v>
      </c>
      <c r="E310" s="1">
        <f>Tabela110[[#This Row],[Força (N)]]/$I$5</f>
        <v>5317196.5573215112</v>
      </c>
      <c r="F310" s="1">
        <f>Tabela110[[#This Row],[Tensão (Pa)]]/1000000</f>
        <v>5.3171965573215116</v>
      </c>
    </row>
    <row r="311" spans="1:6" x14ac:dyDescent="0.3">
      <c r="A311" s="1">
        <v>37.366999999999997</v>
      </c>
      <c r="B311" s="1">
        <v>3.1061999999999999</v>
      </c>
      <c r="C311" s="1">
        <f>Tabela110[[#This Row],[Alongamento (mm/mm)]]/$I$2</f>
        <v>6.2123999999999999E-2</v>
      </c>
      <c r="D311" s="1">
        <v>257.7</v>
      </c>
      <c r="E311" s="1">
        <f>Tabela110[[#This Row],[Força (N)]]/$I$5</f>
        <v>5356062.8261804851</v>
      </c>
      <c r="F311" s="1">
        <f>Tabela110[[#This Row],[Tensão (Pa)]]/1000000</f>
        <v>5.3560628261804855</v>
      </c>
    </row>
    <row r="312" spans="1:6" x14ac:dyDescent="0.3">
      <c r="A312" s="1">
        <v>37.433</v>
      </c>
      <c r="B312" s="1">
        <v>3.1118000000000001</v>
      </c>
      <c r="C312" s="1">
        <f>Tabela110[[#This Row],[Alongamento (mm/mm)]]/$I$2</f>
        <v>6.2236E-2</v>
      </c>
      <c r="D312" s="1">
        <v>259.39999999999998</v>
      </c>
      <c r="E312" s="1">
        <f>Tabela110[[#This Row],[Força (N)]]/$I$5</f>
        <v>5391395.7978704609</v>
      </c>
      <c r="F312" s="1">
        <f>Tabela110[[#This Row],[Tensão (Pa)]]/1000000</f>
        <v>5.3913957978704605</v>
      </c>
    </row>
    <row r="313" spans="1:6" x14ac:dyDescent="0.3">
      <c r="A313" s="1">
        <v>37.5</v>
      </c>
      <c r="B313" s="1">
        <v>3.1173000000000002</v>
      </c>
      <c r="C313" s="1">
        <f>Tabela110[[#This Row],[Alongamento (mm/mm)]]/$I$2</f>
        <v>6.2346000000000006E-2</v>
      </c>
      <c r="D313" s="1">
        <v>261.10000000000002</v>
      </c>
      <c r="E313" s="1">
        <f>Tabela110[[#This Row],[Força (N)]]/$I$5</f>
        <v>5426728.7695604376</v>
      </c>
      <c r="F313" s="1">
        <f>Tabela110[[#This Row],[Tensão (Pa)]]/1000000</f>
        <v>5.4267287695604374</v>
      </c>
    </row>
    <row r="314" spans="1:6" x14ac:dyDescent="0.3">
      <c r="A314" s="1">
        <v>37.582999999999998</v>
      </c>
      <c r="B314" s="1">
        <v>3.1242000000000001</v>
      </c>
      <c r="C314" s="1">
        <f>Tabela110[[#This Row],[Alongamento (mm/mm)]]/$I$2</f>
        <v>6.2484000000000005E-2</v>
      </c>
      <c r="D314" s="1">
        <v>263.14</v>
      </c>
      <c r="E314" s="1">
        <f>Tabela110[[#This Row],[Força (N)]]/$I$5</f>
        <v>5469128.3355884077</v>
      </c>
      <c r="F314" s="1">
        <f>Tabela110[[#This Row],[Tensão (Pa)]]/1000000</f>
        <v>5.4691283355884073</v>
      </c>
    </row>
    <row r="315" spans="1:6" x14ac:dyDescent="0.3">
      <c r="A315" s="1">
        <v>37.667000000000002</v>
      </c>
      <c r="B315" s="1">
        <v>3.1312000000000002</v>
      </c>
      <c r="C315" s="1">
        <f>Tabela110[[#This Row],[Alongamento (mm/mm)]]/$I$2</f>
        <v>6.2623999999999999E-2</v>
      </c>
      <c r="D315" s="1">
        <v>265.18</v>
      </c>
      <c r="E315" s="1">
        <f>Tabela110[[#This Row],[Força (N)]]/$I$5</f>
        <v>5511527.9016163796</v>
      </c>
      <c r="F315" s="1">
        <f>Tabela110[[#This Row],[Tensão (Pa)]]/1000000</f>
        <v>5.5115279016163798</v>
      </c>
    </row>
    <row r="316" spans="1:6" x14ac:dyDescent="0.3">
      <c r="A316" s="1">
        <v>37.75</v>
      </c>
      <c r="B316" s="1">
        <v>3.1381000000000001</v>
      </c>
      <c r="C316" s="1">
        <f>Tabela110[[#This Row],[Alongamento (mm/mm)]]/$I$2</f>
        <v>6.2761999999999998E-2</v>
      </c>
      <c r="D316" s="1">
        <v>267.39999999999998</v>
      </c>
      <c r="E316" s="1">
        <f>Tabela110[[#This Row],[Força (N)]]/$I$5</f>
        <v>5557668.6058232887</v>
      </c>
      <c r="F316" s="1">
        <f>Tabela110[[#This Row],[Tensão (Pa)]]/1000000</f>
        <v>5.5576686058232889</v>
      </c>
    </row>
    <row r="317" spans="1:6" x14ac:dyDescent="0.3">
      <c r="A317" s="1">
        <v>37.832999999999998</v>
      </c>
      <c r="B317" s="1">
        <v>3.145</v>
      </c>
      <c r="C317" s="1">
        <f>Tabela110[[#This Row],[Alongamento (mm/mm)]]/$I$2</f>
        <v>6.2899999999999998E-2</v>
      </c>
      <c r="D317" s="1">
        <v>269.44</v>
      </c>
      <c r="E317" s="1">
        <f>Tabela110[[#This Row],[Força (N)]]/$I$5</f>
        <v>5600068.1718512606</v>
      </c>
      <c r="F317" s="1">
        <f>Tabela110[[#This Row],[Tensão (Pa)]]/1000000</f>
        <v>5.6000681718512606</v>
      </c>
    </row>
    <row r="318" spans="1:6" x14ac:dyDescent="0.3">
      <c r="A318" s="1">
        <v>37.917000000000002</v>
      </c>
      <c r="B318" s="1">
        <v>3.1520000000000001</v>
      </c>
      <c r="C318" s="1">
        <f>Tabela110[[#This Row],[Alongamento (mm/mm)]]/$I$2</f>
        <v>6.3039999999999999E-2</v>
      </c>
      <c r="D318" s="1">
        <v>271.48</v>
      </c>
      <c r="E318" s="1">
        <f>Tabela110[[#This Row],[Força (N)]]/$I$5</f>
        <v>5642467.7378792325</v>
      </c>
      <c r="F318" s="1">
        <f>Tabela110[[#This Row],[Tensão (Pa)]]/1000000</f>
        <v>5.6424677378792323</v>
      </c>
    </row>
    <row r="319" spans="1:6" x14ac:dyDescent="0.3">
      <c r="A319" s="1">
        <v>38</v>
      </c>
      <c r="B319" s="1">
        <v>3.1589</v>
      </c>
      <c r="C319" s="1">
        <f>Tabela110[[#This Row],[Alongamento (mm/mm)]]/$I$2</f>
        <v>6.3177999999999998E-2</v>
      </c>
      <c r="D319" s="1">
        <v>273.69</v>
      </c>
      <c r="E319" s="1">
        <f>Tabela110[[#This Row],[Força (N)]]/$I$5</f>
        <v>5688400.6010762006</v>
      </c>
      <c r="F319" s="1">
        <f>Tabela110[[#This Row],[Tensão (Pa)]]/1000000</f>
        <v>5.6884006010762009</v>
      </c>
    </row>
    <row r="320" spans="1:6" x14ac:dyDescent="0.3">
      <c r="A320" s="1">
        <v>38.082999999999998</v>
      </c>
      <c r="B320" s="1">
        <v>3.1657999999999999</v>
      </c>
      <c r="C320" s="1">
        <f>Tabela110[[#This Row],[Alongamento (mm/mm)]]/$I$2</f>
        <v>6.3315999999999997E-2</v>
      </c>
      <c r="D320" s="1">
        <v>275.89999999999998</v>
      </c>
      <c r="E320" s="1">
        <f>Tabela110[[#This Row],[Força (N)]]/$I$5</f>
        <v>5734333.4642731687</v>
      </c>
      <c r="F320" s="1">
        <f>Tabela110[[#This Row],[Tensão (Pa)]]/1000000</f>
        <v>5.7343334642731687</v>
      </c>
    </row>
    <row r="321" spans="1:6" x14ac:dyDescent="0.3">
      <c r="A321" s="1">
        <v>38.167000000000002</v>
      </c>
      <c r="B321" s="1">
        <v>3.1728000000000001</v>
      </c>
      <c r="C321" s="1">
        <f>Tabela110[[#This Row],[Alongamento (mm/mm)]]/$I$2</f>
        <v>6.3455999999999999E-2</v>
      </c>
      <c r="D321" s="1">
        <v>277.94</v>
      </c>
      <c r="E321" s="1">
        <f>Tabela110[[#This Row],[Força (N)]]/$I$5</f>
        <v>5776733.0303011406</v>
      </c>
      <c r="F321" s="1">
        <f>Tabela110[[#This Row],[Tensão (Pa)]]/1000000</f>
        <v>5.7767330303011404</v>
      </c>
    </row>
    <row r="322" spans="1:6" x14ac:dyDescent="0.3">
      <c r="A322" s="1">
        <v>38.25</v>
      </c>
      <c r="B322" s="1">
        <v>3.1798000000000002</v>
      </c>
      <c r="C322" s="1">
        <f>Tabela110[[#This Row],[Alongamento (mm/mm)]]/$I$2</f>
        <v>6.3596E-2</v>
      </c>
      <c r="D322" s="1">
        <v>280.14999999999998</v>
      </c>
      <c r="E322" s="1">
        <f>Tabela110[[#This Row],[Força (N)]]/$I$5</f>
        <v>5822665.8934981097</v>
      </c>
      <c r="F322" s="1">
        <f>Tabela110[[#This Row],[Tensão (Pa)]]/1000000</f>
        <v>5.8226658934981099</v>
      </c>
    </row>
    <row r="323" spans="1:6" x14ac:dyDescent="0.3">
      <c r="A323" s="1">
        <v>38.332999999999998</v>
      </c>
      <c r="B323" s="1">
        <v>3.1867999999999999</v>
      </c>
      <c r="C323" s="1">
        <f>Tabela110[[#This Row],[Alongamento (mm/mm)]]/$I$2</f>
        <v>6.3736000000000001E-2</v>
      </c>
      <c r="D323" s="1">
        <v>282.19</v>
      </c>
      <c r="E323" s="1">
        <f>Tabela110[[#This Row],[Força (N)]]/$I$5</f>
        <v>5865065.4595260806</v>
      </c>
      <c r="F323" s="1">
        <f>Tabela110[[#This Row],[Tensão (Pa)]]/1000000</f>
        <v>5.8650654595260807</v>
      </c>
    </row>
    <row r="324" spans="1:6" x14ac:dyDescent="0.3">
      <c r="A324" s="1">
        <v>38.417000000000002</v>
      </c>
      <c r="B324" s="1">
        <v>3.1937000000000002</v>
      </c>
      <c r="C324" s="1">
        <f>Tabela110[[#This Row],[Alongamento (mm/mm)]]/$I$2</f>
        <v>6.3874E-2</v>
      </c>
      <c r="D324" s="1">
        <v>284.41000000000003</v>
      </c>
      <c r="E324" s="1">
        <f>Tabela110[[#This Row],[Força (N)]]/$I$5</f>
        <v>5911206.1637329916</v>
      </c>
      <c r="F324" s="1">
        <f>Tabela110[[#This Row],[Tensão (Pa)]]/1000000</f>
        <v>5.9112061637329916</v>
      </c>
    </row>
    <row r="325" spans="1:6" x14ac:dyDescent="0.3">
      <c r="A325" s="1">
        <v>38.5</v>
      </c>
      <c r="B325" s="1">
        <v>3.2004999999999999</v>
      </c>
      <c r="C325" s="1">
        <f>Tabela110[[#This Row],[Alongamento (mm/mm)]]/$I$2</f>
        <v>6.4009999999999997E-2</v>
      </c>
      <c r="D325" s="1">
        <v>286.62</v>
      </c>
      <c r="E325" s="1">
        <f>Tabela110[[#This Row],[Força (N)]]/$I$5</f>
        <v>5957139.0269299597</v>
      </c>
      <c r="F325" s="1">
        <f>Tabela110[[#This Row],[Tensão (Pa)]]/1000000</f>
        <v>5.9571390269299593</v>
      </c>
    </row>
    <row r="326" spans="1:6" x14ac:dyDescent="0.3">
      <c r="A326" s="1">
        <v>38.582999999999998</v>
      </c>
      <c r="B326" s="1">
        <v>3.2075</v>
      </c>
      <c r="C326" s="1">
        <f>Tabela110[[#This Row],[Alongamento (mm/mm)]]/$I$2</f>
        <v>6.4149999999999999E-2</v>
      </c>
      <c r="D326" s="1">
        <v>288.66000000000003</v>
      </c>
      <c r="E326" s="1">
        <f>Tabela110[[#This Row],[Força (N)]]/$I$5</f>
        <v>5999538.5929579316</v>
      </c>
      <c r="F326" s="1">
        <f>Tabela110[[#This Row],[Tensão (Pa)]]/1000000</f>
        <v>5.9995385929579319</v>
      </c>
    </row>
    <row r="327" spans="1:6" x14ac:dyDescent="0.3">
      <c r="A327" s="1">
        <v>38.667000000000002</v>
      </c>
      <c r="B327" s="1">
        <v>3.2145000000000001</v>
      </c>
      <c r="C327" s="1">
        <f>Tabela110[[#This Row],[Alongamento (mm/mm)]]/$I$2</f>
        <v>6.429E-2</v>
      </c>
      <c r="D327" s="1">
        <v>290.87</v>
      </c>
      <c r="E327" s="1">
        <f>Tabela110[[#This Row],[Força (N)]]/$I$5</f>
        <v>6045471.4561548997</v>
      </c>
      <c r="F327" s="1">
        <f>Tabela110[[#This Row],[Tensão (Pa)]]/1000000</f>
        <v>6.0454714561548997</v>
      </c>
    </row>
    <row r="328" spans="1:6" x14ac:dyDescent="0.3">
      <c r="A328" s="1">
        <v>38.75</v>
      </c>
      <c r="B328" s="1">
        <v>3.2214</v>
      </c>
      <c r="C328" s="1">
        <f>Tabela110[[#This Row],[Alongamento (mm/mm)]]/$I$2</f>
        <v>6.4427999999999999E-2</v>
      </c>
      <c r="D328" s="1">
        <v>293.08</v>
      </c>
      <c r="E328" s="1">
        <f>Tabela110[[#This Row],[Força (N)]]/$I$5</f>
        <v>6091404.3193518687</v>
      </c>
      <c r="F328" s="1">
        <f>Tabela110[[#This Row],[Tensão (Pa)]]/1000000</f>
        <v>6.0914043193518683</v>
      </c>
    </row>
    <row r="329" spans="1:6" x14ac:dyDescent="0.3">
      <c r="A329" s="1">
        <v>38.832999999999998</v>
      </c>
      <c r="B329" s="1">
        <v>3.2284000000000002</v>
      </c>
      <c r="C329" s="1">
        <f>Tabela110[[#This Row],[Alongamento (mm/mm)]]/$I$2</f>
        <v>6.4568E-2</v>
      </c>
      <c r="D329" s="1">
        <v>295.29000000000002</v>
      </c>
      <c r="E329" s="1">
        <f>Tabela110[[#This Row],[Força (N)]]/$I$5</f>
        <v>6137337.1825488377</v>
      </c>
      <c r="F329" s="1">
        <f>Tabela110[[#This Row],[Tensão (Pa)]]/1000000</f>
        <v>6.1373371825488379</v>
      </c>
    </row>
    <row r="330" spans="1:6" x14ac:dyDescent="0.3">
      <c r="A330" s="1">
        <v>38.917000000000002</v>
      </c>
      <c r="B330" s="1">
        <v>3.2353000000000001</v>
      </c>
      <c r="C330" s="1">
        <f>Tabela110[[#This Row],[Alongamento (mm/mm)]]/$I$2</f>
        <v>6.4706E-2</v>
      </c>
      <c r="D330" s="1">
        <v>297.5</v>
      </c>
      <c r="E330" s="1">
        <f>Tabela110[[#This Row],[Força (N)]]/$I$5</f>
        <v>6183270.0457458068</v>
      </c>
      <c r="F330" s="1">
        <f>Tabela110[[#This Row],[Tensão (Pa)]]/1000000</f>
        <v>6.1832700457458065</v>
      </c>
    </row>
    <row r="331" spans="1:6" x14ac:dyDescent="0.3">
      <c r="A331" s="1">
        <v>39</v>
      </c>
      <c r="B331" s="1">
        <v>3.2422</v>
      </c>
      <c r="C331" s="1">
        <f>Tabela110[[#This Row],[Alongamento (mm/mm)]]/$I$2</f>
        <v>6.4843999999999999E-2</v>
      </c>
      <c r="D331" s="1">
        <v>299.70999999999998</v>
      </c>
      <c r="E331" s="1">
        <f>Tabela110[[#This Row],[Força (N)]]/$I$5</f>
        <v>6229202.9089427749</v>
      </c>
      <c r="F331" s="1">
        <f>Tabela110[[#This Row],[Tensão (Pa)]]/1000000</f>
        <v>6.2292029089427752</v>
      </c>
    </row>
    <row r="332" spans="1:6" x14ac:dyDescent="0.3">
      <c r="A332" s="1">
        <v>39.082999999999998</v>
      </c>
      <c r="B332" s="1">
        <v>3.2492000000000001</v>
      </c>
      <c r="C332" s="1">
        <f>Tabela110[[#This Row],[Alongamento (mm/mm)]]/$I$2</f>
        <v>6.4984E-2</v>
      </c>
      <c r="D332" s="1">
        <v>302.10000000000002</v>
      </c>
      <c r="E332" s="1">
        <f>Tabela110[[#This Row],[Força (N)]]/$I$5</f>
        <v>6278876.9103186829</v>
      </c>
      <c r="F332" s="1">
        <f>Tabela110[[#This Row],[Tensão (Pa)]]/1000000</f>
        <v>6.278876910318683</v>
      </c>
    </row>
    <row r="333" spans="1:6" x14ac:dyDescent="0.3">
      <c r="A333" s="1">
        <v>39.167000000000002</v>
      </c>
      <c r="B333" s="1">
        <v>3.2562000000000002</v>
      </c>
      <c r="C333" s="1">
        <f>Tabela110[[#This Row],[Alongamento (mm/mm)]]/$I$2</f>
        <v>6.5124000000000001E-2</v>
      </c>
      <c r="D333" s="1">
        <v>304.48</v>
      </c>
      <c r="E333" s="1">
        <f>Tabela110[[#This Row],[Força (N)]]/$I$5</f>
        <v>6328343.0706846491</v>
      </c>
      <c r="F333" s="1">
        <f>Tabela110[[#This Row],[Tensão (Pa)]]/1000000</f>
        <v>6.3283430706846486</v>
      </c>
    </row>
    <row r="334" spans="1:6" x14ac:dyDescent="0.3">
      <c r="A334" s="1">
        <v>39.25</v>
      </c>
      <c r="B334" s="1">
        <v>3.2631000000000001</v>
      </c>
      <c r="C334" s="1">
        <f>Tabela110[[#This Row],[Alongamento (mm/mm)]]/$I$2</f>
        <v>6.5262000000000001E-2</v>
      </c>
      <c r="D334" s="1">
        <v>306.69</v>
      </c>
      <c r="E334" s="1">
        <f>Tabela110[[#This Row],[Força (N)]]/$I$5</f>
        <v>6374275.9338816181</v>
      </c>
      <c r="F334" s="1">
        <f>Tabela110[[#This Row],[Tensão (Pa)]]/1000000</f>
        <v>6.3742759338816182</v>
      </c>
    </row>
    <row r="335" spans="1:6" x14ac:dyDescent="0.3">
      <c r="A335" s="1">
        <v>39.332999999999998</v>
      </c>
      <c r="B335" s="1">
        <v>3.2700999999999998</v>
      </c>
      <c r="C335" s="1">
        <f>Tabela110[[#This Row],[Alongamento (mm/mm)]]/$I$2</f>
        <v>6.5402000000000002E-2</v>
      </c>
      <c r="D335" s="1">
        <v>309.07</v>
      </c>
      <c r="E335" s="1">
        <f>Tabela110[[#This Row],[Força (N)]]/$I$5</f>
        <v>6423742.0942475842</v>
      </c>
      <c r="F335" s="1">
        <f>Tabela110[[#This Row],[Tensão (Pa)]]/1000000</f>
        <v>6.4237420942475838</v>
      </c>
    </row>
    <row r="336" spans="1:6" x14ac:dyDescent="0.3">
      <c r="A336" s="1">
        <v>39.433</v>
      </c>
      <c r="B336" s="1">
        <v>3.2783000000000002</v>
      </c>
      <c r="C336" s="1">
        <f>Tabela110[[#This Row],[Alongamento (mm/mm)]]/$I$2</f>
        <v>6.5565999999999999E-2</v>
      </c>
      <c r="D336" s="1">
        <v>311.79000000000002</v>
      </c>
      <c r="E336" s="1">
        <f>Tabela110[[#This Row],[Força (N)]]/$I$5</f>
        <v>6480274.8489515465</v>
      </c>
      <c r="F336" s="1">
        <f>Tabela110[[#This Row],[Tensão (Pa)]]/1000000</f>
        <v>6.480274848951546</v>
      </c>
    </row>
    <row r="337" spans="1:6" x14ac:dyDescent="0.3">
      <c r="A337" s="1">
        <v>39.533000000000001</v>
      </c>
      <c r="B337" s="1">
        <v>3.2867000000000002</v>
      </c>
      <c r="C337" s="1">
        <f>Tabela110[[#This Row],[Alongamento (mm/mm)]]/$I$2</f>
        <v>6.5734000000000001E-2</v>
      </c>
      <c r="D337" s="1">
        <v>314.51</v>
      </c>
      <c r="E337" s="1">
        <f>Tabela110[[#This Row],[Força (N)]]/$I$5</f>
        <v>6536807.6036555078</v>
      </c>
      <c r="F337" s="1">
        <f>Tabela110[[#This Row],[Tensão (Pa)]]/1000000</f>
        <v>6.5368076036555074</v>
      </c>
    </row>
    <row r="338" spans="1:6" x14ac:dyDescent="0.3">
      <c r="A338" s="1">
        <v>39.616999999999997</v>
      </c>
      <c r="B338" s="1">
        <v>3.2936999999999999</v>
      </c>
      <c r="C338" s="1">
        <f>Tabela110[[#This Row],[Alongamento (mm/mm)]]/$I$2</f>
        <v>6.5874000000000002E-2</v>
      </c>
      <c r="D338" s="1">
        <v>316.89</v>
      </c>
      <c r="E338" s="1">
        <f>Tabela110[[#This Row],[Força (N)]]/$I$5</f>
        <v>6586273.7640214739</v>
      </c>
      <c r="F338" s="1">
        <f>Tabela110[[#This Row],[Tensão (Pa)]]/1000000</f>
        <v>6.5862737640214739</v>
      </c>
    </row>
    <row r="339" spans="1:6" x14ac:dyDescent="0.3">
      <c r="A339" s="1">
        <v>39.716999999999999</v>
      </c>
      <c r="B339" s="1">
        <v>3.302</v>
      </c>
      <c r="C339" s="1">
        <f>Tabela110[[#This Row],[Alongamento (mm/mm)]]/$I$2</f>
        <v>6.6040000000000001E-2</v>
      </c>
      <c r="D339" s="1">
        <v>319.62</v>
      </c>
      <c r="E339" s="1">
        <f>Tabela110[[#This Row],[Força (N)]]/$I$5</f>
        <v>6643014.3597353771</v>
      </c>
      <c r="F339" s="1">
        <f>Tabela110[[#This Row],[Tensão (Pa)]]/1000000</f>
        <v>6.6430143597353775</v>
      </c>
    </row>
    <row r="340" spans="1:6" x14ac:dyDescent="0.3">
      <c r="A340" s="1">
        <v>39.799999999999997</v>
      </c>
      <c r="B340" s="1">
        <v>3.3090000000000002</v>
      </c>
      <c r="C340" s="1">
        <f>Tabela110[[#This Row],[Alongamento (mm/mm)]]/$I$2</f>
        <v>6.6180000000000003E-2</v>
      </c>
      <c r="D340" s="1">
        <v>322</v>
      </c>
      <c r="E340" s="1">
        <f>Tabela110[[#This Row],[Força (N)]]/$I$5</f>
        <v>6692480.5201013433</v>
      </c>
      <c r="F340" s="1">
        <f>Tabela110[[#This Row],[Tensão (Pa)]]/1000000</f>
        <v>6.6924805201013431</v>
      </c>
    </row>
    <row r="341" spans="1:6" x14ac:dyDescent="0.3">
      <c r="A341" s="1">
        <v>39.883000000000003</v>
      </c>
      <c r="B341" s="1">
        <v>3.3157999999999999</v>
      </c>
      <c r="C341" s="1">
        <f>Tabela110[[#This Row],[Alongamento (mm/mm)]]/$I$2</f>
        <v>6.6316E-2</v>
      </c>
      <c r="D341" s="1">
        <v>324.38</v>
      </c>
      <c r="E341" s="1">
        <f>Tabela110[[#This Row],[Força (N)]]/$I$5</f>
        <v>6741946.6804673094</v>
      </c>
      <c r="F341" s="1">
        <f>Tabela110[[#This Row],[Tensão (Pa)]]/1000000</f>
        <v>6.7419466804673096</v>
      </c>
    </row>
    <row r="342" spans="1:6" x14ac:dyDescent="0.3">
      <c r="A342" s="1">
        <v>39.966999999999999</v>
      </c>
      <c r="B342" s="1">
        <v>3.3228</v>
      </c>
      <c r="C342" s="1">
        <f>Tabela110[[#This Row],[Alongamento (mm/mm)]]/$I$2</f>
        <v>6.6456000000000001E-2</v>
      </c>
      <c r="D342" s="1">
        <v>326.76</v>
      </c>
      <c r="E342" s="1">
        <f>Tabela110[[#This Row],[Força (N)]]/$I$5</f>
        <v>6791412.8408332756</v>
      </c>
      <c r="F342" s="1">
        <f>Tabela110[[#This Row],[Tensão (Pa)]]/1000000</f>
        <v>6.7914128408332752</v>
      </c>
    </row>
    <row r="343" spans="1:6" x14ac:dyDescent="0.3">
      <c r="A343" s="1">
        <v>40.049999999999997</v>
      </c>
      <c r="B343" s="1">
        <v>3.3296999999999999</v>
      </c>
      <c r="C343" s="1">
        <f>Tabela110[[#This Row],[Alongamento (mm/mm)]]/$I$2</f>
        <v>6.6594E-2</v>
      </c>
      <c r="D343" s="1">
        <v>329.14</v>
      </c>
      <c r="E343" s="1">
        <f>Tabela110[[#This Row],[Força (N)]]/$I$5</f>
        <v>6840879.0011992427</v>
      </c>
      <c r="F343" s="1">
        <f>Tabela110[[#This Row],[Tensão (Pa)]]/1000000</f>
        <v>6.8408790011992426</v>
      </c>
    </row>
    <row r="344" spans="1:6" x14ac:dyDescent="0.3">
      <c r="A344" s="1">
        <v>40.133000000000003</v>
      </c>
      <c r="B344" s="1">
        <v>3.3367</v>
      </c>
      <c r="C344" s="1">
        <f>Tabela110[[#This Row],[Alongamento (mm/mm)]]/$I$2</f>
        <v>6.6734000000000002E-2</v>
      </c>
      <c r="D344" s="1">
        <v>331.52</v>
      </c>
      <c r="E344" s="1">
        <f>Tabela110[[#This Row],[Força (N)]]/$I$5</f>
        <v>6890345.1615652088</v>
      </c>
      <c r="F344" s="1">
        <f>Tabela110[[#This Row],[Tensão (Pa)]]/1000000</f>
        <v>6.8903451615652092</v>
      </c>
    </row>
    <row r="345" spans="1:6" x14ac:dyDescent="0.3">
      <c r="A345" s="1">
        <v>40.216999999999999</v>
      </c>
      <c r="B345" s="1">
        <v>3.3437000000000001</v>
      </c>
      <c r="C345" s="1">
        <f>Tabela110[[#This Row],[Alongamento (mm/mm)]]/$I$2</f>
        <v>6.6874000000000003E-2</v>
      </c>
      <c r="D345" s="1">
        <v>333.9</v>
      </c>
      <c r="E345" s="1">
        <f>Tabela110[[#This Row],[Força (N)]]/$I$5</f>
        <v>6939811.321931175</v>
      </c>
      <c r="F345" s="1">
        <f>Tabela110[[#This Row],[Tensão (Pa)]]/1000000</f>
        <v>6.9398113219311748</v>
      </c>
    </row>
    <row r="346" spans="1:6" x14ac:dyDescent="0.3">
      <c r="A346" s="1">
        <v>40.299999999999997</v>
      </c>
      <c r="B346" s="1">
        <v>3.3506</v>
      </c>
      <c r="C346" s="1">
        <f>Tabela110[[#This Row],[Alongamento (mm/mm)]]/$I$2</f>
        <v>6.7012000000000002E-2</v>
      </c>
      <c r="D346" s="1">
        <v>336.46</v>
      </c>
      <c r="E346" s="1">
        <f>Tabela110[[#This Row],[Força (N)]]/$I$5</f>
        <v>6993018.6204760801</v>
      </c>
      <c r="F346" s="1">
        <f>Tabela110[[#This Row],[Tensão (Pa)]]/1000000</f>
        <v>6.9930186204760805</v>
      </c>
    </row>
    <row r="347" spans="1:6" x14ac:dyDescent="0.3">
      <c r="A347" s="1">
        <v>40.383000000000003</v>
      </c>
      <c r="B347" s="1">
        <v>3.3574999999999999</v>
      </c>
      <c r="C347" s="1">
        <f>Tabela110[[#This Row],[Alongamento (mm/mm)]]/$I$2</f>
        <v>6.7150000000000001E-2</v>
      </c>
      <c r="D347" s="1">
        <v>338.84</v>
      </c>
      <c r="E347" s="1">
        <f>Tabela110[[#This Row],[Força (N)]]/$I$5</f>
        <v>7042484.7808420463</v>
      </c>
      <c r="F347" s="1">
        <f>Tabela110[[#This Row],[Tensão (Pa)]]/1000000</f>
        <v>7.0424847808420461</v>
      </c>
    </row>
    <row r="348" spans="1:6" x14ac:dyDescent="0.3">
      <c r="A348" s="1">
        <v>40.466999999999999</v>
      </c>
      <c r="B348" s="1">
        <v>3.3645999999999998</v>
      </c>
      <c r="C348" s="1">
        <f>Tabela110[[#This Row],[Alongamento (mm/mm)]]/$I$2</f>
        <v>6.7291999999999991E-2</v>
      </c>
      <c r="D348" s="1">
        <v>341.22</v>
      </c>
      <c r="E348" s="1">
        <f>Tabela110[[#This Row],[Força (N)]]/$I$5</f>
        <v>7091950.9412080143</v>
      </c>
      <c r="F348" s="1">
        <f>Tabela110[[#This Row],[Tensão (Pa)]]/1000000</f>
        <v>7.0919509412080144</v>
      </c>
    </row>
    <row r="349" spans="1:6" x14ac:dyDescent="0.3">
      <c r="A349" s="1">
        <v>40.549999999999997</v>
      </c>
      <c r="B349" s="1">
        <v>3.3714</v>
      </c>
      <c r="C349" s="1">
        <f>Tabela110[[#This Row],[Alongamento (mm/mm)]]/$I$2</f>
        <v>6.7428000000000002E-2</v>
      </c>
      <c r="D349" s="1">
        <v>343.77</v>
      </c>
      <c r="E349" s="1">
        <f>Tabela110[[#This Row],[Força (N)]]/$I$5</f>
        <v>7144950.3987429775</v>
      </c>
      <c r="F349" s="1">
        <f>Tabela110[[#This Row],[Tensão (Pa)]]/1000000</f>
        <v>7.1449503987429779</v>
      </c>
    </row>
    <row r="350" spans="1:6" x14ac:dyDescent="0.3">
      <c r="A350" s="1">
        <v>40.633000000000003</v>
      </c>
      <c r="B350" s="1">
        <v>3.3784000000000001</v>
      </c>
      <c r="C350" s="1">
        <f>Tabela110[[#This Row],[Alongamento (mm/mm)]]/$I$2</f>
        <v>6.7568000000000003E-2</v>
      </c>
      <c r="D350" s="1">
        <v>346.15</v>
      </c>
      <c r="E350" s="1">
        <f>Tabela110[[#This Row],[Força (N)]]/$I$5</f>
        <v>7194416.5591089437</v>
      </c>
      <c r="F350" s="1">
        <f>Tabela110[[#This Row],[Tensão (Pa)]]/1000000</f>
        <v>7.1944165591089435</v>
      </c>
    </row>
    <row r="351" spans="1:6" x14ac:dyDescent="0.3">
      <c r="A351" s="1">
        <v>40.716999999999999</v>
      </c>
      <c r="B351" s="1">
        <v>3.3854000000000002</v>
      </c>
      <c r="C351" s="1">
        <f>Tabela110[[#This Row],[Alongamento (mm/mm)]]/$I$2</f>
        <v>6.7708000000000004E-2</v>
      </c>
      <c r="D351" s="1">
        <v>348.7</v>
      </c>
      <c r="E351" s="1">
        <f>Tabela110[[#This Row],[Força (N)]]/$I$5</f>
        <v>7247416.0166439079</v>
      </c>
      <c r="F351" s="1">
        <f>Tabela110[[#This Row],[Tensão (Pa)]]/1000000</f>
        <v>7.2474160166439079</v>
      </c>
    </row>
    <row r="352" spans="1:6" x14ac:dyDescent="0.3">
      <c r="A352" s="1">
        <v>40.817</v>
      </c>
      <c r="B352" s="1">
        <v>3.3936000000000002</v>
      </c>
      <c r="C352" s="1">
        <f>Tabela110[[#This Row],[Alongamento (mm/mm)]]/$I$2</f>
        <v>6.7872000000000002E-2</v>
      </c>
      <c r="D352" s="1">
        <v>351.59</v>
      </c>
      <c r="E352" s="1">
        <f>Tabela110[[#This Row],[Força (N)]]/$I$5</f>
        <v>7307482.0685168672</v>
      </c>
      <c r="F352" s="1">
        <f>Tabela110[[#This Row],[Tensão (Pa)]]/1000000</f>
        <v>7.3074820685168671</v>
      </c>
    </row>
    <row r="353" spans="1:6" x14ac:dyDescent="0.3">
      <c r="A353" s="1">
        <v>40.917000000000002</v>
      </c>
      <c r="B353" s="1">
        <v>3.4020000000000001</v>
      </c>
      <c r="C353" s="1">
        <f>Tabela110[[#This Row],[Alongamento (mm/mm)]]/$I$2</f>
        <v>6.8040000000000003E-2</v>
      </c>
      <c r="D353" s="1">
        <v>354.66</v>
      </c>
      <c r="E353" s="1">
        <f>Tabela110[[#This Row],[Força (N)]]/$I$5</f>
        <v>7371289.2585687656</v>
      </c>
      <c r="F353" s="1">
        <f>Tabela110[[#This Row],[Tensão (Pa)]]/1000000</f>
        <v>7.3712892585687655</v>
      </c>
    </row>
    <row r="354" spans="1:6" x14ac:dyDescent="0.3">
      <c r="A354" s="1">
        <v>41.017000000000003</v>
      </c>
      <c r="B354" s="1">
        <v>3.4104000000000001</v>
      </c>
      <c r="C354" s="1">
        <f>Tabela110[[#This Row],[Alongamento (mm/mm)]]/$I$2</f>
        <v>6.8208000000000005E-2</v>
      </c>
      <c r="D354" s="1">
        <v>357.72</v>
      </c>
      <c r="E354" s="1">
        <f>Tabela110[[#This Row],[Força (N)]]/$I$5</f>
        <v>7434888.607610723</v>
      </c>
      <c r="F354" s="1">
        <f>Tabela110[[#This Row],[Tensão (Pa)]]/1000000</f>
        <v>7.4348886076107226</v>
      </c>
    </row>
    <row r="355" spans="1:6" x14ac:dyDescent="0.3">
      <c r="A355" s="1">
        <v>41.116999999999997</v>
      </c>
      <c r="B355" s="1">
        <v>3.4186999999999999</v>
      </c>
      <c r="C355" s="1">
        <f>Tabela110[[#This Row],[Alongamento (mm/mm)]]/$I$2</f>
        <v>6.837399999999999E-2</v>
      </c>
      <c r="D355" s="1">
        <v>360.78</v>
      </c>
      <c r="E355" s="1">
        <f>Tabela110[[#This Row],[Força (N)]]/$I$5</f>
        <v>7498487.9566526785</v>
      </c>
      <c r="F355" s="1">
        <f>Tabela110[[#This Row],[Tensão (Pa)]]/1000000</f>
        <v>7.4984879566526788</v>
      </c>
    </row>
    <row r="356" spans="1:6" x14ac:dyDescent="0.3">
      <c r="A356" s="1">
        <v>41.216999999999999</v>
      </c>
      <c r="B356" s="1">
        <v>3.427</v>
      </c>
      <c r="C356" s="1">
        <f>Tabela110[[#This Row],[Alongamento (mm/mm)]]/$I$2</f>
        <v>6.8540000000000004E-2</v>
      </c>
      <c r="D356" s="1">
        <v>363.67</v>
      </c>
      <c r="E356" s="1">
        <f>Tabela110[[#This Row],[Força (N)]]/$I$5</f>
        <v>7558554.0085256388</v>
      </c>
      <c r="F356" s="1">
        <f>Tabela110[[#This Row],[Tensão (Pa)]]/1000000</f>
        <v>7.5585540085256389</v>
      </c>
    </row>
    <row r="357" spans="1:6" x14ac:dyDescent="0.3">
      <c r="A357" s="1">
        <v>41.317</v>
      </c>
      <c r="B357" s="1">
        <v>3.4352999999999998</v>
      </c>
      <c r="C357" s="1">
        <f>Tabela110[[#This Row],[Alongamento (mm/mm)]]/$I$2</f>
        <v>6.8705999999999989E-2</v>
      </c>
      <c r="D357" s="1">
        <v>366.73</v>
      </c>
      <c r="E357" s="1">
        <f>Tabela110[[#This Row],[Força (N)]]/$I$5</f>
        <v>7622153.3575675953</v>
      </c>
      <c r="F357" s="1">
        <f>Tabela110[[#This Row],[Tensão (Pa)]]/1000000</f>
        <v>7.622153357567595</v>
      </c>
    </row>
    <row r="358" spans="1:6" x14ac:dyDescent="0.3">
      <c r="A358" s="1">
        <v>41.417000000000002</v>
      </c>
      <c r="B358" s="1">
        <v>3.4436</v>
      </c>
      <c r="C358" s="1">
        <f>Tabela110[[#This Row],[Alongamento (mm/mm)]]/$I$2</f>
        <v>6.8872000000000003E-2</v>
      </c>
      <c r="D358" s="1">
        <v>369.79</v>
      </c>
      <c r="E358" s="1">
        <f>Tabela110[[#This Row],[Força (N)]]/$I$5</f>
        <v>7685752.7066095527</v>
      </c>
      <c r="F358" s="1">
        <f>Tabela110[[#This Row],[Tensão (Pa)]]/1000000</f>
        <v>7.685752706609553</v>
      </c>
    </row>
    <row r="359" spans="1:6" x14ac:dyDescent="0.3">
      <c r="A359" s="1">
        <v>41.517000000000003</v>
      </c>
      <c r="B359" s="1">
        <v>3.4521000000000002</v>
      </c>
      <c r="C359" s="1">
        <f>Tabela110[[#This Row],[Alongamento (mm/mm)]]/$I$2</f>
        <v>6.9042000000000006E-2</v>
      </c>
      <c r="D359" s="1">
        <v>372.86</v>
      </c>
      <c r="E359" s="1">
        <f>Tabela110[[#This Row],[Força (N)]]/$I$5</f>
        <v>7749559.8966614502</v>
      </c>
      <c r="F359" s="1">
        <f>Tabela110[[#This Row],[Tensão (Pa)]]/1000000</f>
        <v>7.7495598966614505</v>
      </c>
    </row>
    <row r="360" spans="1:6" x14ac:dyDescent="0.3">
      <c r="A360" s="1">
        <v>41.6</v>
      </c>
      <c r="B360" s="1">
        <v>3.4590000000000001</v>
      </c>
      <c r="C360" s="1">
        <f>Tabela110[[#This Row],[Alongamento (mm/mm)]]/$I$2</f>
        <v>6.9180000000000005E-2</v>
      </c>
      <c r="D360" s="1">
        <v>375.58</v>
      </c>
      <c r="E360" s="1">
        <f>Tabela110[[#This Row],[Força (N)]]/$I$5</f>
        <v>7806092.6513654115</v>
      </c>
      <c r="F360" s="1">
        <f>Tabela110[[#This Row],[Tensão (Pa)]]/1000000</f>
        <v>7.8060926513654119</v>
      </c>
    </row>
    <row r="361" spans="1:6" x14ac:dyDescent="0.3">
      <c r="A361" s="1">
        <v>41.7</v>
      </c>
      <c r="B361" s="1">
        <v>3.4672999999999998</v>
      </c>
      <c r="C361" s="1">
        <f>Tabela110[[#This Row],[Alongamento (mm/mm)]]/$I$2</f>
        <v>6.9345999999999991E-2</v>
      </c>
      <c r="D361" s="1">
        <v>378.81</v>
      </c>
      <c r="E361" s="1">
        <f>Tabela110[[#This Row],[Força (N)]]/$I$5</f>
        <v>7873225.297576366</v>
      </c>
      <c r="F361" s="1">
        <f>Tabela110[[#This Row],[Tensão (Pa)]]/1000000</f>
        <v>7.8732252975763659</v>
      </c>
    </row>
    <row r="362" spans="1:6" x14ac:dyDescent="0.3">
      <c r="A362" s="1">
        <v>41.8</v>
      </c>
      <c r="B362" s="1">
        <v>3.4756</v>
      </c>
      <c r="C362" s="1">
        <f>Tabela110[[#This Row],[Alongamento (mm/mm)]]/$I$2</f>
        <v>6.9512000000000004E-2</v>
      </c>
      <c r="D362" s="1">
        <v>381.87</v>
      </c>
      <c r="E362" s="1">
        <f>Tabela110[[#This Row],[Força (N)]]/$I$5</f>
        <v>7936824.6466183234</v>
      </c>
      <c r="F362" s="1">
        <f>Tabela110[[#This Row],[Tensão (Pa)]]/1000000</f>
        <v>7.936824646618323</v>
      </c>
    </row>
    <row r="363" spans="1:6" x14ac:dyDescent="0.3">
      <c r="A363" s="1">
        <v>41.9</v>
      </c>
      <c r="B363" s="1">
        <v>3.484</v>
      </c>
      <c r="C363" s="1">
        <f>Tabela110[[#This Row],[Alongamento (mm/mm)]]/$I$2</f>
        <v>6.9680000000000006E-2</v>
      </c>
      <c r="D363" s="1">
        <v>384.93</v>
      </c>
      <c r="E363" s="1">
        <f>Tabela110[[#This Row],[Força (N)]]/$I$5</f>
        <v>8000423.9956602799</v>
      </c>
      <c r="F363" s="1">
        <f>Tabela110[[#This Row],[Tensão (Pa)]]/1000000</f>
        <v>8.0004239956602792</v>
      </c>
    </row>
    <row r="364" spans="1:6" x14ac:dyDescent="0.3">
      <c r="A364" s="1">
        <v>41.982999999999997</v>
      </c>
      <c r="B364" s="1">
        <v>3.4908999999999999</v>
      </c>
      <c r="C364" s="1">
        <f>Tabela110[[#This Row],[Alongamento (mm/mm)]]/$I$2</f>
        <v>6.9817999999999991E-2</v>
      </c>
      <c r="D364" s="1">
        <v>387.66</v>
      </c>
      <c r="E364" s="1">
        <f>Tabela110[[#This Row],[Força (N)]]/$I$5</f>
        <v>8057164.5913741831</v>
      </c>
      <c r="F364" s="1">
        <f>Tabela110[[#This Row],[Tensão (Pa)]]/1000000</f>
        <v>8.0571645913741836</v>
      </c>
    </row>
    <row r="365" spans="1:6" x14ac:dyDescent="0.3">
      <c r="A365" s="1">
        <v>42.082999999999998</v>
      </c>
      <c r="B365" s="1">
        <v>3.4992999999999999</v>
      </c>
      <c r="C365" s="1">
        <f>Tabela110[[#This Row],[Alongamento (mm/mm)]]/$I$2</f>
        <v>6.9985999999999993E-2</v>
      </c>
      <c r="D365" s="1">
        <v>390.72</v>
      </c>
      <c r="E365" s="1">
        <f>Tabela110[[#This Row],[Força (N)]]/$I$5</f>
        <v>8120763.9404161396</v>
      </c>
      <c r="F365" s="1">
        <f>Tabela110[[#This Row],[Tensão (Pa)]]/1000000</f>
        <v>8.1207639404161398</v>
      </c>
    </row>
    <row r="366" spans="1:6" x14ac:dyDescent="0.3">
      <c r="A366" s="1">
        <v>42.167000000000002</v>
      </c>
      <c r="B366" s="1">
        <v>3.5061</v>
      </c>
      <c r="C366" s="1">
        <f>Tabela110[[#This Row],[Alongamento (mm/mm)]]/$I$2</f>
        <v>7.0122000000000004E-2</v>
      </c>
      <c r="D366" s="1">
        <v>393.44</v>
      </c>
      <c r="E366" s="1">
        <f>Tabela110[[#This Row],[Força (N)]]/$I$5</f>
        <v>8177296.6951201009</v>
      </c>
      <c r="F366" s="1">
        <f>Tabela110[[#This Row],[Tensão (Pa)]]/1000000</f>
        <v>8.1772966951201003</v>
      </c>
    </row>
    <row r="367" spans="1:6" x14ac:dyDescent="0.3">
      <c r="A367" s="1">
        <v>42.267000000000003</v>
      </c>
      <c r="B367" s="1">
        <v>3.5145</v>
      </c>
      <c r="C367" s="1">
        <f>Tabela110[[#This Row],[Alongamento (mm/mm)]]/$I$2</f>
        <v>7.0290000000000005E-2</v>
      </c>
      <c r="D367" s="1">
        <v>396.5</v>
      </c>
      <c r="E367" s="1">
        <f>Tabela110[[#This Row],[Força (N)]]/$I$5</f>
        <v>8240896.0441620583</v>
      </c>
      <c r="F367" s="1">
        <f>Tabela110[[#This Row],[Tensão (Pa)]]/1000000</f>
        <v>8.2408960441620582</v>
      </c>
    </row>
    <row r="368" spans="1:6" x14ac:dyDescent="0.3">
      <c r="A368" s="1">
        <v>42.366999999999997</v>
      </c>
      <c r="B368" s="1">
        <v>3.5228000000000002</v>
      </c>
      <c r="C368" s="1">
        <f>Tabela110[[#This Row],[Alongamento (mm/mm)]]/$I$2</f>
        <v>7.0456000000000005E-2</v>
      </c>
      <c r="D368" s="1">
        <v>399.73</v>
      </c>
      <c r="E368" s="1">
        <f>Tabela110[[#This Row],[Força (N)]]/$I$5</f>
        <v>8308028.6903730128</v>
      </c>
      <c r="F368" s="1">
        <f>Tabela110[[#This Row],[Tensão (Pa)]]/1000000</f>
        <v>8.3080286903730123</v>
      </c>
    </row>
    <row r="369" spans="1:6" x14ac:dyDescent="0.3">
      <c r="A369" s="1">
        <v>42.466999999999999</v>
      </c>
      <c r="B369" s="1">
        <v>3.5310999999999999</v>
      </c>
      <c r="C369" s="1">
        <f>Tabela110[[#This Row],[Alongamento (mm/mm)]]/$I$2</f>
        <v>7.0622000000000004E-2</v>
      </c>
      <c r="D369" s="1">
        <v>402.96</v>
      </c>
      <c r="E369" s="1">
        <f>Tabela110[[#This Row],[Força (N)]]/$I$5</f>
        <v>8375161.3365839664</v>
      </c>
      <c r="F369" s="1">
        <f>Tabela110[[#This Row],[Tensão (Pa)]]/1000000</f>
        <v>8.3751613365839663</v>
      </c>
    </row>
    <row r="370" spans="1:6" x14ac:dyDescent="0.3">
      <c r="A370" s="1">
        <v>42.567</v>
      </c>
      <c r="B370" s="1">
        <v>3.5394999999999999</v>
      </c>
      <c r="C370" s="1">
        <f>Tabela110[[#This Row],[Alongamento (mm/mm)]]/$I$2</f>
        <v>7.0789999999999992E-2</v>
      </c>
      <c r="D370" s="1">
        <v>406.2</v>
      </c>
      <c r="E370" s="1">
        <f>Tabela110[[#This Row],[Força (N)]]/$I$5</f>
        <v>8442501.8238048628</v>
      </c>
      <c r="F370" s="1">
        <f>Tabela110[[#This Row],[Tensão (Pa)]]/1000000</f>
        <v>8.4425018238048626</v>
      </c>
    </row>
    <row r="371" spans="1:6" x14ac:dyDescent="0.3">
      <c r="A371" s="1">
        <v>42.667000000000002</v>
      </c>
      <c r="B371" s="1">
        <v>3.5476999999999999</v>
      </c>
      <c r="C371" s="1">
        <f>Tabela110[[#This Row],[Alongamento (mm/mm)]]/$I$2</f>
        <v>7.0954000000000003E-2</v>
      </c>
      <c r="D371" s="1">
        <v>409.43</v>
      </c>
      <c r="E371" s="1">
        <f>Tabela110[[#This Row],[Força (N)]]/$I$5</f>
        <v>8509634.4700158164</v>
      </c>
      <c r="F371" s="1">
        <f>Tabela110[[#This Row],[Tensão (Pa)]]/1000000</f>
        <v>8.5096344700158166</v>
      </c>
    </row>
    <row r="372" spans="1:6" x14ac:dyDescent="0.3">
      <c r="A372" s="1">
        <v>42.767000000000003</v>
      </c>
      <c r="B372" s="1">
        <v>3.5562</v>
      </c>
      <c r="C372" s="1">
        <f>Tabela110[[#This Row],[Alongamento (mm/mm)]]/$I$2</f>
        <v>7.1124000000000007E-2</v>
      </c>
      <c r="D372" s="1">
        <v>412.66</v>
      </c>
      <c r="E372" s="1">
        <f>Tabela110[[#This Row],[Força (N)]]/$I$5</f>
        <v>8576767.1162267718</v>
      </c>
      <c r="F372" s="1">
        <f>Tabela110[[#This Row],[Tensão (Pa)]]/1000000</f>
        <v>8.5767671162267725</v>
      </c>
    </row>
    <row r="373" spans="1:6" x14ac:dyDescent="0.3">
      <c r="A373" s="1">
        <v>42.866999999999997</v>
      </c>
      <c r="B373" s="1">
        <v>3.5644999999999998</v>
      </c>
      <c r="C373" s="1">
        <f>Tabela110[[#This Row],[Alongamento (mm/mm)]]/$I$2</f>
        <v>7.1289999999999992E-2</v>
      </c>
      <c r="D373" s="1">
        <v>415.89</v>
      </c>
      <c r="E373" s="1">
        <f>Tabela110[[#This Row],[Força (N)]]/$I$5</f>
        <v>8643899.7624377254</v>
      </c>
      <c r="F373" s="1">
        <f>Tabela110[[#This Row],[Tensão (Pa)]]/1000000</f>
        <v>8.6438997624377247</v>
      </c>
    </row>
    <row r="374" spans="1:6" x14ac:dyDescent="0.3">
      <c r="A374" s="1">
        <v>42.966999999999999</v>
      </c>
      <c r="B374" s="1">
        <v>3.5728</v>
      </c>
      <c r="C374" s="1">
        <f>Tabela110[[#This Row],[Alongamento (mm/mm)]]/$I$2</f>
        <v>7.1456000000000006E-2</v>
      </c>
      <c r="D374" s="1">
        <v>419.12</v>
      </c>
      <c r="E374" s="1">
        <f>Tabela110[[#This Row],[Força (N)]]/$I$5</f>
        <v>8711032.4086486809</v>
      </c>
      <c r="F374" s="1">
        <f>Tabela110[[#This Row],[Tensão (Pa)]]/1000000</f>
        <v>8.7110324086486806</v>
      </c>
    </row>
    <row r="375" spans="1:6" x14ac:dyDescent="0.3">
      <c r="A375" s="1">
        <v>43.067</v>
      </c>
      <c r="B375" s="1">
        <v>3.5811999999999999</v>
      </c>
      <c r="C375" s="1">
        <f>Tabela110[[#This Row],[Alongamento (mm/mm)]]/$I$2</f>
        <v>7.1623999999999993E-2</v>
      </c>
      <c r="D375" s="1">
        <v>422.36</v>
      </c>
      <c r="E375" s="1">
        <f>Tabela110[[#This Row],[Força (N)]]/$I$5</f>
        <v>8778372.8958695754</v>
      </c>
      <c r="F375" s="1">
        <f>Tabela110[[#This Row],[Tensão (Pa)]]/1000000</f>
        <v>8.778372895869575</v>
      </c>
    </row>
    <row r="376" spans="1:6" x14ac:dyDescent="0.3">
      <c r="A376" s="1">
        <v>43.167000000000002</v>
      </c>
      <c r="B376" s="1">
        <v>3.5893999999999999</v>
      </c>
      <c r="C376" s="1">
        <f>Tabela110[[#This Row],[Alongamento (mm/mm)]]/$I$2</f>
        <v>7.1788000000000005E-2</v>
      </c>
      <c r="D376" s="1">
        <v>425.59</v>
      </c>
      <c r="E376" s="1">
        <f>Tabela110[[#This Row],[Força (N)]]/$I$5</f>
        <v>8845505.542080529</v>
      </c>
      <c r="F376" s="1">
        <f>Tabela110[[#This Row],[Tensão (Pa)]]/1000000</f>
        <v>8.8455055420805291</v>
      </c>
    </row>
    <row r="377" spans="1:6" x14ac:dyDescent="0.3">
      <c r="A377" s="1">
        <v>43.267000000000003</v>
      </c>
      <c r="B377" s="1">
        <v>3.5979000000000001</v>
      </c>
      <c r="C377" s="1">
        <f>Tabela110[[#This Row],[Alongamento (mm/mm)]]/$I$2</f>
        <v>7.1958000000000008E-2</v>
      </c>
      <c r="D377" s="1">
        <v>428.82</v>
      </c>
      <c r="E377" s="1">
        <f>Tabela110[[#This Row],[Força (N)]]/$I$5</f>
        <v>8912638.1882914845</v>
      </c>
      <c r="F377" s="1">
        <f>Tabela110[[#This Row],[Tensão (Pa)]]/1000000</f>
        <v>8.9126381882914849</v>
      </c>
    </row>
    <row r="378" spans="1:6" x14ac:dyDescent="0.3">
      <c r="A378" s="1">
        <v>43.366999999999997</v>
      </c>
      <c r="B378" s="1">
        <v>3.6061999999999999</v>
      </c>
      <c r="C378" s="1">
        <f>Tabela110[[#This Row],[Alongamento (mm/mm)]]/$I$2</f>
        <v>7.2123999999999994E-2</v>
      </c>
      <c r="D378" s="1">
        <v>432.05</v>
      </c>
      <c r="E378" s="1">
        <f>Tabela110[[#This Row],[Força (N)]]/$I$5</f>
        <v>8979770.8345024399</v>
      </c>
      <c r="F378" s="1">
        <f>Tabela110[[#This Row],[Tensão (Pa)]]/1000000</f>
        <v>8.9797708345024407</v>
      </c>
    </row>
    <row r="379" spans="1:6" x14ac:dyDescent="0.3">
      <c r="A379" s="1">
        <v>43.466999999999999</v>
      </c>
      <c r="B379" s="1">
        <v>3.6145</v>
      </c>
      <c r="C379" s="1">
        <f>Tabela110[[#This Row],[Alongamento (mm/mm)]]/$I$2</f>
        <v>7.2290000000000007E-2</v>
      </c>
      <c r="D379" s="1">
        <v>435.45</v>
      </c>
      <c r="E379" s="1">
        <f>Tabela110[[#This Row],[Força (N)]]/$I$5</f>
        <v>9050436.7778823916</v>
      </c>
      <c r="F379" s="1">
        <f>Tabela110[[#This Row],[Tensão (Pa)]]/1000000</f>
        <v>9.0504367778823909</v>
      </c>
    </row>
    <row r="380" spans="1:6" x14ac:dyDescent="0.3">
      <c r="A380" s="1">
        <v>43.582999999999998</v>
      </c>
      <c r="B380" s="1">
        <v>3.6240999999999999</v>
      </c>
      <c r="C380" s="1">
        <f>Tabela110[[#This Row],[Alongamento (mm/mm)]]/$I$2</f>
        <v>7.2481999999999991E-2</v>
      </c>
      <c r="D380" s="1">
        <v>439.2</v>
      </c>
      <c r="E380" s="1">
        <f>Tabela110[[#This Row],[Força (N)]]/$I$5</f>
        <v>9128377.1566102784</v>
      </c>
      <c r="F380" s="1">
        <f>Tabela110[[#This Row],[Tensão (Pa)]]/1000000</f>
        <v>9.1283771566102789</v>
      </c>
    </row>
    <row r="381" spans="1:6" x14ac:dyDescent="0.3">
      <c r="A381" s="1">
        <v>43.683</v>
      </c>
      <c r="B381" s="1">
        <v>3.6324999999999998</v>
      </c>
      <c r="C381" s="1">
        <f>Tabela110[[#This Row],[Alongamento (mm/mm)]]/$I$2</f>
        <v>7.2649999999999992E-2</v>
      </c>
      <c r="D381" s="1">
        <v>442.6</v>
      </c>
      <c r="E381" s="1">
        <f>Tabela110[[#This Row],[Força (N)]]/$I$5</f>
        <v>9199043.0999902319</v>
      </c>
      <c r="F381" s="1">
        <f>Tabela110[[#This Row],[Tensão (Pa)]]/1000000</f>
        <v>9.1990430999902326</v>
      </c>
    </row>
    <row r="382" spans="1:6" x14ac:dyDescent="0.3">
      <c r="A382" s="1">
        <v>43.783000000000001</v>
      </c>
      <c r="B382" s="1">
        <v>3.6408</v>
      </c>
      <c r="C382" s="1">
        <f>Tabela110[[#This Row],[Alongamento (mm/mm)]]/$I$2</f>
        <v>7.2816000000000006E-2</v>
      </c>
      <c r="D382" s="1">
        <v>446</v>
      </c>
      <c r="E382" s="1">
        <f>Tabela110[[#This Row],[Força (N)]]/$I$5</f>
        <v>9269709.0433701836</v>
      </c>
      <c r="F382" s="1">
        <f>Tabela110[[#This Row],[Tensão (Pa)]]/1000000</f>
        <v>9.2697090433701828</v>
      </c>
    </row>
    <row r="383" spans="1:6" x14ac:dyDescent="0.3">
      <c r="A383" s="1">
        <v>43.883000000000003</v>
      </c>
      <c r="B383" s="1">
        <v>3.6493000000000002</v>
      </c>
      <c r="C383" s="1">
        <f>Tabela110[[#This Row],[Alongamento (mm/mm)]]/$I$2</f>
        <v>7.2986000000000009E-2</v>
      </c>
      <c r="D383" s="1">
        <v>449.4</v>
      </c>
      <c r="E383" s="1">
        <f>Tabela110[[#This Row],[Força (N)]]/$I$5</f>
        <v>9340374.9867501352</v>
      </c>
      <c r="F383" s="1">
        <f>Tabela110[[#This Row],[Tensão (Pa)]]/1000000</f>
        <v>9.3403749867501347</v>
      </c>
    </row>
    <row r="384" spans="1:6" x14ac:dyDescent="0.3">
      <c r="A384" s="1">
        <v>44</v>
      </c>
      <c r="B384" s="1">
        <v>3.6589</v>
      </c>
      <c r="C384" s="1">
        <f>Tabela110[[#This Row],[Alongamento (mm/mm)]]/$I$2</f>
        <v>7.3178000000000007E-2</v>
      </c>
      <c r="D384" s="1">
        <v>453.14</v>
      </c>
      <c r="E384" s="1">
        <f>Tabela110[[#This Row],[Força (N)]]/$I$5</f>
        <v>9418107.5244680829</v>
      </c>
      <c r="F384" s="1">
        <f>Tabela110[[#This Row],[Tensão (Pa)]]/1000000</f>
        <v>9.4181075244680823</v>
      </c>
    </row>
    <row r="385" spans="1:6" x14ac:dyDescent="0.3">
      <c r="A385" s="1">
        <v>44.1</v>
      </c>
      <c r="B385" s="1">
        <v>3.6673</v>
      </c>
      <c r="C385" s="1">
        <f>Tabela110[[#This Row],[Alongamento (mm/mm)]]/$I$2</f>
        <v>7.3345999999999995E-2</v>
      </c>
      <c r="D385" s="1">
        <v>456.55</v>
      </c>
      <c r="E385" s="1">
        <f>Tabela110[[#This Row],[Força (N)]]/$I$5</f>
        <v>9488981.3088579755</v>
      </c>
      <c r="F385" s="1">
        <f>Tabela110[[#This Row],[Tensão (Pa)]]/1000000</f>
        <v>9.4889813088579764</v>
      </c>
    </row>
    <row r="386" spans="1:6" x14ac:dyDescent="0.3">
      <c r="A386" s="1">
        <v>44.216999999999999</v>
      </c>
      <c r="B386" s="1">
        <v>3.6768999999999998</v>
      </c>
      <c r="C386" s="1">
        <f>Tabela110[[#This Row],[Alongamento (mm/mm)]]/$I$2</f>
        <v>7.3537999999999992E-2</v>
      </c>
      <c r="D386" s="1">
        <v>460.46</v>
      </c>
      <c r="E386" s="1">
        <f>Tabela110[[#This Row],[Força (N)]]/$I$5</f>
        <v>9570247.1437449213</v>
      </c>
      <c r="F386" s="1">
        <f>Tabela110[[#This Row],[Tensão (Pa)]]/1000000</f>
        <v>9.5702471437449219</v>
      </c>
    </row>
    <row r="387" spans="1:6" x14ac:dyDescent="0.3">
      <c r="A387" s="1">
        <v>44.332999999999998</v>
      </c>
      <c r="B387" s="1">
        <v>3.6867000000000001</v>
      </c>
      <c r="C387" s="1">
        <f>Tabela110[[#This Row],[Alongamento (mm/mm)]]/$I$2</f>
        <v>7.3734000000000008E-2</v>
      </c>
      <c r="D387" s="1">
        <v>464.2</v>
      </c>
      <c r="E387" s="1">
        <f>Tabela110[[#This Row],[Força (N)]]/$I$5</f>
        <v>9647979.6814628672</v>
      </c>
      <c r="F387" s="1">
        <f>Tabela110[[#This Row],[Tensão (Pa)]]/1000000</f>
        <v>9.6479796814628678</v>
      </c>
    </row>
    <row r="388" spans="1:6" x14ac:dyDescent="0.3">
      <c r="A388" s="1">
        <v>44.433</v>
      </c>
      <c r="B388" s="1">
        <v>3.6951000000000001</v>
      </c>
      <c r="C388" s="1">
        <f>Tabela110[[#This Row],[Alongamento (mm/mm)]]/$I$2</f>
        <v>7.3901999999999995E-2</v>
      </c>
      <c r="D388" s="1">
        <v>467.6</v>
      </c>
      <c r="E388" s="1">
        <f>Tabela110[[#This Row],[Força (N)]]/$I$5</f>
        <v>9718645.6248428207</v>
      </c>
      <c r="F388" s="1">
        <f>Tabela110[[#This Row],[Tensão (Pa)]]/1000000</f>
        <v>9.7186456248428215</v>
      </c>
    </row>
    <row r="389" spans="1:6" x14ac:dyDescent="0.3">
      <c r="A389" s="1">
        <v>44.533000000000001</v>
      </c>
      <c r="B389" s="1">
        <v>3.7033</v>
      </c>
      <c r="C389" s="1">
        <f>Tabela110[[#This Row],[Alongamento (mm/mm)]]/$I$2</f>
        <v>7.4066000000000007E-2</v>
      </c>
      <c r="D389" s="1">
        <v>471</v>
      </c>
      <c r="E389" s="1">
        <f>Tabela110[[#This Row],[Força (N)]]/$I$5</f>
        <v>9789311.5682227723</v>
      </c>
      <c r="F389" s="1">
        <f>Tabela110[[#This Row],[Tensão (Pa)]]/1000000</f>
        <v>9.7893115682227716</v>
      </c>
    </row>
    <row r="390" spans="1:6" x14ac:dyDescent="0.3">
      <c r="A390" s="1">
        <v>44.633000000000003</v>
      </c>
      <c r="B390" s="1">
        <v>3.7117</v>
      </c>
      <c r="C390" s="1">
        <f>Tabela110[[#This Row],[Alongamento (mm/mm)]]/$I$2</f>
        <v>7.4233999999999994E-2</v>
      </c>
      <c r="D390" s="1">
        <v>474.41</v>
      </c>
      <c r="E390" s="1">
        <f>Tabela110[[#This Row],[Força (N)]]/$I$5</f>
        <v>9860185.3526126668</v>
      </c>
      <c r="F390" s="1">
        <f>Tabela110[[#This Row],[Tensão (Pa)]]/1000000</f>
        <v>9.8601853526126675</v>
      </c>
    </row>
    <row r="391" spans="1:6" x14ac:dyDescent="0.3">
      <c r="A391" s="1">
        <v>44.732999999999997</v>
      </c>
      <c r="B391" s="1">
        <v>3.7201</v>
      </c>
      <c r="C391" s="1">
        <f>Tabela110[[#This Row],[Alongamento (mm/mm)]]/$I$2</f>
        <v>7.4401999999999996E-2</v>
      </c>
      <c r="D391" s="1">
        <v>477.81</v>
      </c>
      <c r="E391" s="1">
        <f>Tabela110[[#This Row],[Força (N)]]/$I$5</f>
        <v>9930851.2959926184</v>
      </c>
      <c r="F391" s="1">
        <f>Tabela110[[#This Row],[Tensão (Pa)]]/1000000</f>
        <v>9.9308512959926176</v>
      </c>
    </row>
    <row r="392" spans="1:6" x14ac:dyDescent="0.3">
      <c r="A392" s="1">
        <v>44.832999999999998</v>
      </c>
      <c r="B392" s="1">
        <v>3.7284000000000002</v>
      </c>
      <c r="C392" s="1">
        <f>Tabela110[[#This Row],[Alongamento (mm/mm)]]/$I$2</f>
        <v>7.4568000000000009E-2</v>
      </c>
      <c r="D392" s="1">
        <v>481.21</v>
      </c>
      <c r="E392" s="1">
        <f>Tabela110[[#This Row],[Força (N)]]/$I$5</f>
        <v>10001517.23937257</v>
      </c>
      <c r="F392" s="1">
        <f>Tabela110[[#This Row],[Tensão (Pa)]]/1000000</f>
        <v>10.00151723937257</v>
      </c>
    </row>
    <row r="393" spans="1:6" x14ac:dyDescent="0.3">
      <c r="A393" s="1">
        <v>44.95</v>
      </c>
      <c r="B393" s="1">
        <v>3.7381000000000002</v>
      </c>
      <c r="C393" s="1">
        <f>Tabela110[[#This Row],[Alongamento (mm/mm)]]/$I$2</f>
        <v>7.4762000000000009E-2</v>
      </c>
      <c r="D393" s="1">
        <v>485.29</v>
      </c>
      <c r="E393" s="1">
        <f>Tabela110[[#This Row],[Força (N)]]/$I$5</f>
        <v>10086316.371428512</v>
      </c>
      <c r="F393" s="1">
        <f>Tabela110[[#This Row],[Tensão (Pa)]]/1000000</f>
        <v>10.086316371428513</v>
      </c>
    </row>
    <row r="394" spans="1:6" x14ac:dyDescent="0.3">
      <c r="A394" s="1">
        <v>45.067</v>
      </c>
      <c r="B394" s="1">
        <v>3.7477999999999998</v>
      </c>
      <c r="C394" s="1">
        <f>Tabela110[[#This Row],[Alongamento (mm/mm)]]/$I$2</f>
        <v>7.4955999999999995E-2</v>
      </c>
      <c r="D394" s="1">
        <v>489.37</v>
      </c>
      <c r="E394" s="1">
        <f>Tabela110[[#This Row],[Força (N)]]/$I$5</f>
        <v>10171115.503484454</v>
      </c>
      <c r="F394" s="1">
        <f>Tabela110[[#This Row],[Tensão (Pa)]]/1000000</f>
        <v>10.171115503484454</v>
      </c>
    </row>
    <row r="395" spans="1:6" x14ac:dyDescent="0.3">
      <c r="A395" s="1">
        <v>45.183</v>
      </c>
      <c r="B395" s="1">
        <v>3.7576000000000001</v>
      </c>
      <c r="C395" s="1">
        <f>Tabela110[[#This Row],[Alongamento (mm/mm)]]/$I$2</f>
        <v>7.5151999999999997E-2</v>
      </c>
      <c r="D395" s="1">
        <v>493.46</v>
      </c>
      <c r="E395" s="1">
        <f>Tabela110[[#This Row],[Força (N)]]/$I$5</f>
        <v>10256122.476550337</v>
      </c>
      <c r="F395" s="1">
        <f>Tabela110[[#This Row],[Tensão (Pa)]]/1000000</f>
        <v>10.256122476550336</v>
      </c>
    </row>
    <row r="396" spans="1:6" x14ac:dyDescent="0.3">
      <c r="A396" s="1">
        <v>45.3</v>
      </c>
      <c r="B396" s="1">
        <v>3.7673000000000001</v>
      </c>
      <c r="C396" s="1">
        <f>Tabela110[[#This Row],[Alongamento (mm/mm)]]/$I$2</f>
        <v>7.5345999999999996E-2</v>
      </c>
      <c r="D396" s="1">
        <v>497.37</v>
      </c>
      <c r="E396" s="1">
        <f>Tabela110[[#This Row],[Força (N)]]/$I$5</f>
        <v>10337388.311437283</v>
      </c>
      <c r="F396" s="1">
        <f>Tabela110[[#This Row],[Tensão (Pa)]]/1000000</f>
        <v>10.337388311437282</v>
      </c>
    </row>
    <row r="397" spans="1:6" x14ac:dyDescent="0.3">
      <c r="A397" s="1">
        <v>45.417000000000002</v>
      </c>
      <c r="B397" s="1">
        <v>3.7770000000000001</v>
      </c>
      <c r="C397" s="1">
        <f>Tabela110[[#This Row],[Alongamento (mm/mm)]]/$I$2</f>
        <v>7.5539999999999996E-2</v>
      </c>
      <c r="D397" s="1">
        <v>501.45</v>
      </c>
      <c r="E397" s="1">
        <f>Tabela110[[#This Row],[Força (N)]]/$I$5</f>
        <v>10422187.443493225</v>
      </c>
      <c r="F397" s="1">
        <f>Tabela110[[#This Row],[Tensão (Pa)]]/1000000</f>
        <v>10.422187443493225</v>
      </c>
    </row>
    <row r="398" spans="1:6" x14ac:dyDescent="0.3">
      <c r="A398" s="1">
        <v>45.533000000000001</v>
      </c>
      <c r="B398" s="1">
        <v>3.7867000000000002</v>
      </c>
      <c r="C398" s="1">
        <f>Tabela110[[#This Row],[Alongamento (mm/mm)]]/$I$2</f>
        <v>7.573400000000001E-2</v>
      </c>
      <c r="D398" s="1">
        <v>505.53</v>
      </c>
      <c r="E398" s="1">
        <f>Tabela110[[#This Row],[Força (N)]]/$I$5</f>
        <v>10506986.575549167</v>
      </c>
      <c r="F398" s="1">
        <f>Tabela110[[#This Row],[Tensão (Pa)]]/1000000</f>
        <v>10.506986575549167</v>
      </c>
    </row>
    <row r="399" spans="1:6" x14ac:dyDescent="0.3">
      <c r="A399" s="1">
        <v>45.65</v>
      </c>
      <c r="B399" s="1">
        <v>3.7964000000000002</v>
      </c>
      <c r="C399" s="1">
        <f>Tabela110[[#This Row],[Alongamento (mm/mm)]]/$I$2</f>
        <v>7.5928000000000009E-2</v>
      </c>
      <c r="D399" s="1">
        <v>509.62</v>
      </c>
      <c r="E399" s="1">
        <f>Tabela110[[#This Row],[Força (N)]]/$I$5</f>
        <v>10591993.548615051</v>
      </c>
      <c r="F399" s="1">
        <f>Tabela110[[#This Row],[Tensão (Pa)]]/1000000</f>
        <v>10.591993548615051</v>
      </c>
    </row>
    <row r="400" spans="1:6" x14ac:dyDescent="0.3">
      <c r="A400" s="1">
        <v>45.767000000000003</v>
      </c>
      <c r="B400" s="1">
        <v>3.8062</v>
      </c>
      <c r="C400" s="1">
        <f>Tabela110[[#This Row],[Alongamento (mm/mm)]]/$I$2</f>
        <v>7.6123999999999997E-2</v>
      </c>
      <c r="D400" s="1">
        <v>513.70000000000005</v>
      </c>
      <c r="E400" s="1">
        <f>Tabela110[[#This Row],[Força (N)]]/$I$5</f>
        <v>10676792.680670995</v>
      </c>
      <c r="F400" s="1">
        <f>Tabela110[[#This Row],[Tensão (Pa)]]/1000000</f>
        <v>10.676792680670996</v>
      </c>
    </row>
    <row r="401" spans="1:6" x14ac:dyDescent="0.3">
      <c r="A401" s="1">
        <v>45.883000000000003</v>
      </c>
      <c r="B401" s="1">
        <v>3.8157999999999999</v>
      </c>
      <c r="C401" s="1">
        <f>Tabela110[[#This Row],[Alongamento (mm/mm)]]/$I$2</f>
        <v>7.6315999999999995E-2</v>
      </c>
      <c r="D401" s="1">
        <v>517.78</v>
      </c>
      <c r="E401" s="1">
        <f>Tabela110[[#This Row],[Força (N)]]/$I$5</f>
        <v>10761591.812726935</v>
      </c>
      <c r="F401" s="1">
        <f>Tabela110[[#This Row],[Tensão (Pa)]]/1000000</f>
        <v>10.761591812726936</v>
      </c>
    </row>
    <row r="402" spans="1:6" x14ac:dyDescent="0.3">
      <c r="A402" s="1">
        <v>46</v>
      </c>
      <c r="B402" s="1">
        <v>3.8256000000000001</v>
      </c>
      <c r="C402" s="1">
        <f>Tabela110[[#This Row],[Alongamento (mm/mm)]]/$I$2</f>
        <v>7.6511999999999997E-2</v>
      </c>
      <c r="D402" s="1">
        <v>521.86</v>
      </c>
      <c r="E402" s="1">
        <f>Tabela110[[#This Row],[Força (N)]]/$I$5</f>
        <v>10846390.944782879</v>
      </c>
      <c r="F402" s="1">
        <f>Tabela110[[#This Row],[Tensão (Pa)]]/1000000</f>
        <v>10.846390944782879</v>
      </c>
    </row>
    <row r="403" spans="1:6" x14ac:dyDescent="0.3">
      <c r="A403" s="1">
        <v>46.116999999999997</v>
      </c>
      <c r="B403" s="1">
        <v>3.8353999999999999</v>
      </c>
      <c r="C403" s="1">
        <f>Tabela110[[#This Row],[Alongamento (mm/mm)]]/$I$2</f>
        <v>7.6707999999999998E-2</v>
      </c>
      <c r="D403" s="1">
        <v>526.12</v>
      </c>
      <c r="E403" s="1">
        <f>Tabela110[[#This Row],[Força (N)]]/$I$5</f>
        <v>10934931.21501776</v>
      </c>
      <c r="F403" s="1">
        <f>Tabela110[[#This Row],[Tensão (Pa)]]/1000000</f>
        <v>10.934931215017761</v>
      </c>
    </row>
    <row r="404" spans="1:6" x14ac:dyDescent="0.3">
      <c r="A404" s="1">
        <v>46.232999999999997</v>
      </c>
      <c r="B404" s="1">
        <v>3.8451</v>
      </c>
      <c r="C404" s="1">
        <f>Tabela110[[#This Row],[Alongamento (mm/mm)]]/$I$2</f>
        <v>7.6901999999999998E-2</v>
      </c>
      <c r="D404" s="1">
        <v>530.20000000000005</v>
      </c>
      <c r="E404" s="1">
        <f>Tabela110[[#This Row],[Força (N)]]/$I$5</f>
        <v>11019730.347073704</v>
      </c>
      <c r="F404" s="1">
        <f>Tabela110[[#This Row],[Tensão (Pa)]]/1000000</f>
        <v>11.019730347073704</v>
      </c>
    </row>
    <row r="405" spans="1:6" x14ac:dyDescent="0.3">
      <c r="A405" s="1">
        <v>46.35</v>
      </c>
      <c r="B405" s="1">
        <v>3.8548</v>
      </c>
      <c r="C405" s="1">
        <f>Tabela110[[#This Row],[Alongamento (mm/mm)]]/$I$2</f>
        <v>7.7095999999999998E-2</v>
      </c>
      <c r="D405" s="1">
        <v>534.45000000000005</v>
      </c>
      <c r="E405" s="1">
        <f>Tabela110[[#This Row],[Força (N)]]/$I$5</f>
        <v>11108062.776298644</v>
      </c>
      <c r="F405" s="1">
        <f>Tabela110[[#This Row],[Tensão (Pa)]]/1000000</f>
        <v>11.108062776298643</v>
      </c>
    </row>
    <row r="406" spans="1:6" x14ac:dyDescent="0.3">
      <c r="A406" s="1">
        <v>46.466999999999999</v>
      </c>
      <c r="B406" s="1">
        <v>3.8645</v>
      </c>
      <c r="C406" s="1">
        <f>Tabela110[[#This Row],[Alongamento (mm/mm)]]/$I$2</f>
        <v>7.7289999999999998E-2</v>
      </c>
      <c r="D406" s="1">
        <v>538.53</v>
      </c>
      <c r="E406" s="1">
        <f>Tabela110[[#This Row],[Força (N)]]/$I$5</f>
        <v>11192861.908354584</v>
      </c>
      <c r="F406" s="1">
        <f>Tabela110[[#This Row],[Tensão (Pa)]]/1000000</f>
        <v>11.192861908354583</v>
      </c>
    </row>
    <row r="407" spans="1:6" x14ac:dyDescent="0.3">
      <c r="A407" s="1">
        <v>46.582999999999998</v>
      </c>
      <c r="B407" s="1">
        <v>3.8742000000000001</v>
      </c>
      <c r="C407" s="1">
        <f>Tabela110[[#This Row],[Alongamento (mm/mm)]]/$I$2</f>
        <v>7.7483999999999997E-2</v>
      </c>
      <c r="D407" s="1">
        <v>542.79</v>
      </c>
      <c r="E407" s="1">
        <f>Tabela110[[#This Row],[Força (N)]]/$I$5</f>
        <v>11281402.178589465</v>
      </c>
      <c r="F407" s="1">
        <f>Tabela110[[#This Row],[Tensão (Pa)]]/1000000</f>
        <v>11.281402178589465</v>
      </c>
    </row>
    <row r="408" spans="1:6" x14ac:dyDescent="0.3">
      <c r="A408" s="1">
        <v>46.7</v>
      </c>
      <c r="B408" s="1">
        <v>3.8839999999999999</v>
      </c>
      <c r="C408" s="1">
        <f>Tabela110[[#This Row],[Alongamento (mm/mm)]]/$I$2</f>
        <v>7.7679999999999999E-2</v>
      </c>
      <c r="D408" s="1">
        <v>547.04</v>
      </c>
      <c r="E408" s="1">
        <f>Tabela110[[#This Row],[Força (N)]]/$I$5</f>
        <v>11369734.607814405</v>
      </c>
      <c r="F408" s="1">
        <f>Tabela110[[#This Row],[Tensão (Pa)]]/1000000</f>
        <v>11.369734607814404</v>
      </c>
    </row>
    <row r="409" spans="1:6" x14ac:dyDescent="0.3">
      <c r="A409" s="1">
        <v>46.817</v>
      </c>
      <c r="B409" s="1">
        <v>3.8936000000000002</v>
      </c>
      <c r="C409" s="1">
        <f>Tabela110[[#This Row],[Alongamento (mm/mm)]]/$I$2</f>
        <v>7.7871999999999997E-2</v>
      </c>
      <c r="D409" s="1">
        <v>551.29</v>
      </c>
      <c r="E409" s="1">
        <f>Tabela110[[#This Row],[Força (N)]]/$I$5</f>
        <v>11458067.037039345</v>
      </c>
      <c r="F409" s="1">
        <f>Tabela110[[#This Row],[Tensão (Pa)]]/1000000</f>
        <v>11.458067037039346</v>
      </c>
    </row>
    <row r="410" spans="1:6" x14ac:dyDescent="0.3">
      <c r="A410" s="1">
        <v>46.933</v>
      </c>
      <c r="B410" s="1">
        <v>3.9033000000000002</v>
      </c>
      <c r="C410" s="1">
        <f>Tabela110[[#This Row],[Alongamento (mm/mm)]]/$I$2</f>
        <v>7.806600000000001E-2</v>
      </c>
      <c r="D410" s="1">
        <v>555.54</v>
      </c>
      <c r="E410" s="1">
        <f>Tabela110[[#This Row],[Força (N)]]/$I$5</f>
        <v>11546399.466264285</v>
      </c>
      <c r="F410" s="1">
        <f>Tabela110[[#This Row],[Tensão (Pa)]]/1000000</f>
        <v>11.546399466264285</v>
      </c>
    </row>
    <row r="411" spans="1:6" x14ac:dyDescent="0.3">
      <c r="A411" s="1">
        <v>47.05</v>
      </c>
      <c r="B411" s="1">
        <v>3.9131</v>
      </c>
      <c r="C411" s="1">
        <f>Tabela110[[#This Row],[Alongamento (mm/mm)]]/$I$2</f>
        <v>7.8261999999999998E-2</v>
      </c>
      <c r="D411" s="1">
        <v>559.97</v>
      </c>
      <c r="E411" s="1">
        <f>Tabela110[[#This Row],[Força (N)]]/$I$5</f>
        <v>11638473.033668166</v>
      </c>
      <c r="F411" s="1">
        <f>Tabela110[[#This Row],[Tensão (Pa)]]/1000000</f>
        <v>11.638473033668166</v>
      </c>
    </row>
    <row r="412" spans="1:6" x14ac:dyDescent="0.3">
      <c r="A412" s="1">
        <v>47.167000000000002</v>
      </c>
      <c r="B412" s="1">
        <v>3.9228999999999998</v>
      </c>
      <c r="C412" s="1">
        <f>Tabela110[[#This Row],[Alongamento (mm/mm)]]/$I$2</f>
        <v>7.8458E-2</v>
      </c>
      <c r="D412" s="1">
        <v>564.22</v>
      </c>
      <c r="E412" s="1">
        <f>Tabela110[[#This Row],[Força (N)]]/$I$5</f>
        <v>11726805.462893106</v>
      </c>
      <c r="F412" s="1">
        <f>Tabela110[[#This Row],[Tensão (Pa)]]/1000000</f>
        <v>11.726805462893106</v>
      </c>
    </row>
    <row r="413" spans="1:6" x14ac:dyDescent="0.3">
      <c r="A413" s="1">
        <v>47.283000000000001</v>
      </c>
      <c r="B413" s="1">
        <v>3.9325999999999999</v>
      </c>
      <c r="C413" s="1">
        <f>Tabela110[[#This Row],[Alongamento (mm/mm)]]/$I$2</f>
        <v>7.8652E-2</v>
      </c>
      <c r="D413" s="1">
        <v>568.64</v>
      </c>
      <c r="E413" s="1">
        <f>Tabela110[[#This Row],[Força (N)]]/$I$5</f>
        <v>11818671.189287042</v>
      </c>
      <c r="F413" s="1">
        <f>Tabela110[[#This Row],[Tensão (Pa)]]/1000000</f>
        <v>11.818671189287043</v>
      </c>
    </row>
    <row r="414" spans="1:6" x14ac:dyDescent="0.3">
      <c r="A414" s="1">
        <v>47.4</v>
      </c>
      <c r="B414" s="1">
        <v>3.9422000000000001</v>
      </c>
      <c r="C414" s="1">
        <f>Tabela110[[#This Row],[Alongamento (mm/mm)]]/$I$2</f>
        <v>7.8843999999999997E-2</v>
      </c>
      <c r="D414" s="1">
        <v>573.05999999999995</v>
      </c>
      <c r="E414" s="1">
        <f>Tabela110[[#This Row],[Força (N)]]/$I$5</f>
        <v>11910536.91568098</v>
      </c>
      <c r="F414" s="1">
        <f>Tabela110[[#This Row],[Tensão (Pa)]]/1000000</f>
        <v>11.91053691568098</v>
      </c>
    </row>
    <row r="415" spans="1:6" x14ac:dyDescent="0.3">
      <c r="A415" s="1">
        <v>47.517000000000003</v>
      </c>
      <c r="B415" s="1">
        <v>3.952</v>
      </c>
      <c r="C415" s="1">
        <f>Tabela110[[#This Row],[Alongamento (mm/mm)]]/$I$2</f>
        <v>7.9039999999999999E-2</v>
      </c>
      <c r="D415" s="1">
        <v>577.49</v>
      </c>
      <c r="E415" s="1">
        <f>Tabela110[[#This Row],[Força (N)]]/$I$5</f>
        <v>12002610.483084859</v>
      </c>
      <c r="F415" s="1">
        <f>Tabela110[[#This Row],[Tensão (Pa)]]/1000000</f>
        <v>12.00261048308486</v>
      </c>
    </row>
    <row r="416" spans="1:6" x14ac:dyDescent="0.3">
      <c r="A416" s="1">
        <v>47.633000000000003</v>
      </c>
      <c r="B416" s="1">
        <v>3.9617</v>
      </c>
      <c r="C416" s="1">
        <f>Tabela110[[#This Row],[Alongamento (mm/mm)]]/$I$2</f>
        <v>7.9233999999999999E-2</v>
      </c>
      <c r="D416" s="1">
        <v>582.08000000000004</v>
      </c>
      <c r="E416" s="1">
        <f>Tabela110[[#This Row],[Força (N)]]/$I$5</f>
        <v>12098009.506647795</v>
      </c>
      <c r="F416" s="1">
        <f>Tabela110[[#This Row],[Tensão (Pa)]]/1000000</f>
        <v>12.098009506647795</v>
      </c>
    </row>
    <row r="417" spans="1:6" x14ac:dyDescent="0.3">
      <c r="A417" s="1">
        <v>47.75</v>
      </c>
      <c r="B417" s="1">
        <v>3.9714</v>
      </c>
      <c r="C417" s="1">
        <f>Tabela110[[#This Row],[Alongamento (mm/mm)]]/$I$2</f>
        <v>7.9427999999999999E-2</v>
      </c>
      <c r="D417" s="1">
        <v>586.5</v>
      </c>
      <c r="E417" s="1">
        <f>Tabela110[[#This Row],[Força (N)]]/$I$5</f>
        <v>12189875.233041732</v>
      </c>
      <c r="F417" s="1">
        <f>Tabela110[[#This Row],[Tensão (Pa)]]/1000000</f>
        <v>12.189875233041732</v>
      </c>
    </row>
    <row r="418" spans="1:6" x14ac:dyDescent="0.3">
      <c r="A418" s="1">
        <v>47.866999999999997</v>
      </c>
      <c r="B418" s="1">
        <v>3.9811000000000001</v>
      </c>
      <c r="C418" s="1">
        <f>Tabela110[[#This Row],[Alongamento (mm/mm)]]/$I$2</f>
        <v>7.9621999999999998E-2</v>
      </c>
      <c r="D418" s="1">
        <v>591.09</v>
      </c>
      <c r="E418" s="1">
        <f>Tabela110[[#This Row],[Força (N)]]/$I$5</f>
        <v>12285274.256604668</v>
      </c>
      <c r="F418" s="1">
        <f>Tabela110[[#This Row],[Tensão (Pa)]]/1000000</f>
        <v>12.285274256604668</v>
      </c>
    </row>
    <row r="419" spans="1:6" x14ac:dyDescent="0.3">
      <c r="A419" s="1">
        <v>47.982999999999997</v>
      </c>
      <c r="B419" s="1">
        <v>3.9908999999999999</v>
      </c>
      <c r="C419" s="1">
        <f>Tabela110[[#This Row],[Alongamento (mm/mm)]]/$I$2</f>
        <v>7.9818E-2</v>
      </c>
      <c r="D419" s="1">
        <v>595.52</v>
      </c>
      <c r="E419" s="1">
        <f>Tabela110[[#This Row],[Força (N)]]/$I$5</f>
        <v>12377347.824008547</v>
      </c>
      <c r="F419" s="1">
        <f>Tabela110[[#This Row],[Tensão (Pa)]]/1000000</f>
        <v>12.377347824008547</v>
      </c>
    </row>
    <row r="420" spans="1:6" x14ac:dyDescent="0.3">
      <c r="A420" s="1">
        <v>48.1</v>
      </c>
      <c r="B420" s="1">
        <v>4.0007000000000001</v>
      </c>
      <c r="C420" s="1">
        <f>Tabela110[[#This Row],[Alongamento (mm/mm)]]/$I$2</f>
        <v>8.0014000000000002E-2</v>
      </c>
      <c r="D420" s="1">
        <v>600.11</v>
      </c>
      <c r="E420" s="1">
        <f>Tabela110[[#This Row],[Força (N)]]/$I$5</f>
        <v>12472746.847571483</v>
      </c>
      <c r="F420" s="1">
        <f>Tabela110[[#This Row],[Tensão (Pa)]]/1000000</f>
        <v>12.472746847571482</v>
      </c>
    </row>
    <row r="421" spans="1:6" x14ac:dyDescent="0.3">
      <c r="A421" s="1">
        <v>48.216999999999999</v>
      </c>
      <c r="B421" s="1">
        <v>4.0103</v>
      </c>
      <c r="C421" s="1">
        <f>Tabela110[[#This Row],[Alongamento (mm/mm)]]/$I$2</f>
        <v>8.0206E-2</v>
      </c>
      <c r="D421" s="1">
        <v>604.70000000000005</v>
      </c>
      <c r="E421" s="1">
        <f>Tabela110[[#This Row],[Força (N)]]/$I$5</f>
        <v>12568145.871134417</v>
      </c>
      <c r="F421" s="1">
        <f>Tabela110[[#This Row],[Tensão (Pa)]]/1000000</f>
        <v>12.568145871134417</v>
      </c>
    </row>
    <row r="422" spans="1:6" x14ac:dyDescent="0.3">
      <c r="A422" s="1">
        <v>48.332999999999998</v>
      </c>
      <c r="B422" s="1">
        <v>4.0201000000000002</v>
      </c>
      <c r="C422" s="1">
        <f>Tabela110[[#This Row],[Alongamento (mm/mm)]]/$I$2</f>
        <v>8.0402000000000001E-2</v>
      </c>
      <c r="D422" s="1">
        <v>609.29</v>
      </c>
      <c r="E422" s="1">
        <f>Tabela110[[#This Row],[Força (N)]]/$I$5</f>
        <v>12663544.894697351</v>
      </c>
      <c r="F422" s="1">
        <f>Tabela110[[#This Row],[Tensão (Pa)]]/1000000</f>
        <v>12.663544894697351</v>
      </c>
    </row>
    <row r="423" spans="1:6" x14ac:dyDescent="0.3">
      <c r="A423" s="1">
        <v>48.45</v>
      </c>
      <c r="B423" s="1">
        <v>4.0297999999999998</v>
      </c>
      <c r="C423" s="1">
        <f>Tabela110[[#This Row],[Alongamento (mm/mm)]]/$I$2</f>
        <v>8.0596000000000001E-2</v>
      </c>
      <c r="D423" s="1">
        <v>613.89</v>
      </c>
      <c r="E423" s="1">
        <f>Tabela110[[#This Row],[Força (N)]]/$I$5</f>
        <v>12759151.759270228</v>
      </c>
      <c r="F423" s="1">
        <f>Tabela110[[#This Row],[Tensão (Pa)]]/1000000</f>
        <v>12.759151759270228</v>
      </c>
    </row>
    <row r="424" spans="1:6" x14ac:dyDescent="0.3">
      <c r="A424" s="1">
        <v>48.582999999999998</v>
      </c>
      <c r="B424" s="1">
        <v>4.0410000000000004</v>
      </c>
      <c r="C424" s="1">
        <f>Tabela110[[#This Row],[Alongamento (mm/mm)]]/$I$2</f>
        <v>8.0820000000000003E-2</v>
      </c>
      <c r="D424" s="1">
        <v>619.16</v>
      </c>
      <c r="E424" s="1">
        <f>Tabela110[[#This Row],[Força (N)]]/$I$5</f>
        <v>12868683.971509153</v>
      </c>
      <c r="F424" s="1">
        <f>Tabela110[[#This Row],[Tensão (Pa)]]/1000000</f>
        <v>12.868683971509153</v>
      </c>
    </row>
    <row r="425" spans="1:6" x14ac:dyDescent="0.3">
      <c r="A425" s="1">
        <v>48.716999999999999</v>
      </c>
      <c r="B425" s="1">
        <v>4.0519999999999996</v>
      </c>
      <c r="C425" s="1">
        <f>Tabela110[[#This Row],[Alongamento (mm/mm)]]/$I$2</f>
        <v>8.1039999999999987E-2</v>
      </c>
      <c r="D425" s="1">
        <v>624.26</v>
      </c>
      <c r="E425" s="1">
        <f>Tabela110[[#This Row],[Força (N)]]/$I$5</f>
        <v>12974682.886579081</v>
      </c>
      <c r="F425" s="1">
        <f>Tabela110[[#This Row],[Tensão (Pa)]]/1000000</f>
        <v>12.974682886579082</v>
      </c>
    </row>
    <row r="426" spans="1:6" x14ac:dyDescent="0.3">
      <c r="A426" s="1">
        <v>48.85</v>
      </c>
      <c r="B426" s="1">
        <v>4.0632000000000001</v>
      </c>
      <c r="C426" s="1">
        <f>Tabela110[[#This Row],[Alongamento (mm/mm)]]/$I$2</f>
        <v>8.1264000000000003E-2</v>
      </c>
      <c r="D426" s="1">
        <v>629.54</v>
      </c>
      <c r="E426" s="1">
        <f>Tabela110[[#This Row],[Força (N)]]/$I$5</f>
        <v>13084422.939827949</v>
      </c>
      <c r="F426" s="1">
        <f>Tabela110[[#This Row],[Tensão (Pa)]]/1000000</f>
        <v>13.084422939827949</v>
      </c>
    </row>
    <row r="427" spans="1:6" x14ac:dyDescent="0.3">
      <c r="A427" s="1">
        <v>48.982999999999997</v>
      </c>
      <c r="B427" s="1">
        <v>4.0742000000000003</v>
      </c>
      <c r="C427" s="1">
        <f>Tabela110[[#This Row],[Alongamento (mm/mm)]]/$I$2</f>
        <v>8.1484000000000001E-2</v>
      </c>
      <c r="D427" s="1">
        <v>634.80999999999995</v>
      </c>
      <c r="E427" s="1">
        <f>Tabela110[[#This Row],[Força (N)]]/$I$5</f>
        <v>13193955.152066873</v>
      </c>
      <c r="F427" s="1">
        <f>Tabela110[[#This Row],[Tensão (Pa)]]/1000000</f>
        <v>13.193955152066874</v>
      </c>
    </row>
    <row r="428" spans="1:6" x14ac:dyDescent="0.3">
      <c r="A428" s="1">
        <v>49.116999999999997</v>
      </c>
      <c r="B428" s="1">
        <v>4.0852000000000004</v>
      </c>
      <c r="C428" s="1">
        <f>Tabela110[[#This Row],[Alongamento (mm/mm)]]/$I$2</f>
        <v>8.1704000000000013E-2</v>
      </c>
      <c r="D428" s="1">
        <v>640.08000000000004</v>
      </c>
      <c r="E428" s="1">
        <f>Tabela110[[#This Row],[Força (N)]]/$I$5</f>
        <v>13303487.364305802</v>
      </c>
      <c r="F428" s="1">
        <f>Tabela110[[#This Row],[Tensão (Pa)]]/1000000</f>
        <v>13.303487364305802</v>
      </c>
    </row>
    <row r="429" spans="1:6" x14ac:dyDescent="0.3">
      <c r="A429" s="1">
        <v>49.232999999999997</v>
      </c>
      <c r="B429" s="1">
        <v>4.0949999999999998</v>
      </c>
      <c r="C429" s="1">
        <f>Tabela110[[#This Row],[Alongamento (mm/mm)]]/$I$2</f>
        <v>8.1900000000000001E-2</v>
      </c>
      <c r="D429" s="1">
        <v>644.84</v>
      </c>
      <c r="E429" s="1">
        <f>Tabela110[[#This Row],[Força (N)]]/$I$5</f>
        <v>13402419.685037734</v>
      </c>
      <c r="F429" s="1">
        <f>Tabela110[[#This Row],[Tensão (Pa)]]/1000000</f>
        <v>13.402419685037733</v>
      </c>
    </row>
    <row r="430" spans="1:6" x14ac:dyDescent="0.3">
      <c r="A430" s="1">
        <v>49.366999999999997</v>
      </c>
      <c r="B430" s="1">
        <v>4.1060999999999996</v>
      </c>
      <c r="C430" s="1">
        <f>Tabela110[[#This Row],[Alongamento (mm/mm)]]/$I$2</f>
        <v>8.2121999999999987E-2</v>
      </c>
      <c r="D430" s="1">
        <v>650.12</v>
      </c>
      <c r="E430" s="1">
        <f>Tabela110[[#This Row],[Força (N)]]/$I$5</f>
        <v>13512159.7382866</v>
      </c>
      <c r="F430" s="1">
        <f>Tabela110[[#This Row],[Tensão (Pa)]]/1000000</f>
        <v>13.5121597382866</v>
      </c>
    </row>
    <row r="431" spans="1:6" x14ac:dyDescent="0.3">
      <c r="A431" s="1">
        <v>49.5</v>
      </c>
      <c r="B431" s="1">
        <v>4.1173999999999999</v>
      </c>
      <c r="C431" s="1">
        <f>Tabela110[[#This Row],[Alongamento (mm/mm)]]/$I$2</f>
        <v>8.2348000000000005E-2</v>
      </c>
      <c r="D431" s="1">
        <v>655.39</v>
      </c>
      <c r="E431" s="1">
        <f>Tabela110[[#This Row],[Força (N)]]/$I$5</f>
        <v>13621691.950525526</v>
      </c>
      <c r="F431" s="1">
        <f>Tabela110[[#This Row],[Tensão (Pa)]]/1000000</f>
        <v>13.621691950525525</v>
      </c>
    </row>
    <row r="432" spans="1:6" x14ac:dyDescent="0.3">
      <c r="A432" s="1">
        <v>49.633000000000003</v>
      </c>
      <c r="B432" s="1">
        <v>4.1283000000000003</v>
      </c>
      <c r="C432" s="1">
        <f>Tabela110[[#This Row],[Alongamento (mm/mm)]]/$I$2</f>
        <v>8.2566000000000001E-2</v>
      </c>
      <c r="D432" s="1">
        <v>660.66</v>
      </c>
      <c r="E432" s="1">
        <f>Tabela110[[#This Row],[Força (N)]]/$I$5</f>
        <v>13731224.162764451</v>
      </c>
      <c r="F432" s="1">
        <f>Tabela110[[#This Row],[Tensão (Pa)]]/1000000</f>
        <v>13.73122416276445</v>
      </c>
    </row>
    <row r="433" spans="1:6" x14ac:dyDescent="0.3">
      <c r="A433" s="1">
        <v>49.767000000000003</v>
      </c>
      <c r="B433" s="1">
        <v>4.1395</v>
      </c>
      <c r="C433" s="1">
        <f>Tabela110[[#This Row],[Alongamento (mm/mm)]]/$I$2</f>
        <v>8.2790000000000002E-2</v>
      </c>
      <c r="D433" s="1">
        <v>665.94</v>
      </c>
      <c r="E433" s="1">
        <f>Tabela110[[#This Row],[Força (N)]]/$I$5</f>
        <v>13840964.21601332</v>
      </c>
      <c r="F433" s="1">
        <f>Tabela110[[#This Row],[Tensão (Pa)]]/1000000</f>
        <v>13.840964216013321</v>
      </c>
    </row>
    <row r="434" spans="1:6" x14ac:dyDescent="0.3">
      <c r="A434" s="1">
        <v>49.9</v>
      </c>
      <c r="B434" s="1">
        <v>4.1506999999999996</v>
      </c>
      <c r="C434" s="1">
        <f>Tabela110[[#This Row],[Alongamento (mm/mm)]]/$I$2</f>
        <v>8.3013999999999991E-2</v>
      </c>
      <c r="D434" s="1">
        <v>671.04</v>
      </c>
      <c r="E434" s="1">
        <f>Tabela110[[#This Row],[Força (N)]]/$I$5</f>
        <v>13946963.131083246</v>
      </c>
      <c r="F434" s="1">
        <f>Tabela110[[#This Row],[Tensão (Pa)]]/1000000</f>
        <v>13.946963131083246</v>
      </c>
    </row>
    <row r="435" spans="1:6" x14ac:dyDescent="0.3">
      <c r="A435" s="1">
        <v>50.033000000000001</v>
      </c>
      <c r="B435" s="1">
        <v>4.1616999999999997</v>
      </c>
      <c r="C435" s="1">
        <f>Tabela110[[#This Row],[Alongamento (mm/mm)]]/$I$2</f>
        <v>8.3233999999999989E-2</v>
      </c>
      <c r="D435" s="1">
        <v>676.31</v>
      </c>
      <c r="E435" s="1">
        <f>Tabela110[[#This Row],[Força (N)]]/$I$5</f>
        <v>14056495.343322171</v>
      </c>
      <c r="F435" s="1">
        <f>Tabela110[[#This Row],[Tensão (Pa)]]/1000000</f>
        <v>14.056495343322171</v>
      </c>
    </row>
    <row r="436" spans="1:6" x14ac:dyDescent="0.3">
      <c r="A436" s="1">
        <v>50.167000000000002</v>
      </c>
      <c r="B436" s="1">
        <v>4.1727999999999996</v>
      </c>
      <c r="C436" s="1">
        <f>Tabela110[[#This Row],[Alongamento (mm/mm)]]/$I$2</f>
        <v>8.3455999999999989E-2</v>
      </c>
      <c r="D436" s="1">
        <v>681.59</v>
      </c>
      <c r="E436" s="1">
        <f>Tabela110[[#This Row],[Força (N)]]/$I$5</f>
        <v>14166235.39657104</v>
      </c>
      <c r="F436" s="1">
        <f>Tabela110[[#This Row],[Tensão (Pa)]]/1000000</f>
        <v>14.166235396571039</v>
      </c>
    </row>
    <row r="437" spans="1:6" x14ac:dyDescent="0.3">
      <c r="A437" s="1">
        <v>50.3</v>
      </c>
      <c r="B437" s="1">
        <v>4.1839000000000004</v>
      </c>
      <c r="C437" s="1">
        <f>Tabela110[[#This Row],[Alongamento (mm/mm)]]/$I$2</f>
        <v>8.3678000000000002E-2</v>
      </c>
      <c r="D437" s="1">
        <v>686.86</v>
      </c>
      <c r="E437" s="1">
        <f>Tabela110[[#This Row],[Força (N)]]/$I$5</f>
        <v>14275767.608809965</v>
      </c>
      <c r="F437" s="1">
        <f>Tabela110[[#This Row],[Tensão (Pa)]]/1000000</f>
        <v>14.275767608809964</v>
      </c>
    </row>
    <row r="438" spans="1:6" x14ac:dyDescent="0.3">
      <c r="A438" s="1">
        <v>50.433</v>
      </c>
      <c r="B438" s="1">
        <v>4.1951000000000001</v>
      </c>
      <c r="C438" s="1">
        <f>Tabela110[[#This Row],[Alongamento (mm/mm)]]/$I$2</f>
        <v>8.3902000000000004E-2</v>
      </c>
      <c r="D438" s="1">
        <v>692.13</v>
      </c>
      <c r="E438" s="1">
        <f>Tabela110[[#This Row],[Força (N)]]/$I$5</f>
        <v>14385299.821048891</v>
      </c>
      <c r="F438" s="1">
        <f>Tabela110[[#This Row],[Tensão (Pa)]]/1000000</f>
        <v>14.385299821048891</v>
      </c>
    </row>
    <row r="439" spans="1:6" x14ac:dyDescent="0.3">
      <c r="A439" s="1">
        <v>50.567</v>
      </c>
      <c r="B439" s="1">
        <v>4.2061999999999999</v>
      </c>
      <c r="C439" s="1">
        <f>Tabela110[[#This Row],[Alongamento (mm/mm)]]/$I$2</f>
        <v>8.4124000000000004E-2</v>
      </c>
      <c r="D439" s="1">
        <v>697.41</v>
      </c>
      <c r="E439" s="1">
        <f>Tabela110[[#This Row],[Força (N)]]/$I$5</f>
        <v>14495039.874297757</v>
      </c>
      <c r="F439" s="1">
        <f>Tabela110[[#This Row],[Tensão (Pa)]]/1000000</f>
        <v>14.495039874297756</v>
      </c>
    </row>
    <row r="440" spans="1:6" x14ac:dyDescent="0.3">
      <c r="A440" s="1">
        <v>50.7</v>
      </c>
      <c r="B440" s="1">
        <v>4.2172999999999998</v>
      </c>
      <c r="C440" s="1">
        <f>Tabela110[[#This Row],[Alongamento (mm/mm)]]/$I$2</f>
        <v>8.434599999999999E-2</v>
      </c>
      <c r="D440" s="1">
        <v>702.85</v>
      </c>
      <c r="E440" s="1">
        <f>Tabela110[[#This Row],[Força (N)]]/$I$5</f>
        <v>14608105.383705681</v>
      </c>
      <c r="F440" s="1">
        <f>Tabela110[[#This Row],[Tensão (Pa)]]/1000000</f>
        <v>14.608105383705681</v>
      </c>
    </row>
    <row r="441" spans="1:6" x14ac:dyDescent="0.3">
      <c r="A441" s="1">
        <v>50.85</v>
      </c>
      <c r="B441" s="1">
        <v>4.2297000000000002</v>
      </c>
      <c r="C441" s="1">
        <f>Tabela110[[#This Row],[Alongamento (mm/mm)]]/$I$2</f>
        <v>8.4594000000000003E-2</v>
      </c>
      <c r="D441" s="1">
        <v>708.8</v>
      </c>
      <c r="E441" s="1">
        <f>Tabela110[[#This Row],[Força (N)]]/$I$5</f>
        <v>14731770.784620596</v>
      </c>
      <c r="F441" s="1">
        <f>Tabela110[[#This Row],[Tensão (Pa)]]/1000000</f>
        <v>14.731770784620597</v>
      </c>
    </row>
    <row r="442" spans="1:6" x14ac:dyDescent="0.3">
      <c r="A442" s="1">
        <v>51</v>
      </c>
      <c r="B442" s="1">
        <v>4.2423000000000002</v>
      </c>
      <c r="C442" s="1">
        <f>Tabela110[[#This Row],[Alongamento (mm/mm)]]/$I$2</f>
        <v>8.4846000000000005E-2</v>
      </c>
      <c r="D442" s="1">
        <v>714.76</v>
      </c>
      <c r="E442" s="1">
        <f>Tabela110[[#This Row],[Força (N)]]/$I$5</f>
        <v>14855644.026545454</v>
      </c>
      <c r="F442" s="1">
        <f>Tabela110[[#This Row],[Tensão (Pa)]]/1000000</f>
        <v>14.855644026545454</v>
      </c>
    </row>
    <row r="443" spans="1:6" x14ac:dyDescent="0.3">
      <c r="A443" s="1">
        <v>51.15</v>
      </c>
      <c r="B443" s="1">
        <v>4.2548000000000004</v>
      </c>
      <c r="C443" s="1">
        <f>Tabela110[[#This Row],[Alongamento (mm/mm)]]/$I$2</f>
        <v>8.5096000000000005E-2</v>
      </c>
      <c r="D443" s="1">
        <v>720.71</v>
      </c>
      <c r="E443" s="1">
        <f>Tabela110[[#This Row],[Força (N)]]/$I$5</f>
        <v>14979309.427460371</v>
      </c>
      <c r="F443" s="1">
        <f>Tabela110[[#This Row],[Tensão (Pa)]]/1000000</f>
        <v>14.97930942746037</v>
      </c>
    </row>
    <row r="444" spans="1:6" x14ac:dyDescent="0.3">
      <c r="A444" s="1">
        <v>51.283000000000001</v>
      </c>
      <c r="B444" s="1">
        <v>4.2659000000000002</v>
      </c>
      <c r="C444" s="1">
        <f>Tabela110[[#This Row],[Alongamento (mm/mm)]]/$I$2</f>
        <v>8.5318000000000005E-2</v>
      </c>
      <c r="D444" s="1">
        <v>726.15</v>
      </c>
      <c r="E444" s="1">
        <f>Tabela110[[#This Row],[Força (N)]]/$I$5</f>
        <v>15092374.936868293</v>
      </c>
      <c r="F444" s="1">
        <f>Tabela110[[#This Row],[Tensão (Pa)]]/1000000</f>
        <v>15.092374936868293</v>
      </c>
    </row>
    <row r="445" spans="1:6" x14ac:dyDescent="0.3">
      <c r="A445" s="1">
        <v>51.417000000000002</v>
      </c>
      <c r="B445" s="1">
        <v>4.2769000000000004</v>
      </c>
      <c r="C445" s="1">
        <f>Tabela110[[#This Row],[Alongamento (mm/mm)]]/$I$2</f>
        <v>8.5538000000000003E-2</v>
      </c>
      <c r="D445" s="1">
        <v>731.59</v>
      </c>
      <c r="E445" s="1">
        <f>Tabela110[[#This Row],[Força (N)]]/$I$5</f>
        <v>15205440.446276218</v>
      </c>
      <c r="F445" s="1">
        <f>Tabela110[[#This Row],[Tensão (Pa)]]/1000000</f>
        <v>15.205440446276217</v>
      </c>
    </row>
    <row r="446" spans="1:6" x14ac:dyDescent="0.3">
      <c r="A446" s="1">
        <v>51.55</v>
      </c>
      <c r="B446" s="1">
        <v>4.2881</v>
      </c>
      <c r="C446" s="1">
        <f>Tabela110[[#This Row],[Alongamento (mm/mm)]]/$I$2</f>
        <v>8.5762000000000005E-2</v>
      </c>
      <c r="D446" s="1">
        <v>737.04</v>
      </c>
      <c r="E446" s="1">
        <f>Tabela110[[#This Row],[Força (N)]]/$I$5</f>
        <v>15318713.796694079</v>
      </c>
      <c r="F446" s="1">
        <f>Tabela110[[#This Row],[Tensão (Pa)]]/1000000</f>
        <v>15.31871379669408</v>
      </c>
    </row>
    <row r="447" spans="1:6" x14ac:dyDescent="0.3">
      <c r="A447" s="1">
        <v>51.683</v>
      </c>
      <c r="B447" s="1">
        <v>4.2991999999999999</v>
      </c>
      <c r="C447" s="1">
        <f>Tabela110[[#This Row],[Alongamento (mm/mm)]]/$I$2</f>
        <v>8.5984000000000005E-2</v>
      </c>
      <c r="D447" s="1">
        <v>742.65</v>
      </c>
      <c r="E447" s="1">
        <f>Tabela110[[#This Row],[Força (N)]]/$I$5</f>
        <v>15435312.603271002</v>
      </c>
      <c r="F447" s="1">
        <f>Tabela110[[#This Row],[Tensão (Pa)]]/1000000</f>
        <v>15.435312603271003</v>
      </c>
    </row>
    <row r="448" spans="1:6" x14ac:dyDescent="0.3">
      <c r="A448" s="1">
        <v>51.832999999999998</v>
      </c>
      <c r="B448" s="1">
        <v>4.3117000000000001</v>
      </c>
      <c r="C448" s="1">
        <f>Tabela110[[#This Row],[Alongamento (mm/mm)]]/$I$2</f>
        <v>8.6234000000000005E-2</v>
      </c>
      <c r="D448" s="1">
        <v>748.6</v>
      </c>
      <c r="E448" s="1">
        <f>Tabela110[[#This Row],[Força (N)]]/$I$5</f>
        <v>15558978.004185919</v>
      </c>
      <c r="F448" s="1">
        <f>Tabela110[[#This Row],[Tensão (Pa)]]/1000000</f>
        <v>15.558978004185919</v>
      </c>
    </row>
    <row r="449" spans="1:6" x14ac:dyDescent="0.3">
      <c r="A449" s="1">
        <v>51.982999999999997</v>
      </c>
      <c r="B449" s="1">
        <v>4.3242000000000003</v>
      </c>
      <c r="C449" s="1">
        <f>Tabela110[[#This Row],[Alongamento (mm/mm)]]/$I$2</f>
        <v>8.6484000000000005E-2</v>
      </c>
      <c r="D449" s="1">
        <v>754.73</v>
      </c>
      <c r="E449" s="1">
        <f>Tabela110[[#This Row],[Força (N)]]/$I$5</f>
        <v>15686384.543279773</v>
      </c>
      <c r="F449" s="1">
        <f>Tabela110[[#This Row],[Tensão (Pa)]]/1000000</f>
        <v>15.686384543279773</v>
      </c>
    </row>
    <row r="450" spans="1:6" x14ac:dyDescent="0.3">
      <c r="A450" s="1">
        <v>52.133000000000003</v>
      </c>
      <c r="B450" s="1">
        <v>4.3367000000000004</v>
      </c>
      <c r="C450" s="1">
        <f>Tabela110[[#This Row],[Alongamento (mm/mm)]]/$I$2</f>
        <v>8.6734000000000006E-2</v>
      </c>
      <c r="D450" s="1">
        <v>760.85</v>
      </c>
      <c r="E450" s="1">
        <f>Tabela110[[#This Row],[Força (N)]]/$I$5</f>
        <v>15813583.241363687</v>
      </c>
      <c r="F450" s="1">
        <f>Tabela110[[#This Row],[Tensão (Pa)]]/1000000</f>
        <v>15.813583241363688</v>
      </c>
    </row>
    <row r="451" spans="1:6" x14ac:dyDescent="0.3">
      <c r="A451" s="1">
        <v>52.283000000000001</v>
      </c>
      <c r="B451" s="1">
        <v>4.3493000000000004</v>
      </c>
      <c r="C451" s="1">
        <f>Tabela110[[#This Row],[Alongamento (mm/mm)]]/$I$2</f>
        <v>8.6986000000000008E-2</v>
      </c>
      <c r="D451" s="1">
        <v>767.15</v>
      </c>
      <c r="E451" s="1">
        <f>Tabela110[[#This Row],[Força (N)]]/$I$5</f>
        <v>15944523.077626538</v>
      </c>
      <c r="F451" s="1">
        <f>Tabela110[[#This Row],[Tensão (Pa)]]/1000000</f>
        <v>15.944523077626538</v>
      </c>
    </row>
    <row r="452" spans="1:6" x14ac:dyDescent="0.3">
      <c r="A452" s="1">
        <v>52.433</v>
      </c>
      <c r="B452" s="1">
        <v>4.3616999999999999</v>
      </c>
      <c r="C452" s="1">
        <f>Tabela110[[#This Row],[Alongamento (mm/mm)]]/$I$2</f>
        <v>8.7233999999999992E-2</v>
      </c>
      <c r="D452" s="1">
        <v>773.44</v>
      </c>
      <c r="E452" s="1">
        <f>Tabela110[[#This Row],[Força (N)]]/$I$5</f>
        <v>16075255.072879452</v>
      </c>
      <c r="F452" s="1">
        <f>Tabela110[[#This Row],[Tensão (Pa)]]/1000000</f>
        <v>16.075255072879454</v>
      </c>
    </row>
    <row r="453" spans="1:6" x14ac:dyDescent="0.3">
      <c r="A453" s="1">
        <v>52.582999999999998</v>
      </c>
      <c r="B453" s="1">
        <v>4.3742000000000001</v>
      </c>
      <c r="C453" s="1">
        <f>Tabela110[[#This Row],[Alongamento (mm/mm)]]/$I$2</f>
        <v>8.7484000000000006E-2</v>
      </c>
      <c r="D453" s="1">
        <v>779.73</v>
      </c>
      <c r="E453" s="1">
        <f>Tabela110[[#This Row],[Força (N)]]/$I$5</f>
        <v>16205987.068132361</v>
      </c>
      <c r="F453" s="1">
        <f>Tabela110[[#This Row],[Tensão (Pa)]]/1000000</f>
        <v>16.205987068132362</v>
      </c>
    </row>
    <row r="454" spans="1:6" x14ac:dyDescent="0.3">
      <c r="A454" s="1">
        <v>52.716999999999999</v>
      </c>
      <c r="B454" s="1">
        <v>4.3853</v>
      </c>
      <c r="C454" s="1">
        <f>Tabela110[[#This Row],[Alongamento (mm/mm)]]/$I$2</f>
        <v>8.7706000000000006E-2</v>
      </c>
      <c r="D454" s="1">
        <v>785.52</v>
      </c>
      <c r="E454" s="1">
        <f>Tabela110[[#This Row],[Força (N)]]/$I$5</f>
        <v>16326327.012888221</v>
      </c>
      <c r="F454" s="1">
        <f>Tabela110[[#This Row],[Tensão (Pa)]]/1000000</f>
        <v>16.326327012888221</v>
      </c>
    </row>
    <row r="455" spans="1:6" x14ac:dyDescent="0.3">
      <c r="A455" s="1">
        <v>52.866999999999997</v>
      </c>
      <c r="B455" s="1">
        <v>4.3978000000000002</v>
      </c>
      <c r="C455" s="1">
        <f>Tabela110[[#This Row],[Alongamento (mm/mm)]]/$I$2</f>
        <v>8.7956000000000006E-2</v>
      </c>
      <c r="D455" s="1">
        <v>791.81</v>
      </c>
      <c r="E455" s="1">
        <f>Tabela110[[#This Row],[Força (N)]]/$I$5</f>
        <v>16457059.008141132</v>
      </c>
      <c r="F455" s="1">
        <f>Tabela110[[#This Row],[Tensão (Pa)]]/1000000</f>
        <v>16.457059008141133</v>
      </c>
    </row>
    <row r="456" spans="1:6" x14ac:dyDescent="0.3">
      <c r="A456" s="1">
        <v>53.017000000000003</v>
      </c>
      <c r="B456" s="1">
        <v>4.4103000000000003</v>
      </c>
      <c r="C456" s="1">
        <f>Tabela110[[#This Row],[Alongamento (mm/mm)]]/$I$2</f>
        <v>8.8206000000000007E-2</v>
      </c>
      <c r="D456" s="1">
        <v>798.27</v>
      </c>
      <c r="E456" s="1">
        <f>Tabela110[[#This Row],[Força (N)]]/$I$5</f>
        <v>16591324.300563041</v>
      </c>
      <c r="F456" s="1">
        <f>Tabela110[[#This Row],[Tensão (Pa)]]/1000000</f>
        <v>16.591324300563041</v>
      </c>
    </row>
    <row r="457" spans="1:6" x14ac:dyDescent="0.3">
      <c r="A457" s="1">
        <v>53.167000000000002</v>
      </c>
      <c r="B457" s="1">
        <v>4.4227999999999996</v>
      </c>
      <c r="C457" s="1">
        <f>Tabela110[[#This Row],[Alongamento (mm/mm)]]/$I$2</f>
        <v>8.8455999999999993E-2</v>
      </c>
      <c r="D457" s="1">
        <v>804.57</v>
      </c>
      <c r="E457" s="1">
        <f>Tabela110[[#This Row],[Força (N)]]/$I$5</f>
        <v>16722264.136825895</v>
      </c>
      <c r="F457" s="1">
        <f>Tabela110[[#This Row],[Tensão (Pa)]]/1000000</f>
        <v>16.722264136825896</v>
      </c>
    </row>
    <row r="458" spans="1:6" x14ac:dyDescent="0.3">
      <c r="A458" s="1">
        <v>53.317</v>
      </c>
      <c r="B458" s="1">
        <v>4.4353999999999996</v>
      </c>
      <c r="C458" s="1">
        <f>Tabela110[[#This Row],[Alongamento (mm/mm)]]/$I$2</f>
        <v>8.8707999999999995E-2</v>
      </c>
      <c r="D458" s="1">
        <v>811.2</v>
      </c>
      <c r="E458" s="1">
        <f>Tabela110[[#This Row],[Força (N)]]/$I$5</f>
        <v>16860062.7264168</v>
      </c>
      <c r="F458" s="1">
        <f>Tabela110[[#This Row],[Tensão (Pa)]]/1000000</f>
        <v>16.8600627264168</v>
      </c>
    </row>
    <row r="459" spans="1:6" x14ac:dyDescent="0.3">
      <c r="A459" s="1">
        <v>53.466999999999999</v>
      </c>
      <c r="B459" s="1">
        <v>4.4478</v>
      </c>
      <c r="C459" s="1">
        <f>Tabela110[[#This Row],[Alongamento (mm/mm)]]/$I$2</f>
        <v>8.8955999999999993E-2</v>
      </c>
      <c r="D459" s="1">
        <v>817.66</v>
      </c>
      <c r="E459" s="1">
        <f>Tabela110[[#This Row],[Força (N)]]/$I$5</f>
        <v>16994328.018838707</v>
      </c>
      <c r="F459" s="1">
        <f>Tabela110[[#This Row],[Tensão (Pa)]]/1000000</f>
        <v>16.994328018838708</v>
      </c>
    </row>
    <row r="460" spans="1:6" x14ac:dyDescent="0.3">
      <c r="A460" s="1">
        <v>53.616999999999997</v>
      </c>
      <c r="B460" s="1">
        <v>4.4603999999999999</v>
      </c>
      <c r="C460" s="1">
        <f>Tabela110[[#This Row],[Alongamento (mm/mm)]]/$I$2</f>
        <v>8.9207999999999996E-2</v>
      </c>
      <c r="D460" s="1">
        <v>824.13</v>
      </c>
      <c r="E460" s="1">
        <f>Tabela110[[#This Row],[Força (N)]]/$I$5</f>
        <v>17128801.152270559</v>
      </c>
      <c r="F460" s="1">
        <f>Tabela110[[#This Row],[Tensão (Pa)]]/1000000</f>
        <v>17.128801152270558</v>
      </c>
    </row>
    <row r="461" spans="1:6" x14ac:dyDescent="0.3">
      <c r="A461" s="1">
        <v>53.767000000000003</v>
      </c>
      <c r="B461" s="1">
        <v>4.4726999999999997</v>
      </c>
      <c r="C461" s="1">
        <f>Tabela110[[#This Row],[Alongamento (mm/mm)]]/$I$2</f>
        <v>8.9453999999999992E-2</v>
      </c>
      <c r="D461" s="1">
        <v>830.76</v>
      </c>
      <c r="E461" s="1">
        <f>Tabela110[[#This Row],[Força (N)]]/$I$5</f>
        <v>17266599.741861466</v>
      </c>
      <c r="F461" s="1">
        <f>Tabela110[[#This Row],[Tensão (Pa)]]/1000000</f>
        <v>17.266599741861466</v>
      </c>
    </row>
    <row r="462" spans="1:6" x14ac:dyDescent="0.3">
      <c r="A462" s="1">
        <v>53.917000000000002</v>
      </c>
      <c r="B462" s="1">
        <v>4.4852999999999996</v>
      </c>
      <c r="C462" s="1">
        <f>Tabela110[[#This Row],[Alongamento (mm/mm)]]/$I$2</f>
        <v>8.9705999999999994E-2</v>
      </c>
      <c r="D462" s="1">
        <v>837.4</v>
      </c>
      <c r="E462" s="1">
        <f>Tabela110[[#This Row],[Força (N)]]/$I$5</f>
        <v>17404606.172462314</v>
      </c>
      <c r="F462" s="1">
        <f>Tabela110[[#This Row],[Tensão (Pa)]]/1000000</f>
        <v>17.404606172462316</v>
      </c>
    </row>
    <row r="463" spans="1:6" x14ac:dyDescent="0.3">
      <c r="A463" s="1">
        <v>54.067</v>
      </c>
      <c r="B463" s="1">
        <v>4.4977999999999998</v>
      </c>
      <c r="C463" s="1">
        <f>Tabela110[[#This Row],[Alongamento (mm/mm)]]/$I$2</f>
        <v>8.9955999999999994E-2</v>
      </c>
      <c r="D463" s="1">
        <v>844.03</v>
      </c>
      <c r="E463" s="1">
        <f>Tabela110[[#This Row],[Força (N)]]/$I$5</f>
        <v>17542404.762053218</v>
      </c>
      <c r="F463" s="1">
        <f>Tabela110[[#This Row],[Tensão (Pa)]]/1000000</f>
        <v>17.542404762053216</v>
      </c>
    </row>
    <row r="464" spans="1:6" x14ac:dyDescent="0.3">
      <c r="A464" s="1">
        <v>54.216999999999999</v>
      </c>
      <c r="B464" s="1">
        <v>4.5103</v>
      </c>
      <c r="C464" s="1">
        <f>Tabela110[[#This Row],[Alongamento (mm/mm)]]/$I$2</f>
        <v>9.0205999999999995E-2</v>
      </c>
      <c r="D464" s="1">
        <v>850.66</v>
      </c>
      <c r="E464" s="1">
        <f>Tabela110[[#This Row],[Força (N)]]/$I$5</f>
        <v>17680203.351644125</v>
      </c>
      <c r="F464" s="1">
        <f>Tabela110[[#This Row],[Tensão (Pa)]]/1000000</f>
        <v>17.680203351644124</v>
      </c>
    </row>
    <row r="465" spans="1:6" x14ac:dyDescent="0.3">
      <c r="A465" s="1">
        <v>54.366999999999997</v>
      </c>
      <c r="B465" s="1">
        <v>4.5228000000000002</v>
      </c>
      <c r="C465" s="1">
        <f>Tabela110[[#This Row],[Alongamento (mm/mm)]]/$I$2</f>
        <v>9.0456000000000009E-2</v>
      </c>
      <c r="D465" s="1">
        <v>857.3</v>
      </c>
      <c r="E465" s="1">
        <f>Tabela110[[#This Row],[Força (N)]]/$I$5</f>
        <v>17818209.782244973</v>
      </c>
      <c r="F465" s="1">
        <f>Tabela110[[#This Row],[Tensão (Pa)]]/1000000</f>
        <v>17.818209782244974</v>
      </c>
    </row>
    <row r="466" spans="1:6" x14ac:dyDescent="0.3">
      <c r="A466" s="1">
        <v>54.517000000000003</v>
      </c>
      <c r="B466" s="1">
        <v>4.5354000000000001</v>
      </c>
      <c r="C466" s="1">
        <f>Tabela110[[#This Row],[Alongamento (mm/mm)]]/$I$2</f>
        <v>9.0707999999999997E-2</v>
      </c>
      <c r="D466" s="1">
        <v>863.93</v>
      </c>
      <c r="E466" s="1">
        <f>Tabela110[[#This Row],[Força (N)]]/$I$5</f>
        <v>17956008.37183588</v>
      </c>
      <c r="F466" s="1">
        <f>Tabela110[[#This Row],[Tensão (Pa)]]/1000000</f>
        <v>17.956008371835878</v>
      </c>
    </row>
    <row r="467" spans="1:6" x14ac:dyDescent="0.3">
      <c r="A467" s="1">
        <v>54.667000000000002</v>
      </c>
      <c r="B467" s="1">
        <v>4.5477999999999996</v>
      </c>
      <c r="C467" s="1">
        <f>Tabela110[[#This Row],[Alongamento (mm/mm)]]/$I$2</f>
        <v>9.0955999999999995E-2</v>
      </c>
      <c r="D467" s="1">
        <v>870.57</v>
      </c>
      <c r="E467" s="1">
        <f>Tabela110[[#This Row],[Força (N)]]/$I$5</f>
        <v>18094014.802436728</v>
      </c>
      <c r="F467" s="1">
        <f>Tabela110[[#This Row],[Tensão (Pa)]]/1000000</f>
        <v>18.094014802436728</v>
      </c>
    </row>
    <row r="468" spans="1:6" x14ac:dyDescent="0.3">
      <c r="A468" s="1">
        <v>54.817</v>
      </c>
      <c r="B468" s="1">
        <v>4.5602999999999998</v>
      </c>
      <c r="C468" s="1">
        <f>Tabela110[[#This Row],[Alongamento (mm/mm)]]/$I$2</f>
        <v>9.1205999999999995E-2</v>
      </c>
      <c r="D468" s="1">
        <v>877.37</v>
      </c>
      <c r="E468" s="1">
        <f>Tabela110[[#This Row],[Força (N)]]/$I$5</f>
        <v>18235346.689196631</v>
      </c>
      <c r="F468" s="1">
        <f>Tabela110[[#This Row],[Tensão (Pa)]]/1000000</f>
        <v>18.235346689196632</v>
      </c>
    </row>
    <row r="469" spans="1:6" x14ac:dyDescent="0.3">
      <c r="A469" s="1">
        <v>54.982999999999997</v>
      </c>
      <c r="B469" s="1">
        <v>4.5743</v>
      </c>
      <c r="C469" s="1">
        <f>Tabela110[[#This Row],[Alongamento (mm/mm)]]/$I$2</f>
        <v>9.1485999999999998E-2</v>
      </c>
      <c r="D469" s="1">
        <v>884.68</v>
      </c>
      <c r="E469" s="1">
        <f>Tabela110[[#This Row],[Força (N)]]/$I$5</f>
        <v>18387278.467463527</v>
      </c>
      <c r="F469" s="1">
        <f>Tabela110[[#This Row],[Tensão (Pa)]]/1000000</f>
        <v>18.387278467463528</v>
      </c>
    </row>
    <row r="470" spans="1:6" x14ac:dyDescent="0.3">
      <c r="A470" s="1">
        <v>55.133000000000003</v>
      </c>
      <c r="B470" s="1">
        <v>4.5865999999999998</v>
      </c>
      <c r="C470" s="1">
        <f>Tabela110[[#This Row],[Alongamento (mm/mm)]]/$I$2</f>
        <v>9.1731999999999994E-2</v>
      </c>
      <c r="D470" s="1">
        <v>891.49</v>
      </c>
      <c r="E470" s="1">
        <f>Tabela110[[#This Row],[Força (N)]]/$I$5</f>
        <v>18528818.195233375</v>
      </c>
      <c r="F470" s="1">
        <f>Tabela110[[#This Row],[Tensão (Pa)]]/1000000</f>
        <v>18.528818195233374</v>
      </c>
    </row>
    <row r="471" spans="1:6" x14ac:dyDescent="0.3">
      <c r="A471" s="1">
        <v>55.3</v>
      </c>
      <c r="B471" s="1">
        <v>4.6006</v>
      </c>
      <c r="C471" s="1">
        <f>Tabela110[[#This Row],[Alongamento (mm/mm)]]/$I$2</f>
        <v>9.2011999999999997E-2</v>
      </c>
      <c r="D471" s="1">
        <v>898.8</v>
      </c>
      <c r="E471" s="1">
        <f>Tabela110[[#This Row],[Força (N)]]/$I$5</f>
        <v>18680749.97350027</v>
      </c>
      <c r="F471" s="1">
        <f>Tabela110[[#This Row],[Tensão (Pa)]]/1000000</f>
        <v>18.680749973500269</v>
      </c>
    </row>
    <row r="472" spans="1:6" x14ac:dyDescent="0.3">
      <c r="A472" s="1">
        <v>55.466999999999999</v>
      </c>
      <c r="B472" s="1">
        <v>4.6146000000000003</v>
      </c>
      <c r="C472" s="1">
        <f>Tabela110[[#This Row],[Alongamento (mm/mm)]]/$I$2</f>
        <v>9.2291999999999999E-2</v>
      </c>
      <c r="D472" s="1">
        <v>906.12</v>
      </c>
      <c r="E472" s="1">
        <f>Tabela110[[#This Row],[Força (N)]]/$I$5</f>
        <v>18832889.592777111</v>
      </c>
      <c r="F472" s="1">
        <f>Tabela110[[#This Row],[Tensão (Pa)]]/1000000</f>
        <v>18.832889592777111</v>
      </c>
    </row>
    <row r="473" spans="1:6" x14ac:dyDescent="0.3">
      <c r="A473" s="1">
        <v>55.633000000000003</v>
      </c>
      <c r="B473" s="1">
        <v>4.6283000000000003</v>
      </c>
      <c r="C473" s="1">
        <f>Tabela110[[#This Row],[Alongamento (mm/mm)]]/$I$2</f>
        <v>9.2566000000000009E-2</v>
      </c>
      <c r="D473" s="1">
        <v>913.43</v>
      </c>
      <c r="E473" s="1">
        <f>Tabela110[[#This Row],[Força (N)]]/$I$5</f>
        <v>18984821.371044006</v>
      </c>
      <c r="F473" s="1">
        <f>Tabela110[[#This Row],[Tensão (Pa)]]/1000000</f>
        <v>18.984821371044006</v>
      </c>
    </row>
    <row r="474" spans="1:6" x14ac:dyDescent="0.3">
      <c r="A474" s="1">
        <v>55.8</v>
      </c>
      <c r="B474" s="1">
        <v>4.6422999999999996</v>
      </c>
      <c r="C474" s="1">
        <f>Tabela110[[#This Row],[Alongamento (mm/mm)]]/$I$2</f>
        <v>9.2845999999999998E-2</v>
      </c>
      <c r="D474" s="1">
        <v>920.91</v>
      </c>
      <c r="E474" s="1">
        <f>Tabela110[[#This Row],[Força (N)]]/$I$5</f>
        <v>19140286.446479902</v>
      </c>
      <c r="F474" s="1">
        <f>Tabela110[[#This Row],[Tensão (Pa)]]/1000000</f>
        <v>19.140286446479902</v>
      </c>
    </row>
    <row r="475" spans="1:6" x14ac:dyDescent="0.3">
      <c r="A475" s="1">
        <v>55.966999999999999</v>
      </c>
      <c r="B475" s="1">
        <v>4.6562000000000001</v>
      </c>
      <c r="C475" s="1">
        <f>Tabela110[[#This Row],[Alongamento (mm/mm)]]/$I$2</f>
        <v>9.3123999999999998E-2</v>
      </c>
      <c r="D475" s="1">
        <v>928.23</v>
      </c>
      <c r="E475" s="1">
        <f>Tabela110[[#This Row],[Força (N)]]/$I$5</f>
        <v>19292426.065756738</v>
      </c>
      <c r="F475" s="1">
        <f>Tabela110[[#This Row],[Tensão (Pa)]]/1000000</f>
        <v>19.292426065756739</v>
      </c>
    </row>
    <row r="476" spans="1:6" x14ac:dyDescent="0.3">
      <c r="A476" s="1">
        <v>56.133000000000003</v>
      </c>
      <c r="B476" s="1">
        <v>4.67</v>
      </c>
      <c r="C476" s="1">
        <f>Tabela110[[#This Row],[Alongamento (mm/mm)]]/$I$2</f>
        <v>9.3399999999999997E-2</v>
      </c>
      <c r="D476" s="1">
        <v>935.71</v>
      </c>
      <c r="E476" s="1">
        <f>Tabela110[[#This Row],[Força (N)]]/$I$5</f>
        <v>19447891.141192634</v>
      </c>
      <c r="F476" s="1">
        <f>Tabela110[[#This Row],[Tensão (Pa)]]/1000000</f>
        <v>19.447891141192635</v>
      </c>
    </row>
    <row r="477" spans="1:6" x14ac:dyDescent="0.3">
      <c r="A477" s="1">
        <v>56.3</v>
      </c>
      <c r="B477" s="1">
        <v>4.6839000000000004</v>
      </c>
      <c r="C477" s="1">
        <f>Tabela110[[#This Row],[Alongamento (mm/mm)]]/$I$2</f>
        <v>9.3678000000000011E-2</v>
      </c>
      <c r="D477" s="1">
        <v>943.03</v>
      </c>
      <c r="E477" s="1">
        <f>Tabela110[[#This Row],[Força (N)]]/$I$5</f>
        <v>19600030.76046947</v>
      </c>
      <c r="F477" s="1">
        <f>Tabela110[[#This Row],[Tensão (Pa)]]/1000000</f>
        <v>19.600030760469469</v>
      </c>
    </row>
    <row r="478" spans="1:6" x14ac:dyDescent="0.3">
      <c r="A478" s="1">
        <v>56.466999999999999</v>
      </c>
      <c r="B478" s="1">
        <v>4.6978</v>
      </c>
      <c r="C478" s="1">
        <f>Tabela110[[#This Row],[Alongamento (mm/mm)]]/$I$2</f>
        <v>9.3955999999999998E-2</v>
      </c>
      <c r="D478" s="1">
        <v>950.51</v>
      </c>
      <c r="E478" s="1">
        <f>Tabela110[[#This Row],[Força (N)]]/$I$5</f>
        <v>19755495.835905366</v>
      </c>
      <c r="F478" s="1">
        <f>Tabela110[[#This Row],[Tensão (Pa)]]/1000000</f>
        <v>19.755495835905364</v>
      </c>
    </row>
    <row r="479" spans="1:6" x14ac:dyDescent="0.3">
      <c r="A479" s="1">
        <v>56.633000000000003</v>
      </c>
      <c r="B479" s="1">
        <v>4.7117000000000004</v>
      </c>
      <c r="C479" s="1">
        <f>Tabela110[[#This Row],[Alongamento (mm/mm)]]/$I$2</f>
        <v>9.4234000000000012E-2</v>
      </c>
      <c r="D479" s="1">
        <v>958</v>
      </c>
      <c r="E479" s="1">
        <f>Tabela110[[#This Row],[Força (N)]]/$I$5</f>
        <v>19911168.752351202</v>
      </c>
      <c r="F479" s="1">
        <f>Tabela110[[#This Row],[Tensão (Pa)]]/1000000</f>
        <v>19.911168752351202</v>
      </c>
    </row>
    <row r="480" spans="1:6" x14ac:dyDescent="0.3">
      <c r="A480" s="1">
        <v>56.8</v>
      </c>
      <c r="B480" s="1">
        <v>4.7256</v>
      </c>
      <c r="C480" s="1">
        <f>Tabela110[[#This Row],[Alongamento (mm/mm)]]/$I$2</f>
        <v>9.4511999999999999E-2</v>
      </c>
      <c r="D480" s="1">
        <v>965.48</v>
      </c>
      <c r="E480" s="1">
        <f>Tabela110[[#This Row],[Força (N)]]/$I$5</f>
        <v>20066633.827787098</v>
      </c>
      <c r="F480" s="1">
        <f>Tabela110[[#This Row],[Tensão (Pa)]]/1000000</f>
        <v>20.066633827787097</v>
      </c>
    </row>
    <row r="481" spans="1:6" x14ac:dyDescent="0.3">
      <c r="A481" s="1">
        <v>56.966999999999999</v>
      </c>
      <c r="B481" s="1">
        <v>4.7394999999999996</v>
      </c>
      <c r="C481" s="1">
        <f>Tabela110[[#This Row],[Alongamento (mm/mm)]]/$I$2</f>
        <v>9.4789999999999985E-2</v>
      </c>
      <c r="D481" s="1">
        <v>972.97</v>
      </c>
      <c r="E481" s="1">
        <f>Tabela110[[#This Row],[Força (N)]]/$I$5</f>
        <v>20222306.744232934</v>
      </c>
      <c r="F481" s="1">
        <f>Tabela110[[#This Row],[Tensão (Pa)]]/1000000</f>
        <v>20.222306744232935</v>
      </c>
    </row>
    <row r="482" spans="1:6" x14ac:dyDescent="0.3">
      <c r="A482" s="1">
        <v>57.133000000000003</v>
      </c>
      <c r="B482" s="1">
        <v>4.7534000000000001</v>
      </c>
      <c r="C482" s="1">
        <f>Tabela110[[#This Row],[Alongamento (mm/mm)]]/$I$2</f>
        <v>9.5068E-2</v>
      </c>
      <c r="D482" s="1">
        <v>980.45</v>
      </c>
      <c r="E482" s="1">
        <f>Tabela110[[#This Row],[Força (N)]]/$I$5</f>
        <v>20377771.819668826</v>
      </c>
      <c r="F482" s="1">
        <f>Tabela110[[#This Row],[Tensão (Pa)]]/1000000</f>
        <v>20.377771819668826</v>
      </c>
    </row>
    <row r="483" spans="1:6" x14ac:dyDescent="0.3">
      <c r="A483" s="1">
        <v>57.3</v>
      </c>
      <c r="B483" s="1">
        <v>4.7672999999999996</v>
      </c>
      <c r="C483" s="1">
        <f>Tabela110[[#This Row],[Alongamento (mm/mm)]]/$I$2</f>
        <v>9.5345999999999986E-2</v>
      </c>
      <c r="D483" s="1">
        <v>988.1</v>
      </c>
      <c r="E483" s="1">
        <f>Tabela110[[#This Row],[Força (N)]]/$I$5</f>
        <v>20536770.192273717</v>
      </c>
      <c r="F483" s="1">
        <f>Tabela110[[#This Row],[Tensão (Pa)]]/1000000</f>
        <v>20.536770192273718</v>
      </c>
    </row>
    <row r="484" spans="1:6" x14ac:dyDescent="0.3">
      <c r="A484" s="1">
        <v>57.466999999999999</v>
      </c>
      <c r="B484" s="1">
        <v>4.7812000000000001</v>
      </c>
      <c r="C484" s="1">
        <f>Tabela110[[#This Row],[Alongamento (mm/mm)]]/$I$2</f>
        <v>9.5624000000000001E-2</v>
      </c>
      <c r="D484" s="1">
        <v>995.59</v>
      </c>
      <c r="E484" s="1">
        <f>Tabela110[[#This Row],[Força (N)]]/$I$5</f>
        <v>20692443.108719554</v>
      </c>
      <c r="F484" s="1">
        <f>Tabela110[[#This Row],[Tensão (Pa)]]/1000000</f>
        <v>20.692443108719555</v>
      </c>
    </row>
    <row r="485" spans="1:6" x14ac:dyDescent="0.3">
      <c r="A485" s="1">
        <v>57.65</v>
      </c>
      <c r="B485" s="1">
        <v>4.7964000000000002</v>
      </c>
      <c r="C485" s="1">
        <f>Tabela110[[#This Row],[Alongamento (mm/mm)]]/$I$2</f>
        <v>9.5927999999999999E-2</v>
      </c>
      <c r="D485" s="1">
        <v>1003.8</v>
      </c>
      <c r="E485" s="1">
        <f>Tabela110[[#This Row],[Força (N)]]/$I$5</f>
        <v>20863080.577881142</v>
      </c>
      <c r="F485" s="1">
        <f>Tabela110[[#This Row],[Tensão (Pa)]]/1000000</f>
        <v>20.863080577881142</v>
      </c>
    </row>
    <row r="486" spans="1:6" x14ac:dyDescent="0.3">
      <c r="A486" s="1">
        <v>57.832999999999998</v>
      </c>
      <c r="B486" s="1">
        <v>4.8117000000000001</v>
      </c>
      <c r="C486" s="1">
        <f>Tabela110[[#This Row],[Alongamento (mm/mm)]]/$I$2</f>
        <v>9.6234E-2</v>
      </c>
      <c r="D486" s="1">
        <v>1011.9</v>
      </c>
      <c r="E486" s="1">
        <f>Tabela110[[#This Row],[Força (N)]]/$I$5</f>
        <v>21031431.795933381</v>
      </c>
      <c r="F486" s="1">
        <f>Tabela110[[#This Row],[Tensão (Pa)]]/1000000</f>
        <v>21.031431795933379</v>
      </c>
    </row>
    <row r="487" spans="1:6" x14ac:dyDescent="0.3">
      <c r="A487" s="1">
        <v>58.017000000000003</v>
      </c>
      <c r="B487" s="1">
        <v>4.827</v>
      </c>
      <c r="C487" s="1">
        <f>Tabela110[[#This Row],[Alongamento (mm/mm)]]/$I$2</f>
        <v>9.6540000000000001E-2</v>
      </c>
      <c r="D487" s="1">
        <v>1020.3</v>
      </c>
      <c r="E487" s="1">
        <f>Tabela110[[#This Row],[Força (N)]]/$I$5</f>
        <v>21206018.244283851</v>
      </c>
      <c r="F487" s="1">
        <f>Tabela110[[#This Row],[Tensão (Pa)]]/1000000</f>
        <v>21.20601824428385</v>
      </c>
    </row>
    <row r="488" spans="1:6" x14ac:dyDescent="0.3">
      <c r="A488" s="1">
        <v>58.2</v>
      </c>
      <c r="B488" s="1">
        <v>4.8422999999999998</v>
      </c>
      <c r="C488" s="1">
        <f>Tabela110[[#This Row],[Alongamento (mm/mm)]]/$I$2</f>
        <v>9.6846000000000002E-2</v>
      </c>
      <c r="D488" s="1">
        <v>1028.5999999999999</v>
      </c>
      <c r="E488" s="1">
        <f>Tabela110[[#This Row],[Força (N)]]/$I$5</f>
        <v>21378526.282534909</v>
      </c>
      <c r="F488" s="1">
        <f>Tabela110[[#This Row],[Tensão (Pa)]]/1000000</f>
        <v>21.37852628253491</v>
      </c>
    </row>
    <row r="489" spans="1:6" x14ac:dyDescent="0.3">
      <c r="A489" s="1">
        <v>58.383000000000003</v>
      </c>
      <c r="B489" s="1">
        <v>4.8574999999999999</v>
      </c>
      <c r="C489" s="1">
        <f>Tabela110[[#This Row],[Alongamento (mm/mm)]]/$I$2</f>
        <v>9.715E-2</v>
      </c>
      <c r="D489" s="1">
        <v>1036.9000000000001</v>
      </c>
      <c r="E489" s="1">
        <f>Tabela110[[#This Row],[Força (N)]]/$I$5</f>
        <v>21551034.320785973</v>
      </c>
      <c r="F489" s="1">
        <f>Tabela110[[#This Row],[Tensão (Pa)]]/1000000</f>
        <v>21.551034320785973</v>
      </c>
    </row>
    <row r="490" spans="1:6" x14ac:dyDescent="0.3">
      <c r="A490" s="1">
        <v>58.567</v>
      </c>
      <c r="B490" s="1">
        <v>4.8727999999999998</v>
      </c>
      <c r="C490" s="1">
        <f>Tabela110[[#This Row],[Alongamento (mm/mm)]]/$I$2</f>
        <v>9.7456000000000001E-2</v>
      </c>
      <c r="D490" s="1">
        <v>1045.3</v>
      </c>
      <c r="E490" s="1">
        <f>Tabela110[[#This Row],[Força (N)]]/$I$5</f>
        <v>21725620.76913644</v>
      </c>
      <c r="F490" s="1">
        <f>Tabela110[[#This Row],[Tensão (Pa)]]/1000000</f>
        <v>21.725620769136441</v>
      </c>
    </row>
    <row r="491" spans="1:6" x14ac:dyDescent="0.3">
      <c r="A491" s="1">
        <v>58.75</v>
      </c>
      <c r="B491" s="1">
        <v>4.8880999999999997</v>
      </c>
      <c r="C491" s="1">
        <f>Tabela110[[#This Row],[Alongamento (mm/mm)]]/$I$2</f>
        <v>9.7761999999999988E-2</v>
      </c>
      <c r="D491" s="1">
        <v>1053.5999999999999</v>
      </c>
      <c r="E491" s="1">
        <f>Tabela110[[#This Row],[Força (N)]]/$I$5</f>
        <v>21898128.807387497</v>
      </c>
      <c r="F491" s="1">
        <f>Tabela110[[#This Row],[Tensão (Pa)]]/1000000</f>
        <v>21.898128807387497</v>
      </c>
    </row>
    <row r="492" spans="1:6" x14ac:dyDescent="0.3">
      <c r="A492" s="1">
        <v>58.933</v>
      </c>
      <c r="B492" s="1">
        <v>4.9034000000000004</v>
      </c>
      <c r="C492" s="1">
        <f>Tabela110[[#This Row],[Alongamento (mm/mm)]]/$I$2</f>
        <v>9.8068000000000002E-2</v>
      </c>
      <c r="D492" s="1">
        <v>1061.9000000000001</v>
      </c>
      <c r="E492" s="1">
        <f>Tabela110[[#This Row],[Força (N)]]/$I$5</f>
        <v>22070636.845638562</v>
      </c>
      <c r="F492" s="1">
        <f>Tabela110[[#This Row],[Tensão (Pa)]]/1000000</f>
        <v>22.07063684563856</v>
      </c>
    </row>
    <row r="493" spans="1:6" x14ac:dyDescent="0.3">
      <c r="A493" s="1">
        <v>59.116999999999997</v>
      </c>
      <c r="B493" s="1">
        <v>4.9187000000000003</v>
      </c>
      <c r="C493" s="1">
        <f>Tabela110[[#This Row],[Alongamento (mm/mm)]]/$I$2</f>
        <v>9.8374000000000003E-2</v>
      </c>
      <c r="D493" s="1">
        <v>1070.3</v>
      </c>
      <c r="E493" s="1">
        <f>Tabela110[[#This Row],[Força (N)]]/$I$5</f>
        <v>22245223.293989029</v>
      </c>
      <c r="F493" s="1">
        <f>Tabela110[[#This Row],[Tensão (Pa)]]/1000000</f>
        <v>22.245223293989028</v>
      </c>
    </row>
    <row r="494" spans="1:6" x14ac:dyDescent="0.3">
      <c r="A494" s="1">
        <v>59.3</v>
      </c>
      <c r="B494" s="1">
        <v>4.9339000000000004</v>
      </c>
      <c r="C494" s="1">
        <f>Tabela110[[#This Row],[Alongamento (mm/mm)]]/$I$2</f>
        <v>9.8678000000000002E-2</v>
      </c>
      <c r="D494" s="1">
        <v>1078.8</v>
      </c>
      <c r="E494" s="1">
        <f>Tabela110[[#This Row],[Força (N)]]/$I$5</f>
        <v>22421888.152438909</v>
      </c>
      <c r="F494" s="1">
        <f>Tabela110[[#This Row],[Tensão (Pa)]]/1000000</f>
        <v>22.42188815243891</v>
      </c>
    </row>
    <row r="495" spans="1:6" x14ac:dyDescent="0.3">
      <c r="A495" s="1">
        <v>59.482999999999997</v>
      </c>
      <c r="B495" s="1">
        <v>4.9492000000000003</v>
      </c>
      <c r="C495" s="1">
        <f>Tabela110[[#This Row],[Alongamento (mm/mm)]]/$I$2</f>
        <v>9.8984000000000003E-2</v>
      </c>
      <c r="D495" s="1">
        <v>1087.3</v>
      </c>
      <c r="E495" s="1">
        <f>Tabela110[[#This Row],[Força (N)]]/$I$5</f>
        <v>22598553.010888789</v>
      </c>
      <c r="F495" s="1">
        <f>Tabela110[[#This Row],[Tensão (Pa)]]/1000000</f>
        <v>22.598553010888789</v>
      </c>
    </row>
    <row r="496" spans="1:6" x14ac:dyDescent="0.3">
      <c r="A496" s="1">
        <v>59.667000000000002</v>
      </c>
      <c r="B496" s="1">
        <v>4.9645999999999999</v>
      </c>
      <c r="C496" s="1">
        <f>Tabela110[[#This Row],[Alongamento (mm/mm)]]/$I$2</f>
        <v>9.9291999999999991E-2</v>
      </c>
      <c r="D496" s="1">
        <v>1095.9000000000001</v>
      </c>
      <c r="E496" s="1">
        <f>Tabela110[[#This Row],[Força (N)]]/$I$5</f>
        <v>22777296.279438082</v>
      </c>
      <c r="F496" s="1">
        <f>Tabela110[[#This Row],[Tensão (Pa)]]/1000000</f>
        <v>22.777296279438083</v>
      </c>
    </row>
    <row r="497" spans="1:6" x14ac:dyDescent="0.3">
      <c r="A497" s="1">
        <v>59.85</v>
      </c>
      <c r="B497" s="1">
        <v>4.9797000000000002</v>
      </c>
      <c r="C497" s="1">
        <f>Tabela110[[#This Row],[Alongamento (mm/mm)]]/$I$2</f>
        <v>9.9594000000000002E-2</v>
      </c>
      <c r="D497" s="1">
        <v>1104.5</v>
      </c>
      <c r="E497" s="1">
        <f>Tabela110[[#This Row],[Força (N)]]/$I$5</f>
        <v>22956039.547987372</v>
      </c>
      <c r="F497" s="1">
        <f>Tabela110[[#This Row],[Tensão (Pa)]]/1000000</f>
        <v>22.956039547987373</v>
      </c>
    </row>
    <row r="498" spans="1:6" x14ac:dyDescent="0.3">
      <c r="A498" s="1">
        <v>60.033000000000001</v>
      </c>
      <c r="B498" s="1">
        <v>4.9950999999999999</v>
      </c>
      <c r="C498" s="1">
        <f>Tabela110[[#This Row],[Alongamento (mm/mm)]]/$I$2</f>
        <v>9.9901999999999991E-2</v>
      </c>
      <c r="D498" s="1">
        <v>1113.0999999999999</v>
      </c>
      <c r="E498" s="1">
        <f>Tabela110[[#This Row],[Força (N)]]/$I$5</f>
        <v>23134782.816536661</v>
      </c>
      <c r="F498" s="1">
        <f>Tabela110[[#This Row],[Tensão (Pa)]]/1000000</f>
        <v>23.13478281653666</v>
      </c>
    </row>
    <row r="499" spans="1:6" x14ac:dyDescent="0.3">
      <c r="A499" s="1">
        <v>60.216999999999999</v>
      </c>
      <c r="B499" s="1">
        <v>5.0102000000000002</v>
      </c>
      <c r="C499" s="1">
        <f>Tabela110[[#This Row],[Alongamento (mm/mm)]]/$I$2</f>
        <v>0.100204</v>
      </c>
      <c r="D499" s="1">
        <v>1121.8</v>
      </c>
      <c r="E499" s="1">
        <f>Tabela110[[#This Row],[Força (N)]]/$I$5</f>
        <v>23315604.49518536</v>
      </c>
      <c r="F499" s="1">
        <f>Tabela110[[#This Row],[Tensão (Pa)]]/1000000</f>
        <v>23.315604495185362</v>
      </c>
    </row>
    <row r="500" spans="1:6" x14ac:dyDescent="0.3">
      <c r="A500" s="1">
        <v>60.4</v>
      </c>
      <c r="B500" s="1">
        <v>5.0255999999999998</v>
      </c>
      <c r="C500" s="1">
        <f>Tabela110[[#This Row],[Alongamento (mm/mm)]]/$I$2</f>
        <v>0.10051199999999999</v>
      </c>
      <c r="D500" s="1">
        <v>1130.5999999999999</v>
      </c>
      <c r="E500" s="1">
        <f>Tabela110[[#This Row],[Força (N)]]/$I$5</f>
        <v>23498504.583933473</v>
      </c>
      <c r="F500" s="1">
        <f>Tabela110[[#This Row],[Tensão (Pa)]]/1000000</f>
        <v>23.498504583933471</v>
      </c>
    </row>
    <row r="501" spans="1:6" x14ac:dyDescent="0.3">
      <c r="A501" s="1">
        <v>60.582999999999998</v>
      </c>
      <c r="B501" s="1">
        <v>5.0408999999999997</v>
      </c>
      <c r="C501" s="1">
        <f>Tabela110[[#This Row],[Alongamento (mm/mm)]]/$I$2</f>
        <v>0.10081799999999999</v>
      </c>
      <c r="D501" s="1">
        <v>1139.3</v>
      </c>
      <c r="E501" s="1">
        <f>Tabela110[[#This Row],[Força (N)]]/$I$5</f>
        <v>23679326.262582175</v>
      </c>
      <c r="F501" s="1">
        <f>Tabela110[[#This Row],[Tensão (Pa)]]/1000000</f>
        <v>23.679326262582176</v>
      </c>
    </row>
    <row r="502" spans="1:6" x14ac:dyDescent="0.3">
      <c r="A502" s="1">
        <v>60.783000000000001</v>
      </c>
      <c r="B502" s="1">
        <v>5.0575000000000001</v>
      </c>
      <c r="C502" s="1">
        <f>Tabela110[[#This Row],[Alongamento (mm/mm)]]/$I$2</f>
        <v>0.10115</v>
      </c>
      <c r="D502" s="1">
        <v>1148.7</v>
      </c>
      <c r="E502" s="1">
        <f>Tabela110[[#This Row],[Força (N)]]/$I$5</f>
        <v>23874696.811926749</v>
      </c>
      <c r="F502" s="1">
        <f>Tabela110[[#This Row],[Tensão (Pa)]]/1000000</f>
        <v>23.87469681192675</v>
      </c>
    </row>
    <row r="503" spans="1:6" x14ac:dyDescent="0.3">
      <c r="A503" s="1">
        <v>60.982999999999997</v>
      </c>
      <c r="B503" s="1">
        <v>5.0742000000000003</v>
      </c>
      <c r="C503" s="1">
        <f>Tabela110[[#This Row],[Alongamento (mm/mm)]]/$I$2</f>
        <v>0.101484</v>
      </c>
      <c r="D503" s="1">
        <v>1158.2</v>
      </c>
      <c r="E503" s="1">
        <f>Tabela110[[#This Row],[Força (N)]]/$I$5</f>
        <v>24072145.771370735</v>
      </c>
      <c r="F503" s="1">
        <f>Tabela110[[#This Row],[Tensão (Pa)]]/1000000</f>
        <v>24.072145771370735</v>
      </c>
    </row>
    <row r="504" spans="1:6" x14ac:dyDescent="0.3">
      <c r="A504" s="1">
        <v>61.183</v>
      </c>
      <c r="B504" s="1">
        <v>5.0909000000000004</v>
      </c>
      <c r="C504" s="1">
        <f>Tabela110[[#This Row],[Alongamento (mm/mm)]]/$I$2</f>
        <v>0.10181800000000001</v>
      </c>
      <c r="D504" s="1">
        <v>1167.5999999999999</v>
      </c>
      <c r="E504" s="1">
        <f>Tabela110[[#This Row],[Força (N)]]/$I$5</f>
        <v>24267516.320715304</v>
      </c>
      <c r="F504" s="1">
        <f>Tabela110[[#This Row],[Tensão (Pa)]]/1000000</f>
        <v>24.267516320715306</v>
      </c>
    </row>
    <row r="505" spans="1:6" x14ac:dyDescent="0.3">
      <c r="A505" s="1">
        <v>61.383000000000003</v>
      </c>
      <c r="B505" s="1">
        <v>5.1075999999999997</v>
      </c>
      <c r="C505" s="1">
        <f>Tabela110[[#This Row],[Alongamento (mm/mm)]]/$I$2</f>
        <v>0.10215199999999999</v>
      </c>
      <c r="D505" s="1">
        <v>1176.9000000000001</v>
      </c>
      <c r="E505" s="1">
        <f>Tabela110[[#This Row],[Força (N)]]/$I$5</f>
        <v>24460808.459960472</v>
      </c>
      <c r="F505" s="1">
        <f>Tabela110[[#This Row],[Tensão (Pa)]]/1000000</f>
        <v>24.460808459960472</v>
      </c>
    </row>
    <row r="506" spans="1:6" x14ac:dyDescent="0.3">
      <c r="A506" s="1">
        <v>61.582999999999998</v>
      </c>
      <c r="B506" s="1">
        <v>5.1241000000000003</v>
      </c>
      <c r="C506" s="1">
        <f>Tabela110[[#This Row],[Alongamento (mm/mm)]]/$I$2</f>
        <v>0.102482</v>
      </c>
      <c r="D506" s="1">
        <v>1186.0999999999999</v>
      </c>
      <c r="E506" s="1">
        <f>Tabela110[[#This Row],[Força (N)]]/$I$5</f>
        <v>24652022.189106219</v>
      </c>
      <c r="F506" s="1">
        <f>Tabela110[[#This Row],[Tensão (Pa)]]/1000000</f>
        <v>24.652022189106219</v>
      </c>
    </row>
    <row r="507" spans="1:6" x14ac:dyDescent="0.3">
      <c r="A507" s="1">
        <v>61.783000000000001</v>
      </c>
      <c r="B507" s="1">
        <v>5.1409000000000002</v>
      </c>
      <c r="C507" s="1">
        <f>Tabela110[[#This Row],[Alongamento (mm/mm)]]/$I$2</f>
        <v>0.10281800000000001</v>
      </c>
      <c r="D507" s="1">
        <v>1195.5</v>
      </c>
      <c r="E507" s="1">
        <f>Tabela110[[#This Row],[Força (N)]]/$I$5</f>
        <v>24847392.738450795</v>
      </c>
      <c r="F507" s="1">
        <f>Tabela110[[#This Row],[Tensão (Pa)]]/1000000</f>
        <v>24.847392738450797</v>
      </c>
    </row>
    <row r="508" spans="1:6" x14ac:dyDescent="0.3">
      <c r="A508" s="1">
        <v>61.982999999999997</v>
      </c>
      <c r="B508" s="1">
        <v>5.1576000000000004</v>
      </c>
      <c r="C508" s="1">
        <f>Tabela110[[#This Row],[Alongamento (mm/mm)]]/$I$2</f>
        <v>0.10315200000000001</v>
      </c>
      <c r="D508" s="1">
        <v>1204.5999999999999</v>
      </c>
      <c r="E508" s="1">
        <f>Tabela110[[#This Row],[Força (N)]]/$I$5</f>
        <v>25036528.057497136</v>
      </c>
      <c r="F508" s="1">
        <f>Tabela110[[#This Row],[Tensão (Pa)]]/1000000</f>
        <v>25.036528057497137</v>
      </c>
    </row>
    <row r="509" spans="1:6" x14ac:dyDescent="0.3">
      <c r="A509" s="1">
        <v>62.183</v>
      </c>
      <c r="B509" s="1">
        <v>5.1741999999999999</v>
      </c>
      <c r="C509" s="1">
        <f>Tabela110[[#This Row],[Alongamento (mm/mm)]]/$I$2</f>
        <v>0.10348399999999999</v>
      </c>
      <c r="D509" s="1">
        <v>1213.8</v>
      </c>
      <c r="E509" s="1">
        <f>Tabela110[[#This Row],[Força (N)]]/$I$5</f>
        <v>25227741.78664289</v>
      </c>
      <c r="F509" s="1">
        <f>Tabela110[[#This Row],[Tensão (Pa)]]/1000000</f>
        <v>25.227741786642891</v>
      </c>
    </row>
    <row r="510" spans="1:6" x14ac:dyDescent="0.3">
      <c r="A510" s="1">
        <v>62.383000000000003</v>
      </c>
      <c r="B510" s="1">
        <v>5.1909000000000001</v>
      </c>
      <c r="C510" s="1">
        <f>Tabela110[[#This Row],[Alongamento (mm/mm)]]/$I$2</f>
        <v>0.10381800000000001</v>
      </c>
      <c r="D510" s="1">
        <v>1223</v>
      </c>
      <c r="E510" s="1">
        <f>Tabela110[[#This Row],[Força (N)]]/$I$5</f>
        <v>25418955.515788641</v>
      </c>
      <c r="F510" s="1">
        <f>Tabela110[[#This Row],[Tensão (Pa)]]/1000000</f>
        <v>25.418955515788642</v>
      </c>
    </row>
    <row r="511" spans="1:6" x14ac:dyDescent="0.3">
      <c r="A511" s="1">
        <v>62.6</v>
      </c>
      <c r="B511" s="1">
        <v>5.2088999999999999</v>
      </c>
      <c r="C511" s="1">
        <f>Tabela110[[#This Row],[Alongamento (mm/mm)]]/$I$2</f>
        <v>0.10417799999999999</v>
      </c>
      <c r="D511" s="1">
        <v>1233</v>
      </c>
      <c r="E511" s="1">
        <f>Tabela110[[#This Row],[Força (N)]]/$I$5</f>
        <v>25626796.525729679</v>
      </c>
      <c r="F511" s="1">
        <f>Tabela110[[#This Row],[Tensão (Pa)]]/1000000</f>
        <v>25.626796525729677</v>
      </c>
    </row>
    <row r="512" spans="1:6" x14ac:dyDescent="0.3">
      <c r="A512" s="1">
        <v>62.817</v>
      </c>
      <c r="B512" s="1">
        <v>5.2270000000000003</v>
      </c>
      <c r="C512" s="1">
        <f>Tabela110[[#This Row],[Alongamento (mm/mm)]]/$I$2</f>
        <v>0.10454000000000001</v>
      </c>
      <c r="D512" s="1">
        <v>1243.0999999999999</v>
      </c>
      <c r="E512" s="1">
        <f>Tabela110[[#This Row],[Força (N)]]/$I$5</f>
        <v>25836715.945770122</v>
      </c>
      <c r="F512" s="1">
        <f>Tabela110[[#This Row],[Tensão (Pa)]]/1000000</f>
        <v>25.836715945770123</v>
      </c>
    </row>
    <row r="513" spans="1:6" x14ac:dyDescent="0.3">
      <c r="A513" s="1">
        <v>63.033000000000001</v>
      </c>
      <c r="B513" s="1">
        <v>5.2450000000000001</v>
      </c>
      <c r="C513" s="1">
        <f>Tabela110[[#This Row],[Alongamento (mm/mm)]]/$I$2</f>
        <v>0.10490000000000001</v>
      </c>
      <c r="D513" s="1">
        <v>1253.0999999999999</v>
      </c>
      <c r="E513" s="1">
        <f>Tabela110[[#This Row],[Força (N)]]/$I$5</f>
        <v>26044556.955711156</v>
      </c>
      <c r="F513" s="1">
        <f>Tabela110[[#This Row],[Tensão (Pa)]]/1000000</f>
        <v>26.044556955711155</v>
      </c>
    </row>
    <row r="514" spans="1:6" x14ac:dyDescent="0.3">
      <c r="A514" s="1">
        <v>63.25</v>
      </c>
      <c r="B514" s="1">
        <v>5.2630999999999997</v>
      </c>
      <c r="C514" s="1">
        <f>Tabela110[[#This Row],[Alongamento (mm/mm)]]/$I$2</f>
        <v>0.10526199999999999</v>
      </c>
      <c r="D514" s="1">
        <v>1263</v>
      </c>
      <c r="E514" s="1">
        <f>Tabela110[[#This Row],[Força (N)]]/$I$5</f>
        <v>26250319.555552784</v>
      </c>
      <c r="F514" s="1">
        <f>Tabela110[[#This Row],[Tensão (Pa)]]/1000000</f>
        <v>26.250319555552785</v>
      </c>
    </row>
    <row r="515" spans="1:6" x14ac:dyDescent="0.3">
      <c r="A515" s="1">
        <v>63.466999999999999</v>
      </c>
      <c r="B515" s="1">
        <v>5.2812000000000001</v>
      </c>
      <c r="C515" s="1">
        <f>Tabela110[[#This Row],[Alongamento (mm/mm)]]/$I$2</f>
        <v>0.105624</v>
      </c>
      <c r="D515" s="1">
        <v>1273</v>
      </c>
      <c r="E515" s="1">
        <f>Tabela110[[#This Row],[Força (N)]]/$I$5</f>
        <v>26458160.565493818</v>
      </c>
      <c r="F515" s="1">
        <f>Tabela110[[#This Row],[Tensão (Pa)]]/1000000</f>
        <v>26.45816056549382</v>
      </c>
    </row>
    <row r="516" spans="1:6" x14ac:dyDescent="0.3">
      <c r="A516" s="1">
        <v>63.683</v>
      </c>
      <c r="B516" s="1">
        <v>5.2991999999999999</v>
      </c>
      <c r="C516" s="1">
        <f>Tabela110[[#This Row],[Alongamento (mm/mm)]]/$I$2</f>
        <v>0.10598399999999999</v>
      </c>
      <c r="D516" s="1">
        <v>1282.9000000000001</v>
      </c>
      <c r="E516" s="1">
        <f>Tabela110[[#This Row],[Força (N)]]/$I$5</f>
        <v>26663923.165335447</v>
      </c>
      <c r="F516" s="1">
        <f>Tabela110[[#This Row],[Tensão (Pa)]]/1000000</f>
        <v>26.663923165335447</v>
      </c>
    </row>
    <row r="517" spans="1:6" x14ac:dyDescent="0.3">
      <c r="A517" s="1">
        <v>63.9</v>
      </c>
      <c r="B517" s="1">
        <v>5.3173000000000004</v>
      </c>
      <c r="C517" s="1">
        <f>Tabela110[[#This Row],[Alongamento (mm/mm)]]/$I$2</f>
        <v>0.10634600000000001</v>
      </c>
      <c r="D517" s="1">
        <v>1293.0999999999999</v>
      </c>
      <c r="E517" s="1">
        <f>Tabela110[[#This Row],[Força (N)]]/$I$5</f>
        <v>26875920.9954753</v>
      </c>
      <c r="F517" s="1">
        <f>Tabela110[[#This Row],[Tensão (Pa)]]/1000000</f>
        <v>26.875920995475301</v>
      </c>
    </row>
    <row r="518" spans="1:6" x14ac:dyDescent="0.3">
      <c r="A518" s="1">
        <v>64.117000000000004</v>
      </c>
      <c r="B518" s="1">
        <v>5.3353999999999999</v>
      </c>
      <c r="C518" s="1">
        <f>Tabela110[[#This Row],[Alongamento (mm/mm)]]/$I$2</f>
        <v>0.106708</v>
      </c>
      <c r="D518" s="1">
        <v>1303.0999999999999</v>
      </c>
      <c r="E518" s="1">
        <f>Tabela110[[#This Row],[Força (N)]]/$I$5</f>
        <v>27083762.005416334</v>
      </c>
      <c r="F518" s="1">
        <f>Tabela110[[#This Row],[Tensão (Pa)]]/1000000</f>
        <v>27.083762005416332</v>
      </c>
    </row>
    <row r="519" spans="1:6" x14ac:dyDescent="0.3">
      <c r="A519" s="1">
        <v>64.332999999999998</v>
      </c>
      <c r="B519" s="1">
        <v>5.3532999999999999</v>
      </c>
      <c r="C519" s="1">
        <f>Tabela110[[#This Row],[Alongamento (mm/mm)]]/$I$2</f>
        <v>0.10706599999999999</v>
      </c>
      <c r="D519" s="1">
        <v>1313.2</v>
      </c>
      <c r="E519" s="1">
        <f>Tabela110[[#This Row],[Força (N)]]/$I$5</f>
        <v>27293681.425456785</v>
      </c>
      <c r="F519" s="1">
        <f>Tabela110[[#This Row],[Tensão (Pa)]]/1000000</f>
        <v>27.293681425456786</v>
      </c>
    </row>
    <row r="520" spans="1:6" x14ac:dyDescent="0.3">
      <c r="A520" s="1">
        <v>64.566999999999993</v>
      </c>
      <c r="B520" s="1">
        <v>5.3727999999999998</v>
      </c>
      <c r="C520" s="1">
        <f>Tabela110[[#This Row],[Alongamento (mm/mm)]]/$I$2</f>
        <v>0.107456</v>
      </c>
      <c r="D520" s="1">
        <v>1323.9</v>
      </c>
      <c r="E520" s="1">
        <f>Tabela110[[#This Row],[Força (N)]]/$I$5</f>
        <v>27516071.306093693</v>
      </c>
      <c r="F520" s="1">
        <f>Tabela110[[#This Row],[Tensão (Pa)]]/1000000</f>
        <v>27.516071306093693</v>
      </c>
    </row>
    <row r="521" spans="1:6" x14ac:dyDescent="0.3">
      <c r="A521" s="1">
        <v>64.783000000000001</v>
      </c>
      <c r="B521" s="1">
        <v>5.3909000000000002</v>
      </c>
      <c r="C521" s="1">
        <f>Tabela110[[#This Row],[Alongamento (mm/mm)]]/$I$2</f>
        <v>0.10781800000000001</v>
      </c>
      <c r="D521" s="1">
        <v>1334.3</v>
      </c>
      <c r="E521" s="1">
        <f>Tabela110[[#This Row],[Força (N)]]/$I$5</f>
        <v>27732225.956432365</v>
      </c>
      <c r="F521" s="1">
        <f>Tabela110[[#This Row],[Tensão (Pa)]]/1000000</f>
        <v>27.732225956432366</v>
      </c>
    </row>
    <row r="522" spans="1:6" x14ac:dyDescent="0.3">
      <c r="A522" s="1">
        <v>65</v>
      </c>
      <c r="B522" s="1">
        <v>5.4089</v>
      </c>
      <c r="C522" s="1">
        <f>Tabela110[[#This Row],[Alongamento (mm/mm)]]/$I$2</f>
        <v>0.108178</v>
      </c>
      <c r="D522" s="1">
        <v>1344.6</v>
      </c>
      <c r="E522" s="1">
        <f>Tabela110[[#This Row],[Força (N)]]/$I$5</f>
        <v>27946302.196671631</v>
      </c>
      <c r="F522" s="1">
        <f>Tabela110[[#This Row],[Tensão (Pa)]]/1000000</f>
        <v>27.946302196671631</v>
      </c>
    </row>
    <row r="523" spans="1:6" x14ac:dyDescent="0.3">
      <c r="A523" s="1">
        <v>65.216999999999999</v>
      </c>
      <c r="B523" s="1">
        <v>5.4269999999999996</v>
      </c>
      <c r="C523" s="1">
        <f>Tabela110[[#This Row],[Alongamento (mm/mm)]]/$I$2</f>
        <v>0.10854</v>
      </c>
      <c r="D523" s="1">
        <v>1354.8</v>
      </c>
      <c r="E523" s="1">
        <f>Tabela110[[#This Row],[Força (N)]]/$I$5</f>
        <v>28158300.026811488</v>
      </c>
      <c r="F523" s="1">
        <f>Tabela110[[#This Row],[Tensão (Pa)]]/1000000</f>
        <v>28.158300026811489</v>
      </c>
    </row>
    <row r="524" spans="1:6" x14ac:dyDescent="0.3">
      <c r="A524" s="1">
        <v>65.45</v>
      </c>
      <c r="B524" s="1">
        <v>5.4463999999999997</v>
      </c>
      <c r="C524" s="1">
        <f>Tabela110[[#This Row],[Alongamento (mm/mm)]]/$I$2</f>
        <v>0.108928</v>
      </c>
      <c r="D524" s="1">
        <v>1365.7</v>
      </c>
      <c r="E524" s="1">
        <f>Tabela110[[#This Row],[Força (N)]]/$I$5</f>
        <v>28384846.727647219</v>
      </c>
      <c r="F524" s="1">
        <f>Tabela110[[#This Row],[Tensão (Pa)]]/1000000</f>
        <v>28.384846727647219</v>
      </c>
    </row>
    <row r="525" spans="1:6" x14ac:dyDescent="0.3">
      <c r="A525" s="1">
        <v>65.667000000000002</v>
      </c>
      <c r="B525" s="1">
        <v>5.4645999999999999</v>
      </c>
      <c r="C525" s="1">
        <f>Tabela110[[#This Row],[Alongamento (mm/mm)]]/$I$2</f>
        <v>0.109292</v>
      </c>
      <c r="D525" s="1">
        <v>1376.4</v>
      </c>
      <c r="E525" s="1">
        <f>Tabela110[[#This Row],[Força (N)]]/$I$5</f>
        <v>28607236.608284131</v>
      </c>
      <c r="F525" s="1">
        <f>Tabela110[[#This Row],[Tensão (Pa)]]/1000000</f>
        <v>28.607236608284129</v>
      </c>
    </row>
    <row r="526" spans="1:6" x14ac:dyDescent="0.3">
      <c r="A526" s="1">
        <v>65.882999999999996</v>
      </c>
      <c r="B526" s="1">
        <v>5.4825999999999997</v>
      </c>
      <c r="C526" s="1">
        <f>Tabela110[[#This Row],[Alongamento (mm/mm)]]/$I$2</f>
        <v>0.109652</v>
      </c>
      <c r="D526" s="1">
        <v>1387</v>
      </c>
      <c r="E526" s="1">
        <f>Tabela110[[#This Row],[Força (N)]]/$I$5</f>
        <v>28827548.078821626</v>
      </c>
      <c r="F526" s="1">
        <f>Tabela110[[#This Row],[Tensão (Pa)]]/1000000</f>
        <v>28.827548078821625</v>
      </c>
    </row>
    <row r="527" spans="1:6" x14ac:dyDescent="0.3">
      <c r="A527" s="1">
        <v>66.099999999999994</v>
      </c>
      <c r="B527" s="1">
        <v>5.5006000000000004</v>
      </c>
      <c r="C527" s="1">
        <f>Tabela110[[#This Row],[Alongamento (mm/mm)]]/$I$2</f>
        <v>0.11001200000000001</v>
      </c>
      <c r="D527" s="1">
        <v>1397.5</v>
      </c>
      <c r="E527" s="1">
        <f>Tabela110[[#This Row],[Força (N)]]/$I$5</f>
        <v>29045781.139259711</v>
      </c>
      <c r="F527" s="1">
        <f>Tabela110[[#This Row],[Tensão (Pa)]]/1000000</f>
        <v>29.045781139259709</v>
      </c>
    </row>
    <row r="528" spans="1:6" x14ac:dyDescent="0.3">
      <c r="A528" s="1">
        <v>66.332999999999998</v>
      </c>
      <c r="B528" s="1">
        <v>5.5201000000000002</v>
      </c>
      <c r="C528" s="1">
        <f>Tabela110[[#This Row],[Alongamento (mm/mm)]]/$I$2</f>
        <v>0.110402</v>
      </c>
      <c r="D528" s="1">
        <v>1408.9</v>
      </c>
      <c r="E528" s="1">
        <f>Tabela110[[#This Row],[Força (N)]]/$I$5</f>
        <v>29282719.890592493</v>
      </c>
      <c r="F528" s="1">
        <f>Tabela110[[#This Row],[Tensão (Pa)]]/1000000</f>
        <v>29.282719890592492</v>
      </c>
    </row>
    <row r="529" spans="1:6" x14ac:dyDescent="0.3">
      <c r="A529" s="1">
        <v>66.566999999999993</v>
      </c>
      <c r="B529" s="1">
        <v>5.5395000000000003</v>
      </c>
      <c r="C529" s="1">
        <f>Tabela110[[#This Row],[Alongamento (mm/mm)]]/$I$2</f>
        <v>0.11079</v>
      </c>
      <c r="D529" s="1">
        <v>1420</v>
      </c>
      <c r="E529" s="1">
        <f>Tabela110[[#This Row],[Força (N)]]/$I$5</f>
        <v>29513423.411627043</v>
      </c>
      <c r="F529" s="1">
        <f>Tabela110[[#This Row],[Tensão (Pa)]]/1000000</f>
        <v>29.513423411627041</v>
      </c>
    </row>
    <row r="530" spans="1:6" x14ac:dyDescent="0.3">
      <c r="A530" s="1">
        <v>66.8</v>
      </c>
      <c r="B530" s="1">
        <v>5.5589000000000004</v>
      </c>
      <c r="C530" s="1">
        <f>Tabela110[[#This Row],[Alongamento (mm/mm)]]/$I$2</f>
        <v>0.11117800000000001</v>
      </c>
      <c r="D530" s="1">
        <v>1431.2</v>
      </c>
      <c r="E530" s="1">
        <f>Tabela110[[#This Row],[Força (N)]]/$I$5</f>
        <v>29746205.342761002</v>
      </c>
      <c r="F530" s="1">
        <f>Tabela110[[#This Row],[Tensão (Pa)]]/1000000</f>
        <v>29.746205342761002</v>
      </c>
    </row>
    <row r="531" spans="1:6" x14ac:dyDescent="0.3">
      <c r="A531" s="1">
        <v>67.033000000000001</v>
      </c>
      <c r="B531" s="1">
        <v>5.5784000000000002</v>
      </c>
      <c r="C531" s="1">
        <f>Tabela110[[#This Row],[Alongamento (mm/mm)]]/$I$2</f>
        <v>0.111568</v>
      </c>
      <c r="D531" s="1">
        <v>1442.4</v>
      </c>
      <c r="E531" s="1">
        <f>Tabela110[[#This Row],[Força (N)]]/$I$5</f>
        <v>29978987.273894962</v>
      </c>
      <c r="F531" s="1">
        <f>Tabela110[[#This Row],[Tensão (Pa)]]/1000000</f>
        <v>29.978987273894962</v>
      </c>
    </row>
    <row r="532" spans="1:6" x14ac:dyDescent="0.3">
      <c r="A532" s="1">
        <v>67.266999999999996</v>
      </c>
      <c r="B532" s="1">
        <v>5.5979000000000001</v>
      </c>
      <c r="C532" s="1">
        <f>Tabela110[[#This Row],[Alongamento (mm/mm)]]/$I$2</f>
        <v>0.111958</v>
      </c>
      <c r="D532" s="1">
        <v>1453.7</v>
      </c>
      <c r="E532" s="1">
        <f>Tabela110[[#This Row],[Força (N)]]/$I$5</f>
        <v>30213847.615128331</v>
      </c>
      <c r="F532" s="1">
        <f>Tabela110[[#This Row],[Tensão (Pa)]]/1000000</f>
        <v>30.21384761512833</v>
      </c>
    </row>
    <row r="533" spans="1:6" x14ac:dyDescent="0.3">
      <c r="A533" s="1">
        <v>67.516999999999996</v>
      </c>
      <c r="B533" s="1">
        <v>5.6186999999999996</v>
      </c>
      <c r="C533" s="1">
        <f>Tabela110[[#This Row],[Alongamento (mm/mm)]]/$I$2</f>
        <v>0.11237399999999999</v>
      </c>
      <c r="D533" s="1">
        <v>1465.6</v>
      </c>
      <c r="E533" s="1">
        <f>Tabela110[[#This Row],[Força (N)]]/$I$5</f>
        <v>30461178.416958161</v>
      </c>
      <c r="F533" s="1">
        <f>Tabela110[[#This Row],[Tensão (Pa)]]/1000000</f>
        <v>30.461178416958159</v>
      </c>
    </row>
    <row r="534" spans="1:6" x14ac:dyDescent="0.3">
      <c r="A534" s="1">
        <v>67.766999999999996</v>
      </c>
      <c r="B534" s="1">
        <v>5.6395</v>
      </c>
      <c r="C534" s="1">
        <f>Tabela110[[#This Row],[Alongamento (mm/mm)]]/$I$2</f>
        <v>0.11279</v>
      </c>
      <c r="D534" s="1">
        <v>1477.5</v>
      </c>
      <c r="E534" s="1">
        <f>Tabela110[[#This Row],[Força (N)]]/$I$5</f>
        <v>30708509.218787994</v>
      </c>
      <c r="F534" s="1">
        <f>Tabela110[[#This Row],[Tensão (Pa)]]/1000000</f>
        <v>30.708509218787995</v>
      </c>
    </row>
    <row r="535" spans="1:6" x14ac:dyDescent="0.3">
      <c r="A535" s="1">
        <v>68.016999999999996</v>
      </c>
      <c r="B535" s="1">
        <v>5.6603000000000003</v>
      </c>
      <c r="C535" s="1">
        <f>Tabela110[[#This Row],[Alongamento (mm/mm)]]/$I$2</f>
        <v>0.113206</v>
      </c>
      <c r="D535" s="1">
        <v>1489.2</v>
      </c>
      <c r="E535" s="1">
        <f>Tabela110[[#This Row],[Força (N)]]/$I$5</f>
        <v>30951683.200419009</v>
      </c>
      <c r="F535" s="1">
        <f>Tabela110[[#This Row],[Tensão (Pa)]]/1000000</f>
        <v>30.951683200419009</v>
      </c>
    </row>
    <row r="536" spans="1:6" x14ac:dyDescent="0.3">
      <c r="A536" s="1">
        <v>68.266999999999996</v>
      </c>
      <c r="B536" s="1">
        <v>5.6811999999999996</v>
      </c>
      <c r="C536" s="1">
        <f>Tabela110[[#This Row],[Alongamento (mm/mm)]]/$I$2</f>
        <v>0.11362399999999999</v>
      </c>
      <c r="D536" s="1">
        <v>1501.1</v>
      </c>
      <c r="E536" s="1">
        <f>Tabela110[[#This Row],[Força (N)]]/$I$5</f>
        <v>31199014.002248839</v>
      </c>
      <c r="F536" s="1">
        <f>Tabela110[[#This Row],[Tensão (Pa)]]/1000000</f>
        <v>31.199014002248838</v>
      </c>
    </row>
    <row r="537" spans="1:6" x14ac:dyDescent="0.3">
      <c r="A537" s="1">
        <v>68.516999999999996</v>
      </c>
      <c r="B537" s="1">
        <v>5.702</v>
      </c>
      <c r="C537" s="1">
        <f>Tabela110[[#This Row],[Alongamento (mm/mm)]]/$I$2</f>
        <v>0.11404</v>
      </c>
      <c r="D537" s="1">
        <v>1512.9</v>
      </c>
      <c r="E537" s="1">
        <f>Tabela110[[#This Row],[Força (N)]]/$I$5</f>
        <v>31444266.393979263</v>
      </c>
      <c r="F537" s="1">
        <f>Tabela110[[#This Row],[Tensão (Pa)]]/1000000</f>
        <v>31.444266393979262</v>
      </c>
    </row>
    <row r="538" spans="1:6" x14ac:dyDescent="0.3">
      <c r="A538" s="1">
        <v>68.766999999999996</v>
      </c>
      <c r="B538" s="1">
        <v>5.7229000000000001</v>
      </c>
      <c r="C538" s="1">
        <f>Tabela110[[#This Row],[Alongamento (mm/mm)]]/$I$2</f>
        <v>0.114458</v>
      </c>
      <c r="D538" s="1">
        <v>1524.6</v>
      </c>
      <c r="E538" s="1">
        <f>Tabela110[[#This Row],[Força (N)]]/$I$5</f>
        <v>31687440.37561027</v>
      </c>
      <c r="F538" s="1">
        <f>Tabela110[[#This Row],[Tensão (Pa)]]/1000000</f>
        <v>31.687440375610269</v>
      </c>
    </row>
    <row r="539" spans="1:6" x14ac:dyDescent="0.3">
      <c r="A539" s="1">
        <v>69.033000000000001</v>
      </c>
      <c r="B539" s="1">
        <v>5.7450000000000001</v>
      </c>
      <c r="C539" s="1">
        <f>Tabela110[[#This Row],[Alongamento (mm/mm)]]/$I$2</f>
        <v>0.1149</v>
      </c>
      <c r="D539" s="1">
        <v>1537.2</v>
      </c>
      <c r="E539" s="1">
        <f>Tabela110[[#This Row],[Força (N)]]/$I$5</f>
        <v>31949320.048135977</v>
      </c>
      <c r="F539" s="1">
        <f>Tabela110[[#This Row],[Tensão (Pa)]]/1000000</f>
        <v>31.949320048135977</v>
      </c>
    </row>
    <row r="540" spans="1:6" x14ac:dyDescent="0.3">
      <c r="A540" s="1">
        <v>69.3</v>
      </c>
      <c r="B540" s="1">
        <v>5.7672999999999996</v>
      </c>
      <c r="C540" s="1">
        <f>Tabela110[[#This Row],[Alongamento (mm/mm)]]/$I$2</f>
        <v>0.11534599999999999</v>
      </c>
      <c r="D540" s="1">
        <v>1549.6</v>
      </c>
      <c r="E540" s="1">
        <f>Tabela110[[#This Row],[Força (N)]]/$I$5</f>
        <v>32207042.900462858</v>
      </c>
      <c r="F540" s="1">
        <f>Tabela110[[#This Row],[Tensão (Pa)]]/1000000</f>
        <v>32.207042900462859</v>
      </c>
    </row>
    <row r="541" spans="1:6" x14ac:dyDescent="0.3">
      <c r="A541" s="1">
        <v>69.566999999999993</v>
      </c>
      <c r="B541" s="1">
        <v>5.7895000000000003</v>
      </c>
      <c r="C541" s="1">
        <f>Tabela110[[#This Row],[Alongamento (mm/mm)]]/$I$2</f>
        <v>0.11579</v>
      </c>
      <c r="D541" s="1">
        <v>1562.2</v>
      </c>
      <c r="E541" s="1">
        <f>Tabela110[[#This Row],[Força (N)]]/$I$5</f>
        <v>32468922.572988566</v>
      </c>
      <c r="F541" s="1">
        <f>Tabela110[[#This Row],[Tensão (Pa)]]/1000000</f>
        <v>32.468922572988568</v>
      </c>
    </row>
    <row r="542" spans="1:6" x14ac:dyDescent="0.3">
      <c r="A542" s="1">
        <v>69.832999999999998</v>
      </c>
      <c r="B542" s="1">
        <v>5.8117000000000001</v>
      </c>
      <c r="C542" s="1">
        <f>Tabela110[[#This Row],[Alongamento (mm/mm)]]/$I$2</f>
        <v>0.116234</v>
      </c>
      <c r="D542" s="1">
        <v>1574.4</v>
      </c>
      <c r="E542" s="1">
        <f>Tabela110[[#This Row],[Força (N)]]/$I$5</f>
        <v>32722488.605116632</v>
      </c>
      <c r="F542" s="1">
        <f>Tabela110[[#This Row],[Tensão (Pa)]]/1000000</f>
        <v>32.722488605116631</v>
      </c>
    </row>
    <row r="543" spans="1:6" x14ac:dyDescent="0.3">
      <c r="A543" s="1">
        <v>70.099999999999994</v>
      </c>
      <c r="B543" s="1">
        <v>5.8339999999999996</v>
      </c>
      <c r="C543" s="1">
        <f>Tabela110[[#This Row],[Alongamento (mm/mm)]]/$I$2</f>
        <v>0.11667999999999999</v>
      </c>
      <c r="D543" s="1">
        <v>1586.9</v>
      </c>
      <c r="E543" s="1">
        <f>Tabela110[[#This Row],[Força (N)]]/$I$5</f>
        <v>32982289.867542926</v>
      </c>
      <c r="F543" s="1">
        <f>Tabela110[[#This Row],[Tensão (Pa)]]/1000000</f>
        <v>32.982289867542924</v>
      </c>
    </row>
    <row r="544" spans="1:6" x14ac:dyDescent="0.3">
      <c r="A544" s="1">
        <v>70.367000000000004</v>
      </c>
      <c r="B544" s="1">
        <v>5.8560999999999996</v>
      </c>
      <c r="C544" s="1">
        <f>Tabela110[[#This Row],[Alongamento (mm/mm)]]/$I$2</f>
        <v>0.11712199999999999</v>
      </c>
      <c r="D544" s="1">
        <v>1599.3</v>
      </c>
      <c r="E544" s="1">
        <f>Tabela110[[#This Row],[Força (N)]]/$I$5</f>
        <v>33240012.719869807</v>
      </c>
      <c r="F544" s="1">
        <f>Tabela110[[#This Row],[Tensão (Pa)]]/1000000</f>
        <v>33.24001271986981</v>
      </c>
    </row>
    <row r="545" spans="1:6" x14ac:dyDescent="0.3">
      <c r="A545" s="1">
        <v>70.632999999999996</v>
      </c>
      <c r="B545" s="1">
        <v>5.8784000000000001</v>
      </c>
      <c r="C545" s="1">
        <f>Tabela110[[#This Row],[Alongamento (mm/mm)]]/$I$2</f>
        <v>0.11756800000000001</v>
      </c>
      <c r="D545" s="1">
        <v>1611.5</v>
      </c>
      <c r="E545" s="1">
        <f>Tabela110[[#This Row],[Força (N)]]/$I$5</f>
        <v>33493578.751997873</v>
      </c>
      <c r="F545" s="1">
        <f>Tabela110[[#This Row],[Tensão (Pa)]]/1000000</f>
        <v>33.493578751997873</v>
      </c>
    </row>
    <row r="546" spans="1:6" x14ac:dyDescent="0.3">
      <c r="A546" s="1">
        <v>70.917000000000002</v>
      </c>
      <c r="B546" s="1">
        <v>5.9020000000000001</v>
      </c>
      <c r="C546" s="1">
        <f>Tabela110[[#This Row],[Alongamento (mm/mm)]]/$I$2</f>
        <v>0.11804000000000001</v>
      </c>
      <c r="D546" s="1">
        <v>1624.6</v>
      </c>
      <c r="E546" s="1">
        <f>Tabela110[[#This Row],[Força (N)]]/$I$5</f>
        <v>33765850.475020625</v>
      </c>
      <c r="F546" s="1">
        <f>Tabela110[[#This Row],[Tensão (Pa)]]/1000000</f>
        <v>33.765850475020628</v>
      </c>
    </row>
    <row r="547" spans="1:6" x14ac:dyDescent="0.3">
      <c r="A547" s="1">
        <v>71.2</v>
      </c>
      <c r="B547" s="1">
        <v>5.9256000000000002</v>
      </c>
      <c r="C547" s="1">
        <f>Tabela110[[#This Row],[Alongamento (mm/mm)]]/$I$2</f>
        <v>0.11851200000000001</v>
      </c>
      <c r="D547" s="1">
        <v>1637.9</v>
      </c>
      <c r="E547" s="1">
        <f>Tabela110[[#This Row],[Força (N)]]/$I$5</f>
        <v>34042279.01824221</v>
      </c>
      <c r="F547" s="1">
        <f>Tabela110[[#This Row],[Tensão (Pa)]]/1000000</f>
        <v>34.042279018242212</v>
      </c>
    </row>
    <row r="548" spans="1:6" x14ac:dyDescent="0.3">
      <c r="A548" s="1">
        <v>71.483000000000004</v>
      </c>
      <c r="B548" s="1">
        <v>5.9492000000000003</v>
      </c>
      <c r="C548" s="1">
        <f>Tabela110[[#This Row],[Alongamento (mm/mm)]]/$I$2</f>
        <v>0.11898400000000001</v>
      </c>
      <c r="D548" s="1">
        <v>1651.1</v>
      </c>
      <c r="E548" s="1">
        <f>Tabela110[[#This Row],[Força (N)]]/$I$5</f>
        <v>34316629.151364371</v>
      </c>
      <c r="F548" s="1">
        <f>Tabela110[[#This Row],[Tensão (Pa)]]/1000000</f>
        <v>34.316629151364374</v>
      </c>
    </row>
    <row r="549" spans="1:6" x14ac:dyDescent="0.3">
      <c r="A549" s="1">
        <v>71.75</v>
      </c>
      <c r="B549" s="1">
        <v>5.9714</v>
      </c>
      <c r="C549" s="1">
        <f>Tabela110[[#This Row],[Alongamento (mm/mm)]]/$I$2</f>
        <v>0.11942800000000001</v>
      </c>
      <c r="D549" s="1">
        <v>1663.7</v>
      </c>
      <c r="E549" s="1">
        <f>Tabela110[[#This Row],[Força (N)]]/$I$5</f>
        <v>34578508.823890075</v>
      </c>
      <c r="F549" s="1">
        <f>Tabela110[[#This Row],[Tensão (Pa)]]/1000000</f>
        <v>34.578508823890076</v>
      </c>
    </row>
    <row r="550" spans="1:6" x14ac:dyDescent="0.3">
      <c r="A550" s="1">
        <v>72.033000000000001</v>
      </c>
      <c r="B550" s="1">
        <v>5.9950999999999999</v>
      </c>
      <c r="C550" s="1">
        <f>Tabela110[[#This Row],[Alongamento (mm/mm)]]/$I$2</f>
        <v>0.11990199999999999</v>
      </c>
      <c r="D550" s="1">
        <v>1677.3</v>
      </c>
      <c r="E550" s="1">
        <f>Tabela110[[#This Row],[Força (N)]]/$I$5</f>
        <v>34861172.597409882</v>
      </c>
      <c r="F550" s="1">
        <f>Tabela110[[#This Row],[Tensão (Pa)]]/1000000</f>
        <v>34.861172597409883</v>
      </c>
    </row>
    <row r="551" spans="1:6" x14ac:dyDescent="0.3">
      <c r="A551" s="1">
        <v>72.316999999999993</v>
      </c>
      <c r="B551" s="1">
        <v>6.0186000000000002</v>
      </c>
      <c r="C551" s="1">
        <f>Tabela110[[#This Row],[Alongamento (mm/mm)]]/$I$2</f>
        <v>0.12037200000000001</v>
      </c>
      <c r="D551" s="1">
        <v>1690.8</v>
      </c>
      <c r="E551" s="1">
        <f>Tabela110[[#This Row],[Força (N)]]/$I$5</f>
        <v>35141757.960830286</v>
      </c>
      <c r="F551" s="1">
        <f>Tabela110[[#This Row],[Tensão (Pa)]]/1000000</f>
        <v>35.141757960830283</v>
      </c>
    </row>
    <row r="552" spans="1:6" x14ac:dyDescent="0.3">
      <c r="A552" s="1">
        <v>72.599999999999994</v>
      </c>
      <c r="B552" s="1">
        <v>6.0423</v>
      </c>
      <c r="C552" s="1">
        <f>Tabela110[[#This Row],[Alongamento (mm/mm)]]/$I$2</f>
        <v>0.120846</v>
      </c>
      <c r="D552" s="1">
        <v>1704.2</v>
      </c>
      <c r="E552" s="1">
        <f>Tabela110[[#This Row],[Força (N)]]/$I$5</f>
        <v>35420264.914151274</v>
      </c>
      <c r="F552" s="1">
        <f>Tabela110[[#This Row],[Tensão (Pa)]]/1000000</f>
        <v>35.420264914151275</v>
      </c>
    </row>
    <row r="553" spans="1:6" x14ac:dyDescent="0.3">
      <c r="A553" s="1">
        <v>72.882999999999996</v>
      </c>
      <c r="B553" s="1">
        <v>6.0659000000000001</v>
      </c>
      <c r="C553" s="1">
        <f>Tabela110[[#This Row],[Alongamento (mm/mm)]]/$I$2</f>
        <v>0.121318</v>
      </c>
      <c r="D553" s="1">
        <v>1717.8</v>
      </c>
      <c r="E553" s="1">
        <f>Tabela110[[#This Row],[Força (N)]]/$I$5</f>
        <v>35702928.68767108</v>
      </c>
      <c r="F553" s="1">
        <f>Tabela110[[#This Row],[Tensão (Pa)]]/1000000</f>
        <v>35.702928687671083</v>
      </c>
    </row>
    <row r="554" spans="1:6" x14ac:dyDescent="0.3">
      <c r="A554" s="1">
        <v>73.167000000000002</v>
      </c>
      <c r="B554" s="1">
        <v>6.0895000000000001</v>
      </c>
      <c r="C554" s="1">
        <f>Tabela110[[#This Row],[Alongamento (mm/mm)]]/$I$2</f>
        <v>0.12179000000000001</v>
      </c>
      <c r="D554" s="1">
        <v>1731.1</v>
      </c>
      <c r="E554" s="1">
        <f>Tabela110[[#This Row],[Força (N)]]/$I$5</f>
        <v>35979357.230892658</v>
      </c>
      <c r="F554" s="1">
        <f>Tabela110[[#This Row],[Tensão (Pa)]]/1000000</f>
        <v>35.97935723089266</v>
      </c>
    </row>
    <row r="555" spans="1:6" x14ac:dyDescent="0.3">
      <c r="A555" s="1">
        <v>73.466999999999999</v>
      </c>
      <c r="B555" s="1">
        <v>6.1146000000000003</v>
      </c>
      <c r="C555" s="1">
        <f>Tabela110[[#This Row],[Alongamento (mm/mm)]]/$I$2</f>
        <v>0.12229200000000001</v>
      </c>
      <c r="D555" s="1">
        <v>1744.9</v>
      </c>
      <c r="E555" s="1">
        <f>Tabela110[[#This Row],[Força (N)]]/$I$5</f>
        <v>36266177.824611284</v>
      </c>
      <c r="F555" s="1">
        <f>Tabela110[[#This Row],[Tensão (Pa)]]/1000000</f>
        <v>36.266177824611283</v>
      </c>
    </row>
    <row r="556" spans="1:6" x14ac:dyDescent="0.3">
      <c r="A556" s="1">
        <v>73.766999999999996</v>
      </c>
      <c r="B556" s="1">
        <v>6.1395</v>
      </c>
      <c r="C556" s="1">
        <f>Tabela110[[#This Row],[Alongamento (mm/mm)]]/$I$2</f>
        <v>0.12279</v>
      </c>
      <c r="D556" s="1">
        <v>1758.7</v>
      </c>
      <c r="E556" s="1">
        <f>Tabela110[[#This Row],[Força (N)]]/$I$5</f>
        <v>36552998.418329917</v>
      </c>
      <c r="F556" s="1">
        <f>Tabela110[[#This Row],[Tensão (Pa)]]/1000000</f>
        <v>36.552998418329913</v>
      </c>
    </row>
    <row r="557" spans="1:6" x14ac:dyDescent="0.3">
      <c r="A557" s="1">
        <v>74.066999999999993</v>
      </c>
      <c r="B557" s="1">
        <v>6.1645000000000003</v>
      </c>
      <c r="C557" s="1">
        <f>Tabela110[[#This Row],[Alongamento (mm/mm)]]/$I$2</f>
        <v>0.12329000000000001</v>
      </c>
      <c r="D557" s="1">
        <v>1772.3</v>
      </c>
      <c r="E557" s="1">
        <f>Tabela110[[#This Row],[Força (N)]]/$I$5</f>
        <v>36835662.191849723</v>
      </c>
      <c r="F557" s="1">
        <f>Tabela110[[#This Row],[Tensão (Pa)]]/1000000</f>
        <v>36.835662191849721</v>
      </c>
    </row>
    <row r="558" spans="1:6" x14ac:dyDescent="0.3">
      <c r="A558" s="1">
        <v>74.367000000000004</v>
      </c>
      <c r="B558" s="1">
        <v>6.1894999999999998</v>
      </c>
      <c r="C558" s="1">
        <f>Tabela110[[#This Row],[Alongamento (mm/mm)]]/$I$2</f>
        <v>0.12379</v>
      </c>
      <c r="D558" s="1">
        <v>1786</v>
      </c>
      <c r="E558" s="1">
        <f>Tabela110[[#This Row],[Força (N)]]/$I$5</f>
        <v>37120404.37546894</v>
      </c>
      <c r="F558" s="1">
        <f>Tabela110[[#This Row],[Tensão (Pa)]]/1000000</f>
        <v>37.120404375468937</v>
      </c>
    </row>
    <row r="559" spans="1:6" x14ac:dyDescent="0.3">
      <c r="A559" s="1">
        <v>74.683000000000007</v>
      </c>
      <c r="B559" s="1">
        <v>6.2157999999999998</v>
      </c>
      <c r="C559" s="1">
        <f>Tabela110[[#This Row],[Alongamento (mm/mm)]]/$I$2</f>
        <v>0.124316</v>
      </c>
      <c r="D559" s="1">
        <v>1800.3</v>
      </c>
      <c r="E559" s="1">
        <f>Tabela110[[#This Row],[Força (N)]]/$I$5</f>
        <v>37417617.01968462</v>
      </c>
      <c r="F559" s="1">
        <f>Tabela110[[#This Row],[Tensão (Pa)]]/1000000</f>
        <v>37.41761701968462</v>
      </c>
    </row>
    <row r="560" spans="1:6" x14ac:dyDescent="0.3">
      <c r="A560" s="1">
        <v>75</v>
      </c>
      <c r="B560" s="1">
        <v>6.2423000000000002</v>
      </c>
      <c r="C560" s="1">
        <f>Tabela110[[#This Row],[Alongamento (mm/mm)]]/$I$2</f>
        <v>0.124846</v>
      </c>
      <c r="D560" s="1">
        <v>1814.6</v>
      </c>
      <c r="E560" s="1">
        <f>Tabela110[[#This Row],[Força (N)]]/$I$5</f>
        <v>37714829.663900301</v>
      </c>
      <c r="F560" s="1">
        <f>Tabela110[[#This Row],[Tensão (Pa)]]/1000000</f>
        <v>37.714829663900304</v>
      </c>
    </row>
    <row r="561" spans="1:6" x14ac:dyDescent="0.3">
      <c r="A561" s="1">
        <v>75.316999999999993</v>
      </c>
      <c r="B561" s="1">
        <v>6.2686999999999999</v>
      </c>
      <c r="C561" s="1">
        <f>Tabela110[[#This Row],[Alongamento (mm/mm)]]/$I$2</f>
        <v>0.12537399999999999</v>
      </c>
      <c r="D561" s="1">
        <v>1829.1</v>
      </c>
      <c r="E561" s="1">
        <f>Tabela110[[#This Row],[Força (N)]]/$I$5</f>
        <v>38016199.128314801</v>
      </c>
      <c r="F561" s="1">
        <f>Tabela110[[#This Row],[Tensão (Pa)]]/1000000</f>
        <v>38.016199128314803</v>
      </c>
    </row>
    <row r="562" spans="1:6" x14ac:dyDescent="0.3">
      <c r="A562" s="1">
        <v>75.650000000000006</v>
      </c>
      <c r="B562" s="1">
        <v>6.2965</v>
      </c>
      <c r="C562" s="1">
        <f>Tabela110[[#This Row],[Alongamento (mm/mm)]]/$I$2</f>
        <v>0.12592999999999999</v>
      </c>
      <c r="D562" s="1">
        <v>1843.7</v>
      </c>
      <c r="E562" s="1">
        <f>Tabela110[[#This Row],[Força (N)]]/$I$5</f>
        <v>38319647.002828717</v>
      </c>
      <c r="F562" s="1">
        <f>Tabela110[[#This Row],[Tensão (Pa)]]/1000000</f>
        <v>38.319647002828717</v>
      </c>
    </row>
    <row r="563" spans="1:6" x14ac:dyDescent="0.3">
      <c r="A563" s="1">
        <v>75.983000000000004</v>
      </c>
      <c r="B563" s="1">
        <v>6.3240999999999996</v>
      </c>
      <c r="C563" s="1">
        <f>Tabela110[[#This Row],[Alongamento (mm/mm)]]/$I$2</f>
        <v>0.12648199999999998</v>
      </c>
      <c r="D563" s="1">
        <v>1858.5</v>
      </c>
      <c r="E563" s="1">
        <f>Tabela110[[#This Row],[Força (N)]]/$I$5</f>
        <v>38627251.697541445</v>
      </c>
      <c r="F563" s="1">
        <f>Tabela110[[#This Row],[Tensão (Pa)]]/1000000</f>
        <v>38.627251697541446</v>
      </c>
    </row>
    <row r="564" spans="1:6" x14ac:dyDescent="0.3">
      <c r="A564" s="1">
        <v>76.316999999999993</v>
      </c>
      <c r="B564" s="1">
        <v>6.3520000000000003</v>
      </c>
      <c r="C564" s="1">
        <f>Tabela110[[#This Row],[Alongamento (mm/mm)]]/$I$2</f>
        <v>0.12704000000000001</v>
      </c>
      <c r="D564" s="1">
        <v>1873.1</v>
      </c>
      <c r="E564" s="1">
        <f>Tabela110[[#This Row],[Força (N)]]/$I$5</f>
        <v>38930699.572055362</v>
      </c>
      <c r="F564" s="1">
        <f>Tabela110[[#This Row],[Tensão (Pa)]]/1000000</f>
        <v>38.93069957205536</v>
      </c>
    </row>
    <row r="565" spans="1:6" x14ac:dyDescent="0.3">
      <c r="A565" s="1">
        <v>76.650000000000006</v>
      </c>
      <c r="B565" s="1">
        <v>6.3798000000000004</v>
      </c>
      <c r="C565" s="1">
        <f>Tabela110[[#This Row],[Alongamento (mm/mm)]]/$I$2</f>
        <v>0.12759600000000001</v>
      </c>
      <c r="D565" s="1">
        <v>1887.8</v>
      </c>
      <c r="E565" s="1">
        <f>Tabela110[[#This Row],[Força (N)]]/$I$5</f>
        <v>39236225.856668681</v>
      </c>
      <c r="F565" s="1">
        <f>Tabela110[[#This Row],[Tensão (Pa)]]/1000000</f>
        <v>39.236225856668682</v>
      </c>
    </row>
    <row r="566" spans="1:6" x14ac:dyDescent="0.3">
      <c r="A566" s="1">
        <v>76.983000000000004</v>
      </c>
      <c r="B566" s="1">
        <v>6.4074999999999998</v>
      </c>
      <c r="C566" s="1">
        <f>Tabela110[[#This Row],[Alongamento (mm/mm)]]/$I$2</f>
        <v>0.12814999999999999</v>
      </c>
      <c r="D566" s="1">
        <v>1902.9</v>
      </c>
      <c r="E566" s="1">
        <f>Tabela110[[#This Row],[Força (N)]]/$I$5</f>
        <v>39550065.781679645</v>
      </c>
      <c r="F566" s="1">
        <f>Tabela110[[#This Row],[Tensão (Pa)]]/1000000</f>
        <v>39.550065781679642</v>
      </c>
    </row>
    <row r="567" spans="1:6" x14ac:dyDescent="0.3">
      <c r="A567" s="1">
        <v>77.316999999999993</v>
      </c>
      <c r="B567" s="1">
        <v>6.4353999999999996</v>
      </c>
      <c r="C567" s="1">
        <f>Tabela110[[#This Row],[Alongamento (mm/mm)]]/$I$2</f>
        <v>0.12870799999999999</v>
      </c>
      <c r="D567" s="1">
        <v>1917.7</v>
      </c>
      <c r="E567" s="1">
        <f>Tabela110[[#This Row],[Força (N)]]/$I$5</f>
        <v>39857670.476392381</v>
      </c>
      <c r="F567" s="1">
        <f>Tabela110[[#This Row],[Tensão (Pa)]]/1000000</f>
        <v>39.857670476392379</v>
      </c>
    </row>
    <row r="568" spans="1:6" x14ac:dyDescent="0.3">
      <c r="A568" s="1">
        <v>77.650000000000006</v>
      </c>
      <c r="B568" s="1">
        <v>6.4630999999999998</v>
      </c>
      <c r="C568" s="1">
        <f>Tabela110[[#This Row],[Alongamento (mm/mm)]]/$I$2</f>
        <v>0.12926199999999999</v>
      </c>
      <c r="D568" s="1">
        <v>1932.7</v>
      </c>
      <c r="E568" s="1">
        <f>Tabela110[[#This Row],[Força (N)]]/$I$5</f>
        <v>40169431.991303936</v>
      </c>
      <c r="F568" s="1">
        <f>Tabela110[[#This Row],[Tensão (Pa)]]/1000000</f>
        <v>40.169431991303938</v>
      </c>
    </row>
    <row r="569" spans="1:6" x14ac:dyDescent="0.3">
      <c r="A569" s="1">
        <v>78</v>
      </c>
      <c r="B569" s="1">
        <v>6.4923000000000002</v>
      </c>
      <c r="C569" s="1">
        <f>Tabela110[[#This Row],[Alongamento (mm/mm)]]/$I$2</f>
        <v>0.12984600000000002</v>
      </c>
      <c r="D569" s="1">
        <v>1947.6</v>
      </c>
      <c r="E569" s="1">
        <f>Tabela110[[#This Row],[Força (N)]]/$I$5</f>
        <v>40479115.096116073</v>
      </c>
      <c r="F569" s="1">
        <f>Tabela110[[#This Row],[Tensão (Pa)]]/1000000</f>
        <v>40.479115096116075</v>
      </c>
    </row>
    <row r="570" spans="1:6" x14ac:dyDescent="0.3">
      <c r="A570" s="1">
        <v>78.367000000000004</v>
      </c>
      <c r="B570" s="1">
        <v>6.5228000000000002</v>
      </c>
      <c r="C570" s="1">
        <f>Tabela110[[#This Row],[Alongamento (mm/mm)]]/$I$2</f>
        <v>0.13045600000000002</v>
      </c>
      <c r="D570" s="1">
        <v>1962.8</v>
      </c>
      <c r="E570" s="1">
        <f>Tabela110[[#This Row],[Força (N)]]/$I$5</f>
        <v>40795033.431226447</v>
      </c>
      <c r="F570" s="1">
        <f>Tabela110[[#This Row],[Tensão (Pa)]]/1000000</f>
        <v>40.79503343122645</v>
      </c>
    </row>
    <row r="571" spans="1:6" x14ac:dyDescent="0.3">
      <c r="A571" s="1">
        <v>78.867000000000004</v>
      </c>
      <c r="B571" s="1">
        <v>6.5644999999999998</v>
      </c>
      <c r="C571" s="1">
        <f>Tabela110[[#This Row],[Alongamento (mm/mm)]]/$I$2</f>
        <v>0.13128999999999999</v>
      </c>
      <c r="D571" s="1">
        <v>1976.2</v>
      </c>
      <c r="E571" s="1">
        <f>Tabela110[[#This Row],[Força (N)]]/$I$5</f>
        <v>41073540.384547435</v>
      </c>
      <c r="F571" s="1">
        <f>Tabela110[[#This Row],[Tensão (Pa)]]/1000000</f>
        <v>41.073540384547435</v>
      </c>
    </row>
    <row r="572" spans="1:6" x14ac:dyDescent="0.3">
      <c r="A572" s="1">
        <v>78.882999999999996</v>
      </c>
      <c r="B572" s="1">
        <v>6.5659000000000001</v>
      </c>
      <c r="C572" s="1">
        <f>Tabela110[[#This Row],[Alongamento (mm/mm)]]/$I$2</f>
        <v>0.13131799999999999</v>
      </c>
      <c r="D572" s="1">
        <v>1949</v>
      </c>
      <c r="E572" s="1">
        <f>Tabela110[[#This Row],[Força (N)]]/$I$5</f>
        <v>40508212.837507822</v>
      </c>
      <c r="F572" s="1">
        <f>Tabela110[[#This Row],[Tensão (Pa)]]/1000000</f>
        <v>40.50821283750782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C5FF-FC4D-46D9-801E-0A6D50280406}">
  <dimension ref="F24:H25"/>
  <sheetViews>
    <sheetView tabSelected="1" workbookViewId="0">
      <selection activeCell="R19" sqref="R19"/>
    </sheetView>
  </sheetViews>
  <sheetFormatPr defaultRowHeight="14.4" x14ac:dyDescent="0.3"/>
  <cols>
    <col min="6" max="6" width="16.33203125" bestFit="1" customWidth="1"/>
  </cols>
  <sheetData>
    <row r="24" spans="6:8" x14ac:dyDescent="0.3">
      <c r="F24" t="s">
        <v>15</v>
      </c>
      <c r="G24" t="s">
        <v>16</v>
      </c>
      <c r="H24" t="s">
        <v>17</v>
      </c>
    </row>
    <row r="25" spans="6:8" x14ac:dyDescent="0.3">
      <c r="F25">
        <f>STDEV('A10-1'!F593,'A10-2'!F625,'A10-3'!F513,'A10-4'!F648,'A10-5'!F572)</f>
        <v>18.175458276699047</v>
      </c>
      <c r="G25" s="13">
        <f>AVERAGE('A10-1'!F593,'A10-2'!F625,'A10-3'!F513,'A10-4'!F648,'A10-5'!F572)</f>
        <v>35.134597619557084</v>
      </c>
      <c r="H25" s="13">
        <f>AVERAGE('A10-1'!D593,'A10-2'!D625,'A10-3'!D513,'A10-4'!D648,'A10-5'!D572)</f>
        <v>1693.0300000000002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A10-1</vt:lpstr>
      <vt:lpstr>A10-2</vt:lpstr>
      <vt:lpstr>A10-3</vt:lpstr>
      <vt:lpstr>A10-4</vt:lpstr>
      <vt:lpstr>A10-5</vt:lpstr>
      <vt:lpstr>grafico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Kayky Ogaya</dc:creator>
  <cp:keywords/>
  <dc:description/>
  <cp:lastModifiedBy>Davi Silva</cp:lastModifiedBy>
  <cp:revision/>
  <dcterms:created xsi:type="dcterms:W3CDTF">2024-07-01T21:06:11Z</dcterms:created>
  <dcterms:modified xsi:type="dcterms:W3CDTF">2024-10-23T21:51:54Z</dcterms:modified>
  <cp:category/>
  <cp:contentStatus/>
</cp:coreProperties>
</file>