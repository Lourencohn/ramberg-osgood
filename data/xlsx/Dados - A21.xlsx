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ifspedubr-my.sharepoint.com/personal/felipe_davi_aluno_ifsp_edu_br/Documents/ic - resistecia dos materiais/DAVI FELIPE/Planilhas - IC (Davi)/"/>
    </mc:Choice>
  </mc:AlternateContent>
  <xr:revisionPtr revIDLastSave="228" documentId="11_AD4D361C20488DEA4E38A0D6F4DB6FB25ADEDD82" xr6:coauthVersionLast="47" xr6:coauthVersionMax="47" xr10:uidLastSave="{71D48CF2-A25E-4C7C-ACF7-03722C65D0A1}"/>
  <bookViews>
    <workbookView xWindow="-108" yWindow="-108" windowWidth="23256" windowHeight="12456" activeTab="4" xr2:uid="{00000000-000D-0000-FFFF-FFFF00000000}"/>
  </bookViews>
  <sheets>
    <sheet name="A21-1" sheetId="1" r:id="rId1"/>
    <sheet name="A21-2" sheetId="2" r:id="rId2"/>
    <sheet name="A21-3" sheetId="3" r:id="rId3"/>
    <sheet name="A21-4" sheetId="4" r:id="rId4"/>
    <sheet name="A21-5" sheetId="5" r:id="rId5"/>
    <sheet name="graf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6" l="1"/>
  <c r="G26" i="6" l="1"/>
  <c r="F26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J3" i="5"/>
  <c r="K3" i="5"/>
  <c r="I3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J3" i="4"/>
  <c r="K3" i="4"/>
  <c r="I3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J3" i="3"/>
  <c r="I5" i="3" s="1"/>
  <c r="K3" i="3"/>
  <c r="I3" i="3"/>
  <c r="E2" i="2"/>
  <c r="F2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1" i="2"/>
  <c r="F71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90" i="2"/>
  <c r="F90" i="2" s="1"/>
  <c r="E91" i="2"/>
  <c r="F91" i="2" s="1"/>
  <c r="E92" i="2"/>
  <c r="F92" i="2" s="1"/>
  <c r="E93" i="2"/>
  <c r="F93" i="2" s="1"/>
  <c r="E94" i="2"/>
  <c r="F94" i="2" s="1"/>
  <c r="E95" i="2"/>
  <c r="F95" i="2" s="1"/>
  <c r="E96" i="2"/>
  <c r="F96" i="2" s="1"/>
  <c r="E97" i="2"/>
  <c r="F97" i="2" s="1"/>
  <c r="E98" i="2"/>
  <c r="F98" i="2" s="1"/>
  <c r="E99" i="2"/>
  <c r="F99" i="2" s="1"/>
  <c r="E100" i="2"/>
  <c r="F100" i="2" s="1"/>
  <c r="E101" i="2"/>
  <c r="F101" i="2" s="1"/>
  <c r="E102" i="2"/>
  <c r="F102" i="2" s="1"/>
  <c r="E103" i="2"/>
  <c r="F103" i="2" s="1"/>
  <c r="E104" i="2"/>
  <c r="F104" i="2" s="1"/>
  <c r="E105" i="2"/>
  <c r="F105" i="2" s="1"/>
  <c r="E106" i="2"/>
  <c r="F106" i="2" s="1"/>
  <c r="E107" i="2"/>
  <c r="F107" i="2" s="1"/>
  <c r="E108" i="2"/>
  <c r="F108" i="2" s="1"/>
  <c r="E109" i="2"/>
  <c r="F109" i="2" s="1"/>
  <c r="E110" i="2"/>
  <c r="F110" i="2" s="1"/>
  <c r="E111" i="2"/>
  <c r="F111" i="2" s="1"/>
  <c r="E112" i="2"/>
  <c r="F112" i="2" s="1"/>
  <c r="E113" i="2"/>
  <c r="F113" i="2" s="1"/>
  <c r="E114" i="2"/>
  <c r="F114" i="2" s="1"/>
  <c r="E115" i="2"/>
  <c r="F115" i="2" s="1"/>
  <c r="E116" i="2"/>
  <c r="F116" i="2" s="1"/>
  <c r="E117" i="2"/>
  <c r="F117" i="2" s="1"/>
  <c r="E118" i="2"/>
  <c r="F118" i="2" s="1"/>
  <c r="E119" i="2"/>
  <c r="F119" i="2" s="1"/>
  <c r="E120" i="2"/>
  <c r="F120" i="2" s="1"/>
  <c r="E121" i="2"/>
  <c r="F121" i="2" s="1"/>
  <c r="E122" i="2"/>
  <c r="F122" i="2" s="1"/>
  <c r="E123" i="2"/>
  <c r="F123" i="2" s="1"/>
  <c r="E124" i="2"/>
  <c r="F124" i="2" s="1"/>
  <c r="E125" i="2"/>
  <c r="F125" i="2" s="1"/>
  <c r="E126" i="2"/>
  <c r="F126" i="2" s="1"/>
  <c r="E127" i="2"/>
  <c r="F127" i="2" s="1"/>
  <c r="E128" i="2"/>
  <c r="F128" i="2" s="1"/>
  <c r="E129" i="2"/>
  <c r="F129" i="2" s="1"/>
  <c r="E130" i="2"/>
  <c r="F130" i="2" s="1"/>
  <c r="E131" i="2"/>
  <c r="F131" i="2" s="1"/>
  <c r="E132" i="2"/>
  <c r="F132" i="2" s="1"/>
  <c r="E133" i="2"/>
  <c r="F133" i="2" s="1"/>
  <c r="E134" i="2"/>
  <c r="F134" i="2" s="1"/>
  <c r="E135" i="2"/>
  <c r="F135" i="2" s="1"/>
  <c r="E136" i="2"/>
  <c r="F136" i="2" s="1"/>
  <c r="E137" i="2"/>
  <c r="F137" i="2" s="1"/>
  <c r="E138" i="2"/>
  <c r="F138" i="2" s="1"/>
  <c r="E139" i="2"/>
  <c r="F139" i="2" s="1"/>
  <c r="E140" i="2"/>
  <c r="F140" i="2" s="1"/>
  <c r="E141" i="2"/>
  <c r="F141" i="2" s="1"/>
  <c r="E142" i="2"/>
  <c r="F142" i="2" s="1"/>
  <c r="E143" i="2"/>
  <c r="F143" i="2" s="1"/>
  <c r="E144" i="2"/>
  <c r="F144" i="2" s="1"/>
  <c r="E145" i="2"/>
  <c r="F145" i="2" s="1"/>
  <c r="E146" i="2"/>
  <c r="F146" i="2" s="1"/>
  <c r="E147" i="2"/>
  <c r="F147" i="2" s="1"/>
  <c r="E148" i="2"/>
  <c r="F148" i="2" s="1"/>
  <c r="E149" i="2"/>
  <c r="F149" i="2" s="1"/>
  <c r="E150" i="2"/>
  <c r="F150" i="2" s="1"/>
  <c r="E151" i="2"/>
  <c r="F151" i="2" s="1"/>
  <c r="E152" i="2"/>
  <c r="F152" i="2" s="1"/>
  <c r="E153" i="2"/>
  <c r="F153" i="2" s="1"/>
  <c r="E154" i="2"/>
  <c r="F154" i="2" s="1"/>
  <c r="E155" i="2"/>
  <c r="F155" i="2" s="1"/>
  <c r="E156" i="2"/>
  <c r="F156" i="2" s="1"/>
  <c r="E157" i="2"/>
  <c r="F157" i="2" s="1"/>
  <c r="E158" i="2"/>
  <c r="F158" i="2" s="1"/>
  <c r="E159" i="2"/>
  <c r="F159" i="2" s="1"/>
  <c r="E160" i="2"/>
  <c r="F160" i="2" s="1"/>
  <c r="E161" i="2"/>
  <c r="F161" i="2" s="1"/>
  <c r="E162" i="2"/>
  <c r="F162" i="2" s="1"/>
  <c r="E163" i="2"/>
  <c r="F163" i="2" s="1"/>
  <c r="E164" i="2"/>
  <c r="F164" i="2" s="1"/>
  <c r="E165" i="2"/>
  <c r="F165" i="2" s="1"/>
  <c r="E166" i="2"/>
  <c r="F166" i="2" s="1"/>
  <c r="E167" i="2"/>
  <c r="F167" i="2" s="1"/>
  <c r="E168" i="2"/>
  <c r="F168" i="2" s="1"/>
  <c r="E169" i="2"/>
  <c r="F169" i="2" s="1"/>
  <c r="E170" i="2"/>
  <c r="F170" i="2" s="1"/>
  <c r="E171" i="2"/>
  <c r="F171" i="2" s="1"/>
  <c r="E172" i="2"/>
  <c r="F172" i="2" s="1"/>
  <c r="E173" i="2"/>
  <c r="F173" i="2" s="1"/>
  <c r="E174" i="2"/>
  <c r="F174" i="2" s="1"/>
  <c r="E175" i="2"/>
  <c r="F175" i="2" s="1"/>
  <c r="E176" i="2"/>
  <c r="F176" i="2" s="1"/>
  <c r="E177" i="2"/>
  <c r="F177" i="2" s="1"/>
  <c r="E178" i="2"/>
  <c r="F178" i="2" s="1"/>
  <c r="E179" i="2"/>
  <c r="F179" i="2" s="1"/>
  <c r="E180" i="2"/>
  <c r="F180" i="2" s="1"/>
  <c r="E181" i="2"/>
  <c r="F181" i="2" s="1"/>
  <c r="E182" i="2"/>
  <c r="F182" i="2" s="1"/>
  <c r="E183" i="2"/>
  <c r="F183" i="2" s="1"/>
  <c r="E184" i="2"/>
  <c r="F184" i="2" s="1"/>
  <c r="E185" i="2"/>
  <c r="F185" i="2" s="1"/>
  <c r="E186" i="2"/>
  <c r="F186" i="2" s="1"/>
  <c r="E187" i="2"/>
  <c r="F187" i="2" s="1"/>
  <c r="E188" i="2"/>
  <c r="F188" i="2" s="1"/>
  <c r="E189" i="2"/>
  <c r="F189" i="2" s="1"/>
  <c r="E190" i="2"/>
  <c r="F190" i="2" s="1"/>
  <c r="E191" i="2"/>
  <c r="F191" i="2" s="1"/>
  <c r="E192" i="2"/>
  <c r="F192" i="2" s="1"/>
  <c r="E193" i="2"/>
  <c r="F193" i="2" s="1"/>
  <c r="E194" i="2"/>
  <c r="F194" i="2" s="1"/>
  <c r="E195" i="2"/>
  <c r="F195" i="2" s="1"/>
  <c r="E196" i="2"/>
  <c r="F196" i="2" s="1"/>
  <c r="E197" i="2"/>
  <c r="F197" i="2" s="1"/>
  <c r="E198" i="2"/>
  <c r="F198" i="2" s="1"/>
  <c r="E199" i="2"/>
  <c r="F199" i="2" s="1"/>
  <c r="E200" i="2"/>
  <c r="F200" i="2" s="1"/>
  <c r="E201" i="2"/>
  <c r="F201" i="2" s="1"/>
  <c r="E202" i="2"/>
  <c r="F202" i="2" s="1"/>
  <c r="E203" i="2"/>
  <c r="F203" i="2" s="1"/>
  <c r="E204" i="2"/>
  <c r="F204" i="2" s="1"/>
  <c r="E205" i="2"/>
  <c r="F205" i="2" s="1"/>
  <c r="E206" i="2"/>
  <c r="F206" i="2" s="1"/>
  <c r="E207" i="2"/>
  <c r="F207" i="2" s="1"/>
  <c r="E208" i="2"/>
  <c r="F208" i="2" s="1"/>
  <c r="E209" i="2"/>
  <c r="F209" i="2" s="1"/>
  <c r="E210" i="2"/>
  <c r="F210" i="2" s="1"/>
  <c r="E211" i="2"/>
  <c r="F211" i="2" s="1"/>
  <c r="E212" i="2"/>
  <c r="F212" i="2" s="1"/>
  <c r="E213" i="2"/>
  <c r="F213" i="2" s="1"/>
  <c r="E214" i="2"/>
  <c r="F214" i="2" s="1"/>
  <c r="E215" i="2"/>
  <c r="F215" i="2" s="1"/>
  <c r="E216" i="2"/>
  <c r="F216" i="2" s="1"/>
  <c r="E217" i="2"/>
  <c r="F217" i="2" s="1"/>
  <c r="E218" i="2"/>
  <c r="F218" i="2" s="1"/>
  <c r="E219" i="2"/>
  <c r="F219" i="2" s="1"/>
  <c r="E220" i="2"/>
  <c r="F220" i="2" s="1"/>
  <c r="E221" i="2"/>
  <c r="F221" i="2" s="1"/>
  <c r="E222" i="2"/>
  <c r="F222" i="2" s="1"/>
  <c r="E223" i="2"/>
  <c r="F223" i="2" s="1"/>
  <c r="E224" i="2"/>
  <c r="F224" i="2" s="1"/>
  <c r="E225" i="2"/>
  <c r="F225" i="2" s="1"/>
  <c r="E226" i="2"/>
  <c r="F226" i="2" s="1"/>
  <c r="E227" i="2"/>
  <c r="F227" i="2" s="1"/>
  <c r="E228" i="2"/>
  <c r="F228" i="2" s="1"/>
  <c r="E229" i="2"/>
  <c r="F229" i="2" s="1"/>
  <c r="E230" i="2"/>
  <c r="F230" i="2" s="1"/>
  <c r="E231" i="2"/>
  <c r="F231" i="2" s="1"/>
  <c r="E232" i="2"/>
  <c r="F232" i="2" s="1"/>
  <c r="E233" i="2"/>
  <c r="F233" i="2" s="1"/>
  <c r="E234" i="2"/>
  <c r="F234" i="2" s="1"/>
  <c r="E235" i="2"/>
  <c r="F235" i="2" s="1"/>
  <c r="E236" i="2"/>
  <c r="F236" i="2" s="1"/>
  <c r="E237" i="2"/>
  <c r="F237" i="2" s="1"/>
  <c r="E238" i="2"/>
  <c r="F238" i="2" s="1"/>
  <c r="E239" i="2"/>
  <c r="F239" i="2" s="1"/>
  <c r="E240" i="2"/>
  <c r="F240" i="2" s="1"/>
  <c r="E241" i="2"/>
  <c r="F241" i="2" s="1"/>
  <c r="E242" i="2"/>
  <c r="F242" i="2" s="1"/>
  <c r="E243" i="2"/>
  <c r="F243" i="2" s="1"/>
  <c r="E244" i="2"/>
  <c r="F244" i="2" s="1"/>
  <c r="E245" i="2"/>
  <c r="F245" i="2" s="1"/>
  <c r="E246" i="2"/>
  <c r="F246" i="2" s="1"/>
  <c r="E247" i="2"/>
  <c r="F247" i="2" s="1"/>
  <c r="E248" i="2"/>
  <c r="F248" i="2" s="1"/>
  <c r="E249" i="2"/>
  <c r="F249" i="2" s="1"/>
  <c r="E250" i="2"/>
  <c r="F250" i="2" s="1"/>
  <c r="E251" i="2"/>
  <c r="F251" i="2" s="1"/>
  <c r="E252" i="2"/>
  <c r="F252" i="2" s="1"/>
  <c r="E253" i="2"/>
  <c r="F253" i="2" s="1"/>
  <c r="E254" i="2"/>
  <c r="F254" i="2" s="1"/>
  <c r="E255" i="2"/>
  <c r="F255" i="2" s="1"/>
  <c r="E256" i="2"/>
  <c r="F256" i="2" s="1"/>
  <c r="E257" i="2"/>
  <c r="F257" i="2" s="1"/>
  <c r="E258" i="2"/>
  <c r="F258" i="2" s="1"/>
  <c r="E259" i="2"/>
  <c r="F259" i="2" s="1"/>
  <c r="E260" i="2"/>
  <c r="F260" i="2" s="1"/>
  <c r="E261" i="2"/>
  <c r="F261" i="2" s="1"/>
  <c r="E262" i="2"/>
  <c r="F262" i="2" s="1"/>
  <c r="E263" i="2"/>
  <c r="F263" i="2" s="1"/>
  <c r="E264" i="2"/>
  <c r="F264" i="2" s="1"/>
  <c r="E265" i="2"/>
  <c r="F265" i="2" s="1"/>
  <c r="E266" i="2"/>
  <c r="F266" i="2" s="1"/>
  <c r="E267" i="2"/>
  <c r="F267" i="2" s="1"/>
  <c r="E268" i="2"/>
  <c r="F268" i="2" s="1"/>
  <c r="E269" i="2"/>
  <c r="F269" i="2" s="1"/>
  <c r="E270" i="2"/>
  <c r="F270" i="2" s="1"/>
  <c r="E271" i="2"/>
  <c r="F271" i="2" s="1"/>
  <c r="E272" i="2"/>
  <c r="F272" i="2" s="1"/>
  <c r="E273" i="2"/>
  <c r="F273" i="2" s="1"/>
  <c r="E274" i="2"/>
  <c r="F274" i="2" s="1"/>
  <c r="E275" i="2"/>
  <c r="F275" i="2" s="1"/>
  <c r="E276" i="2"/>
  <c r="F276" i="2" s="1"/>
  <c r="E277" i="2"/>
  <c r="F277" i="2" s="1"/>
  <c r="E278" i="2"/>
  <c r="F278" i="2" s="1"/>
  <c r="E279" i="2"/>
  <c r="F279" i="2" s="1"/>
  <c r="E280" i="2"/>
  <c r="F280" i="2" s="1"/>
  <c r="E281" i="2"/>
  <c r="F281" i="2" s="1"/>
  <c r="E282" i="2"/>
  <c r="F282" i="2" s="1"/>
  <c r="E283" i="2"/>
  <c r="F283" i="2" s="1"/>
  <c r="E284" i="2"/>
  <c r="F284" i="2" s="1"/>
  <c r="E285" i="2"/>
  <c r="F285" i="2" s="1"/>
  <c r="E286" i="2"/>
  <c r="F286" i="2" s="1"/>
  <c r="E287" i="2"/>
  <c r="F287" i="2" s="1"/>
  <c r="E288" i="2"/>
  <c r="F288" i="2" s="1"/>
  <c r="E289" i="2"/>
  <c r="F289" i="2" s="1"/>
  <c r="E290" i="2"/>
  <c r="F290" i="2" s="1"/>
  <c r="E291" i="2"/>
  <c r="F291" i="2" s="1"/>
  <c r="E292" i="2"/>
  <c r="F292" i="2" s="1"/>
  <c r="E293" i="2"/>
  <c r="F293" i="2" s="1"/>
  <c r="E294" i="2"/>
  <c r="F294" i="2" s="1"/>
  <c r="E295" i="2"/>
  <c r="F295" i="2" s="1"/>
  <c r="E296" i="2"/>
  <c r="F296" i="2" s="1"/>
  <c r="E297" i="2"/>
  <c r="F297" i="2" s="1"/>
  <c r="E298" i="2"/>
  <c r="F298" i="2" s="1"/>
  <c r="E299" i="2"/>
  <c r="F299" i="2" s="1"/>
  <c r="E300" i="2"/>
  <c r="F300" i="2" s="1"/>
  <c r="E301" i="2"/>
  <c r="F301" i="2" s="1"/>
  <c r="E302" i="2"/>
  <c r="F302" i="2" s="1"/>
  <c r="E303" i="2"/>
  <c r="F303" i="2" s="1"/>
  <c r="E304" i="2"/>
  <c r="F304" i="2" s="1"/>
  <c r="E305" i="2"/>
  <c r="F305" i="2" s="1"/>
  <c r="E306" i="2"/>
  <c r="F306" i="2" s="1"/>
  <c r="E307" i="2"/>
  <c r="F307" i="2" s="1"/>
  <c r="E308" i="2"/>
  <c r="F308" i="2" s="1"/>
  <c r="E309" i="2"/>
  <c r="F309" i="2" s="1"/>
  <c r="E310" i="2"/>
  <c r="F310" i="2" s="1"/>
  <c r="E311" i="2"/>
  <c r="F311" i="2" s="1"/>
  <c r="E312" i="2"/>
  <c r="F312" i="2" s="1"/>
  <c r="E313" i="2"/>
  <c r="F313" i="2" s="1"/>
  <c r="E314" i="2"/>
  <c r="F314" i="2" s="1"/>
  <c r="E315" i="2"/>
  <c r="F315" i="2" s="1"/>
  <c r="E316" i="2"/>
  <c r="F316" i="2" s="1"/>
  <c r="E317" i="2"/>
  <c r="F317" i="2" s="1"/>
  <c r="E318" i="2"/>
  <c r="F318" i="2" s="1"/>
  <c r="E319" i="2"/>
  <c r="F319" i="2" s="1"/>
  <c r="E320" i="2"/>
  <c r="F320" i="2" s="1"/>
  <c r="E321" i="2"/>
  <c r="F321" i="2" s="1"/>
  <c r="E322" i="2"/>
  <c r="F322" i="2" s="1"/>
  <c r="E323" i="2"/>
  <c r="F323" i="2" s="1"/>
  <c r="E324" i="2"/>
  <c r="F324" i="2" s="1"/>
  <c r="E325" i="2"/>
  <c r="F325" i="2" s="1"/>
  <c r="E326" i="2"/>
  <c r="F326" i="2" s="1"/>
  <c r="E327" i="2"/>
  <c r="F327" i="2" s="1"/>
  <c r="E328" i="2"/>
  <c r="F328" i="2" s="1"/>
  <c r="E329" i="2"/>
  <c r="F329" i="2" s="1"/>
  <c r="E330" i="2"/>
  <c r="F330" i="2" s="1"/>
  <c r="E331" i="2"/>
  <c r="F331" i="2" s="1"/>
  <c r="E332" i="2"/>
  <c r="F332" i="2" s="1"/>
  <c r="E333" i="2"/>
  <c r="F333" i="2" s="1"/>
  <c r="E334" i="2"/>
  <c r="F334" i="2" s="1"/>
  <c r="E335" i="2"/>
  <c r="F335" i="2" s="1"/>
  <c r="E336" i="2"/>
  <c r="F336" i="2" s="1"/>
  <c r="E337" i="2"/>
  <c r="F337" i="2" s="1"/>
  <c r="E338" i="2"/>
  <c r="F338" i="2" s="1"/>
  <c r="E339" i="2"/>
  <c r="F339" i="2" s="1"/>
  <c r="E340" i="2"/>
  <c r="F340" i="2" s="1"/>
  <c r="E341" i="2"/>
  <c r="F341" i="2" s="1"/>
  <c r="E342" i="2"/>
  <c r="F342" i="2" s="1"/>
  <c r="E343" i="2"/>
  <c r="F343" i="2" s="1"/>
  <c r="E344" i="2"/>
  <c r="F344" i="2" s="1"/>
  <c r="E345" i="2"/>
  <c r="F345" i="2" s="1"/>
  <c r="E346" i="2"/>
  <c r="F346" i="2" s="1"/>
  <c r="E347" i="2"/>
  <c r="F347" i="2" s="1"/>
  <c r="E348" i="2"/>
  <c r="F348" i="2" s="1"/>
  <c r="E349" i="2"/>
  <c r="F349" i="2" s="1"/>
  <c r="E350" i="2"/>
  <c r="F350" i="2" s="1"/>
  <c r="E351" i="2"/>
  <c r="F351" i="2" s="1"/>
  <c r="E352" i="2"/>
  <c r="F352" i="2" s="1"/>
  <c r="E353" i="2"/>
  <c r="F353" i="2" s="1"/>
  <c r="E354" i="2"/>
  <c r="F354" i="2" s="1"/>
  <c r="E355" i="2"/>
  <c r="F355" i="2" s="1"/>
  <c r="E356" i="2"/>
  <c r="F356" i="2" s="1"/>
  <c r="E357" i="2"/>
  <c r="F357" i="2" s="1"/>
  <c r="E358" i="2"/>
  <c r="F358" i="2" s="1"/>
  <c r="E359" i="2"/>
  <c r="F359" i="2" s="1"/>
  <c r="E360" i="2"/>
  <c r="F360" i="2" s="1"/>
  <c r="E361" i="2"/>
  <c r="F361" i="2" s="1"/>
  <c r="E362" i="2"/>
  <c r="F362" i="2" s="1"/>
  <c r="E363" i="2"/>
  <c r="F363" i="2" s="1"/>
  <c r="E364" i="2"/>
  <c r="F364" i="2" s="1"/>
  <c r="E365" i="2"/>
  <c r="F365" i="2" s="1"/>
  <c r="E366" i="2"/>
  <c r="F366" i="2" s="1"/>
  <c r="E367" i="2"/>
  <c r="F367" i="2" s="1"/>
  <c r="E368" i="2"/>
  <c r="F368" i="2" s="1"/>
  <c r="E369" i="2"/>
  <c r="F369" i="2" s="1"/>
  <c r="E370" i="2"/>
  <c r="F370" i="2" s="1"/>
  <c r="E371" i="2"/>
  <c r="F371" i="2" s="1"/>
  <c r="E372" i="2"/>
  <c r="F372" i="2" s="1"/>
  <c r="E373" i="2"/>
  <c r="F373" i="2" s="1"/>
  <c r="E374" i="2"/>
  <c r="F374" i="2" s="1"/>
  <c r="E375" i="2"/>
  <c r="F375" i="2" s="1"/>
  <c r="E376" i="2"/>
  <c r="F376" i="2" s="1"/>
  <c r="E377" i="2"/>
  <c r="F377" i="2" s="1"/>
  <c r="E378" i="2"/>
  <c r="F378" i="2" s="1"/>
  <c r="E379" i="2"/>
  <c r="F379" i="2" s="1"/>
  <c r="E380" i="2"/>
  <c r="F380" i="2" s="1"/>
  <c r="E381" i="2"/>
  <c r="F381" i="2" s="1"/>
  <c r="E382" i="2"/>
  <c r="F382" i="2" s="1"/>
  <c r="E383" i="2"/>
  <c r="F383" i="2" s="1"/>
  <c r="E384" i="2"/>
  <c r="F384" i="2" s="1"/>
  <c r="E385" i="2"/>
  <c r="F385" i="2" s="1"/>
  <c r="E386" i="2"/>
  <c r="F386" i="2" s="1"/>
  <c r="E387" i="2"/>
  <c r="F387" i="2" s="1"/>
  <c r="E388" i="2"/>
  <c r="F388" i="2" s="1"/>
  <c r="E389" i="2"/>
  <c r="F389" i="2" s="1"/>
  <c r="E390" i="2"/>
  <c r="F390" i="2" s="1"/>
  <c r="E391" i="2"/>
  <c r="F391" i="2" s="1"/>
  <c r="E392" i="2"/>
  <c r="F392" i="2" s="1"/>
  <c r="E393" i="2"/>
  <c r="F393" i="2" s="1"/>
  <c r="E394" i="2"/>
  <c r="F394" i="2" s="1"/>
  <c r="E395" i="2"/>
  <c r="F395" i="2" s="1"/>
  <c r="E396" i="2"/>
  <c r="F396" i="2" s="1"/>
  <c r="E397" i="2"/>
  <c r="F397" i="2" s="1"/>
  <c r="E398" i="2"/>
  <c r="F398" i="2" s="1"/>
  <c r="E399" i="2"/>
  <c r="F399" i="2" s="1"/>
  <c r="E400" i="2"/>
  <c r="F400" i="2" s="1"/>
  <c r="E401" i="2"/>
  <c r="F401" i="2" s="1"/>
  <c r="E402" i="2"/>
  <c r="F402" i="2" s="1"/>
  <c r="E403" i="2"/>
  <c r="F403" i="2" s="1"/>
  <c r="E404" i="2"/>
  <c r="F404" i="2" s="1"/>
  <c r="E405" i="2"/>
  <c r="F405" i="2" s="1"/>
  <c r="E406" i="2"/>
  <c r="F406" i="2" s="1"/>
  <c r="E407" i="2"/>
  <c r="F407" i="2" s="1"/>
  <c r="E408" i="2"/>
  <c r="F408" i="2" s="1"/>
  <c r="E409" i="2"/>
  <c r="F409" i="2" s="1"/>
  <c r="E410" i="2"/>
  <c r="F410" i="2" s="1"/>
  <c r="E411" i="2"/>
  <c r="F411" i="2" s="1"/>
  <c r="E412" i="2"/>
  <c r="F412" i="2" s="1"/>
  <c r="E413" i="2"/>
  <c r="F413" i="2" s="1"/>
  <c r="E414" i="2"/>
  <c r="F414" i="2" s="1"/>
  <c r="E415" i="2"/>
  <c r="F415" i="2" s="1"/>
  <c r="E416" i="2"/>
  <c r="F416" i="2" s="1"/>
  <c r="E417" i="2"/>
  <c r="F417" i="2" s="1"/>
  <c r="E418" i="2"/>
  <c r="F418" i="2" s="1"/>
  <c r="E419" i="2"/>
  <c r="F419" i="2" s="1"/>
  <c r="E420" i="2"/>
  <c r="F420" i="2" s="1"/>
  <c r="E421" i="2"/>
  <c r="F421" i="2" s="1"/>
  <c r="E422" i="2"/>
  <c r="F422" i="2" s="1"/>
  <c r="E423" i="2"/>
  <c r="F423" i="2" s="1"/>
  <c r="E424" i="2"/>
  <c r="F424" i="2" s="1"/>
  <c r="E425" i="2"/>
  <c r="F425" i="2" s="1"/>
  <c r="E426" i="2"/>
  <c r="F426" i="2" s="1"/>
  <c r="E427" i="2"/>
  <c r="F427" i="2" s="1"/>
  <c r="E428" i="2"/>
  <c r="F428" i="2" s="1"/>
  <c r="E429" i="2"/>
  <c r="F429" i="2" s="1"/>
  <c r="E430" i="2"/>
  <c r="F430" i="2" s="1"/>
  <c r="E431" i="2"/>
  <c r="F431" i="2" s="1"/>
  <c r="E432" i="2"/>
  <c r="F432" i="2" s="1"/>
  <c r="E433" i="2"/>
  <c r="F433" i="2" s="1"/>
  <c r="E434" i="2"/>
  <c r="F434" i="2" s="1"/>
  <c r="E435" i="2"/>
  <c r="F435" i="2" s="1"/>
  <c r="E436" i="2"/>
  <c r="F436" i="2" s="1"/>
  <c r="E437" i="2"/>
  <c r="F437" i="2" s="1"/>
  <c r="E438" i="2"/>
  <c r="F438" i="2" s="1"/>
  <c r="E439" i="2"/>
  <c r="F439" i="2" s="1"/>
  <c r="E440" i="2"/>
  <c r="F440" i="2" s="1"/>
  <c r="E441" i="2"/>
  <c r="F441" i="2" s="1"/>
  <c r="E442" i="2"/>
  <c r="F442" i="2" s="1"/>
  <c r="E443" i="2"/>
  <c r="F443" i="2" s="1"/>
  <c r="E444" i="2"/>
  <c r="F444" i="2" s="1"/>
  <c r="E445" i="2"/>
  <c r="F445" i="2" s="1"/>
  <c r="E446" i="2"/>
  <c r="F446" i="2" s="1"/>
  <c r="E447" i="2"/>
  <c r="F447" i="2" s="1"/>
  <c r="E448" i="2"/>
  <c r="F448" i="2" s="1"/>
  <c r="E449" i="2"/>
  <c r="F449" i="2" s="1"/>
  <c r="E450" i="2"/>
  <c r="F450" i="2" s="1"/>
  <c r="E451" i="2"/>
  <c r="F451" i="2" s="1"/>
  <c r="E452" i="2"/>
  <c r="F452" i="2" s="1"/>
  <c r="E453" i="2"/>
  <c r="F453" i="2" s="1"/>
  <c r="E454" i="2"/>
  <c r="F454" i="2" s="1"/>
  <c r="E455" i="2"/>
  <c r="F455" i="2" s="1"/>
  <c r="E456" i="2"/>
  <c r="F456" i="2" s="1"/>
  <c r="E457" i="2"/>
  <c r="F457" i="2" s="1"/>
  <c r="E458" i="2"/>
  <c r="F458" i="2" s="1"/>
  <c r="E459" i="2"/>
  <c r="F459" i="2" s="1"/>
  <c r="E460" i="2"/>
  <c r="F460" i="2" s="1"/>
  <c r="E461" i="2"/>
  <c r="F461" i="2" s="1"/>
  <c r="E462" i="2"/>
  <c r="F462" i="2" s="1"/>
  <c r="E463" i="2"/>
  <c r="F463" i="2" s="1"/>
  <c r="E464" i="2"/>
  <c r="F464" i="2" s="1"/>
  <c r="E465" i="2"/>
  <c r="F465" i="2" s="1"/>
  <c r="E466" i="2"/>
  <c r="F466" i="2" s="1"/>
  <c r="E467" i="2"/>
  <c r="F467" i="2" s="1"/>
  <c r="E468" i="2"/>
  <c r="F468" i="2" s="1"/>
  <c r="E469" i="2"/>
  <c r="F469" i="2" s="1"/>
  <c r="E470" i="2"/>
  <c r="F470" i="2" s="1"/>
  <c r="E471" i="2"/>
  <c r="F471" i="2" s="1"/>
  <c r="E472" i="2"/>
  <c r="F472" i="2" s="1"/>
  <c r="E473" i="2"/>
  <c r="F473" i="2" s="1"/>
  <c r="E474" i="2"/>
  <c r="F474" i="2" s="1"/>
  <c r="E475" i="2"/>
  <c r="F475" i="2" s="1"/>
  <c r="E476" i="2"/>
  <c r="F476" i="2" s="1"/>
  <c r="E477" i="2"/>
  <c r="F477" i="2" s="1"/>
  <c r="E478" i="2"/>
  <c r="F478" i="2" s="1"/>
  <c r="E479" i="2"/>
  <c r="F479" i="2" s="1"/>
  <c r="E480" i="2"/>
  <c r="F480" i="2" s="1"/>
  <c r="E481" i="2"/>
  <c r="F481" i="2" s="1"/>
  <c r="E482" i="2"/>
  <c r="F482" i="2" s="1"/>
  <c r="E483" i="2"/>
  <c r="F483" i="2" s="1"/>
  <c r="E484" i="2"/>
  <c r="F484" i="2" s="1"/>
  <c r="E485" i="2"/>
  <c r="F485" i="2" s="1"/>
  <c r="E486" i="2"/>
  <c r="F486" i="2" s="1"/>
  <c r="E487" i="2"/>
  <c r="F487" i="2" s="1"/>
  <c r="E488" i="2"/>
  <c r="F488" i="2" s="1"/>
  <c r="E489" i="2"/>
  <c r="F489" i="2" s="1"/>
  <c r="E490" i="2"/>
  <c r="F490" i="2" s="1"/>
  <c r="E491" i="2"/>
  <c r="F491" i="2" s="1"/>
  <c r="E492" i="2"/>
  <c r="F492" i="2" s="1"/>
  <c r="E493" i="2"/>
  <c r="F493" i="2" s="1"/>
  <c r="E494" i="2"/>
  <c r="F494" i="2" s="1"/>
  <c r="E495" i="2"/>
  <c r="F495" i="2" s="1"/>
  <c r="E496" i="2"/>
  <c r="F496" i="2" s="1"/>
  <c r="E497" i="2"/>
  <c r="F497" i="2" s="1"/>
  <c r="E498" i="2"/>
  <c r="F498" i="2" s="1"/>
  <c r="E499" i="2"/>
  <c r="F499" i="2" s="1"/>
  <c r="E500" i="2"/>
  <c r="F500" i="2" s="1"/>
  <c r="E501" i="2"/>
  <c r="F501" i="2" s="1"/>
  <c r="E502" i="2"/>
  <c r="F502" i="2" s="1"/>
  <c r="E503" i="2"/>
  <c r="F503" i="2" s="1"/>
  <c r="E504" i="2"/>
  <c r="F504" i="2" s="1"/>
  <c r="E505" i="2"/>
  <c r="F505" i="2" s="1"/>
  <c r="E506" i="2"/>
  <c r="F506" i="2" s="1"/>
  <c r="E507" i="2"/>
  <c r="F507" i="2" s="1"/>
  <c r="E508" i="2"/>
  <c r="F508" i="2" s="1"/>
  <c r="E509" i="2"/>
  <c r="F509" i="2" s="1"/>
  <c r="E510" i="2"/>
  <c r="F510" i="2" s="1"/>
  <c r="E511" i="2"/>
  <c r="F511" i="2" s="1"/>
  <c r="E512" i="2"/>
  <c r="F512" i="2" s="1"/>
  <c r="E513" i="2"/>
  <c r="F513" i="2" s="1"/>
  <c r="E514" i="2"/>
  <c r="F514" i="2" s="1"/>
  <c r="E515" i="2"/>
  <c r="F515" i="2" s="1"/>
  <c r="E516" i="2"/>
  <c r="F516" i="2" s="1"/>
  <c r="E517" i="2"/>
  <c r="F517" i="2" s="1"/>
  <c r="E518" i="2"/>
  <c r="F518" i="2" s="1"/>
  <c r="E519" i="2"/>
  <c r="F519" i="2" s="1"/>
  <c r="E520" i="2"/>
  <c r="F520" i="2" s="1"/>
  <c r="E521" i="2"/>
  <c r="F521" i="2" s="1"/>
  <c r="E522" i="2"/>
  <c r="F522" i="2" s="1"/>
  <c r="E523" i="2"/>
  <c r="F523" i="2" s="1"/>
  <c r="E524" i="2"/>
  <c r="F524" i="2" s="1"/>
  <c r="E525" i="2"/>
  <c r="F525" i="2" s="1"/>
  <c r="E526" i="2"/>
  <c r="F526" i="2" s="1"/>
  <c r="E527" i="2"/>
  <c r="F527" i="2" s="1"/>
  <c r="E528" i="2"/>
  <c r="F528" i="2" s="1"/>
  <c r="E529" i="2"/>
  <c r="F529" i="2" s="1"/>
  <c r="E530" i="2"/>
  <c r="F530" i="2" s="1"/>
  <c r="E531" i="2"/>
  <c r="F531" i="2" s="1"/>
  <c r="E532" i="2"/>
  <c r="F532" i="2" s="1"/>
  <c r="E533" i="2"/>
  <c r="F533" i="2" s="1"/>
  <c r="E534" i="2"/>
  <c r="F534" i="2" s="1"/>
  <c r="E535" i="2"/>
  <c r="F535" i="2" s="1"/>
  <c r="E536" i="2"/>
  <c r="F536" i="2" s="1"/>
  <c r="E537" i="2"/>
  <c r="F537" i="2" s="1"/>
  <c r="E538" i="2"/>
  <c r="F538" i="2" s="1"/>
  <c r="E539" i="2"/>
  <c r="F539" i="2" s="1"/>
  <c r="E540" i="2"/>
  <c r="F540" i="2" s="1"/>
  <c r="E541" i="2"/>
  <c r="F541" i="2" s="1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F547" i="2" s="1"/>
  <c r="E548" i="2"/>
  <c r="F548" i="2" s="1"/>
  <c r="E549" i="2"/>
  <c r="F549" i="2" s="1"/>
  <c r="E550" i="2"/>
  <c r="F550" i="2" s="1"/>
  <c r="E551" i="2"/>
  <c r="F551" i="2" s="1"/>
  <c r="E552" i="2"/>
  <c r="F552" i="2" s="1"/>
  <c r="E553" i="2"/>
  <c r="F553" i="2" s="1"/>
  <c r="E554" i="2"/>
  <c r="F554" i="2" s="1"/>
  <c r="E555" i="2"/>
  <c r="F555" i="2" s="1"/>
  <c r="E556" i="2"/>
  <c r="F556" i="2" s="1"/>
  <c r="E557" i="2"/>
  <c r="F557" i="2" s="1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F563" i="2" s="1"/>
  <c r="E564" i="2"/>
  <c r="F564" i="2" s="1"/>
  <c r="E565" i="2"/>
  <c r="F565" i="2" s="1"/>
  <c r="E566" i="2"/>
  <c r="F566" i="2" s="1"/>
  <c r="E567" i="2"/>
  <c r="F567" i="2" s="1"/>
  <c r="E568" i="2"/>
  <c r="F568" i="2" s="1"/>
  <c r="E569" i="2"/>
  <c r="F569" i="2" s="1"/>
  <c r="E570" i="2"/>
  <c r="F570" i="2" s="1"/>
  <c r="E571" i="2"/>
  <c r="F571" i="2" s="1"/>
  <c r="E572" i="2"/>
  <c r="F572" i="2" s="1"/>
  <c r="E573" i="2"/>
  <c r="F573" i="2" s="1"/>
  <c r="E574" i="2"/>
  <c r="F574" i="2" s="1"/>
  <c r="E575" i="2"/>
  <c r="F575" i="2" s="1"/>
  <c r="E576" i="2"/>
  <c r="F576" i="2" s="1"/>
  <c r="E577" i="2"/>
  <c r="F577" i="2" s="1"/>
  <c r="E578" i="2"/>
  <c r="F578" i="2" s="1"/>
  <c r="E579" i="2"/>
  <c r="F579" i="2" s="1"/>
  <c r="E580" i="2"/>
  <c r="F580" i="2" s="1"/>
  <c r="E581" i="2"/>
  <c r="F581" i="2" s="1"/>
  <c r="E582" i="2"/>
  <c r="F582" i="2" s="1"/>
  <c r="E583" i="2"/>
  <c r="F583" i="2" s="1"/>
  <c r="E584" i="2"/>
  <c r="F584" i="2" s="1"/>
  <c r="E585" i="2"/>
  <c r="F585" i="2" s="1"/>
  <c r="E586" i="2"/>
  <c r="F586" i="2" s="1"/>
  <c r="E587" i="2"/>
  <c r="F587" i="2" s="1"/>
  <c r="E588" i="2"/>
  <c r="F588" i="2" s="1"/>
  <c r="E589" i="2"/>
  <c r="F589" i="2" s="1"/>
  <c r="E590" i="2"/>
  <c r="F590" i="2" s="1"/>
  <c r="E591" i="2"/>
  <c r="F591" i="2" s="1"/>
  <c r="E592" i="2"/>
  <c r="F592" i="2" s="1"/>
  <c r="E593" i="2"/>
  <c r="F593" i="2" s="1"/>
  <c r="E594" i="2"/>
  <c r="F594" i="2" s="1"/>
  <c r="E595" i="2"/>
  <c r="F595" i="2" s="1"/>
  <c r="E596" i="2"/>
  <c r="F596" i="2" s="1"/>
  <c r="E597" i="2"/>
  <c r="F597" i="2" s="1"/>
  <c r="E598" i="2"/>
  <c r="F598" i="2" s="1"/>
  <c r="E599" i="2"/>
  <c r="F599" i="2" s="1"/>
  <c r="E600" i="2"/>
  <c r="F600" i="2" s="1"/>
  <c r="E601" i="2"/>
  <c r="F601" i="2" s="1"/>
  <c r="E602" i="2"/>
  <c r="F602" i="2" s="1"/>
  <c r="E603" i="2"/>
  <c r="F603" i="2" s="1"/>
  <c r="E604" i="2"/>
  <c r="F604" i="2" s="1"/>
  <c r="E605" i="2"/>
  <c r="F605" i="2" s="1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F611" i="2" s="1"/>
  <c r="E612" i="2"/>
  <c r="F612" i="2" s="1"/>
  <c r="E613" i="2"/>
  <c r="F613" i="2" s="1"/>
  <c r="E614" i="2"/>
  <c r="F614" i="2" s="1"/>
  <c r="E615" i="2"/>
  <c r="F615" i="2" s="1"/>
  <c r="E616" i="2"/>
  <c r="F616" i="2" s="1"/>
  <c r="E617" i="2"/>
  <c r="F617" i="2" s="1"/>
  <c r="E618" i="2"/>
  <c r="F618" i="2" s="1"/>
  <c r="E619" i="2"/>
  <c r="F619" i="2" s="1"/>
  <c r="E620" i="2"/>
  <c r="F620" i="2" s="1"/>
  <c r="E621" i="2"/>
  <c r="F621" i="2" s="1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F627" i="2" s="1"/>
  <c r="E628" i="2"/>
  <c r="F628" i="2" s="1"/>
  <c r="E629" i="2"/>
  <c r="F629" i="2" s="1"/>
  <c r="E630" i="2"/>
  <c r="F630" i="2" s="1"/>
  <c r="E631" i="2"/>
  <c r="F631" i="2" s="1"/>
  <c r="E632" i="2"/>
  <c r="F632" i="2" s="1"/>
  <c r="E633" i="2"/>
  <c r="F633" i="2" s="1"/>
  <c r="E634" i="2"/>
  <c r="F634" i="2" s="1"/>
  <c r="E635" i="2"/>
  <c r="F635" i="2" s="1"/>
  <c r="E636" i="2"/>
  <c r="F636" i="2" s="1"/>
  <c r="E637" i="2"/>
  <c r="F637" i="2" s="1"/>
  <c r="E638" i="2"/>
  <c r="F638" i="2" s="1"/>
  <c r="E639" i="2"/>
  <c r="F639" i="2" s="1"/>
  <c r="E640" i="2"/>
  <c r="F640" i="2" s="1"/>
  <c r="E641" i="2"/>
  <c r="F641" i="2" s="1"/>
  <c r="E642" i="2"/>
  <c r="F642" i="2" s="1"/>
  <c r="E643" i="2"/>
  <c r="F643" i="2" s="1"/>
  <c r="E644" i="2"/>
  <c r="F644" i="2" s="1"/>
  <c r="E645" i="2"/>
  <c r="F645" i="2" s="1"/>
  <c r="E646" i="2"/>
  <c r="F646" i="2" s="1"/>
  <c r="E647" i="2"/>
  <c r="F647" i="2" s="1"/>
  <c r="E648" i="2"/>
  <c r="F648" i="2" s="1"/>
  <c r="E649" i="2"/>
  <c r="F649" i="2" s="1"/>
  <c r="E650" i="2"/>
  <c r="F650" i="2" s="1"/>
  <c r="E651" i="2"/>
  <c r="F651" i="2" s="1"/>
  <c r="E652" i="2"/>
  <c r="F652" i="2" s="1"/>
  <c r="E653" i="2"/>
  <c r="F653" i="2" s="1"/>
  <c r="E654" i="2"/>
  <c r="F654" i="2" s="1"/>
  <c r="E655" i="2"/>
  <c r="F655" i="2" s="1"/>
  <c r="E656" i="2"/>
  <c r="F656" i="2" s="1"/>
  <c r="E657" i="2"/>
  <c r="F657" i="2" s="1"/>
  <c r="E658" i="2"/>
  <c r="F658" i="2" s="1"/>
  <c r="E659" i="2"/>
  <c r="F659" i="2" s="1"/>
  <c r="E660" i="2"/>
  <c r="F660" i="2" s="1"/>
  <c r="E661" i="2"/>
  <c r="F661" i="2" s="1"/>
  <c r="E662" i="2"/>
  <c r="F662" i="2" s="1"/>
  <c r="E663" i="2"/>
  <c r="F663" i="2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J3" i="1"/>
  <c r="I5" i="1" s="1"/>
  <c r="K3" i="1"/>
  <c r="I3" i="1"/>
  <c r="I5" i="5" l="1"/>
  <c r="E595" i="5"/>
  <c r="F595" i="5" s="1"/>
  <c r="E531" i="5"/>
  <c r="F531" i="5" s="1"/>
  <c r="E467" i="5"/>
  <c r="F467" i="5" s="1"/>
  <c r="E403" i="5"/>
  <c r="F403" i="5" s="1"/>
  <c r="E323" i="5"/>
  <c r="F323" i="5" s="1"/>
  <c r="E571" i="5"/>
  <c r="F571" i="5" s="1"/>
  <c r="E507" i="5"/>
  <c r="F507" i="5" s="1"/>
  <c r="E443" i="5"/>
  <c r="F443" i="5" s="1"/>
  <c r="E4" i="5"/>
  <c r="F4" i="5" s="1"/>
  <c r="E12" i="5"/>
  <c r="F12" i="5" s="1"/>
  <c r="E20" i="5"/>
  <c r="F20" i="5" s="1"/>
  <c r="E28" i="5"/>
  <c r="F28" i="5" s="1"/>
  <c r="E36" i="5"/>
  <c r="F36" i="5" s="1"/>
  <c r="E44" i="5"/>
  <c r="F44" i="5" s="1"/>
  <c r="E52" i="5"/>
  <c r="F52" i="5" s="1"/>
  <c r="E60" i="5"/>
  <c r="F60" i="5" s="1"/>
  <c r="E68" i="5"/>
  <c r="F68" i="5" s="1"/>
  <c r="E76" i="5"/>
  <c r="F76" i="5" s="1"/>
  <c r="E84" i="5"/>
  <c r="F84" i="5" s="1"/>
  <c r="E92" i="5"/>
  <c r="F92" i="5" s="1"/>
  <c r="E100" i="5"/>
  <c r="F100" i="5" s="1"/>
  <c r="E108" i="5"/>
  <c r="F108" i="5" s="1"/>
  <c r="E116" i="5"/>
  <c r="F116" i="5" s="1"/>
  <c r="E124" i="5"/>
  <c r="F124" i="5" s="1"/>
  <c r="E132" i="5"/>
  <c r="F132" i="5" s="1"/>
  <c r="E140" i="5"/>
  <c r="F140" i="5" s="1"/>
  <c r="E148" i="5"/>
  <c r="F148" i="5" s="1"/>
  <c r="E156" i="5"/>
  <c r="F156" i="5" s="1"/>
  <c r="E164" i="5"/>
  <c r="F164" i="5" s="1"/>
  <c r="E172" i="5"/>
  <c r="F172" i="5" s="1"/>
  <c r="E180" i="5"/>
  <c r="F180" i="5" s="1"/>
  <c r="E188" i="5"/>
  <c r="F188" i="5" s="1"/>
  <c r="E196" i="5"/>
  <c r="F196" i="5" s="1"/>
  <c r="E204" i="5"/>
  <c r="F204" i="5" s="1"/>
  <c r="E212" i="5"/>
  <c r="F212" i="5" s="1"/>
  <c r="E220" i="5"/>
  <c r="F220" i="5" s="1"/>
  <c r="E228" i="5"/>
  <c r="F228" i="5" s="1"/>
  <c r="E236" i="5"/>
  <c r="F236" i="5" s="1"/>
  <c r="E244" i="5"/>
  <c r="F244" i="5" s="1"/>
  <c r="E252" i="5"/>
  <c r="F252" i="5" s="1"/>
  <c r="E260" i="5"/>
  <c r="F260" i="5" s="1"/>
  <c r="E268" i="5"/>
  <c r="F268" i="5" s="1"/>
  <c r="E276" i="5"/>
  <c r="F276" i="5" s="1"/>
  <c r="E284" i="5"/>
  <c r="F284" i="5" s="1"/>
  <c r="E292" i="5"/>
  <c r="F292" i="5" s="1"/>
  <c r="E300" i="5"/>
  <c r="F300" i="5" s="1"/>
  <c r="E308" i="5"/>
  <c r="F308" i="5" s="1"/>
  <c r="E316" i="5"/>
  <c r="F316" i="5" s="1"/>
  <c r="E324" i="5"/>
  <c r="F324" i="5" s="1"/>
  <c r="E332" i="5"/>
  <c r="F332" i="5" s="1"/>
  <c r="E340" i="5"/>
  <c r="F340" i="5" s="1"/>
  <c r="E348" i="5"/>
  <c r="F348" i="5" s="1"/>
  <c r="E356" i="5"/>
  <c r="F356" i="5" s="1"/>
  <c r="E364" i="5"/>
  <c r="F364" i="5" s="1"/>
  <c r="E372" i="5"/>
  <c r="F372" i="5" s="1"/>
  <c r="E380" i="5"/>
  <c r="F380" i="5" s="1"/>
  <c r="E388" i="5"/>
  <c r="F388" i="5" s="1"/>
  <c r="E396" i="5"/>
  <c r="F396" i="5" s="1"/>
  <c r="E404" i="5"/>
  <c r="F404" i="5" s="1"/>
  <c r="E412" i="5"/>
  <c r="F412" i="5" s="1"/>
  <c r="E420" i="5"/>
  <c r="F420" i="5" s="1"/>
  <c r="E428" i="5"/>
  <c r="F428" i="5" s="1"/>
  <c r="E436" i="5"/>
  <c r="F436" i="5" s="1"/>
  <c r="E444" i="5"/>
  <c r="F444" i="5" s="1"/>
  <c r="E452" i="5"/>
  <c r="F452" i="5" s="1"/>
  <c r="E460" i="5"/>
  <c r="F460" i="5" s="1"/>
  <c r="E468" i="5"/>
  <c r="F468" i="5" s="1"/>
  <c r="E476" i="5"/>
  <c r="F476" i="5" s="1"/>
  <c r="E484" i="5"/>
  <c r="F484" i="5" s="1"/>
  <c r="E492" i="5"/>
  <c r="F492" i="5" s="1"/>
  <c r="E500" i="5"/>
  <c r="F500" i="5" s="1"/>
  <c r="E508" i="5"/>
  <c r="F508" i="5" s="1"/>
  <c r="E516" i="5"/>
  <c r="F516" i="5" s="1"/>
  <c r="E524" i="5"/>
  <c r="F524" i="5" s="1"/>
  <c r="E532" i="5"/>
  <c r="F532" i="5" s="1"/>
  <c r="E540" i="5"/>
  <c r="F540" i="5" s="1"/>
  <c r="E548" i="5"/>
  <c r="F548" i="5" s="1"/>
  <c r="E556" i="5"/>
  <c r="F556" i="5" s="1"/>
  <c r="E564" i="5"/>
  <c r="F564" i="5" s="1"/>
  <c r="E572" i="5"/>
  <c r="F572" i="5" s="1"/>
  <c r="E580" i="5"/>
  <c r="F580" i="5" s="1"/>
  <c r="E588" i="5"/>
  <c r="F588" i="5" s="1"/>
  <c r="E596" i="5"/>
  <c r="F596" i="5" s="1"/>
  <c r="E5" i="5"/>
  <c r="F5" i="5" s="1"/>
  <c r="E13" i="5"/>
  <c r="F13" i="5" s="1"/>
  <c r="E21" i="5"/>
  <c r="F21" i="5" s="1"/>
  <c r="E29" i="5"/>
  <c r="F29" i="5" s="1"/>
  <c r="E37" i="5"/>
  <c r="F37" i="5" s="1"/>
  <c r="E45" i="5"/>
  <c r="F45" i="5" s="1"/>
  <c r="E53" i="5"/>
  <c r="F53" i="5" s="1"/>
  <c r="E61" i="5"/>
  <c r="F61" i="5" s="1"/>
  <c r="E69" i="5"/>
  <c r="F69" i="5" s="1"/>
  <c r="E77" i="5"/>
  <c r="F77" i="5" s="1"/>
  <c r="E85" i="5"/>
  <c r="F85" i="5" s="1"/>
  <c r="E93" i="5"/>
  <c r="F93" i="5" s="1"/>
  <c r="E101" i="5"/>
  <c r="F101" i="5" s="1"/>
  <c r="E109" i="5"/>
  <c r="F109" i="5" s="1"/>
  <c r="E117" i="5"/>
  <c r="F117" i="5" s="1"/>
  <c r="E125" i="5"/>
  <c r="F125" i="5" s="1"/>
  <c r="E133" i="5"/>
  <c r="F133" i="5" s="1"/>
  <c r="E141" i="5"/>
  <c r="F141" i="5" s="1"/>
  <c r="E149" i="5"/>
  <c r="F149" i="5" s="1"/>
  <c r="E157" i="5"/>
  <c r="F157" i="5" s="1"/>
  <c r="E165" i="5"/>
  <c r="F165" i="5" s="1"/>
  <c r="E173" i="5"/>
  <c r="F173" i="5" s="1"/>
  <c r="E181" i="5"/>
  <c r="F181" i="5" s="1"/>
  <c r="E189" i="5"/>
  <c r="F189" i="5" s="1"/>
  <c r="E197" i="5"/>
  <c r="F197" i="5" s="1"/>
  <c r="E205" i="5"/>
  <c r="F205" i="5" s="1"/>
  <c r="E213" i="5"/>
  <c r="F213" i="5" s="1"/>
  <c r="E221" i="5"/>
  <c r="F221" i="5" s="1"/>
  <c r="E229" i="5"/>
  <c r="F229" i="5" s="1"/>
  <c r="E237" i="5"/>
  <c r="F237" i="5" s="1"/>
  <c r="E245" i="5"/>
  <c r="F245" i="5" s="1"/>
  <c r="E253" i="5"/>
  <c r="F253" i="5" s="1"/>
  <c r="E261" i="5"/>
  <c r="F261" i="5" s="1"/>
  <c r="E269" i="5"/>
  <c r="F269" i="5" s="1"/>
  <c r="E277" i="5"/>
  <c r="F277" i="5" s="1"/>
  <c r="E285" i="5"/>
  <c r="F285" i="5" s="1"/>
  <c r="E293" i="5"/>
  <c r="F293" i="5" s="1"/>
  <c r="E301" i="5"/>
  <c r="F301" i="5" s="1"/>
  <c r="E309" i="5"/>
  <c r="F309" i="5" s="1"/>
  <c r="E317" i="5"/>
  <c r="F317" i="5" s="1"/>
  <c r="E325" i="5"/>
  <c r="F325" i="5" s="1"/>
  <c r="E333" i="5"/>
  <c r="F333" i="5" s="1"/>
  <c r="E341" i="5"/>
  <c r="F341" i="5" s="1"/>
  <c r="E349" i="5"/>
  <c r="F349" i="5" s="1"/>
  <c r="E357" i="5"/>
  <c r="F357" i="5" s="1"/>
  <c r="E365" i="5"/>
  <c r="F365" i="5" s="1"/>
  <c r="E373" i="5"/>
  <c r="F373" i="5" s="1"/>
  <c r="E381" i="5"/>
  <c r="F381" i="5" s="1"/>
  <c r="E389" i="5"/>
  <c r="F389" i="5" s="1"/>
  <c r="E397" i="5"/>
  <c r="F397" i="5" s="1"/>
  <c r="E405" i="5"/>
  <c r="F405" i="5" s="1"/>
  <c r="E413" i="5"/>
  <c r="F413" i="5" s="1"/>
  <c r="E421" i="5"/>
  <c r="F421" i="5" s="1"/>
  <c r="E429" i="5"/>
  <c r="F429" i="5" s="1"/>
  <c r="E437" i="5"/>
  <c r="F437" i="5" s="1"/>
  <c r="E445" i="5"/>
  <c r="F445" i="5" s="1"/>
  <c r="E453" i="5"/>
  <c r="F453" i="5" s="1"/>
  <c r="E461" i="5"/>
  <c r="F461" i="5" s="1"/>
  <c r="E469" i="5"/>
  <c r="F469" i="5" s="1"/>
  <c r="E477" i="5"/>
  <c r="F477" i="5" s="1"/>
  <c r="E485" i="5"/>
  <c r="F485" i="5" s="1"/>
  <c r="E493" i="5"/>
  <c r="F493" i="5" s="1"/>
  <c r="E501" i="5"/>
  <c r="F501" i="5" s="1"/>
  <c r="E509" i="5"/>
  <c r="F509" i="5" s="1"/>
  <c r="E517" i="5"/>
  <c r="F517" i="5" s="1"/>
  <c r="E525" i="5"/>
  <c r="F525" i="5" s="1"/>
  <c r="E533" i="5"/>
  <c r="F533" i="5" s="1"/>
  <c r="E541" i="5"/>
  <c r="F541" i="5" s="1"/>
  <c r="E549" i="5"/>
  <c r="F549" i="5" s="1"/>
  <c r="E557" i="5"/>
  <c r="F557" i="5" s="1"/>
  <c r="E565" i="5"/>
  <c r="F565" i="5" s="1"/>
  <c r="E573" i="5"/>
  <c r="F573" i="5" s="1"/>
  <c r="E581" i="5"/>
  <c r="F581" i="5" s="1"/>
  <c r="E589" i="5"/>
  <c r="F589" i="5" s="1"/>
  <c r="E27" i="5"/>
  <c r="F27" i="5" s="1"/>
  <c r="E67" i="5"/>
  <c r="F67" i="5" s="1"/>
  <c r="E91" i="5"/>
  <c r="F91" i="5" s="1"/>
  <c r="E115" i="5"/>
  <c r="F115" i="5" s="1"/>
  <c r="E147" i="5"/>
  <c r="F147" i="5" s="1"/>
  <c r="E179" i="5"/>
  <c r="F179" i="5" s="1"/>
  <c r="E211" i="5"/>
  <c r="F211" i="5" s="1"/>
  <c r="E243" i="5"/>
  <c r="F243" i="5" s="1"/>
  <c r="E275" i="5"/>
  <c r="F275" i="5" s="1"/>
  <c r="E331" i="5"/>
  <c r="F331" i="5" s="1"/>
  <c r="E6" i="5"/>
  <c r="F6" i="5" s="1"/>
  <c r="E14" i="5"/>
  <c r="F14" i="5" s="1"/>
  <c r="E22" i="5"/>
  <c r="F22" i="5" s="1"/>
  <c r="E30" i="5"/>
  <c r="F30" i="5" s="1"/>
  <c r="E38" i="5"/>
  <c r="F38" i="5" s="1"/>
  <c r="E46" i="5"/>
  <c r="F46" i="5" s="1"/>
  <c r="E54" i="5"/>
  <c r="F54" i="5" s="1"/>
  <c r="E62" i="5"/>
  <c r="F62" i="5" s="1"/>
  <c r="E70" i="5"/>
  <c r="F70" i="5" s="1"/>
  <c r="E78" i="5"/>
  <c r="F78" i="5" s="1"/>
  <c r="E86" i="5"/>
  <c r="F86" i="5" s="1"/>
  <c r="E94" i="5"/>
  <c r="F94" i="5" s="1"/>
  <c r="E102" i="5"/>
  <c r="F102" i="5" s="1"/>
  <c r="E110" i="5"/>
  <c r="F110" i="5" s="1"/>
  <c r="E118" i="5"/>
  <c r="F118" i="5" s="1"/>
  <c r="E126" i="5"/>
  <c r="F126" i="5" s="1"/>
  <c r="E134" i="5"/>
  <c r="F134" i="5" s="1"/>
  <c r="E142" i="5"/>
  <c r="F142" i="5" s="1"/>
  <c r="E150" i="5"/>
  <c r="F150" i="5" s="1"/>
  <c r="E158" i="5"/>
  <c r="F158" i="5" s="1"/>
  <c r="E166" i="5"/>
  <c r="F166" i="5" s="1"/>
  <c r="E174" i="5"/>
  <c r="F174" i="5" s="1"/>
  <c r="E182" i="5"/>
  <c r="F182" i="5" s="1"/>
  <c r="E190" i="5"/>
  <c r="F190" i="5" s="1"/>
  <c r="E198" i="5"/>
  <c r="F198" i="5" s="1"/>
  <c r="E206" i="5"/>
  <c r="F206" i="5" s="1"/>
  <c r="E214" i="5"/>
  <c r="F214" i="5" s="1"/>
  <c r="E222" i="5"/>
  <c r="F222" i="5" s="1"/>
  <c r="E230" i="5"/>
  <c r="F230" i="5" s="1"/>
  <c r="E238" i="5"/>
  <c r="F238" i="5" s="1"/>
  <c r="E246" i="5"/>
  <c r="F246" i="5" s="1"/>
  <c r="E254" i="5"/>
  <c r="F254" i="5" s="1"/>
  <c r="E262" i="5"/>
  <c r="F262" i="5" s="1"/>
  <c r="E270" i="5"/>
  <c r="F270" i="5" s="1"/>
  <c r="E278" i="5"/>
  <c r="F278" i="5" s="1"/>
  <c r="E286" i="5"/>
  <c r="F286" i="5" s="1"/>
  <c r="E294" i="5"/>
  <c r="F294" i="5" s="1"/>
  <c r="E302" i="5"/>
  <c r="F302" i="5" s="1"/>
  <c r="E310" i="5"/>
  <c r="F310" i="5" s="1"/>
  <c r="E318" i="5"/>
  <c r="F318" i="5" s="1"/>
  <c r="E326" i="5"/>
  <c r="F326" i="5" s="1"/>
  <c r="E334" i="5"/>
  <c r="F334" i="5" s="1"/>
  <c r="E342" i="5"/>
  <c r="F342" i="5" s="1"/>
  <c r="E350" i="5"/>
  <c r="F350" i="5" s="1"/>
  <c r="E358" i="5"/>
  <c r="F358" i="5" s="1"/>
  <c r="E366" i="5"/>
  <c r="F366" i="5" s="1"/>
  <c r="E374" i="5"/>
  <c r="F374" i="5" s="1"/>
  <c r="E382" i="5"/>
  <c r="F382" i="5" s="1"/>
  <c r="E390" i="5"/>
  <c r="F390" i="5" s="1"/>
  <c r="E398" i="5"/>
  <c r="F398" i="5" s="1"/>
  <c r="E406" i="5"/>
  <c r="F406" i="5" s="1"/>
  <c r="E414" i="5"/>
  <c r="F414" i="5" s="1"/>
  <c r="E422" i="5"/>
  <c r="F422" i="5" s="1"/>
  <c r="E430" i="5"/>
  <c r="F430" i="5" s="1"/>
  <c r="E438" i="5"/>
  <c r="F438" i="5" s="1"/>
  <c r="E446" i="5"/>
  <c r="F446" i="5" s="1"/>
  <c r="E454" i="5"/>
  <c r="F454" i="5" s="1"/>
  <c r="E462" i="5"/>
  <c r="F462" i="5" s="1"/>
  <c r="E470" i="5"/>
  <c r="F470" i="5" s="1"/>
  <c r="E478" i="5"/>
  <c r="F478" i="5" s="1"/>
  <c r="E486" i="5"/>
  <c r="F486" i="5" s="1"/>
  <c r="E494" i="5"/>
  <c r="F494" i="5" s="1"/>
  <c r="E502" i="5"/>
  <c r="F502" i="5" s="1"/>
  <c r="E510" i="5"/>
  <c r="F510" i="5" s="1"/>
  <c r="E518" i="5"/>
  <c r="F518" i="5" s="1"/>
  <c r="E526" i="5"/>
  <c r="F526" i="5" s="1"/>
  <c r="E534" i="5"/>
  <c r="F534" i="5" s="1"/>
  <c r="E542" i="5"/>
  <c r="F542" i="5" s="1"/>
  <c r="E550" i="5"/>
  <c r="F550" i="5" s="1"/>
  <c r="E558" i="5"/>
  <c r="F558" i="5" s="1"/>
  <c r="E566" i="5"/>
  <c r="F566" i="5" s="1"/>
  <c r="E574" i="5"/>
  <c r="F574" i="5" s="1"/>
  <c r="E582" i="5"/>
  <c r="F582" i="5" s="1"/>
  <c r="E590" i="5"/>
  <c r="F590" i="5" s="1"/>
  <c r="E3" i="5"/>
  <c r="F3" i="5" s="1"/>
  <c r="E43" i="5"/>
  <c r="F43" i="5" s="1"/>
  <c r="E83" i="5"/>
  <c r="F83" i="5" s="1"/>
  <c r="E123" i="5"/>
  <c r="F123" i="5" s="1"/>
  <c r="E163" i="5"/>
  <c r="F163" i="5" s="1"/>
  <c r="E195" i="5"/>
  <c r="F195" i="5" s="1"/>
  <c r="E227" i="5"/>
  <c r="F227" i="5" s="1"/>
  <c r="E259" i="5"/>
  <c r="F259" i="5" s="1"/>
  <c r="E291" i="5"/>
  <c r="F291" i="5" s="1"/>
  <c r="E347" i="5"/>
  <c r="F347" i="5" s="1"/>
  <c r="E7" i="5"/>
  <c r="F7" i="5" s="1"/>
  <c r="E15" i="5"/>
  <c r="F15" i="5" s="1"/>
  <c r="E23" i="5"/>
  <c r="F23" i="5" s="1"/>
  <c r="E31" i="5"/>
  <c r="F31" i="5" s="1"/>
  <c r="E39" i="5"/>
  <c r="F39" i="5" s="1"/>
  <c r="E47" i="5"/>
  <c r="F47" i="5" s="1"/>
  <c r="E55" i="5"/>
  <c r="F55" i="5" s="1"/>
  <c r="E63" i="5"/>
  <c r="F63" i="5" s="1"/>
  <c r="E71" i="5"/>
  <c r="F71" i="5" s="1"/>
  <c r="E79" i="5"/>
  <c r="F79" i="5" s="1"/>
  <c r="E87" i="5"/>
  <c r="F87" i="5" s="1"/>
  <c r="E95" i="5"/>
  <c r="F95" i="5" s="1"/>
  <c r="E103" i="5"/>
  <c r="F103" i="5" s="1"/>
  <c r="E111" i="5"/>
  <c r="F111" i="5" s="1"/>
  <c r="E119" i="5"/>
  <c r="F119" i="5" s="1"/>
  <c r="E127" i="5"/>
  <c r="F127" i="5" s="1"/>
  <c r="E135" i="5"/>
  <c r="F135" i="5" s="1"/>
  <c r="E143" i="5"/>
  <c r="F143" i="5" s="1"/>
  <c r="E151" i="5"/>
  <c r="F151" i="5" s="1"/>
  <c r="E159" i="5"/>
  <c r="F159" i="5" s="1"/>
  <c r="E167" i="5"/>
  <c r="F167" i="5" s="1"/>
  <c r="E175" i="5"/>
  <c r="F175" i="5" s="1"/>
  <c r="E183" i="5"/>
  <c r="F183" i="5" s="1"/>
  <c r="E191" i="5"/>
  <c r="F191" i="5" s="1"/>
  <c r="E199" i="5"/>
  <c r="F199" i="5" s="1"/>
  <c r="E207" i="5"/>
  <c r="F207" i="5" s="1"/>
  <c r="E215" i="5"/>
  <c r="F215" i="5" s="1"/>
  <c r="E223" i="5"/>
  <c r="F223" i="5" s="1"/>
  <c r="E231" i="5"/>
  <c r="F231" i="5" s="1"/>
  <c r="E239" i="5"/>
  <c r="F239" i="5" s="1"/>
  <c r="E247" i="5"/>
  <c r="F247" i="5" s="1"/>
  <c r="E255" i="5"/>
  <c r="F255" i="5" s="1"/>
  <c r="E263" i="5"/>
  <c r="F263" i="5" s="1"/>
  <c r="E271" i="5"/>
  <c r="F271" i="5" s="1"/>
  <c r="E279" i="5"/>
  <c r="F279" i="5" s="1"/>
  <c r="E287" i="5"/>
  <c r="F287" i="5" s="1"/>
  <c r="E295" i="5"/>
  <c r="F295" i="5" s="1"/>
  <c r="E303" i="5"/>
  <c r="F303" i="5" s="1"/>
  <c r="E311" i="5"/>
  <c r="F311" i="5" s="1"/>
  <c r="E319" i="5"/>
  <c r="F319" i="5" s="1"/>
  <c r="E327" i="5"/>
  <c r="F327" i="5" s="1"/>
  <c r="E335" i="5"/>
  <c r="F335" i="5" s="1"/>
  <c r="E343" i="5"/>
  <c r="F343" i="5" s="1"/>
  <c r="E351" i="5"/>
  <c r="F351" i="5" s="1"/>
  <c r="E359" i="5"/>
  <c r="F359" i="5" s="1"/>
  <c r="E367" i="5"/>
  <c r="F367" i="5" s="1"/>
  <c r="E375" i="5"/>
  <c r="F375" i="5" s="1"/>
  <c r="E383" i="5"/>
  <c r="F383" i="5" s="1"/>
  <c r="E391" i="5"/>
  <c r="F391" i="5" s="1"/>
  <c r="E399" i="5"/>
  <c r="F399" i="5" s="1"/>
  <c r="E407" i="5"/>
  <c r="F407" i="5" s="1"/>
  <c r="E415" i="5"/>
  <c r="F415" i="5" s="1"/>
  <c r="E423" i="5"/>
  <c r="F423" i="5" s="1"/>
  <c r="E431" i="5"/>
  <c r="F431" i="5" s="1"/>
  <c r="E439" i="5"/>
  <c r="F439" i="5" s="1"/>
  <c r="E447" i="5"/>
  <c r="F447" i="5" s="1"/>
  <c r="E455" i="5"/>
  <c r="F455" i="5" s="1"/>
  <c r="E463" i="5"/>
  <c r="F463" i="5" s="1"/>
  <c r="E471" i="5"/>
  <c r="F471" i="5" s="1"/>
  <c r="E479" i="5"/>
  <c r="F479" i="5" s="1"/>
  <c r="E487" i="5"/>
  <c r="F487" i="5" s="1"/>
  <c r="E495" i="5"/>
  <c r="F495" i="5" s="1"/>
  <c r="E503" i="5"/>
  <c r="F503" i="5" s="1"/>
  <c r="E511" i="5"/>
  <c r="F511" i="5" s="1"/>
  <c r="E519" i="5"/>
  <c r="F519" i="5" s="1"/>
  <c r="E527" i="5"/>
  <c r="F527" i="5" s="1"/>
  <c r="E535" i="5"/>
  <c r="F535" i="5" s="1"/>
  <c r="E543" i="5"/>
  <c r="F543" i="5" s="1"/>
  <c r="E551" i="5"/>
  <c r="F551" i="5" s="1"/>
  <c r="E559" i="5"/>
  <c r="F559" i="5" s="1"/>
  <c r="E567" i="5"/>
  <c r="F567" i="5" s="1"/>
  <c r="E575" i="5"/>
  <c r="F575" i="5" s="1"/>
  <c r="E583" i="5"/>
  <c r="F583" i="5" s="1"/>
  <c r="E591" i="5"/>
  <c r="F591" i="5" s="1"/>
  <c r="E8" i="5"/>
  <c r="F8" i="5" s="1"/>
  <c r="E16" i="5"/>
  <c r="F16" i="5" s="1"/>
  <c r="E24" i="5"/>
  <c r="F24" i="5" s="1"/>
  <c r="E32" i="5"/>
  <c r="F32" i="5" s="1"/>
  <c r="E40" i="5"/>
  <c r="F40" i="5" s="1"/>
  <c r="E48" i="5"/>
  <c r="F48" i="5" s="1"/>
  <c r="E56" i="5"/>
  <c r="F56" i="5" s="1"/>
  <c r="E64" i="5"/>
  <c r="F64" i="5" s="1"/>
  <c r="E72" i="5"/>
  <c r="F72" i="5" s="1"/>
  <c r="E80" i="5"/>
  <c r="F80" i="5" s="1"/>
  <c r="E88" i="5"/>
  <c r="F88" i="5" s="1"/>
  <c r="E96" i="5"/>
  <c r="F96" i="5" s="1"/>
  <c r="E104" i="5"/>
  <c r="F104" i="5" s="1"/>
  <c r="E112" i="5"/>
  <c r="F112" i="5" s="1"/>
  <c r="E120" i="5"/>
  <c r="F120" i="5" s="1"/>
  <c r="E128" i="5"/>
  <c r="F128" i="5" s="1"/>
  <c r="E136" i="5"/>
  <c r="F136" i="5" s="1"/>
  <c r="E144" i="5"/>
  <c r="F144" i="5" s="1"/>
  <c r="E152" i="5"/>
  <c r="F152" i="5" s="1"/>
  <c r="E160" i="5"/>
  <c r="F160" i="5" s="1"/>
  <c r="E168" i="5"/>
  <c r="F168" i="5" s="1"/>
  <c r="E176" i="5"/>
  <c r="F176" i="5" s="1"/>
  <c r="E184" i="5"/>
  <c r="F184" i="5" s="1"/>
  <c r="E192" i="5"/>
  <c r="F192" i="5" s="1"/>
  <c r="E200" i="5"/>
  <c r="F200" i="5" s="1"/>
  <c r="E208" i="5"/>
  <c r="F208" i="5" s="1"/>
  <c r="E216" i="5"/>
  <c r="F216" i="5" s="1"/>
  <c r="E224" i="5"/>
  <c r="F224" i="5" s="1"/>
  <c r="E232" i="5"/>
  <c r="F232" i="5" s="1"/>
  <c r="E240" i="5"/>
  <c r="F240" i="5" s="1"/>
  <c r="E248" i="5"/>
  <c r="F248" i="5" s="1"/>
  <c r="E256" i="5"/>
  <c r="F256" i="5" s="1"/>
  <c r="E264" i="5"/>
  <c r="F264" i="5" s="1"/>
  <c r="E272" i="5"/>
  <c r="F272" i="5" s="1"/>
  <c r="E280" i="5"/>
  <c r="F280" i="5" s="1"/>
  <c r="E288" i="5"/>
  <c r="F288" i="5" s="1"/>
  <c r="E296" i="5"/>
  <c r="F296" i="5" s="1"/>
  <c r="E304" i="5"/>
  <c r="F304" i="5" s="1"/>
  <c r="E312" i="5"/>
  <c r="F312" i="5" s="1"/>
  <c r="E320" i="5"/>
  <c r="F320" i="5" s="1"/>
  <c r="E328" i="5"/>
  <c r="F328" i="5" s="1"/>
  <c r="E336" i="5"/>
  <c r="F336" i="5" s="1"/>
  <c r="E344" i="5"/>
  <c r="F344" i="5" s="1"/>
  <c r="E352" i="5"/>
  <c r="F352" i="5" s="1"/>
  <c r="E360" i="5"/>
  <c r="F360" i="5" s="1"/>
  <c r="E368" i="5"/>
  <c r="F368" i="5" s="1"/>
  <c r="E376" i="5"/>
  <c r="F376" i="5" s="1"/>
  <c r="E384" i="5"/>
  <c r="F384" i="5" s="1"/>
  <c r="E392" i="5"/>
  <c r="F392" i="5" s="1"/>
  <c r="E400" i="5"/>
  <c r="F400" i="5" s="1"/>
  <c r="E408" i="5"/>
  <c r="F408" i="5" s="1"/>
  <c r="E416" i="5"/>
  <c r="F416" i="5" s="1"/>
  <c r="E424" i="5"/>
  <c r="F424" i="5" s="1"/>
  <c r="E432" i="5"/>
  <c r="F432" i="5" s="1"/>
  <c r="E440" i="5"/>
  <c r="F440" i="5" s="1"/>
  <c r="E448" i="5"/>
  <c r="F448" i="5" s="1"/>
  <c r="E456" i="5"/>
  <c r="F456" i="5" s="1"/>
  <c r="E464" i="5"/>
  <c r="F464" i="5" s="1"/>
  <c r="E472" i="5"/>
  <c r="F472" i="5" s="1"/>
  <c r="E480" i="5"/>
  <c r="F480" i="5" s="1"/>
  <c r="E488" i="5"/>
  <c r="F488" i="5" s="1"/>
  <c r="E496" i="5"/>
  <c r="F496" i="5" s="1"/>
  <c r="E504" i="5"/>
  <c r="F504" i="5" s="1"/>
  <c r="E512" i="5"/>
  <c r="F512" i="5" s="1"/>
  <c r="E520" i="5"/>
  <c r="F520" i="5" s="1"/>
  <c r="E528" i="5"/>
  <c r="F528" i="5" s="1"/>
  <c r="E536" i="5"/>
  <c r="F536" i="5" s="1"/>
  <c r="E544" i="5"/>
  <c r="F544" i="5" s="1"/>
  <c r="E552" i="5"/>
  <c r="F552" i="5" s="1"/>
  <c r="E560" i="5"/>
  <c r="F560" i="5" s="1"/>
  <c r="E568" i="5"/>
  <c r="F568" i="5" s="1"/>
  <c r="E576" i="5"/>
  <c r="F576" i="5" s="1"/>
  <c r="E584" i="5"/>
  <c r="F584" i="5" s="1"/>
  <c r="E592" i="5"/>
  <c r="F592" i="5" s="1"/>
  <c r="E9" i="5"/>
  <c r="F9" i="5" s="1"/>
  <c r="E17" i="5"/>
  <c r="F17" i="5" s="1"/>
  <c r="E25" i="5"/>
  <c r="F25" i="5" s="1"/>
  <c r="E33" i="5"/>
  <c r="F33" i="5" s="1"/>
  <c r="E41" i="5"/>
  <c r="F41" i="5" s="1"/>
  <c r="E49" i="5"/>
  <c r="F49" i="5" s="1"/>
  <c r="E57" i="5"/>
  <c r="F57" i="5" s="1"/>
  <c r="E65" i="5"/>
  <c r="F65" i="5" s="1"/>
  <c r="E73" i="5"/>
  <c r="F73" i="5" s="1"/>
  <c r="E81" i="5"/>
  <c r="F81" i="5" s="1"/>
  <c r="E89" i="5"/>
  <c r="F89" i="5" s="1"/>
  <c r="E97" i="5"/>
  <c r="F97" i="5" s="1"/>
  <c r="E105" i="5"/>
  <c r="F105" i="5" s="1"/>
  <c r="E113" i="5"/>
  <c r="F113" i="5" s="1"/>
  <c r="E121" i="5"/>
  <c r="F121" i="5" s="1"/>
  <c r="E129" i="5"/>
  <c r="F129" i="5" s="1"/>
  <c r="E137" i="5"/>
  <c r="F137" i="5" s="1"/>
  <c r="E145" i="5"/>
  <c r="F145" i="5" s="1"/>
  <c r="E153" i="5"/>
  <c r="F153" i="5" s="1"/>
  <c r="E161" i="5"/>
  <c r="F161" i="5" s="1"/>
  <c r="E169" i="5"/>
  <c r="F169" i="5" s="1"/>
  <c r="E177" i="5"/>
  <c r="F177" i="5" s="1"/>
  <c r="E185" i="5"/>
  <c r="F185" i="5" s="1"/>
  <c r="E193" i="5"/>
  <c r="F193" i="5" s="1"/>
  <c r="E201" i="5"/>
  <c r="F201" i="5" s="1"/>
  <c r="E209" i="5"/>
  <c r="F209" i="5" s="1"/>
  <c r="E217" i="5"/>
  <c r="F217" i="5" s="1"/>
  <c r="E225" i="5"/>
  <c r="F225" i="5" s="1"/>
  <c r="E233" i="5"/>
  <c r="F233" i="5" s="1"/>
  <c r="E241" i="5"/>
  <c r="F241" i="5" s="1"/>
  <c r="E249" i="5"/>
  <c r="F249" i="5" s="1"/>
  <c r="E257" i="5"/>
  <c r="F257" i="5" s="1"/>
  <c r="E265" i="5"/>
  <c r="F265" i="5" s="1"/>
  <c r="E273" i="5"/>
  <c r="F273" i="5" s="1"/>
  <c r="E281" i="5"/>
  <c r="F281" i="5" s="1"/>
  <c r="E289" i="5"/>
  <c r="F289" i="5" s="1"/>
  <c r="E297" i="5"/>
  <c r="F297" i="5" s="1"/>
  <c r="E305" i="5"/>
  <c r="F305" i="5" s="1"/>
  <c r="E313" i="5"/>
  <c r="F313" i="5" s="1"/>
  <c r="E321" i="5"/>
  <c r="F321" i="5" s="1"/>
  <c r="E329" i="5"/>
  <c r="F329" i="5" s="1"/>
  <c r="E337" i="5"/>
  <c r="F337" i="5" s="1"/>
  <c r="E345" i="5"/>
  <c r="F345" i="5" s="1"/>
  <c r="E353" i="5"/>
  <c r="F353" i="5" s="1"/>
  <c r="E361" i="5"/>
  <c r="F361" i="5" s="1"/>
  <c r="E369" i="5"/>
  <c r="F369" i="5" s="1"/>
  <c r="E377" i="5"/>
  <c r="F377" i="5" s="1"/>
  <c r="E385" i="5"/>
  <c r="F385" i="5" s="1"/>
  <c r="E393" i="5"/>
  <c r="F393" i="5" s="1"/>
  <c r="E401" i="5"/>
  <c r="F401" i="5" s="1"/>
  <c r="E409" i="5"/>
  <c r="F409" i="5" s="1"/>
  <c r="E417" i="5"/>
  <c r="F417" i="5" s="1"/>
  <c r="E425" i="5"/>
  <c r="F425" i="5" s="1"/>
  <c r="E433" i="5"/>
  <c r="F433" i="5" s="1"/>
  <c r="E441" i="5"/>
  <c r="F441" i="5" s="1"/>
  <c r="E449" i="5"/>
  <c r="F449" i="5" s="1"/>
  <c r="E457" i="5"/>
  <c r="F457" i="5" s="1"/>
  <c r="E465" i="5"/>
  <c r="F465" i="5" s="1"/>
  <c r="E473" i="5"/>
  <c r="F473" i="5" s="1"/>
  <c r="E481" i="5"/>
  <c r="F481" i="5" s="1"/>
  <c r="E489" i="5"/>
  <c r="F489" i="5" s="1"/>
  <c r="E497" i="5"/>
  <c r="F497" i="5" s="1"/>
  <c r="E505" i="5"/>
  <c r="F505" i="5" s="1"/>
  <c r="E513" i="5"/>
  <c r="F513" i="5" s="1"/>
  <c r="E521" i="5"/>
  <c r="F521" i="5" s="1"/>
  <c r="E529" i="5"/>
  <c r="F529" i="5" s="1"/>
  <c r="E537" i="5"/>
  <c r="F537" i="5" s="1"/>
  <c r="E545" i="5"/>
  <c r="F545" i="5" s="1"/>
  <c r="E553" i="5"/>
  <c r="F553" i="5" s="1"/>
  <c r="E561" i="5"/>
  <c r="F561" i="5" s="1"/>
  <c r="E569" i="5"/>
  <c r="F569" i="5" s="1"/>
  <c r="E577" i="5"/>
  <c r="F577" i="5" s="1"/>
  <c r="E585" i="5"/>
  <c r="F585" i="5" s="1"/>
  <c r="E593" i="5"/>
  <c r="F593" i="5" s="1"/>
  <c r="E35" i="5"/>
  <c r="F35" i="5" s="1"/>
  <c r="E51" i="5"/>
  <c r="F51" i="5" s="1"/>
  <c r="E75" i="5"/>
  <c r="F75" i="5" s="1"/>
  <c r="E107" i="5"/>
  <c r="F107" i="5" s="1"/>
  <c r="E131" i="5"/>
  <c r="F131" i="5" s="1"/>
  <c r="E155" i="5"/>
  <c r="F155" i="5" s="1"/>
  <c r="E187" i="5"/>
  <c r="F187" i="5" s="1"/>
  <c r="E219" i="5"/>
  <c r="F219" i="5" s="1"/>
  <c r="E251" i="5"/>
  <c r="F251" i="5" s="1"/>
  <c r="E283" i="5"/>
  <c r="F283" i="5" s="1"/>
  <c r="E307" i="5"/>
  <c r="F307" i="5" s="1"/>
  <c r="E2" i="5"/>
  <c r="F2" i="5" s="1"/>
  <c r="E10" i="5"/>
  <c r="F10" i="5" s="1"/>
  <c r="E18" i="5"/>
  <c r="F18" i="5" s="1"/>
  <c r="E26" i="5"/>
  <c r="F26" i="5" s="1"/>
  <c r="E34" i="5"/>
  <c r="F34" i="5" s="1"/>
  <c r="E42" i="5"/>
  <c r="F42" i="5" s="1"/>
  <c r="E50" i="5"/>
  <c r="F50" i="5" s="1"/>
  <c r="E58" i="5"/>
  <c r="F58" i="5" s="1"/>
  <c r="E66" i="5"/>
  <c r="F66" i="5" s="1"/>
  <c r="E74" i="5"/>
  <c r="F74" i="5" s="1"/>
  <c r="E82" i="5"/>
  <c r="F82" i="5" s="1"/>
  <c r="E90" i="5"/>
  <c r="F90" i="5" s="1"/>
  <c r="E98" i="5"/>
  <c r="F98" i="5" s="1"/>
  <c r="E106" i="5"/>
  <c r="F106" i="5" s="1"/>
  <c r="E114" i="5"/>
  <c r="F114" i="5" s="1"/>
  <c r="E122" i="5"/>
  <c r="F122" i="5" s="1"/>
  <c r="E130" i="5"/>
  <c r="F130" i="5" s="1"/>
  <c r="E138" i="5"/>
  <c r="F138" i="5" s="1"/>
  <c r="E146" i="5"/>
  <c r="F146" i="5" s="1"/>
  <c r="E154" i="5"/>
  <c r="F154" i="5" s="1"/>
  <c r="E162" i="5"/>
  <c r="F162" i="5" s="1"/>
  <c r="E170" i="5"/>
  <c r="F170" i="5" s="1"/>
  <c r="E178" i="5"/>
  <c r="F178" i="5" s="1"/>
  <c r="E186" i="5"/>
  <c r="F186" i="5" s="1"/>
  <c r="E194" i="5"/>
  <c r="F194" i="5" s="1"/>
  <c r="E202" i="5"/>
  <c r="F202" i="5" s="1"/>
  <c r="E210" i="5"/>
  <c r="F210" i="5" s="1"/>
  <c r="E218" i="5"/>
  <c r="F218" i="5" s="1"/>
  <c r="E226" i="5"/>
  <c r="F226" i="5" s="1"/>
  <c r="E234" i="5"/>
  <c r="F234" i="5" s="1"/>
  <c r="E242" i="5"/>
  <c r="F242" i="5" s="1"/>
  <c r="E250" i="5"/>
  <c r="F250" i="5" s="1"/>
  <c r="E258" i="5"/>
  <c r="F258" i="5" s="1"/>
  <c r="E266" i="5"/>
  <c r="F266" i="5" s="1"/>
  <c r="E274" i="5"/>
  <c r="F274" i="5" s="1"/>
  <c r="E282" i="5"/>
  <c r="F282" i="5" s="1"/>
  <c r="E290" i="5"/>
  <c r="F290" i="5" s="1"/>
  <c r="E298" i="5"/>
  <c r="F298" i="5" s="1"/>
  <c r="E306" i="5"/>
  <c r="F306" i="5" s="1"/>
  <c r="E314" i="5"/>
  <c r="F314" i="5" s="1"/>
  <c r="E322" i="5"/>
  <c r="F322" i="5" s="1"/>
  <c r="E330" i="5"/>
  <c r="F330" i="5" s="1"/>
  <c r="E338" i="5"/>
  <c r="F338" i="5" s="1"/>
  <c r="E346" i="5"/>
  <c r="F346" i="5" s="1"/>
  <c r="E354" i="5"/>
  <c r="F354" i="5" s="1"/>
  <c r="E362" i="5"/>
  <c r="F362" i="5" s="1"/>
  <c r="E370" i="5"/>
  <c r="F370" i="5" s="1"/>
  <c r="E378" i="5"/>
  <c r="F378" i="5" s="1"/>
  <c r="E386" i="5"/>
  <c r="F386" i="5" s="1"/>
  <c r="E394" i="5"/>
  <c r="F394" i="5" s="1"/>
  <c r="E402" i="5"/>
  <c r="F402" i="5" s="1"/>
  <c r="E410" i="5"/>
  <c r="F410" i="5" s="1"/>
  <c r="E418" i="5"/>
  <c r="F418" i="5" s="1"/>
  <c r="E426" i="5"/>
  <c r="F426" i="5" s="1"/>
  <c r="E434" i="5"/>
  <c r="F434" i="5" s="1"/>
  <c r="E442" i="5"/>
  <c r="F442" i="5" s="1"/>
  <c r="E450" i="5"/>
  <c r="F450" i="5" s="1"/>
  <c r="E458" i="5"/>
  <c r="F458" i="5" s="1"/>
  <c r="E466" i="5"/>
  <c r="F466" i="5" s="1"/>
  <c r="E474" i="5"/>
  <c r="F474" i="5" s="1"/>
  <c r="E482" i="5"/>
  <c r="F482" i="5" s="1"/>
  <c r="E490" i="5"/>
  <c r="F490" i="5" s="1"/>
  <c r="E498" i="5"/>
  <c r="F498" i="5" s="1"/>
  <c r="E506" i="5"/>
  <c r="F506" i="5" s="1"/>
  <c r="E514" i="5"/>
  <c r="F514" i="5" s="1"/>
  <c r="E522" i="5"/>
  <c r="F522" i="5" s="1"/>
  <c r="E530" i="5"/>
  <c r="F530" i="5" s="1"/>
  <c r="E538" i="5"/>
  <c r="F538" i="5" s="1"/>
  <c r="E546" i="5"/>
  <c r="F546" i="5" s="1"/>
  <c r="E554" i="5"/>
  <c r="F554" i="5" s="1"/>
  <c r="E562" i="5"/>
  <c r="F562" i="5" s="1"/>
  <c r="E570" i="5"/>
  <c r="F570" i="5" s="1"/>
  <c r="E578" i="5"/>
  <c r="F578" i="5" s="1"/>
  <c r="E586" i="5"/>
  <c r="F586" i="5" s="1"/>
  <c r="E594" i="5"/>
  <c r="F594" i="5" s="1"/>
  <c r="E19" i="5"/>
  <c r="F19" i="5" s="1"/>
  <c r="E59" i="5"/>
  <c r="F59" i="5" s="1"/>
  <c r="E99" i="5"/>
  <c r="F99" i="5" s="1"/>
  <c r="E139" i="5"/>
  <c r="F139" i="5" s="1"/>
  <c r="E171" i="5"/>
  <c r="F171" i="5" s="1"/>
  <c r="E203" i="5"/>
  <c r="F203" i="5" s="1"/>
  <c r="E235" i="5"/>
  <c r="F235" i="5" s="1"/>
  <c r="E267" i="5"/>
  <c r="F267" i="5" s="1"/>
  <c r="E299" i="5"/>
  <c r="F299" i="5" s="1"/>
  <c r="E315" i="5"/>
  <c r="F315" i="5" s="1"/>
  <c r="E563" i="5"/>
  <c r="F563" i="5" s="1"/>
  <c r="E499" i="5"/>
  <c r="F499" i="5" s="1"/>
  <c r="E435" i="5"/>
  <c r="F435" i="5" s="1"/>
  <c r="E371" i="5"/>
  <c r="F371" i="5" s="1"/>
  <c r="E555" i="5"/>
  <c r="F555" i="5" s="1"/>
  <c r="E491" i="5"/>
  <c r="F491" i="5" s="1"/>
  <c r="E427" i="5"/>
  <c r="F427" i="5" s="1"/>
  <c r="E363" i="5"/>
  <c r="F363" i="5" s="1"/>
  <c r="E547" i="5"/>
  <c r="F547" i="5" s="1"/>
  <c r="E483" i="5"/>
  <c r="F483" i="5" s="1"/>
  <c r="E419" i="5"/>
  <c r="F419" i="5" s="1"/>
  <c r="E355" i="5"/>
  <c r="F355" i="5" s="1"/>
  <c r="I5" i="4"/>
  <c r="E2" i="3"/>
  <c r="F2" i="3" s="1"/>
  <c r="E7" i="3"/>
  <c r="F7" i="3" s="1"/>
  <c r="E15" i="3"/>
  <c r="F15" i="3" s="1"/>
  <c r="E23" i="3"/>
  <c r="F23" i="3" s="1"/>
  <c r="E31" i="3"/>
  <c r="F31" i="3" s="1"/>
  <c r="E39" i="3"/>
  <c r="F39" i="3" s="1"/>
  <c r="E47" i="3"/>
  <c r="F47" i="3" s="1"/>
  <c r="E55" i="3"/>
  <c r="F55" i="3" s="1"/>
  <c r="E63" i="3"/>
  <c r="F63" i="3" s="1"/>
  <c r="E71" i="3"/>
  <c r="F71" i="3" s="1"/>
  <c r="E79" i="3"/>
  <c r="F79" i="3" s="1"/>
  <c r="E87" i="3"/>
  <c r="F87" i="3" s="1"/>
  <c r="E95" i="3"/>
  <c r="F95" i="3" s="1"/>
  <c r="E103" i="3"/>
  <c r="F103" i="3" s="1"/>
  <c r="E111" i="3"/>
  <c r="F111" i="3" s="1"/>
  <c r="E119" i="3"/>
  <c r="F119" i="3" s="1"/>
  <c r="E127" i="3"/>
  <c r="F127" i="3" s="1"/>
  <c r="E135" i="3"/>
  <c r="F135" i="3" s="1"/>
  <c r="E143" i="3"/>
  <c r="F143" i="3" s="1"/>
  <c r="E151" i="3"/>
  <c r="F151" i="3" s="1"/>
  <c r="E159" i="3"/>
  <c r="F159" i="3" s="1"/>
  <c r="E167" i="3"/>
  <c r="F167" i="3" s="1"/>
  <c r="E175" i="3"/>
  <c r="F175" i="3" s="1"/>
  <c r="E183" i="3"/>
  <c r="F183" i="3" s="1"/>
  <c r="E191" i="3"/>
  <c r="F191" i="3" s="1"/>
  <c r="E199" i="3"/>
  <c r="F199" i="3" s="1"/>
  <c r="E207" i="3"/>
  <c r="F207" i="3" s="1"/>
  <c r="E215" i="3"/>
  <c r="F215" i="3" s="1"/>
  <c r="E223" i="3"/>
  <c r="F223" i="3" s="1"/>
  <c r="E231" i="3"/>
  <c r="F231" i="3" s="1"/>
  <c r="E239" i="3"/>
  <c r="F239" i="3" s="1"/>
  <c r="E247" i="3"/>
  <c r="F247" i="3" s="1"/>
  <c r="E255" i="3"/>
  <c r="F255" i="3" s="1"/>
  <c r="E263" i="3"/>
  <c r="F263" i="3" s="1"/>
  <c r="E271" i="3"/>
  <c r="F271" i="3" s="1"/>
  <c r="E279" i="3"/>
  <c r="F279" i="3" s="1"/>
  <c r="E287" i="3"/>
  <c r="F287" i="3" s="1"/>
  <c r="E295" i="3"/>
  <c r="F295" i="3" s="1"/>
  <c r="E303" i="3"/>
  <c r="F303" i="3" s="1"/>
  <c r="E311" i="3"/>
  <c r="F311" i="3" s="1"/>
  <c r="E319" i="3"/>
  <c r="F319" i="3" s="1"/>
  <c r="E327" i="3"/>
  <c r="F327" i="3" s="1"/>
  <c r="E335" i="3"/>
  <c r="F335" i="3" s="1"/>
  <c r="E343" i="3"/>
  <c r="F343" i="3" s="1"/>
  <c r="E351" i="3"/>
  <c r="F351" i="3" s="1"/>
  <c r="E359" i="3"/>
  <c r="F359" i="3" s="1"/>
  <c r="E367" i="3"/>
  <c r="F367" i="3" s="1"/>
  <c r="E375" i="3"/>
  <c r="F375" i="3" s="1"/>
  <c r="E383" i="3"/>
  <c r="F383" i="3" s="1"/>
  <c r="E391" i="3"/>
  <c r="F391" i="3" s="1"/>
  <c r="E399" i="3"/>
  <c r="F399" i="3" s="1"/>
  <c r="E407" i="3"/>
  <c r="F407" i="3" s="1"/>
  <c r="E415" i="3"/>
  <c r="F415" i="3" s="1"/>
  <c r="E423" i="3"/>
  <c r="F423" i="3" s="1"/>
  <c r="E431" i="3"/>
  <c r="F431" i="3" s="1"/>
  <c r="E439" i="3"/>
  <c r="F439" i="3" s="1"/>
  <c r="E447" i="3"/>
  <c r="F447" i="3" s="1"/>
  <c r="E8" i="3"/>
  <c r="F8" i="3" s="1"/>
  <c r="E16" i="3"/>
  <c r="F16" i="3" s="1"/>
  <c r="E24" i="3"/>
  <c r="F24" i="3" s="1"/>
  <c r="E32" i="3"/>
  <c r="F32" i="3" s="1"/>
  <c r="E40" i="3"/>
  <c r="F40" i="3" s="1"/>
  <c r="E48" i="3"/>
  <c r="F48" i="3" s="1"/>
  <c r="E56" i="3"/>
  <c r="F56" i="3" s="1"/>
  <c r="E64" i="3"/>
  <c r="F64" i="3" s="1"/>
  <c r="E72" i="3"/>
  <c r="F72" i="3" s="1"/>
  <c r="E80" i="3"/>
  <c r="F80" i="3" s="1"/>
  <c r="E88" i="3"/>
  <c r="F88" i="3" s="1"/>
  <c r="E96" i="3"/>
  <c r="F96" i="3" s="1"/>
  <c r="E104" i="3"/>
  <c r="F104" i="3" s="1"/>
  <c r="E112" i="3"/>
  <c r="F112" i="3" s="1"/>
  <c r="E120" i="3"/>
  <c r="F120" i="3" s="1"/>
  <c r="E128" i="3"/>
  <c r="F128" i="3" s="1"/>
  <c r="E136" i="3"/>
  <c r="F136" i="3" s="1"/>
  <c r="E144" i="3"/>
  <c r="F144" i="3" s="1"/>
  <c r="E152" i="3"/>
  <c r="F152" i="3" s="1"/>
  <c r="E160" i="3"/>
  <c r="F160" i="3" s="1"/>
  <c r="E168" i="3"/>
  <c r="F168" i="3" s="1"/>
  <c r="E176" i="3"/>
  <c r="F176" i="3" s="1"/>
  <c r="E184" i="3"/>
  <c r="F184" i="3" s="1"/>
  <c r="E192" i="3"/>
  <c r="F192" i="3" s="1"/>
  <c r="E200" i="3"/>
  <c r="F200" i="3" s="1"/>
  <c r="E208" i="3"/>
  <c r="F208" i="3" s="1"/>
  <c r="E216" i="3"/>
  <c r="F216" i="3" s="1"/>
  <c r="E224" i="3"/>
  <c r="F224" i="3" s="1"/>
  <c r="E232" i="3"/>
  <c r="F232" i="3" s="1"/>
  <c r="E240" i="3"/>
  <c r="F240" i="3" s="1"/>
  <c r="E248" i="3"/>
  <c r="F248" i="3" s="1"/>
  <c r="E256" i="3"/>
  <c r="F256" i="3" s="1"/>
  <c r="E264" i="3"/>
  <c r="F264" i="3" s="1"/>
  <c r="E272" i="3"/>
  <c r="F272" i="3" s="1"/>
  <c r="E280" i="3"/>
  <c r="F280" i="3" s="1"/>
  <c r="E288" i="3"/>
  <c r="F288" i="3" s="1"/>
  <c r="E296" i="3"/>
  <c r="F296" i="3" s="1"/>
  <c r="E304" i="3"/>
  <c r="F304" i="3" s="1"/>
  <c r="E312" i="3"/>
  <c r="F312" i="3" s="1"/>
  <c r="E320" i="3"/>
  <c r="F320" i="3" s="1"/>
  <c r="E328" i="3"/>
  <c r="F328" i="3" s="1"/>
  <c r="E336" i="3"/>
  <c r="F336" i="3" s="1"/>
  <c r="E344" i="3"/>
  <c r="F344" i="3" s="1"/>
  <c r="E352" i="3"/>
  <c r="F352" i="3" s="1"/>
  <c r="E360" i="3"/>
  <c r="F360" i="3" s="1"/>
  <c r="E368" i="3"/>
  <c r="F368" i="3" s="1"/>
  <c r="E376" i="3"/>
  <c r="F376" i="3" s="1"/>
  <c r="E384" i="3"/>
  <c r="F384" i="3" s="1"/>
  <c r="E392" i="3"/>
  <c r="F392" i="3" s="1"/>
  <c r="E400" i="3"/>
  <c r="F400" i="3" s="1"/>
  <c r="E408" i="3"/>
  <c r="F408" i="3" s="1"/>
  <c r="E416" i="3"/>
  <c r="F416" i="3" s="1"/>
  <c r="E424" i="3"/>
  <c r="F424" i="3" s="1"/>
  <c r="E432" i="3"/>
  <c r="F432" i="3" s="1"/>
  <c r="E440" i="3"/>
  <c r="F440" i="3" s="1"/>
  <c r="E448" i="3"/>
  <c r="F448" i="3" s="1"/>
  <c r="E9" i="3"/>
  <c r="F9" i="3" s="1"/>
  <c r="E17" i="3"/>
  <c r="F17" i="3" s="1"/>
  <c r="E25" i="3"/>
  <c r="F25" i="3" s="1"/>
  <c r="E33" i="3"/>
  <c r="F33" i="3" s="1"/>
  <c r="E41" i="3"/>
  <c r="F41" i="3" s="1"/>
  <c r="E49" i="3"/>
  <c r="F49" i="3" s="1"/>
  <c r="E57" i="3"/>
  <c r="F57" i="3" s="1"/>
  <c r="E65" i="3"/>
  <c r="F65" i="3" s="1"/>
  <c r="E73" i="3"/>
  <c r="F73" i="3" s="1"/>
  <c r="E81" i="3"/>
  <c r="F81" i="3" s="1"/>
  <c r="E89" i="3"/>
  <c r="F89" i="3" s="1"/>
  <c r="E97" i="3"/>
  <c r="F97" i="3" s="1"/>
  <c r="E105" i="3"/>
  <c r="F105" i="3" s="1"/>
  <c r="E113" i="3"/>
  <c r="F113" i="3" s="1"/>
  <c r="E121" i="3"/>
  <c r="F121" i="3" s="1"/>
  <c r="E129" i="3"/>
  <c r="F129" i="3" s="1"/>
  <c r="E137" i="3"/>
  <c r="F137" i="3" s="1"/>
  <c r="E145" i="3"/>
  <c r="F145" i="3" s="1"/>
  <c r="E153" i="3"/>
  <c r="F153" i="3" s="1"/>
  <c r="E161" i="3"/>
  <c r="F161" i="3" s="1"/>
  <c r="E169" i="3"/>
  <c r="F169" i="3" s="1"/>
  <c r="E177" i="3"/>
  <c r="F177" i="3" s="1"/>
  <c r="E185" i="3"/>
  <c r="F185" i="3" s="1"/>
  <c r="E193" i="3"/>
  <c r="F193" i="3" s="1"/>
  <c r="E201" i="3"/>
  <c r="F201" i="3" s="1"/>
  <c r="E209" i="3"/>
  <c r="F209" i="3" s="1"/>
  <c r="E217" i="3"/>
  <c r="F217" i="3" s="1"/>
  <c r="E225" i="3"/>
  <c r="F225" i="3" s="1"/>
  <c r="E233" i="3"/>
  <c r="F233" i="3" s="1"/>
  <c r="E241" i="3"/>
  <c r="F241" i="3" s="1"/>
  <c r="E249" i="3"/>
  <c r="F249" i="3" s="1"/>
  <c r="E257" i="3"/>
  <c r="F257" i="3" s="1"/>
  <c r="E265" i="3"/>
  <c r="F265" i="3" s="1"/>
  <c r="E273" i="3"/>
  <c r="F273" i="3" s="1"/>
  <c r="E281" i="3"/>
  <c r="F281" i="3" s="1"/>
  <c r="E289" i="3"/>
  <c r="F289" i="3" s="1"/>
  <c r="E297" i="3"/>
  <c r="F297" i="3" s="1"/>
  <c r="E305" i="3"/>
  <c r="F305" i="3" s="1"/>
  <c r="E313" i="3"/>
  <c r="F313" i="3" s="1"/>
  <c r="E321" i="3"/>
  <c r="F321" i="3" s="1"/>
  <c r="E329" i="3"/>
  <c r="F329" i="3" s="1"/>
  <c r="E337" i="3"/>
  <c r="F337" i="3" s="1"/>
  <c r="E345" i="3"/>
  <c r="F345" i="3" s="1"/>
  <c r="E353" i="3"/>
  <c r="F353" i="3" s="1"/>
  <c r="E361" i="3"/>
  <c r="F361" i="3" s="1"/>
  <c r="E369" i="3"/>
  <c r="F369" i="3" s="1"/>
  <c r="E377" i="3"/>
  <c r="F377" i="3" s="1"/>
  <c r="E385" i="3"/>
  <c r="F385" i="3" s="1"/>
  <c r="E393" i="3"/>
  <c r="F393" i="3" s="1"/>
  <c r="E401" i="3"/>
  <c r="F401" i="3" s="1"/>
  <c r="E409" i="3"/>
  <c r="F409" i="3" s="1"/>
  <c r="E417" i="3"/>
  <c r="F417" i="3" s="1"/>
  <c r="E425" i="3"/>
  <c r="F425" i="3" s="1"/>
  <c r="E433" i="3"/>
  <c r="F433" i="3" s="1"/>
  <c r="E441" i="3"/>
  <c r="F441" i="3" s="1"/>
  <c r="E449" i="3"/>
  <c r="F449" i="3" s="1"/>
  <c r="E10" i="3"/>
  <c r="F10" i="3" s="1"/>
  <c r="E18" i="3"/>
  <c r="F18" i="3" s="1"/>
  <c r="E26" i="3"/>
  <c r="F26" i="3" s="1"/>
  <c r="E34" i="3"/>
  <c r="F34" i="3" s="1"/>
  <c r="E42" i="3"/>
  <c r="F42" i="3" s="1"/>
  <c r="E50" i="3"/>
  <c r="F50" i="3" s="1"/>
  <c r="E58" i="3"/>
  <c r="F58" i="3" s="1"/>
  <c r="E66" i="3"/>
  <c r="F66" i="3" s="1"/>
  <c r="E74" i="3"/>
  <c r="F74" i="3" s="1"/>
  <c r="E82" i="3"/>
  <c r="F82" i="3" s="1"/>
  <c r="E90" i="3"/>
  <c r="F90" i="3" s="1"/>
  <c r="E98" i="3"/>
  <c r="F98" i="3" s="1"/>
  <c r="E106" i="3"/>
  <c r="F106" i="3" s="1"/>
  <c r="E114" i="3"/>
  <c r="F114" i="3" s="1"/>
  <c r="E122" i="3"/>
  <c r="F122" i="3" s="1"/>
  <c r="E130" i="3"/>
  <c r="F130" i="3" s="1"/>
  <c r="E138" i="3"/>
  <c r="F138" i="3" s="1"/>
  <c r="E146" i="3"/>
  <c r="F146" i="3" s="1"/>
  <c r="E154" i="3"/>
  <c r="F154" i="3" s="1"/>
  <c r="E162" i="3"/>
  <c r="F162" i="3" s="1"/>
  <c r="E170" i="3"/>
  <c r="F170" i="3" s="1"/>
  <c r="E178" i="3"/>
  <c r="F178" i="3" s="1"/>
  <c r="E186" i="3"/>
  <c r="F186" i="3" s="1"/>
  <c r="E194" i="3"/>
  <c r="F194" i="3" s="1"/>
  <c r="E202" i="3"/>
  <c r="F202" i="3" s="1"/>
  <c r="E210" i="3"/>
  <c r="F210" i="3" s="1"/>
  <c r="E218" i="3"/>
  <c r="F218" i="3" s="1"/>
  <c r="E226" i="3"/>
  <c r="F226" i="3" s="1"/>
  <c r="E234" i="3"/>
  <c r="F234" i="3" s="1"/>
  <c r="E242" i="3"/>
  <c r="F242" i="3" s="1"/>
  <c r="E250" i="3"/>
  <c r="F250" i="3" s="1"/>
  <c r="E258" i="3"/>
  <c r="F258" i="3" s="1"/>
  <c r="E266" i="3"/>
  <c r="F266" i="3" s="1"/>
  <c r="E274" i="3"/>
  <c r="F274" i="3" s="1"/>
  <c r="E282" i="3"/>
  <c r="F282" i="3" s="1"/>
  <c r="E290" i="3"/>
  <c r="F290" i="3" s="1"/>
  <c r="E298" i="3"/>
  <c r="F298" i="3" s="1"/>
  <c r="E306" i="3"/>
  <c r="F306" i="3" s="1"/>
  <c r="E314" i="3"/>
  <c r="F314" i="3" s="1"/>
  <c r="E322" i="3"/>
  <c r="F322" i="3" s="1"/>
  <c r="E330" i="3"/>
  <c r="F330" i="3" s="1"/>
  <c r="E338" i="3"/>
  <c r="F338" i="3" s="1"/>
  <c r="E346" i="3"/>
  <c r="F346" i="3" s="1"/>
  <c r="E354" i="3"/>
  <c r="F354" i="3" s="1"/>
  <c r="E362" i="3"/>
  <c r="F362" i="3" s="1"/>
  <c r="E370" i="3"/>
  <c r="F370" i="3" s="1"/>
  <c r="E378" i="3"/>
  <c r="F378" i="3" s="1"/>
  <c r="E386" i="3"/>
  <c r="F386" i="3" s="1"/>
  <c r="E394" i="3"/>
  <c r="F394" i="3" s="1"/>
  <c r="E402" i="3"/>
  <c r="F402" i="3" s="1"/>
  <c r="E410" i="3"/>
  <c r="F410" i="3" s="1"/>
  <c r="E418" i="3"/>
  <c r="F418" i="3" s="1"/>
  <c r="E426" i="3"/>
  <c r="F426" i="3" s="1"/>
  <c r="E434" i="3"/>
  <c r="F434" i="3" s="1"/>
  <c r="E4" i="3"/>
  <c r="F4" i="3" s="1"/>
  <c r="E12" i="3"/>
  <c r="F12" i="3" s="1"/>
  <c r="E20" i="3"/>
  <c r="F20" i="3" s="1"/>
  <c r="E28" i="3"/>
  <c r="F28" i="3" s="1"/>
  <c r="E36" i="3"/>
  <c r="F36" i="3" s="1"/>
  <c r="E44" i="3"/>
  <c r="F44" i="3" s="1"/>
  <c r="E52" i="3"/>
  <c r="F52" i="3" s="1"/>
  <c r="E60" i="3"/>
  <c r="F60" i="3" s="1"/>
  <c r="E68" i="3"/>
  <c r="F68" i="3" s="1"/>
  <c r="E76" i="3"/>
  <c r="F76" i="3" s="1"/>
  <c r="E84" i="3"/>
  <c r="F84" i="3" s="1"/>
  <c r="E92" i="3"/>
  <c r="F92" i="3" s="1"/>
  <c r="E100" i="3"/>
  <c r="F100" i="3" s="1"/>
  <c r="E108" i="3"/>
  <c r="F108" i="3" s="1"/>
  <c r="E116" i="3"/>
  <c r="F116" i="3" s="1"/>
  <c r="E124" i="3"/>
  <c r="F124" i="3" s="1"/>
  <c r="E132" i="3"/>
  <c r="F132" i="3" s="1"/>
  <c r="E140" i="3"/>
  <c r="F140" i="3" s="1"/>
  <c r="E148" i="3"/>
  <c r="F148" i="3" s="1"/>
  <c r="E156" i="3"/>
  <c r="F156" i="3" s="1"/>
  <c r="E164" i="3"/>
  <c r="F164" i="3" s="1"/>
  <c r="E172" i="3"/>
  <c r="F172" i="3" s="1"/>
  <c r="E180" i="3"/>
  <c r="F180" i="3" s="1"/>
  <c r="E188" i="3"/>
  <c r="F188" i="3" s="1"/>
  <c r="E196" i="3"/>
  <c r="F196" i="3" s="1"/>
  <c r="E204" i="3"/>
  <c r="F204" i="3" s="1"/>
  <c r="E212" i="3"/>
  <c r="F212" i="3" s="1"/>
  <c r="E220" i="3"/>
  <c r="F220" i="3" s="1"/>
  <c r="E228" i="3"/>
  <c r="F228" i="3" s="1"/>
  <c r="E236" i="3"/>
  <c r="F236" i="3" s="1"/>
  <c r="E244" i="3"/>
  <c r="F244" i="3" s="1"/>
  <c r="E252" i="3"/>
  <c r="F252" i="3" s="1"/>
  <c r="E260" i="3"/>
  <c r="F260" i="3" s="1"/>
  <c r="E268" i="3"/>
  <c r="F268" i="3" s="1"/>
  <c r="E276" i="3"/>
  <c r="F276" i="3" s="1"/>
  <c r="E284" i="3"/>
  <c r="F284" i="3" s="1"/>
  <c r="E292" i="3"/>
  <c r="F292" i="3" s="1"/>
  <c r="E300" i="3"/>
  <c r="F300" i="3" s="1"/>
  <c r="E308" i="3"/>
  <c r="F308" i="3" s="1"/>
  <c r="E316" i="3"/>
  <c r="F316" i="3" s="1"/>
  <c r="E324" i="3"/>
  <c r="F324" i="3" s="1"/>
  <c r="E332" i="3"/>
  <c r="F332" i="3" s="1"/>
  <c r="E340" i="3"/>
  <c r="F340" i="3" s="1"/>
  <c r="E348" i="3"/>
  <c r="F348" i="3" s="1"/>
  <c r="E356" i="3"/>
  <c r="F356" i="3" s="1"/>
  <c r="E364" i="3"/>
  <c r="F364" i="3" s="1"/>
  <c r="E372" i="3"/>
  <c r="F372" i="3" s="1"/>
  <c r="E380" i="3"/>
  <c r="F380" i="3" s="1"/>
  <c r="E388" i="3"/>
  <c r="F388" i="3" s="1"/>
  <c r="E396" i="3"/>
  <c r="F396" i="3" s="1"/>
  <c r="E404" i="3"/>
  <c r="F404" i="3" s="1"/>
  <c r="E412" i="3"/>
  <c r="F412" i="3" s="1"/>
  <c r="E420" i="3"/>
  <c r="F420" i="3" s="1"/>
  <c r="E428" i="3"/>
  <c r="F428" i="3" s="1"/>
  <c r="E436" i="3"/>
  <c r="F436" i="3" s="1"/>
  <c r="E444" i="3"/>
  <c r="F444" i="3" s="1"/>
  <c r="E452" i="3"/>
  <c r="F452" i="3" s="1"/>
  <c r="E13" i="3"/>
  <c r="F13" i="3" s="1"/>
  <c r="E35" i="3"/>
  <c r="F35" i="3" s="1"/>
  <c r="E54" i="3"/>
  <c r="F54" i="3" s="1"/>
  <c r="E77" i="3"/>
  <c r="F77" i="3" s="1"/>
  <c r="E99" i="3"/>
  <c r="F99" i="3" s="1"/>
  <c r="E118" i="3"/>
  <c r="F118" i="3" s="1"/>
  <c r="E141" i="3"/>
  <c r="F141" i="3" s="1"/>
  <c r="E163" i="3"/>
  <c r="F163" i="3" s="1"/>
  <c r="E182" i="3"/>
  <c r="F182" i="3" s="1"/>
  <c r="E205" i="3"/>
  <c r="F205" i="3" s="1"/>
  <c r="E227" i="3"/>
  <c r="F227" i="3" s="1"/>
  <c r="E246" i="3"/>
  <c r="F246" i="3" s="1"/>
  <c r="E269" i="3"/>
  <c r="F269" i="3" s="1"/>
  <c r="E291" i="3"/>
  <c r="F291" i="3" s="1"/>
  <c r="E310" i="3"/>
  <c r="F310" i="3" s="1"/>
  <c r="E333" i="3"/>
  <c r="F333" i="3" s="1"/>
  <c r="E355" i="3"/>
  <c r="F355" i="3" s="1"/>
  <c r="E374" i="3"/>
  <c r="F374" i="3" s="1"/>
  <c r="E397" i="3"/>
  <c r="F397" i="3" s="1"/>
  <c r="E419" i="3"/>
  <c r="F419" i="3" s="1"/>
  <c r="E438" i="3"/>
  <c r="F438" i="3" s="1"/>
  <c r="E454" i="3"/>
  <c r="F454" i="3" s="1"/>
  <c r="E462" i="3"/>
  <c r="F462" i="3" s="1"/>
  <c r="E470" i="3"/>
  <c r="F470" i="3" s="1"/>
  <c r="E478" i="3"/>
  <c r="F478" i="3" s="1"/>
  <c r="E486" i="3"/>
  <c r="F486" i="3" s="1"/>
  <c r="E494" i="3"/>
  <c r="F494" i="3" s="1"/>
  <c r="E502" i="3"/>
  <c r="F502" i="3" s="1"/>
  <c r="E510" i="3"/>
  <c r="F510" i="3" s="1"/>
  <c r="E518" i="3"/>
  <c r="F518" i="3" s="1"/>
  <c r="E526" i="3"/>
  <c r="F526" i="3" s="1"/>
  <c r="E534" i="3"/>
  <c r="F534" i="3" s="1"/>
  <c r="E542" i="3"/>
  <c r="F542" i="3" s="1"/>
  <c r="E550" i="3"/>
  <c r="F550" i="3" s="1"/>
  <c r="E558" i="3"/>
  <c r="F558" i="3" s="1"/>
  <c r="E566" i="3"/>
  <c r="F566" i="3" s="1"/>
  <c r="E574" i="3"/>
  <c r="F574" i="3" s="1"/>
  <c r="E582" i="3"/>
  <c r="F582" i="3" s="1"/>
  <c r="E590" i="3"/>
  <c r="F590" i="3" s="1"/>
  <c r="E598" i="3"/>
  <c r="F598" i="3" s="1"/>
  <c r="E606" i="3"/>
  <c r="F606" i="3" s="1"/>
  <c r="E614" i="3"/>
  <c r="F614" i="3" s="1"/>
  <c r="E622" i="3"/>
  <c r="F622" i="3" s="1"/>
  <c r="E630" i="3"/>
  <c r="F630" i="3" s="1"/>
  <c r="E638" i="3"/>
  <c r="F638" i="3" s="1"/>
  <c r="E646" i="3"/>
  <c r="F646" i="3" s="1"/>
  <c r="E654" i="3"/>
  <c r="F654" i="3" s="1"/>
  <c r="E662" i="3"/>
  <c r="F662" i="3" s="1"/>
  <c r="E22" i="3"/>
  <c r="F22" i="3" s="1"/>
  <c r="E67" i="3"/>
  <c r="F67" i="3" s="1"/>
  <c r="E109" i="3"/>
  <c r="F109" i="3" s="1"/>
  <c r="E150" i="3"/>
  <c r="F150" i="3" s="1"/>
  <c r="E195" i="3"/>
  <c r="F195" i="3" s="1"/>
  <c r="E237" i="3"/>
  <c r="F237" i="3" s="1"/>
  <c r="E278" i="3"/>
  <c r="F278" i="3" s="1"/>
  <c r="E323" i="3"/>
  <c r="F323" i="3" s="1"/>
  <c r="E365" i="3"/>
  <c r="F365" i="3" s="1"/>
  <c r="E406" i="3"/>
  <c r="F406" i="3" s="1"/>
  <c r="E446" i="3"/>
  <c r="F446" i="3" s="1"/>
  <c r="E474" i="3"/>
  <c r="F474" i="3" s="1"/>
  <c r="E490" i="3"/>
  <c r="F490" i="3" s="1"/>
  <c r="E506" i="3"/>
  <c r="F506" i="3" s="1"/>
  <c r="E522" i="3"/>
  <c r="F522" i="3" s="1"/>
  <c r="E538" i="3"/>
  <c r="F538" i="3" s="1"/>
  <c r="E554" i="3"/>
  <c r="F554" i="3" s="1"/>
  <c r="E570" i="3"/>
  <c r="F570" i="3" s="1"/>
  <c r="E586" i="3"/>
  <c r="F586" i="3" s="1"/>
  <c r="E594" i="3"/>
  <c r="F594" i="3" s="1"/>
  <c r="E610" i="3"/>
  <c r="F610" i="3" s="1"/>
  <c r="E626" i="3"/>
  <c r="F626" i="3" s="1"/>
  <c r="E642" i="3"/>
  <c r="F642" i="3" s="1"/>
  <c r="E658" i="3"/>
  <c r="F658" i="3" s="1"/>
  <c r="E30" i="3"/>
  <c r="F30" i="3" s="1"/>
  <c r="E75" i="3"/>
  <c r="F75" i="3" s="1"/>
  <c r="E117" i="3"/>
  <c r="F117" i="3" s="1"/>
  <c r="E158" i="3"/>
  <c r="F158" i="3" s="1"/>
  <c r="E222" i="3"/>
  <c r="F222" i="3" s="1"/>
  <c r="E245" i="3"/>
  <c r="F245" i="3" s="1"/>
  <c r="E267" i="3"/>
  <c r="F267" i="3" s="1"/>
  <c r="E309" i="3"/>
  <c r="F309" i="3" s="1"/>
  <c r="E350" i="3"/>
  <c r="F350" i="3" s="1"/>
  <c r="E414" i="3"/>
  <c r="F414" i="3" s="1"/>
  <c r="E453" i="3"/>
  <c r="F453" i="3" s="1"/>
  <c r="E477" i="3"/>
  <c r="F477" i="3" s="1"/>
  <c r="E493" i="3"/>
  <c r="F493" i="3" s="1"/>
  <c r="E509" i="3"/>
  <c r="F509" i="3" s="1"/>
  <c r="E525" i="3"/>
  <c r="F525" i="3" s="1"/>
  <c r="E541" i="3"/>
  <c r="F541" i="3" s="1"/>
  <c r="E557" i="3"/>
  <c r="F557" i="3" s="1"/>
  <c r="E573" i="3"/>
  <c r="F573" i="3" s="1"/>
  <c r="E589" i="3"/>
  <c r="F589" i="3" s="1"/>
  <c r="E605" i="3"/>
  <c r="F605" i="3" s="1"/>
  <c r="E621" i="3"/>
  <c r="F621" i="3" s="1"/>
  <c r="E637" i="3"/>
  <c r="F637" i="3" s="1"/>
  <c r="E653" i="3"/>
  <c r="F653" i="3" s="1"/>
  <c r="E14" i="3"/>
  <c r="F14" i="3" s="1"/>
  <c r="E37" i="3"/>
  <c r="F37" i="3" s="1"/>
  <c r="E59" i="3"/>
  <c r="F59" i="3" s="1"/>
  <c r="E78" i="3"/>
  <c r="F78" i="3" s="1"/>
  <c r="E101" i="3"/>
  <c r="F101" i="3" s="1"/>
  <c r="E123" i="3"/>
  <c r="F123" i="3" s="1"/>
  <c r="E142" i="3"/>
  <c r="F142" i="3" s="1"/>
  <c r="E165" i="3"/>
  <c r="F165" i="3" s="1"/>
  <c r="E187" i="3"/>
  <c r="F187" i="3" s="1"/>
  <c r="E206" i="3"/>
  <c r="F206" i="3" s="1"/>
  <c r="E229" i="3"/>
  <c r="F229" i="3" s="1"/>
  <c r="E251" i="3"/>
  <c r="F251" i="3" s="1"/>
  <c r="E270" i="3"/>
  <c r="F270" i="3" s="1"/>
  <c r="E293" i="3"/>
  <c r="F293" i="3" s="1"/>
  <c r="E315" i="3"/>
  <c r="F315" i="3" s="1"/>
  <c r="E334" i="3"/>
  <c r="F334" i="3" s="1"/>
  <c r="E357" i="3"/>
  <c r="F357" i="3" s="1"/>
  <c r="E379" i="3"/>
  <c r="F379" i="3" s="1"/>
  <c r="E398" i="3"/>
  <c r="F398" i="3" s="1"/>
  <c r="E421" i="3"/>
  <c r="F421" i="3" s="1"/>
  <c r="E442" i="3"/>
  <c r="F442" i="3" s="1"/>
  <c r="E455" i="3"/>
  <c r="F455" i="3" s="1"/>
  <c r="E463" i="3"/>
  <c r="F463" i="3" s="1"/>
  <c r="E471" i="3"/>
  <c r="F471" i="3" s="1"/>
  <c r="E479" i="3"/>
  <c r="F479" i="3" s="1"/>
  <c r="E487" i="3"/>
  <c r="F487" i="3" s="1"/>
  <c r="E495" i="3"/>
  <c r="F495" i="3" s="1"/>
  <c r="E503" i="3"/>
  <c r="F503" i="3" s="1"/>
  <c r="E511" i="3"/>
  <c r="F511" i="3" s="1"/>
  <c r="E519" i="3"/>
  <c r="F519" i="3" s="1"/>
  <c r="E527" i="3"/>
  <c r="F527" i="3" s="1"/>
  <c r="E535" i="3"/>
  <c r="F535" i="3" s="1"/>
  <c r="E543" i="3"/>
  <c r="F543" i="3" s="1"/>
  <c r="E551" i="3"/>
  <c r="F551" i="3" s="1"/>
  <c r="E559" i="3"/>
  <c r="F559" i="3" s="1"/>
  <c r="E567" i="3"/>
  <c r="F567" i="3" s="1"/>
  <c r="E575" i="3"/>
  <c r="F575" i="3" s="1"/>
  <c r="E583" i="3"/>
  <c r="F583" i="3" s="1"/>
  <c r="E591" i="3"/>
  <c r="F591" i="3" s="1"/>
  <c r="E599" i="3"/>
  <c r="F599" i="3" s="1"/>
  <c r="E607" i="3"/>
  <c r="F607" i="3" s="1"/>
  <c r="E615" i="3"/>
  <c r="F615" i="3" s="1"/>
  <c r="E623" i="3"/>
  <c r="F623" i="3" s="1"/>
  <c r="E631" i="3"/>
  <c r="F631" i="3" s="1"/>
  <c r="E639" i="3"/>
  <c r="F639" i="3" s="1"/>
  <c r="E647" i="3"/>
  <c r="F647" i="3" s="1"/>
  <c r="E655" i="3"/>
  <c r="F655" i="3" s="1"/>
  <c r="E663" i="3"/>
  <c r="F663" i="3" s="1"/>
  <c r="E3" i="3"/>
  <c r="F3" i="3" s="1"/>
  <c r="E45" i="3"/>
  <c r="F45" i="3" s="1"/>
  <c r="E86" i="3"/>
  <c r="F86" i="3" s="1"/>
  <c r="E131" i="3"/>
  <c r="F131" i="3" s="1"/>
  <c r="E173" i="3"/>
  <c r="F173" i="3" s="1"/>
  <c r="E214" i="3"/>
  <c r="F214" i="3" s="1"/>
  <c r="E259" i="3"/>
  <c r="F259" i="3" s="1"/>
  <c r="E301" i="3"/>
  <c r="F301" i="3" s="1"/>
  <c r="E342" i="3"/>
  <c r="F342" i="3" s="1"/>
  <c r="E387" i="3"/>
  <c r="F387" i="3" s="1"/>
  <c r="E429" i="3"/>
  <c r="F429" i="3" s="1"/>
  <c r="E466" i="3"/>
  <c r="F466" i="3" s="1"/>
  <c r="E482" i="3"/>
  <c r="F482" i="3" s="1"/>
  <c r="E498" i="3"/>
  <c r="F498" i="3" s="1"/>
  <c r="E514" i="3"/>
  <c r="F514" i="3" s="1"/>
  <c r="E530" i="3"/>
  <c r="F530" i="3" s="1"/>
  <c r="E546" i="3"/>
  <c r="F546" i="3" s="1"/>
  <c r="E562" i="3"/>
  <c r="F562" i="3" s="1"/>
  <c r="E578" i="3"/>
  <c r="F578" i="3" s="1"/>
  <c r="E602" i="3"/>
  <c r="F602" i="3" s="1"/>
  <c r="E618" i="3"/>
  <c r="F618" i="3" s="1"/>
  <c r="E634" i="3"/>
  <c r="F634" i="3" s="1"/>
  <c r="E650" i="3"/>
  <c r="F650" i="3" s="1"/>
  <c r="E666" i="3"/>
  <c r="F666" i="3" s="1"/>
  <c r="E11" i="3"/>
  <c r="F11" i="3" s="1"/>
  <c r="E53" i="3"/>
  <c r="F53" i="3" s="1"/>
  <c r="E94" i="3"/>
  <c r="F94" i="3" s="1"/>
  <c r="E139" i="3"/>
  <c r="F139" i="3" s="1"/>
  <c r="E181" i="3"/>
  <c r="F181" i="3" s="1"/>
  <c r="E286" i="3"/>
  <c r="F286" i="3" s="1"/>
  <c r="E331" i="3"/>
  <c r="F331" i="3" s="1"/>
  <c r="E373" i="3"/>
  <c r="F373" i="3" s="1"/>
  <c r="E437" i="3"/>
  <c r="F437" i="3" s="1"/>
  <c r="E461" i="3"/>
  <c r="F461" i="3" s="1"/>
  <c r="E469" i="3"/>
  <c r="F469" i="3" s="1"/>
  <c r="E485" i="3"/>
  <c r="F485" i="3" s="1"/>
  <c r="E501" i="3"/>
  <c r="F501" i="3" s="1"/>
  <c r="E517" i="3"/>
  <c r="F517" i="3" s="1"/>
  <c r="E533" i="3"/>
  <c r="F533" i="3" s="1"/>
  <c r="E549" i="3"/>
  <c r="F549" i="3" s="1"/>
  <c r="E565" i="3"/>
  <c r="F565" i="3" s="1"/>
  <c r="E581" i="3"/>
  <c r="F581" i="3" s="1"/>
  <c r="E597" i="3"/>
  <c r="F597" i="3" s="1"/>
  <c r="E613" i="3"/>
  <c r="F613" i="3" s="1"/>
  <c r="E629" i="3"/>
  <c r="F629" i="3" s="1"/>
  <c r="E645" i="3"/>
  <c r="F645" i="3" s="1"/>
  <c r="E661" i="3"/>
  <c r="F661" i="3" s="1"/>
  <c r="E19" i="3"/>
  <c r="F19" i="3" s="1"/>
  <c r="E38" i="3"/>
  <c r="F38" i="3" s="1"/>
  <c r="E61" i="3"/>
  <c r="F61" i="3" s="1"/>
  <c r="E83" i="3"/>
  <c r="F83" i="3" s="1"/>
  <c r="E102" i="3"/>
  <c r="F102" i="3" s="1"/>
  <c r="E125" i="3"/>
  <c r="F125" i="3" s="1"/>
  <c r="E147" i="3"/>
  <c r="F147" i="3" s="1"/>
  <c r="E166" i="3"/>
  <c r="F166" i="3" s="1"/>
  <c r="E189" i="3"/>
  <c r="F189" i="3" s="1"/>
  <c r="E211" i="3"/>
  <c r="F211" i="3" s="1"/>
  <c r="E230" i="3"/>
  <c r="F230" i="3" s="1"/>
  <c r="E253" i="3"/>
  <c r="F253" i="3" s="1"/>
  <c r="E275" i="3"/>
  <c r="F275" i="3" s="1"/>
  <c r="E294" i="3"/>
  <c r="F294" i="3" s="1"/>
  <c r="E317" i="3"/>
  <c r="F317" i="3" s="1"/>
  <c r="E339" i="3"/>
  <c r="F339" i="3" s="1"/>
  <c r="E358" i="3"/>
  <c r="F358" i="3" s="1"/>
  <c r="E381" i="3"/>
  <c r="F381" i="3" s="1"/>
  <c r="E403" i="3"/>
  <c r="F403" i="3" s="1"/>
  <c r="E422" i="3"/>
  <c r="F422" i="3" s="1"/>
  <c r="E443" i="3"/>
  <c r="F443" i="3" s="1"/>
  <c r="E456" i="3"/>
  <c r="F456" i="3" s="1"/>
  <c r="E464" i="3"/>
  <c r="F464" i="3" s="1"/>
  <c r="E472" i="3"/>
  <c r="F472" i="3" s="1"/>
  <c r="E480" i="3"/>
  <c r="F480" i="3" s="1"/>
  <c r="E488" i="3"/>
  <c r="F488" i="3" s="1"/>
  <c r="E496" i="3"/>
  <c r="F496" i="3" s="1"/>
  <c r="E504" i="3"/>
  <c r="F504" i="3" s="1"/>
  <c r="E512" i="3"/>
  <c r="F512" i="3" s="1"/>
  <c r="E520" i="3"/>
  <c r="F520" i="3" s="1"/>
  <c r="E528" i="3"/>
  <c r="F528" i="3" s="1"/>
  <c r="E536" i="3"/>
  <c r="F536" i="3" s="1"/>
  <c r="E544" i="3"/>
  <c r="F544" i="3" s="1"/>
  <c r="E552" i="3"/>
  <c r="F552" i="3" s="1"/>
  <c r="E560" i="3"/>
  <c r="F560" i="3" s="1"/>
  <c r="E568" i="3"/>
  <c r="F568" i="3" s="1"/>
  <c r="E576" i="3"/>
  <c r="F576" i="3" s="1"/>
  <c r="E584" i="3"/>
  <c r="F584" i="3" s="1"/>
  <c r="E592" i="3"/>
  <c r="F592" i="3" s="1"/>
  <c r="E600" i="3"/>
  <c r="F600" i="3" s="1"/>
  <c r="E608" i="3"/>
  <c r="F608" i="3" s="1"/>
  <c r="E616" i="3"/>
  <c r="F616" i="3" s="1"/>
  <c r="E624" i="3"/>
  <c r="F624" i="3" s="1"/>
  <c r="E632" i="3"/>
  <c r="F632" i="3" s="1"/>
  <c r="E640" i="3"/>
  <c r="F640" i="3" s="1"/>
  <c r="E648" i="3"/>
  <c r="F648" i="3" s="1"/>
  <c r="E656" i="3"/>
  <c r="F656" i="3" s="1"/>
  <c r="E664" i="3"/>
  <c r="F664" i="3" s="1"/>
  <c r="E458" i="3"/>
  <c r="F458" i="3" s="1"/>
  <c r="E203" i="3"/>
  <c r="F203" i="3" s="1"/>
  <c r="E21" i="3"/>
  <c r="F21" i="3" s="1"/>
  <c r="E43" i="3"/>
  <c r="F43" i="3" s="1"/>
  <c r="E62" i="3"/>
  <c r="F62" i="3" s="1"/>
  <c r="E85" i="3"/>
  <c r="F85" i="3" s="1"/>
  <c r="E107" i="3"/>
  <c r="F107" i="3" s="1"/>
  <c r="E126" i="3"/>
  <c r="F126" i="3" s="1"/>
  <c r="E149" i="3"/>
  <c r="F149" i="3" s="1"/>
  <c r="E171" i="3"/>
  <c r="F171" i="3" s="1"/>
  <c r="E190" i="3"/>
  <c r="F190" i="3" s="1"/>
  <c r="E213" i="3"/>
  <c r="F213" i="3" s="1"/>
  <c r="E235" i="3"/>
  <c r="F235" i="3" s="1"/>
  <c r="E254" i="3"/>
  <c r="F254" i="3" s="1"/>
  <c r="E277" i="3"/>
  <c r="F277" i="3" s="1"/>
  <c r="E299" i="3"/>
  <c r="F299" i="3" s="1"/>
  <c r="E318" i="3"/>
  <c r="F318" i="3" s="1"/>
  <c r="E341" i="3"/>
  <c r="F341" i="3" s="1"/>
  <c r="E363" i="3"/>
  <c r="F363" i="3" s="1"/>
  <c r="E382" i="3"/>
  <c r="F382" i="3" s="1"/>
  <c r="E405" i="3"/>
  <c r="F405" i="3" s="1"/>
  <c r="E427" i="3"/>
  <c r="F427" i="3" s="1"/>
  <c r="E445" i="3"/>
  <c r="F445" i="3" s="1"/>
  <c r="E457" i="3"/>
  <c r="F457" i="3" s="1"/>
  <c r="E465" i="3"/>
  <c r="F465" i="3" s="1"/>
  <c r="E473" i="3"/>
  <c r="F473" i="3" s="1"/>
  <c r="E481" i="3"/>
  <c r="F481" i="3" s="1"/>
  <c r="E489" i="3"/>
  <c r="F489" i="3" s="1"/>
  <c r="E497" i="3"/>
  <c r="F497" i="3" s="1"/>
  <c r="E505" i="3"/>
  <c r="F505" i="3" s="1"/>
  <c r="E513" i="3"/>
  <c r="F513" i="3" s="1"/>
  <c r="E521" i="3"/>
  <c r="F521" i="3" s="1"/>
  <c r="E529" i="3"/>
  <c r="F529" i="3" s="1"/>
  <c r="E537" i="3"/>
  <c r="F537" i="3" s="1"/>
  <c r="E545" i="3"/>
  <c r="F545" i="3" s="1"/>
  <c r="E553" i="3"/>
  <c r="F553" i="3" s="1"/>
  <c r="E561" i="3"/>
  <c r="F561" i="3" s="1"/>
  <c r="E569" i="3"/>
  <c r="F569" i="3" s="1"/>
  <c r="E577" i="3"/>
  <c r="F577" i="3" s="1"/>
  <c r="E585" i="3"/>
  <c r="F585" i="3" s="1"/>
  <c r="E593" i="3"/>
  <c r="F593" i="3" s="1"/>
  <c r="E601" i="3"/>
  <c r="F601" i="3" s="1"/>
  <c r="E609" i="3"/>
  <c r="F609" i="3" s="1"/>
  <c r="E617" i="3"/>
  <c r="F617" i="3" s="1"/>
  <c r="E625" i="3"/>
  <c r="F625" i="3" s="1"/>
  <c r="E633" i="3"/>
  <c r="F633" i="3" s="1"/>
  <c r="E641" i="3"/>
  <c r="F641" i="3" s="1"/>
  <c r="E649" i="3"/>
  <c r="F649" i="3" s="1"/>
  <c r="E657" i="3"/>
  <c r="F657" i="3" s="1"/>
  <c r="E665" i="3"/>
  <c r="F665" i="3" s="1"/>
  <c r="E5" i="3"/>
  <c r="F5" i="3" s="1"/>
  <c r="E27" i="3"/>
  <c r="F27" i="3" s="1"/>
  <c r="E46" i="3"/>
  <c r="F46" i="3" s="1"/>
  <c r="E69" i="3"/>
  <c r="F69" i="3" s="1"/>
  <c r="E91" i="3"/>
  <c r="F91" i="3" s="1"/>
  <c r="E110" i="3"/>
  <c r="F110" i="3" s="1"/>
  <c r="E133" i="3"/>
  <c r="F133" i="3" s="1"/>
  <c r="E155" i="3"/>
  <c r="F155" i="3" s="1"/>
  <c r="E174" i="3"/>
  <c r="F174" i="3" s="1"/>
  <c r="E197" i="3"/>
  <c r="F197" i="3" s="1"/>
  <c r="E219" i="3"/>
  <c r="F219" i="3" s="1"/>
  <c r="E238" i="3"/>
  <c r="F238" i="3" s="1"/>
  <c r="E261" i="3"/>
  <c r="F261" i="3" s="1"/>
  <c r="E283" i="3"/>
  <c r="F283" i="3" s="1"/>
  <c r="E302" i="3"/>
  <c r="F302" i="3" s="1"/>
  <c r="E325" i="3"/>
  <c r="F325" i="3" s="1"/>
  <c r="E347" i="3"/>
  <c r="F347" i="3" s="1"/>
  <c r="E366" i="3"/>
  <c r="F366" i="3" s="1"/>
  <c r="E389" i="3"/>
  <c r="F389" i="3" s="1"/>
  <c r="E411" i="3"/>
  <c r="F411" i="3" s="1"/>
  <c r="E430" i="3"/>
  <c r="F430" i="3" s="1"/>
  <c r="E450" i="3"/>
  <c r="F450" i="3" s="1"/>
  <c r="E459" i="3"/>
  <c r="F459" i="3" s="1"/>
  <c r="E467" i="3"/>
  <c r="F467" i="3" s="1"/>
  <c r="E475" i="3"/>
  <c r="F475" i="3" s="1"/>
  <c r="E483" i="3"/>
  <c r="F483" i="3" s="1"/>
  <c r="E491" i="3"/>
  <c r="F491" i="3" s="1"/>
  <c r="E499" i="3"/>
  <c r="F499" i="3" s="1"/>
  <c r="E507" i="3"/>
  <c r="F507" i="3" s="1"/>
  <c r="E515" i="3"/>
  <c r="F515" i="3" s="1"/>
  <c r="E523" i="3"/>
  <c r="F523" i="3" s="1"/>
  <c r="E531" i="3"/>
  <c r="F531" i="3" s="1"/>
  <c r="E539" i="3"/>
  <c r="F539" i="3" s="1"/>
  <c r="E547" i="3"/>
  <c r="F547" i="3" s="1"/>
  <c r="E555" i="3"/>
  <c r="F555" i="3" s="1"/>
  <c r="E563" i="3"/>
  <c r="F563" i="3" s="1"/>
  <c r="E571" i="3"/>
  <c r="F571" i="3" s="1"/>
  <c r="E579" i="3"/>
  <c r="F579" i="3" s="1"/>
  <c r="E587" i="3"/>
  <c r="F587" i="3" s="1"/>
  <c r="E595" i="3"/>
  <c r="F595" i="3" s="1"/>
  <c r="E603" i="3"/>
  <c r="F603" i="3" s="1"/>
  <c r="E611" i="3"/>
  <c r="F611" i="3" s="1"/>
  <c r="E619" i="3"/>
  <c r="F619" i="3" s="1"/>
  <c r="E627" i="3"/>
  <c r="F627" i="3" s="1"/>
  <c r="E635" i="3"/>
  <c r="F635" i="3" s="1"/>
  <c r="E643" i="3"/>
  <c r="F643" i="3" s="1"/>
  <c r="E651" i="3"/>
  <c r="F651" i="3" s="1"/>
  <c r="E659" i="3"/>
  <c r="F659" i="3" s="1"/>
  <c r="E6" i="3"/>
  <c r="F6" i="3" s="1"/>
  <c r="E29" i="3"/>
  <c r="F29" i="3" s="1"/>
  <c r="E51" i="3"/>
  <c r="F51" i="3" s="1"/>
  <c r="E70" i="3"/>
  <c r="F70" i="3" s="1"/>
  <c r="E93" i="3"/>
  <c r="F93" i="3" s="1"/>
  <c r="E115" i="3"/>
  <c r="F115" i="3" s="1"/>
  <c r="E134" i="3"/>
  <c r="F134" i="3" s="1"/>
  <c r="E157" i="3"/>
  <c r="F157" i="3" s="1"/>
  <c r="E179" i="3"/>
  <c r="F179" i="3" s="1"/>
  <c r="E198" i="3"/>
  <c r="F198" i="3" s="1"/>
  <c r="E221" i="3"/>
  <c r="F221" i="3" s="1"/>
  <c r="E243" i="3"/>
  <c r="F243" i="3" s="1"/>
  <c r="E262" i="3"/>
  <c r="F262" i="3" s="1"/>
  <c r="E285" i="3"/>
  <c r="F285" i="3" s="1"/>
  <c r="E307" i="3"/>
  <c r="F307" i="3" s="1"/>
  <c r="E326" i="3"/>
  <c r="F326" i="3" s="1"/>
  <c r="E349" i="3"/>
  <c r="F349" i="3" s="1"/>
  <c r="E371" i="3"/>
  <c r="F371" i="3" s="1"/>
  <c r="E390" i="3"/>
  <c r="F390" i="3" s="1"/>
  <c r="E413" i="3"/>
  <c r="F413" i="3" s="1"/>
  <c r="E435" i="3"/>
  <c r="F435" i="3" s="1"/>
  <c r="E451" i="3"/>
  <c r="F451" i="3" s="1"/>
  <c r="E460" i="3"/>
  <c r="F460" i="3" s="1"/>
  <c r="E468" i="3"/>
  <c r="F468" i="3" s="1"/>
  <c r="E476" i="3"/>
  <c r="F476" i="3" s="1"/>
  <c r="E484" i="3"/>
  <c r="F484" i="3" s="1"/>
  <c r="E492" i="3"/>
  <c r="F492" i="3" s="1"/>
  <c r="E500" i="3"/>
  <c r="F500" i="3" s="1"/>
  <c r="E508" i="3"/>
  <c r="F508" i="3" s="1"/>
  <c r="E516" i="3"/>
  <c r="F516" i="3" s="1"/>
  <c r="E524" i="3"/>
  <c r="F524" i="3" s="1"/>
  <c r="E532" i="3"/>
  <c r="F532" i="3" s="1"/>
  <c r="E540" i="3"/>
  <c r="F540" i="3" s="1"/>
  <c r="E548" i="3"/>
  <c r="F548" i="3" s="1"/>
  <c r="E556" i="3"/>
  <c r="F556" i="3" s="1"/>
  <c r="E564" i="3"/>
  <c r="F564" i="3" s="1"/>
  <c r="E572" i="3"/>
  <c r="F572" i="3" s="1"/>
  <c r="E580" i="3"/>
  <c r="F580" i="3" s="1"/>
  <c r="E588" i="3"/>
  <c r="F588" i="3" s="1"/>
  <c r="E596" i="3"/>
  <c r="F596" i="3" s="1"/>
  <c r="E604" i="3"/>
  <c r="F604" i="3" s="1"/>
  <c r="E612" i="3"/>
  <c r="F612" i="3" s="1"/>
  <c r="E620" i="3"/>
  <c r="F620" i="3" s="1"/>
  <c r="E628" i="3"/>
  <c r="F628" i="3" s="1"/>
  <c r="E636" i="3"/>
  <c r="F636" i="3" s="1"/>
  <c r="E644" i="3"/>
  <c r="F644" i="3" s="1"/>
  <c r="E652" i="3"/>
  <c r="F652" i="3" s="1"/>
  <c r="E660" i="3"/>
  <c r="F660" i="3" s="1"/>
  <c r="E395" i="3"/>
  <c r="F395" i="3" s="1"/>
  <c r="E582" i="1"/>
  <c r="F582" i="1" s="1"/>
  <c r="E542" i="1"/>
  <c r="F542" i="1" s="1"/>
  <c r="E558" i="1"/>
  <c r="F558" i="1" s="1"/>
  <c r="E566" i="1"/>
  <c r="F566" i="1" s="1"/>
  <c r="E550" i="1"/>
  <c r="F550" i="1" s="1"/>
  <c r="E534" i="1"/>
  <c r="F534" i="1" s="1"/>
  <c r="E518" i="1"/>
  <c r="F518" i="1" s="1"/>
  <c r="E8" i="1"/>
  <c r="F8" i="1" s="1"/>
  <c r="E16" i="1"/>
  <c r="F16" i="1" s="1"/>
  <c r="E24" i="1"/>
  <c r="F24" i="1" s="1"/>
  <c r="E32" i="1"/>
  <c r="F32" i="1" s="1"/>
  <c r="E40" i="1"/>
  <c r="F40" i="1" s="1"/>
  <c r="E48" i="1"/>
  <c r="F48" i="1" s="1"/>
  <c r="E56" i="1"/>
  <c r="F56" i="1" s="1"/>
  <c r="E64" i="1"/>
  <c r="F64" i="1" s="1"/>
  <c r="E72" i="1"/>
  <c r="F72" i="1" s="1"/>
  <c r="E80" i="1"/>
  <c r="F80" i="1" s="1"/>
  <c r="E88" i="1"/>
  <c r="F88" i="1" s="1"/>
  <c r="E96" i="1"/>
  <c r="F96" i="1" s="1"/>
  <c r="E104" i="1"/>
  <c r="F104" i="1" s="1"/>
  <c r="E112" i="1"/>
  <c r="F112" i="1" s="1"/>
  <c r="E120" i="1"/>
  <c r="F120" i="1" s="1"/>
  <c r="E128" i="1"/>
  <c r="F128" i="1" s="1"/>
  <c r="E136" i="1"/>
  <c r="F136" i="1" s="1"/>
  <c r="E144" i="1"/>
  <c r="F144" i="1" s="1"/>
  <c r="E152" i="1"/>
  <c r="F152" i="1" s="1"/>
  <c r="E160" i="1"/>
  <c r="F160" i="1" s="1"/>
  <c r="E168" i="1"/>
  <c r="F168" i="1" s="1"/>
  <c r="E176" i="1"/>
  <c r="F176" i="1" s="1"/>
  <c r="E184" i="1"/>
  <c r="F184" i="1" s="1"/>
  <c r="E192" i="1"/>
  <c r="F192" i="1" s="1"/>
  <c r="E200" i="1"/>
  <c r="F200" i="1" s="1"/>
  <c r="E208" i="1"/>
  <c r="F208" i="1" s="1"/>
  <c r="E216" i="1"/>
  <c r="F216" i="1" s="1"/>
  <c r="E224" i="1"/>
  <c r="F224" i="1" s="1"/>
  <c r="E232" i="1"/>
  <c r="F232" i="1" s="1"/>
  <c r="E240" i="1"/>
  <c r="F240" i="1" s="1"/>
  <c r="E248" i="1"/>
  <c r="F248" i="1" s="1"/>
  <c r="E256" i="1"/>
  <c r="F256" i="1" s="1"/>
  <c r="E264" i="1"/>
  <c r="F264" i="1" s="1"/>
  <c r="E272" i="1"/>
  <c r="F272" i="1" s="1"/>
  <c r="E280" i="1"/>
  <c r="F280" i="1" s="1"/>
  <c r="E288" i="1"/>
  <c r="F288" i="1" s="1"/>
  <c r="E296" i="1"/>
  <c r="F296" i="1" s="1"/>
  <c r="E304" i="1"/>
  <c r="F304" i="1" s="1"/>
  <c r="E312" i="1"/>
  <c r="F312" i="1" s="1"/>
  <c r="E320" i="1"/>
  <c r="F320" i="1" s="1"/>
  <c r="E328" i="1"/>
  <c r="F328" i="1" s="1"/>
  <c r="E336" i="1"/>
  <c r="F336" i="1" s="1"/>
  <c r="E344" i="1"/>
  <c r="F344" i="1" s="1"/>
  <c r="E352" i="1"/>
  <c r="F352" i="1" s="1"/>
  <c r="E360" i="1"/>
  <c r="F360" i="1" s="1"/>
  <c r="E368" i="1"/>
  <c r="F368" i="1" s="1"/>
  <c r="E376" i="1"/>
  <c r="F376" i="1" s="1"/>
  <c r="E384" i="1"/>
  <c r="F384" i="1" s="1"/>
  <c r="E392" i="1"/>
  <c r="F392" i="1" s="1"/>
  <c r="E400" i="1"/>
  <c r="F400" i="1" s="1"/>
  <c r="E408" i="1"/>
  <c r="F408" i="1" s="1"/>
  <c r="E416" i="1"/>
  <c r="F416" i="1" s="1"/>
  <c r="E424" i="1"/>
  <c r="F424" i="1" s="1"/>
  <c r="E432" i="1"/>
  <c r="F432" i="1" s="1"/>
  <c r="E440" i="1"/>
  <c r="F440" i="1" s="1"/>
  <c r="E448" i="1"/>
  <c r="F448" i="1" s="1"/>
  <c r="E456" i="1"/>
  <c r="F456" i="1" s="1"/>
  <c r="E464" i="1"/>
  <c r="F464" i="1" s="1"/>
  <c r="E472" i="1"/>
  <c r="F472" i="1" s="1"/>
  <c r="E480" i="1"/>
  <c r="F480" i="1" s="1"/>
  <c r="E488" i="1"/>
  <c r="F488" i="1" s="1"/>
  <c r="E496" i="1"/>
  <c r="F496" i="1" s="1"/>
  <c r="E504" i="1"/>
  <c r="F504" i="1" s="1"/>
  <c r="E512" i="1"/>
  <c r="F512" i="1" s="1"/>
  <c r="E520" i="1"/>
  <c r="F520" i="1" s="1"/>
  <c r="E528" i="1"/>
  <c r="F528" i="1" s="1"/>
  <c r="E536" i="1"/>
  <c r="F536" i="1" s="1"/>
  <c r="E544" i="1"/>
  <c r="F544" i="1" s="1"/>
  <c r="E552" i="1"/>
  <c r="F552" i="1" s="1"/>
  <c r="E560" i="1"/>
  <c r="F560" i="1" s="1"/>
  <c r="E568" i="1"/>
  <c r="F568" i="1" s="1"/>
  <c r="E576" i="1"/>
  <c r="F576" i="1" s="1"/>
  <c r="E9" i="1"/>
  <c r="F9" i="1" s="1"/>
  <c r="E17" i="1"/>
  <c r="F17" i="1" s="1"/>
  <c r="E25" i="1"/>
  <c r="F25" i="1" s="1"/>
  <c r="E33" i="1"/>
  <c r="F33" i="1" s="1"/>
  <c r="E41" i="1"/>
  <c r="F41" i="1" s="1"/>
  <c r="E49" i="1"/>
  <c r="F49" i="1" s="1"/>
  <c r="E57" i="1"/>
  <c r="F57" i="1" s="1"/>
  <c r="E65" i="1"/>
  <c r="F65" i="1" s="1"/>
  <c r="E73" i="1"/>
  <c r="F73" i="1" s="1"/>
  <c r="E81" i="1"/>
  <c r="F81" i="1" s="1"/>
  <c r="E89" i="1"/>
  <c r="F89" i="1" s="1"/>
  <c r="E97" i="1"/>
  <c r="F97" i="1" s="1"/>
  <c r="E105" i="1"/>
  <c r="F105" i="1" s="1"/>
  <c r="E113" i="1"/>
  <c r="F113" i="1" s="1"/>
  <c r="E121" i="1"/>
  <c r="F121" i="1" s="1"/>
  <c r="E129" i="1"/>
  <c r="F129" i="1" s="1"/>
  <c r="E137" i="1"/>
  <c r="F137" i="1" s="1"/>
  <c r="E145" i="1"/>
  <c r="F145" i="1" s="1"/>
  <c r="E153" i="1"/>
  <c r="F153" i="1" s="1"/>
  <c r="E161" i="1"/>
  <c r="F161" i="1" s="1"/>
  <c r="E169" i="1"/>
  <c r="F169" i="1" s="1"/>
  <c r="E177" i="1"/>
  <c r="F177" i="1" s="1"/>
  <c r="E185" i="1"/>
  <c r="F185" i="1" s="1"/>
  <c r="E193" i="1"/>
  <c r="F193" i="1" s="1"/>
  <c r="E201" i="1"/>
  <c r="F201" i="1" s="1"/>
  <c r="E209" i="1"/>
  <c r="F209" i="1" s="1"/>
  <c r="E217" i="1"/>
  <c r="F217" i="1" s="1"/>
  <c r="E225" i="1"/>
  <c r="F225" i="1" s="1"/>
  <c r="E233" i="1"/>
  <c r="F233" i="1" s="1"/>
  <c r="E241" i="1"/>
  <c r="F241" i="1" s="1"/>
  <c r="E249" i="1"/>
  <c r="F249" i="1" s="1"/>
  <c r="E257" i="1"/>
  <c r="F257" i="1" s="1"/>
  <c r="E265" i="1"/>
  <c r="F265" i="1" s="1"/>
  <c r="E273" i="1"/>
  <c r="F273" i="1" s="1"/>
  <c r="E281" i="1"/>
  <c r="F281" i="1" s="1"/>
  <c r="E289" i="1"/>
  <c r="F289" i="1" s="1"/>
  <c r="E297" i="1"/>
  <c r="F297" i="1" s="1"/>
  <c r="E305" i="1"/>
  <c r="F305" i="1" s="1"/>
  <c r="E313" i="1"/>
  <c r="F313" i="1" s="1"/>
  <c r="E321" i="1"/>
  <c r="F321" i="1" s="1"/>
  <c r="E329" i="1"/>
  <c r="F329" i="1" s="1"/>
  <c r="E337" i="1"/>
  <c r="F337" i="1" s="1"/>
  <c r="E345" i="1"/>
  <c r="F345" i="1" s="1"/>
  <c r="E353" i="1"/>
  <c r="F353" i="1" s="1"/>
  <c r="E361" i="1"/>
  <c r="F361" i="1" s="1"/>
  <c r="E369" i="1"/>
  <c r="F369" i="1" s="1"/>
  <c r="E377" i="1"/>
  <c r="F377" i="1" s="1"/>
  <c r="E385" i="1"/>
  <c r="F385" i="1" s="1"/>
  <c r="E393" i="1"/>
  <c r="F393" i="1" s="1"/>
  <c r="E401" i="1"/>
  <c r="F401" i="1" s="1"/>
  <c r="E409" i="1"/>
  <c r="F409" i="1" s="1"/>
  <c r="E417" i="1"/>
  <c r="F417" i="1" s="1"/>
  <c r="E425" i="1"/>
  <c r="F425" i="1" s="1"/>
  <c r="E433" i="1"/>
  <c r="F433" i="1" s="1"/>
  <c r="E441" i="1"/>
  <c r="F441" i="1" s="1"/>
  <c r="E449" i="1"/>
  <c r="F449" i="1" s="1"/>
  <c r="E457" i="1"/>
  <c r="F457" i="1" s="1"/>
  <c r="E465" i="1"/>
  <c r="F465" i="1" s="1"/>
  <c r="E473" i="1"/>
  <c r="F473" i="1" s="1"/>
  <c r="E481" i="1"/>
  <c r="F481" i="1" s="1"/>
  <c r="E489" i="1"/>
  <c r="F489" i="1" s="1"/>
  <c r="E497" i="1"/>
  <c r="F497" i="1" s="1"/>
  <c r="E505" i="1"/>
  <c r="F505" i="1" s="1"/>
  <c r="E513" i="1"/>
  <c r="F513" i="1" s="1"/>
  <c r="E521" i="1"/>
  <c r="F521" i="1" s="1"/>
  <c r="E529" i="1"/>
  <c r="F529" i="1" s="1"/>
  <c r="E537" i="1"/>
  <c r="F537" i="1" s="1"/>
  <c r="E545" i="1"/>
  <c r="F545" i="1" s="1"/>
  <c r="E553" i="1"/>
  <c r="F553" i="1" s="1"/>
  <c r="E561" i="1"/>
  <c r="F561" i="1" s="1"/>
  <c r="E569" i="1"/>
  <c r="F569" i="1" s="1"/>
  <c r="E577" i="1"/>
  <c r="F577" i="1" s="1"/>
  <c r="E38" i="1"/>
  <c r="F38" i="1" s="1"/>
  <c r="E62" i="1"/>
  <c r="F62" i="1" s="1"/>
  <c r="E102" i="1"/>
  <c r="F102" i="1" s="1"/>
  <c r="E150" i="1"/>
  <c r="F150" i="1" s="1"/>
  <c r="E198" i="1"/>
  <c r="F198" i="1" s="1"/>
  <c r="E230" i="1"/>
  <c r="F230" i="1" s="1"/>
  <c r="E270" i="1"/>
  <c r="F270" i="1" s="1"/>
  <c r="E318" i="1"/>
  <c r="F318" i="1" s="1"/>
  <c r="E358" i="1"/>
  <c r="F358" i="1" s="1"/>
  <c r="E406" i="1"/>
  <c r="F406" i="1" s="1"/>
  <c r="E462" i="1"/>
  <c r="F462" i="1" s="1"/>
  <c r="E502" i="1"/>
  <c r="F502" i="1" s="1"/>
  <c r="E2" i="1"/>
  <c r="F2" i="1" s="1"/>
  <c r="E10" i="1"/>
  <c r="F10" i="1" s="1"/>
  <c r="E18" i="1"/>
  <c r="F18" i="1" s="1"/>
  <c r="E26" i="1"/>
  <c r="F26" i="1" s="1"/>
  <c r="E34" i="1"/>
  <c r="F34" i="1" s="1"/>
  <c r="E42" i="1"/>
  <c r="F42" i="1" s="1"/>
  <c r="E50" i="1"/>
  <c r="F50" i="1" s="1"/>
  <c r="E58" i="1"/>
  <c r="F58" i="1" s="1"/>
  <c r="E66" i="1"/>
  <c r="F66" i="1" s="1"/>
  <c r="E74" i="1"/>
  <c r="F74" i="1" s="1"/>
  <c r="E82" i="1"/>
  <c r="F82" i="1" s="1"/>
  <c r="E90" i="1"/>
  <c r="F90" i="1" s="1"/>
  <c r="E98" i="1"/>
  <c r="F98" i="1" s="1"/>
  <c r="E106" i="1"/>
  <c r="F106" i="1" s="1"/>
  <c r="E114" i="1"/>
  <c r="F114" i="1" s="1"/>
  <c r="E122" i="1"/>
  <c r="F122" i="1" s="1"/>
  <c r="E130" i="1"/>
  <c r="F130" i="1" s="1"/>
  <c r="E138" i="1"/>
  <c r="F138" i="1" s="1"/>
  <c r="E146" i="1"/>
  <c r="F146" i="1" s="1"/>
  <c r="E154" i="1"/>
  <c r="F154" i="1" s="1"/>
  <c r="E162" i="1"/>
  <c r="F162" i="1" s="1"/>
  <c r="E170" i="1"/>
  <c r="F170" i="1" s="1"/>
  <c r="E178" i="1"/>
  <c r="F178" i="1" s="1"/>
  <c r="E186" i="1"/>
  <c r="F186" i="1" s="1"/>
  <c r="E194" i="1"/>
  <c r="F194" i="1" s="1"/>
  <c r="E202" i="1"/>
  <c r="F202" i="1" s="1"/>
  <c r="E210" i="1"/>
  <c r="F210" i="1" s="1"/>
  <c r="E218" i="1"/>
  <c r="F218" i="1" s="1"/>
  <c r="E226" i="1"/>
  <c r="F226" i="1" s="1"/>
  <c r="E234" i="1"/>
  <c r="F234" i="1" s="1"/>
  <c r="E242" i="1"/>
  <c r="F242" i="1" s="1"/>
  <c r="E250" i="1"/>
  <c r="F250" i="1" s="1"/>
  <c r="E258" i="1"/>
  <c r="F258" i="1" s="1"/>
  <c r="E266" i="1"/>
  <c r="F266" i="1" s="1"/>
  <c r="E274" i="1"/>
  <c r="F274" i="1" s="1"/>
  <c r="E282" i="1"/>
  <c r="F282" i="1" s="1"/>
  <c r="E290" i="1"/>
  <c r="F290" i="1" s="1"/>
  <c r="E298" i="1"/>
  <c r="F298" i="1" s="1"/>
  <c r="E306" i="1"/>
  <c r="F306" i="1" s="1"/>
  <c r="E314" i="1"/>
  <c r="F314" i="1" s="1"/>
  <c r="E322" i="1"/>
  <c r="F322" i="1" s="1"/>
  <c r="E330" i="1"/>
  <c r="F330" i="1" s="1"/>
  <c r="E338" i="1"/>
  <c r="F338" i="1" s="1"/>
  <c r="E346" i="1"/>
  <c r="F346" i="1" s="1"/>
  <c r="E354" i="1"/>
  <c r="F354" i="1" s="1"/>
  <c r="E362" i="1"/>
  <c r="F362" i="1" s="1"/>
  <c r="E370" i="1"/>
  <c r="F370" i="1" s="1"/>
  <c r="E378" i="1"/>
  <c r="F378" i="1" s="1"/>
  <c r="E386" i="1"/>
  <c r="F386" i="1" s="1"/>
  <c r="E394" i="1"/>
  <c r="F394" i="1" s="1"/>
  <c r="E402" i="1"/>
  <c r="F402" i="1" s="1"/>
  <c r="E410" i="1"/>
  <c r="F410" i="1" s="1"/>
  <c r="E418" i="1"/>
  <c r="F418" i="1" s="1"/>
  <c r="E426" i="1"/>
  <c r="F426" i="1" s="1"/>
  <c r="E434" i="1"/>
  <c r="F434" i="1" s="1"/>
  <c r="E442" i="1"/>
  <c r="F442" i="1" s="1"/>
  <c r="E450" i="1"/>
  <c r="F450" i="1" s="1"/>
  <c r="E458" i="1"/>
  <c r="F458" i="1" s="1"/>
  <c r="E466" i="1"/>
  <c r="F466" i="1" s="1"/>
  <c r="E474" i="1"/>
  <c r="F474" i="1" s="1"/>
  <c r="E482" i="1"/>
  <c r="F482" i="1" s="1"/>
  <c r="E490" i="1"/>
  <c r="F490" i="1" s="1"/>
  <c r="E498" i="1"/>
  <c r="F498" i="1" s="1"/>
  <c r="E506" i="1"/>
  <c r="F506" i="1" s="1"/>
  <c r="E514" i="1"/>
  <c r="F514" i="1" s="1"/>
  <c r="E522" i="1"/>
  <c r="F522" i="1" s="1"/>
  <c r="E530" i="1"/>
  <c r="F530" i="1" s="1"/>
  <c r="E538" i="1"/>
  <c r="F538" i="1" s="1"/>
  <c r="E546" i="1"/>
  <c r="F546" i="1" s="1"/>
  <c r="E554" i="1"/>
  <c r="F554" i="1" s="1"/>
  <c r="E562" i="1"/>
  <c r="F562" i="1" s="1"/>
  <c r="E570" i="1"/>
  <c r="F570" i="1" s="1"/>
  <c r="E578" i="1"/>
  <c r="F578" i="1" s="1"/>
  <c r="E30" i="1"/>
  <c r="F30" i="1" s="1"/>
  <c r="E78" i="1"/>
  <c r="F78" i="1" s="1"/>
  <c r="E126" i="1"/>
  <c r="F126" i="1" s="1"/>
  <c r="E182" i="1"/>
  <c r="F182" i="1" s="1"/>
  <c r="E222" i="1"/>
  <c r="F222" i="1" s="1"/>
  <c r="E278" i="1"/>
  <c r="F278" i="1" s="1"/>
  <c r="E326" i="1"/>
  <c r="F326" i="1" s="1"/>
  <c r="E366" i="1"/>
  <c r="F366" i="1" s="1"/>
  <c r="E414" i="1"/>
  <c r="F414" i="1" s="1"/>
  <c r="E454" i="1"/>
  <c r="F454" i="1" s="1"/>
  <c r="E510" i="1"/>
  <c r="F510" i="1" s="1"/>
  <c r="E3" i="1"/>
  <c r="F3" i="1" s="1"/>
  <c r="E11" i="1"/>
  <c r="F11" i="1" s="1"/>
  <c r="E19" i="1"/>
  <c r="F19" i="1" s="1"/>
  <c r="E27" i="1"/>
  <c r="F27" i="1" s="1"/>
  <c r="E35" i="1"/>
  <c r="F35" i="1" s="1"/>
  <c r="E43" i="1"/>
  <c r="F43" i="1" s="1"/>
  <c r="E51" i="1"/>
  <c r="F51" i="1" s="1"/>
  <c r="E59" i="1"/>
  <c r="F59" i="1" s="1"/>
  <c r="E67" i="1"/>
  <c r="F67" i="1" s="1"/>
  <c r="E75" i="1"/>
  <c r="F75" i="1" s="1"/>
  <c r="E83" i="1"/>
  <c r="F83" i="1" s="1"/>
  <c r="E91" i="1"/>
  <c r="F91" i="1" s="1"/>
  <c r="E99" i="1"/>
  <c r="F99" i="1" s="1"/>
  <c r="E107" i="1"/>
  <c r="F107" i="1" s="1"/>
  <c r="E115" i="1"/>
  <c r="F115" i="1" s="1"/>
  <c r="E123" i="1"/>
  <c r="F123" i="1" s="1"/>
  <c r="E131" i="1"/>
  <c r="F131" i="1" s="1"/>
  <c r="E139" i="1"/>
  <c r="F139" i="1" s="1"/>
  <c r="E147" i="1"/>
  <c r="F147" i="1" s="1"/>
  <c r="E155" i="1"/>
  <c r="F155" i="1" s="1"/>
  <c r="E163" i="1"/>
  <c r="F163" i="1" s="1"/>
  <c r="E171" i="1"/>
  <c r="F171" i="1" s="1"/>
  <c r="E179" i="1"/>
  <c r="F179" i="1" s="1"/>
  <c r="E187" i="1"/>
  <c r="F187" i="1" s="1"/>
  <c r="E195" i="1"/>
  <c r="F195" i="1" s="1"/>
  <c r="E203" i="1"/>
  <c r="F203" i="1" s="1"/>
  <c r="E211" i="1"/>
  <c r="F211" i="1" s="1"/>
  <c r="E219" i="1"/>
  <c r="F219" i="1" s="1"/>
  <c r="E227" i="1"/>
  <c r="F227" i="1" s="1"/>
  <c r="E235" i="1"/>
  <c r="F235" i="1" s="1"/>
  <c r="E243" i="1"/>
  <c r="F243" i="1" s="1"/>
  <c r="E251" i="1"/>
  <c r="F251" i="1" s="1"/>
  <c r="E259" i="1"/>
  <c r="F259" i="1" s="1"/>
  <c r="E267" i="1"/>
  <c r="F267" i="1" s="1"/>
  <c r="E275" i="1"/>
  <c r="F275" i="1" s="1"/>
  <c r="E283" i="1"/>
  <c r="F283" i="1" s="1"/>
  <c r="E291" i="1"/>
  <c r="F291" i="1" s="1"/>
  <c r="E299" i="1"/>
  <c r="F299" i="1" s="1"/>
  <c r="E307" i="1"/>
  <c r="F307" i="1" s="1"/>
  <c r="E315" i="1"/>
  <c r="F315" i="1" s="1"/>
  <c r="E323" i="1"/>
  <c r="F323" i="1" s="1"/>
  <c r="E331" i="1"/>
  <c r="F331" i="1" s="1"/>
  <c r="E339" i="1"/>
  <c r="F339" i="1" s="1"/>
  <c r="E347" i="1"/>
  <c r="F347" i="1" s="1"/>
  <c r="E355" i="1"/>
  <c r="F355" i="1" s="1"/>
  <c r="E363" i="1"/>
  <c r="F363" i="1" s="1"/>
  <c r="E371" i="1"/>
  <c r="F371" i="1" s="1"/>
  <c r="E379" i="1"/>
  <c r="F379" i="1" s="1"/>
  <c r="E387" i="1"/>
  <c r="F387" i="1" s="1"/>
  <c r="E395" i="1"/>
  <c r="F395" i="1" s="1"/>
  <c r="E403" i="1"/>
  <c r="F403" i="1" s="1"/>
  <c r="E411" i="1"/>
  <c r="F411" i="1" s="1"/>
  <c r="E419" i="1"/>
  <c r="F419" i="1" s="1"/>
  <c r="E427" i="1"/>
  <c r="F427" i="1" s="1"/>
  <c r="E435" i="1"/>
  <c r="F435" i="1" s="1"/>
  <c r="E443" i="1"/>
  <c r="F443" i="1" s="1"/>
  <c r="E451" i="1"/>
  <c r="F451" i="1" s="1"/>
  <c r="E459" i="1"/>
  <c r="F459" i="1" s="1"/>
  <c r="E467" i="1"/>
  <c r="F467" i="1" s="1"/>
  <c r="E475" i="1"/>
  <c r="F475" i="1" s="1"/>
  <c r="E483" i="1"/>
  <c r="F483" i="1" s="1"/>
  <c r="E491" i="1"/>
  <c r="F491" i="1" s="1"/>
  <c r="E499" i="1"/>
  <c r="F499" i="1" s="1"/>
  <c r="E507" i="1"/>
  <c r="F507" i="1" s="1"/>
  <c r="E515" i="1"/>
  <c r="F515" i="1" s="1"/>
  <c r="E523" i="1"/>
  <c r="F523" i="1" s="1"/>
  <c r="E531" i="1"/>
  <c r="F531" i="1" s="1"/>
  <c r="E539" i="1"/>
  <c r="F539" i="1" s="1"/>
  <c r="E547" i="1"/>
  <c r="F547" i="1" s="1"/>
  <c r="E555" i="1"/>
  <c r="F555" i="1" s="1"/>
  <c r="E563" i="1"/>
  <c r="F563" i="1" s="1"/>
  <c r="E571" i="1"/>
  <c r="F571" i="1" s="1"/>
  <c r="E579" i="1"/>
  <c r="F579" i="1" s="1"/>
  <c r="E14" i="1"/>
  <c r="F14" i="1" s="1"/>
  <c r="E86" i="1"/>
  <c r="F86" i="1" s="1"/>
  <c r="E118" i="1"/>
  <c r="F118" i="1" s="1"/>
  <c r="E166" i="1"/>
  <c r="F166" i="1" s="1"/>
  <c r="E206" i="1"/>
  <c r="F206" i="1" s="1"/>
  <c r="E254" i="1"/>
  <c r="F254" i="1" s="1"/>
  <c r="E286" i="1"/>
  <c r="F286" i="1" s="1"/>
  <c r="E334" i="1"/>
  <c r="F334" i="1" s="1"/>
  <c r="E382" i="1"/>
  <c r="F382" i="1" s="1"/>
  <c r="E430" i="1"/>
  <c r="F430" i="1" s="1"/>
  <c r="E486" i="1"/>
  <c r="F486" i="1" s="1"/>
  <c r="E4" i="1"/>
  <c r="F4" i="1" s="1"/>
  <c r="E12" i="1"/>
  <c r="F12" i="1" s="1"/>
  <c r="E20" i="1"/>
  <c r="F20" i="1" s="1"/>
  <c r="E28" i="1"/>
  <c r="F28" i="1" s="1"/>
  <c r="E36" i="1"/>
  <c r="F36" i="1" s="1"/>
  <c r="E44" i="1"/>
  <c r="F44" i="1" s="1"/>
  <c r="E52" i="1"/>
  <c r="F52" i="1" s="1"/>
  <c r="E60" i="1"/>
  <c r="F60" i="1" s="1"/>
  <c r="E68" i="1"/>
  <c r="F68" i="1" s="1"/>
  <c r="E76" i="1"/>
  <c r="F76" i="1" s="1"/>
  <c r="E84" i="1"/>
  <c r="F84" i="1" s="1"/>
  <c r="E92" i="1"/>
  <c r="F92" i="1" s="1"/>
  <c r="E100" i="1"/>
  <c r="F100" i="1" s="1"/>
  <c r="E108" i="1"/>
  <c r="F108" i="1" s="1"/>
  <c r="E116" i="1"/>
  <c r="F116" i="1" s="1"/>
  <c r="E124" i="1"/>
  <c r="F124" i="1" s="1"/>
  <c r="E132" i="1"/>
  <c r="F132" i="1" s="1"/>
  <c r="E140" i="1"/>
  <c r="F140" i="1" s="1"/>
  <c r="E148" i="1"/>
  <c r="F148" i="1" s="1"/>
  <c r="E156" i="1"/>
  <c r="F156" i="1" s="1"/>
  <c r="E164" i="1"/>
  <c r="F164" i="1" s="1"/>
  <c r="E172" i="1"/>
  <c r="F172" i="1" s="1"/>
  <c r="E180" i="1"/>
  <c r="F180" i="1" s="1"/>
  <c r="E188" i="1"/>
  <c r="F188" i="1" s="1"/>
  <c r="E196" i="1"/>
  <c r="F196" i="1" s="1"/>
  <c r="E204" i="1"/>
  <c r="F204" i="1" s="1"/>
  <c r="E212" i="1"/>
  <c r="F212" i="1" s="1"/>
  <c r="E220" i="1"/>
  <c r="F220" i="1" s="1"/>
  <c r="E228" i="1"/>
  <c r="F228" i="1" s="1"/>
  <c r="E236" i="1"/>
  <c r="F236" i="1" s="1"/>
  <c r="E244" i="1"/>
  <c r="F244" i="1" s="1"/>
  <c r="E252" i="1"/>
  <c r="F252" i="1" s="1"/>
  <c r="E260" i="1"/>
  <c r="F260" i="1" s="1"/>
  <c r="E268" i="1"/>
  <c r="F268" i="1" s="1"/>
  <c r="E276" i="1"/>
  <c r="F276" i="1" s="1"/>
  <c r="E284" i="1"/>
  <c r="F284" i="1" s="1"/>
  <c r="E292" i="1"/>
  <c r="F292" i="1" s="1"/>
  <c r="E300" i="1"/>
  <c r="F300" i="1" s="1"/>
  <c r="E308" i="1"/>
  <c r="F308" i="1" s="1"/>
  <c r="E316" i="1"/>
  <c r="F316" i="1" s="1"/>
  <c r="E324" i="1"/>
  <c r="F324" i="1" s="1"/>
  <c r="E332" i="1"/>
  <c r="F332" i="1" s="1"/>
  <c r="E340" i="1"/>
  <c r="F340" i="1" s="1"/>
  <c r="E348" i="1"/>
  <c r="F348" i="1" s="1"/>
  <c r="E356" i="1"/>
  <c r="F356" i="1" s="1"/>
  <c r="E364" i="1"/>
  <c r="F364" i="1" s="1"/>
  <c r="E372" i="1"/>
  <c r="F372" i="1" s="1"/>
  <c r="E380" i="1"/>
  <c r="F380" i="1" s="1"/>
  <c r="E388" i="1"/>
  <c r="F388" i="1" s="1"/>
  <c r="E396" i="1"/>
  <c r="F396" i="1" s="1"/>
  <c r="E404" i="1"/>
  <c r="F404" i="1" s="1"/>
  <c r="E412" i="1"/>
  <c r="F412" i="1" s="1"/>
  <c r="E420" i="1"/>
  <c r="F420" i="1" s="1"/>
  <c r="E428" i="1"/>
  <c r="F428" i="1" s="1"/>
  <c r="E436" i="1"/>
  <c r="F436" i="1" s="1"/>
  <c r="E444" i="1"/>
  <c r="F444" i="1" s="1"/>
  <c r="E452" i="1"/>
  <c r="F452" i="1" s="1"/>
  <c r="E460" i="1"/>
  <c r="F460" i="1" s="1"/>
  <c r="E468" i="1"/>
  <c r="F468" i="1" s="1"/>
  <c r="E476" i="1"/>
  <c r="F476" i="1" s="1"/>
  <c r="E484" i="1"/>
  <c r="F484" i="1" s="1"/>
  <c r="E492" i="1"/>
  <c r="F492" i="1" s="1"/>
  <c r="E500" i="1"/>
  <c r="F500" i="1" s="1"/>
  <c r="E508" i="1"/>
  <c r="F508" i="1" s="1"/>
  <c r="E516" i="1"/>
  <c r="F516" i="1" s="1"/>
  <c r="E524" i="1"/>
  <c r="F524" i="1" s="1"/>
  <c r="E532" i="1"/>
  <c r="F532" i="1" s="1"/>
  <c r="E540" i="1"/>
  <c r="F540" i="1" s="1"/>
  <c r="E548" i="1"/>
  <c r="F548" i="1" s="1"/>
  <c r="E556" i="1"/>
  <c r="F556" i="1" s="1"/>
  <c r="E564" i="1"/>
  <c r="F564" i="1" s="1"/>
  <c r="E572" i="1"/>
  <c r="F572" i="1" s="1"/>
  <c r="E580" i="1"/>
  <c r="F580" i="1" s="1"/>
  <c r="E46" i="1"/>
  <c r="F46" i="1" s="1"/>
  <c r="E158" i="1"/>
  <c r="F158" i="1" s="1"/>
  <c r="E238" i="1"/>
  <c r="F238" i="1" s="1"/>
  <c r="E310" i="1"/>
  <c r="F310" i="1" s="1"/>
  <c r="E374" i="1"/>
  <c r="F374" i="1" s="1"/>
  <c r="E438" i="1"/>
  <c r="F438" i="1" s="1"/>
  <c r="E478" i="1"/>
  <c r="F478" i="1" s="1"/>
  <c r="E5" i="1"/>
  <c r="F5" i="1" s="1"/>
  <c r="E13" i="1"/>
  <c r="F13" i="1" s="1"/>
  <c r="E21" i="1"/>
  <c r="F21" i="1" s="1"/>
  <c r="E29" i="1"/>
  <c r="F29" i="1" s="1"/>
  <c r="E37" i="1"/>
  <c r="F37" i="1" s="1"/>
  <c r="E45" i="1"/>
  <c r="F45" i="1" s="1"/>
  <c r="E53" i="1"/>
  <c r="F53" i="1" s="1"/>
  <c r="E61" i="1"/>
  <c r="F61" i="1" s="1"/>
  <c r="E69" i="1"/>
  <c r="F69" i="1" s="1"/>
  <c r="E77" i="1"/>
  <c r="F77" i="1" s="1"/>
  <c r="E85" i="1"/>
  <c r="F85" i="1" s="1"/>
  <c r="E93" i="1"/>
  <c r="F93" i="1" s="1"/>
  <c r="E101" i="1"/>
  <c r="F101" i="1" s="1"/>
  <c r="E109" i="1"/>
  <c r="F109" i="1" s="1"/>
  <c r="E117" i="1"/>
  <c r="F117" i="1" s="1"/>
  <c r="E125" i="1"/>
  <c r="F125" i="1" s="1"/>
  <c r="E133" i="1"/>
  <c r="F133" i="1" s="1"/>
  <c r="E141" i="1"/>
  <c r="F141" i="1" s="1"/>
  <c r="E149" i="1"/>
  <c r="F149" i="1" s="1"/>
  <c r="E157" i="1"/>
  <c r="F157" i="1" s="1"/>
  <c r="E165" i="1"/>
  <c r="F165" i="1" s="1"/>
  <c r="E173" i="1"/>
  <c r="F173" i="1" s="1"/>
  <c r="E181" i="1"/>
  <c r="F181" i="1" s="1"/>
  <c r="E189" i="1"/>
  <c r="F189" i="1" s="1"/>
  <c r="E197" i="1"/>
  <c r="F197" i="1" s="1"/>
  <c r="E205" i="1"/>
  <c r="F205" i="1" s="1"/>
  <c r="E213" i="1"/>
  <c r="F213" i="1" s="1"/>
  <c r="E221" i="1"/>
  <c r="F221" i="1" s="1"/>
  <c r="E229" i="1"/>
  <c r="F229" i="1" s="1"/>
  <c r="E237" i="1"/>
  <c r="F237" i="1" s="1"/>
  <c r="E245" i="1"/>
  <c r="F245" i="1" s="1"/>
  <c r="E253" i="1"/>
  <c r="F253" i="1" s="1"/>
  <c r="E261" i="1"/>
  <c r="F261" i="1" s="1"/>
  <c r="E269" i="1"/>
  <c r="F269" i="1" s="1"/>
  <c r="E277" i="1"/>
  <c r="F277" i="1" s="1"/>
  <c r="E285" i="1"/>
  <c r="F285" i="1" s="1"/>
  <c r="E293" i="1"/>
  <c r="F293" i="1" s="1"/>
  <c r="E301" i="1"/>
  <c r="F301" i="1" s="1"/>
  <c r="E309" i="1"/>
  <c r="F309" i="1" s="1"/>
  <c r="E317" i="1"/>
  <c r="F317" i="1" s="1"/>
  <c r="E325" i="1"/>
  <c r="F325" i="1" s="1"/>
  <c r="E333" i="1"/>
  <c r="F333" i="1" s="1"/>
  <c r="E341" i="1"/>
  <c r="F341" i="1" s="1"/>
  <c r="E349" i="1"/>
  <c r="F349" i="1" s="1"/>
  <c r="E357" i="1"/>
  <c r="F357" i="1" s="1"/>
  <c r="E365" i="1"/>
  <c r="F365" i="1" s="1"/>
  <c r="E373" i="1"/>
  <c r="F373" i="1" s="1"/>
  <c r="E381" i="1"/>
  <c r="F381" i="1" s="1"/>
  <c r="E389" i="1"/>
  <c r="F389" i="1" s="1"/>
  <c r="E397" i="1"/>
  <c r="F397" i="1" s="1"/>
  <c r="E405" i="1"/>
  <c r="F405" i="1" s="1"/>
  <c r="E413" i="1"/>
  <c r="F413" i="1" s="1"/>
  <c r="E421" i="1"/>
  <c r="F421" i="1" s="1"/>
  <c r="E429" i="1"/>
  <c r="F429" i="1" s="1"/>
  <c r="E437" i="1"/>
  <c r="F437" i="1" s="1"/>
  <c r="E445" i="1"/>
  <c r="F445" i="1" s="1"/>
  <c r="E453" i="1"/>
  <c r="F453" i="1" s="1"/>
  <c r="E461" i="1"/>
  <c r="F461" i="1" s="1"/>
  <c r="E469" i="1"/>
  <c r="F469" i="1" s="1"/>
  <c r="E477" i="1"/>
  <c r="F477" i="1" s="1"/>
  <c r="E485" i="1"/>
  <c r="F485" i="1" s="1"/>
  <c r="E493" i="1"/>
  <c r="F493" i="1" s="1"/>
  <c r="E501" i="1"/>
  <c r="F501" i="1" s="1"/>
  <c r="E509" i="1"/>
  <c r="F509" i="1" s="1"/>
  <c r="E517" i="1"/>
  <c r="F517" i="1" s="1"/>
  <c r="E525" i="1"/>
  <c r="F525" i="1" s="1"/>
  <c r="E533" i="1"/>
  <c r="F533" i="1" s="1"/>
  <c r="E541" i="1"/>
  <c r="F541" i="1" s="1"/>
  <c r="E549" i="1"/>
  <c r="F549" i="1" s="1"/>
  <c r="E557" i="1"/>
  <c r="F557" i="1" s="1"/>
  <c r="E565" i="1"/>
  <c r="F565" i="1" s="1"/>
  <c r="E573" i="1"/>
  <c r="F573" i="1" s="1"/>
  <c r="E581" i="1"/>
  <c r="F581" i="1" s="1"/>
  <c r="E6" i="1"/>
  <c r="F6" i="1" s="1"/>
  <c r="E54" i="1"/>
  <c r="F54" i="1" s="1"/>
  <c r="E94" i="1"/>
  <c r="F94" i="1" s="1"/>
  <c r="E134" i="1"/>
  <c r="F134" i="1" s="1"/>
  <c r="E190" i="1"/>
  <c r="F190" i="1" s="1"/>
  <c r="E246" i="1"/>
  <c r="F246" i="1" s="1"/>
  <c r="E294" i="1"/>
  <c r="F294" i="1" s="1"/>
  <c r="E342" i="1"/>
  <c r="F342" i="1" s="1"/>
  <c r="E398" i="1"/>
  <c r="F398" i="1" s="1"/>
  <c r="E446" i="1"/>
  <c r="F446" i="1" s="1"/>
  <c r="E494" i="1"/>
  <c r="F494" i="1" s="1"/>
  <c r="E526" i="1"/>
  <c r="F526" i="1" s="1"/>
  <c r="E7" i="1"/>
  <c r="F7" i="1" s="1"/>
  <c r="E15" i="1"/>
  <c r="F15" i="1" s="1"/>
  <c r="E23" i="1"/>
  <c r="F23" i="1" s="1"/>
  <c r="E31" i="1"/>
  <c r="F31" i="1" s="1"/>
  <c r="E39" i="1"/>
  <c r="F39" i="1" s="1"/>
  <c r="E47" i="1"/>
  <c r="F47" i="1" s="1"/>
  <c r="E55" i="1"/>
  <c r="F55" i="1" s="1"/>
  <c r="E63" i="1"/>
  <c r="F63" i="1" s="1"/>
  <c r="E71" i="1"/>
  <c r="F71" i="1" s="1"/>
  <c r="E79" i="1"/>
  <c r="F79" i="1" s="1"/>
  <c r="E87" i="1"/>
  <c r="F87" i="1" s="1"/>
  <c r="E95" i="1"/>
  <c r="F95" i="1" s="1"/>
  <c r="E103" i="1"/>
  <c r="F103" i="1" s="1"/>
  <c r="E111" i="1"/>
  <c r="F111" i="1" s="1"/>
  <c r="E119" i="1"/>
  <c r="F119" i="1" s="1"/>
  <c r="E127" i="1"/>
  <c r="F127" i="1" s="1"/>
  <c r="E135" i="1"/>
  <c r="F135" i="1" s="1"/>
  <c r="E143" i="1"/>
  <c r="F143" i="1" s="1"/>
  <c r="E151" i="1"/>
  <c r="F151" i="1" s="1"/>
  <c r="E159" i="1"/>
  <c r="F159" i="1" s="1"/>
  <c r="E167" i="1"/>
  <c r="F167" i="1" s="1"/>
  <c r="E175" i="1"/>
  <c r="F175" i="1" s="1"/>
  <c r="E183" i="1"/>
  <c r="F183" i="1" s="1"/>
  <c r="E191" i="1"/>
  <c r="F191" i="1" s="1"/>
  <c r="E199" i="1"/>
  <c r="F199" i="1" s="1"/>
  <c r="E207" i="1"/>
  <c r="F207" i="1" s="1"/>
  <c r="E215" i="1"/>
  <c r="F215" i="1" s="1"/>
  <c r="E223" i="1"/>
  <c r="F223" i="1" s="1"/>
  <c r="E231" i="1"/>
  <c r="F231" i="1" s="1"/>
  <c r="E239" i="1"/>
  <c r="F239" i="1" s="1"/>
  <c r="E247" i="1"/>
  <c r="F247" i="1" s="1"/>
  <c r="E255" i="1"/>
  <c r="F255" i="1" s="1"/>
  <c r="E263" i="1"/>
  <c r="F263" i="1" s="1"/>
  <c r="E271" i="1"/>
  <c r="F271" i="1" s="1"/>
  <c r="E279" i="1"/>
  <c r="F279" i="1" s="1"/>
  <c r="E287" i="1"/>
  <c r="F287" i="1" s="1"/>
  <c r="E295" i="1"/>
  <c r="F295" i="1" s="1"/>
  <c r="E303" i="1"/>
  <c r="F303" i="1" s="1"/>
  <c r="E311" i="1"/>
  <c r="F311" i="1" s="1"/>
  <c r="E319" i="1"/>
  <c r="F319" i="1" s="1"/>
  <c r="E327" i="1"/>
  <c r="F327" i="1" s="1"/>
  <c r="E335" i="1"/>
  <c r="F335" i="1" s="1"/>
  <c r="E343" i="1"/>
  <c r="F343" i="1" s="1"/>
  <c r="E351" i="1"/>
  <c r="F351" i="1" s="1"/>
  <c r="E359" i="1"/>
  <c r="F359" i="1" s="1"/>
  <c r="E367" i="1"/>
  <c r="F367" i="1" s="1"/>
  <c r="E375" i="1"/>
  <c r="F375" i="1" s="1"/>
  <c r="E383" i="1"/>
  <c r="F383" i="1" s="1"/>
  <c r="E391" i="1"/>
  <c r="F391" i="1" s="1"/>
  <c r="E399" i="1"/>
  <c r="F399" i="1" s="1"/>
  <c r="E407" i="1"/>
  <c r="F407" i="1" s="1"/>
  <c r="E415" i="1"/>
  <c r="F415" i="1" s="1"/>
  <c r="E423" i="1"/>
  <c r="F423" i="1" s="1"/>
  <c r="E431" i="1"/>
  <c r="F431" i="1" s="1"/>
  <c r="E439" i="1"/>
  <c r="F439" i="1" s="1"/>
  <c r="E447" i="1"/>
  <c r="F447" i="1" s="1"/>
  <c r="E455" i="1"/>
  <c r="F455" i="1" s="1"/>
  <c r="E463" i="1"/>
  <c r="F463" i="1" s="1"/>
  <c r="E471" i="1"/>
  <c r="F471" i="1" s="1"/>
  <c r="E479" i="1"/>
  <c r="F479" i="1" s="1"/>
  <c r="E487" i="1"/>
  <c r="F487" i="1" s="1"/>
  <c r="E495" i="1"/>
  <c r="F495" i="1" s="1"/>
  <c r="E503" i="1"/>
  <c r="F503" i="1" s="1"/>
  <c r="E511" i="1"/>
  <c r="F511" i="1" s="1"/>
  <c r="E519" i="1"/>
  <c r="F519" i="1" s="1"/>
  <c r="E527" i="1"/>
  <c r="F527" i="1" s="1"/>
  <c r="E535" i="1"/>
  <c r="F535" i="1" s="1"/>
  <c r="E543" i="1"/>
  <c r="F543" i="1" s="1"/>
  <c r="E551" i="1"/>
  <c r="F551" i="1" s="1"/>
  <c r="E559" i="1"/>
  <c r="F559" i="1" s="1"/>
  <c r="E567" i="1"/>
  <c r="F567" i="1" s="1"/>
  <c r="E575" i="1"/>
  <c r="F575" i="1" s="1"/>
  <c r="E583" i="1"/>
  <c r="F583" i="1" s="1"/>
  <c r="E22" i="1"/>
  <c r="F22" i="1" s="1"/>
  <c r="E70" i="1"/>
  <c r="F70" i="1" s="1"/>
  <c r="E110" i="1"/>
  <c r="F110" i="1" s="1"/>
  <c r="E142" i="1"/>
  <c r="F142" i="1" s="1"/>
  <c r="E174" i="1"/>
  <c r="F174" i="1" s="1"/>
  <c r="E214" i="1"/>
  <c r="F214" i="1" s="1"/>
  <c r="E262" i="1"/>
  <c r="F262" i="1" s="1"/>
  <c r="E302" i="1"/>
  <c r="F302" i="1" s="1"/>
  <c r="E350" i="1"/>
  <c r="F350" i="1" s="1"/>
  <c r="E390" i="1"/>
  <c r="F390" i="1" s="1"/>
  <c r="E422" i="1"/>
  <c r="F422" i="1" s="1"/>
  <c r="E470" i="1"/>
  <c r="F470" i="1" s="1"/>
  <c r="E574" i="1"/>
  <c r="F574" i="1" s="1"/>
  <c r="E379" i="5" l="1"/>
  <c r="F379" i="5" s="1"/>
  <c r="E387" i="5"/>
  <c r="F387" i="5" s="1"/>
  <c r="E539" i="5"/>
  <c r="F539" i="5" s="1"/>
  <c r="E11" i="5"/>
  <c r="F11" i="5" s="1"/>
  <c r="E395" i="5"/>
  <c r="F395" i="5" s="1"/>
  <c r="E579" i="5"/>
  <c r="F579" i="5" s="1"/>
  <c r="E523" i="5"/>
  <c r="F523" i="5" s="1"/>
  <c r="E411" i="5"/>
  <c r="F411" i="5" s="1"/>
  <c r="E587" i="5"/>
  <c r="F587" i="5" s="1"/>
  <c r="E451" i="5"/>
  <c r="F451" i="5" s="1"/>
  <c r="E459" i="5"/>
  <c r="F459" i="5" s="1"/>
  <c r="E515" i="5"/>
  <c r="F515" i="5" s="1"/>
  <c r="E475" i="5"/>
  <c r="F475" i="5" s="1"/>
  <c r="E339" i="5"/>
  <c r="F339" i="5" s="1"/>
  <c r="E2" i="4"/>
  <c r="F2" i="4" s="1"/>
  <c r="E10" i="4"/>
  <c r="F10" i="4" s="1"/>
  <c r="E18" i="4"/>
  <c r="F18" i="4" s="1"/>
  <c r="E26" i="4"/>
  <c r="F26" i="4" s="1"/>
  <c r="E34" i="4"/>
  <c r="F34" i="4" s="1"/>
  <c r="E42" i="4"/>
  <c r="F42" i="4" s="1"/>
  <c r="E50" i="4"/>
  <c r="F50" i="4" s="1"/>
  <c r="E58" i="4"/>
  <c r="F58" i="4" s="1"/>
  <c r="E66" i="4"/>
  <c r="F66" i="4" s="1"/>
  <c r="E74" i="4"/>
  <c r="F74" i="4" s="1"/>
  <c r="E82" i="4"/>
  <c r="F82" i="4" s="1"/>
  <c r="E90" i="4"/>
  <c r="F90" i="4" s="1"/>
  <c r="E98" i="4"/>
  <c r="F98" i="4" s="1"/>
  <c r="E106" i="4"/>
  <c r="F106" i="4" s="1"/>
  <c r="E114" i="4"/>
  <c r="F114" i="4" s="1"/>
  <c r="E122" i="4"/>
  <c r="F122" i="4" s="1"/>
  <c r="E130" i="4"/>
  <c r="F130" i="4" s="1"/>
  <c r="E138" i="4"/>
  <c r="F138" i="4" s="1"/>
  <c r="E146" i="4"/>
  <c r="F146" i="4" s="1"/>
  <c r="E154" i="4"/>
  <c r="F154" i="4" s="1"/>
  <c r="E162" i="4"/>
  <c r="F162" i="4" s="1"/>
  <c r="E170" i="4"/>
  <c r="F170" i="4" s="1"/>
  <c r="E178" i="4"/>
  <c r="F178" i="4" s="1"/>
  <c r="E186" i="4"/>
  <c r="F186" i="4" s="1"/>
  <c r="E194" i="4"/>
  <c r="F194" i="4" s="1"/>
  <c r="E202" i="4"/>
  <c r="F202" i="4" s="1"/>
  <c r="E210" i="4"/>
  <c r="F210" i="4" s="1"/>
  <c r="E218" i="4"/>
  <c r="F218" i="4" s="1"/>
  <c r="E226" i="4"/>
  <c r="F226" i="4" s="1"/>
  <c r="E234" i="4"/>
  <c r="F234" i="4" s="1"/>
  <c r="E242" i="4"/>
  <c r="F242" i="4" s="1"/>
  <c r="E250" i="4"/>
  <c r="F250" i="4" s="1"/>
  <c r="E258" i="4"/>
  <c r="F258" i="4" s="1"/>
  <c r="E266" i="4"/>
  <c r="F266" i="4" s="1"/>
  <c r="E274" i="4"/>
  <c r="F274" i="4" s="1"/>
  <c r="E282" i="4"/>
  <c r="F282" i="4" s="1"/>
  <c r="E290" i="4"/>
  <c r="F290" i="4" s="1"/>
  <c r="E298" i="4"/>
  <c r="F298" i="4" s="1"/>
  <c r="E306" i="4"/>
  <c r="F306" i="4" s="1"/>
  <c r="E314" i="4"/>
  <c r="F314" i="4" s="1"/>
  <c r="E322" i="4"/>
  <c r="F322" i="4" s="1"/>
  <c r="E330" i="4"/>
  <c r="F330" i="4" s="1"/>
  <c r="E338" i="4"/>
  <c r="F338" i="4" s="1"/>
  <c r="E346" i="4"/>
  <c r="F346" i="4" s="1"/>
  <c r="E354" i="4"/>
  <c r="F354" i="4" s="1"/>
  <c r="E362" i="4"/>
  <c r="F362" i="4" s="1"/>
  <c r="E370" i="4"/>
  <c r="F370" i="4" s="1"/>
  <c r="E378" i="4"/>
  <c r="F378" i="4" s="1"/>
  <c r="E386" i="4"/>
  <c r="F386" i="4" s="1"/>
  <c r="E394" i="4"/>
  <c r="F394" i="4" s="1"/>
  <c r="E402" i="4"/>
  <c r="F402" i="4" s="1"/>
  <c r="E410" i="4"/>
  <c r="F410" i="4" s="1"/>
  <c r="E418" i="4"/>
  <c r="F418" i="4" s="1"/>
  <c r="E426" i="4"/>
  <c r="F426" i="4" s="1"/>
  <c r="E434" i="4"/>
  <c r="F434" i="4" s="1"/>
  <c r="E442" i="4"/>
  <c r="F442" i="4" s="1"/>
  <c r="E450" i="4"/>
  <c r="F450" i="4" s="1"/>
  <c r="E458" i="4"/>
  <c r="F458" i="4" s="1"/>
  <c r="E466" i="4"/>
  <c r="F466" i="4" s="1"/>
  <c r="E474" i="4"/>
  <c r="F474" i="4" s="1"/>
  <c r="E482" i="4"/>
  <c r="F482" i="4" s="1"/>
  <c r="E490" i="4"/>
  <c r="F490" i="4" s="1"/>
  <c r="E498" i="4"/>
  <c r="F498" i="4" s="1"/>
  <c r="E506" i="4"/>
  <c r="F506" i="4" s="1"/>
  <c r="E514" i="4"/>
  <c r="F514" i="4" s="1"/>
  <c r="E522" i="4"/>
  <c r="F522" i="4" s="1"/>
  <c r="E530" i="4"/>
  <c r="F530" i="4" s="1"/>
  <c r="E538" i="4"/>
  <c r="F538" i="4" s="1"/>
  <c r="E546" i="4"/>
  <c r="F546" i="4" s="1"/>
  <c r="E554" i="4"/>
  <c r="F554" i="4" s="1"/>
  <c r="E562" i="4"/>
  <c r="F562" i="4" s="1"/>
  <c r="E570" i="4"/>
  <c r="F570" i="4" s="1"/>
  <c r="E578" i="4"/>
  <c r="F578" i="4" s="1"/>
  <c r="E586" i="4"/>
  <c r="F586" i="4" s="1"/>
  <c r="E594" i="4"/>
  <c r="F594" i="4" s="1"/>
  <c r="E40" i="4"/>
  <c r="F40" i="4" s="1"/>
  <c r="E80" i="4"/>
  <c r="F80" i="4" s="1"/>
  <c r="E128" i="4"/>
  <c r="F128" i="4" s="1"/>
  <c r="E168" i="4"/>
  <c r="F168" i="4" s="1"/>
  <c r="E200" i="4"/>
  <c r="F200" i="4" s="1"/>
  <c r="E248" i="4"/>
  <c r="F248" i="4" s="1"/>
  <c r="E296" i="4"/>
  <c r="F296" i="4" s="1"/>
  <c r="E344" i="4"/>
  <c r="F344" i="4" s="1"/>
  <c r="E392" i="4"/>
  <c r="F392" i="4" s="1"/>
  <c r="E440" i="4"/>
  <c r="F440" i="4" s="1"/>
  <c r="E3" i="4"/>
  <c r="F3" i="4" s="1"/>
  <c r="E11" i="4"/>
  <c r="F11" i="4" s="1"/>
  <c r="E19" i="4"/>
  <c r="F19" i="4" s="1"/>
  <c r="E27" i="4"/>
  <c r="F27" i="4" s="1"/>
  <c r="E35" i="4"/>
  <c r="F35" i="4" s="1"/>
  <c r="E43" i="4"/>
  <c r="F43" i="4" s="1"/>
  <c r="E51" i="4"/>
  <c r="F51" i="4" s="1"/>
  <c r="E59" i="4"/>
  <c r="F59" i="4" s="1"/>
  <c r="E67" i="4"/>
  <c r="F67" i="4" s="1"/>
  <c r="E75" i="4"/>
  <c r="F75" i="4" s="1"/>
  <c r="E83" i="4"/>
  <c r="F83" i="4" s="1"/>
  <c r="E91" i="4"/>
  <c r="F91" i="4" s="1"/>
  <c r="E99" i="4"/>
  <c r="F99" i="4" s="1"/>
  <c r="E107" i="4"/>
  <c r="F107" i="4" s="1"/>
  <c r="E115" i="4"/>
  <c r="F115" i="4" s="1"/>
  <c r="E123" i="4"/>
  <c r="F123" i="4" s="1"/>
  <c r="E131" i="4"/>
  <c r="F131" i="4" s="1"/>
  <c r="E139" i="4"/>
  <c r="F139" i="4" s="1"/>
  <c r="E147" i="4"/>
  <c r="F147" i="4" s="1"/>
  <c r="E155" i="4"/>
  <c r="F155" i="4" s="1"/>
  <c r="E163" i="4"/>
  <c r="F163" i="4" s="1"/>
  <c r="E171" i="4"/>
  <c r="F171" i="4" s="1"/>
  <c r="E179" i="4"/>
  <c r="F179" i="4" s="1"/>
  <c r="E187" i="4"/>
  <c r="F187" i="4" s="1"/>
  <c r="E195" i="4"/>
  <c r="F195" i="4" s="1"/>
  <c r="E203" i="4"/>
  <c r="F203" i="4" s="1"/>
  <c r="E211" i="4"/>
  <c r="F211" i="4" s="1"/>
  <c r="E219" i="4"/>
  <c r="F219" i="4" s="1"/>
  <c r="E227" i="4"/>
  <c r="F227" i="4" s="1"/>
  <c r="E235" i="4"/>
  <c r="F235" i="4" s="1"/>
  <c r="E243" i="4"/>
  <c r="F243" i="4" s="1"/>
  <c r="E251" i="4"/>
  <c r="F251" i="4" s="1"/>
  <c r="E259" i="4"/>
  <c r="F259" i="4" s="1"/>
  <c r="E267" i="4"/>
  <c r="F267" i="4" s="1"/>
  <c r="E275" i="4"/>
  <c r="F275" i="4" s="1"/>
  <c r="E283" i="4"/>
  <c r="F283" i="4" s="1"/>
  <c r="E291" i="4"/>
  <c r="F291" i="4" s="1"/>
  <c r="E299" i="4"/>
  <c r="F299" i="4" s="1"/>
  <c r="E307" i="4"/>
  <c r="F307" i="4" s="1"/>
  <c r="E315" i="4"/>
  <c r="F315" i="4" s="1"/>
  <c r="E323" i="4"/>
  <c r="F323" i="4" s="1"/>
  <c r="E331" i="4"/>
  <c r="F331" i="4" s="1"/>
  <c r="E339" i="4"/>
  <c r="F339" i="4" s="1"/>
  <c r="E347" i="4"/>
  <c r="F347" i="4" s="1"/>
  <c r="E355" i="4"/>
  <c r="F355" i="4" s="1"/>
  <c r="E363" i="4"/>
  <c r="F363" i="4" s="1"/>
  <c r="E371" i="4"/>
  <c r="F371" i="4" s="1"/>
  <c r="E379" i="4"/>
  <c r="F379" i="4" s="1"/>
  <c r="E387" i="4"/>
  <c r="F387" i="4" s="1"/>
  <c r="E395" i="4"/>
  <c r="F395" i="4" s="1"/>
  <c r="E403" i="4"/>
  <c r="F403" i="4" s="1"/>
  <c r="E411" i="4"/>
  <c r="F411" i="4" s="1"/>
  <c r="E419" i="4"/>
  <c r="F419" i="4" s="1"/>
  <c r="E427" i="4"/>
  <c r="F427" i="4" s="1"/>
  <c r="E435" i="4"/>
  <c r="F435" i="4" s="1"/>
  <c r="E443" i="4"/>
  <c r="F443" i="4" s="1"/>
  <c r="E451" i="4"/>
  <c r="F451" i="4" s="1"/>
  <c r="E459" i="4"/>
  <c r="F459" i="4" s="1"/>
  <c r="E467" i="4"/>
  <c r="F467" i="4" s="1"/>
  <c r="E475" i="4"/>
  <c r="F475" i="4" s="1"/>
  <c r="E483" i="4"/>
  <c r="F483" i="4" s="1"/>
  <c r="E491" i="4"/>
  <c r="F491" i="4" s="1"/>
  <c r="E499" i="4"/>
  <c r="F499" i="4" s="1"/>
  <c r="E507" i="4"/>
  <c r="F507" i="4" s="1"/>
  <c r="E515" i="4"/>
  <c r="F515" i="4" s="1"/>
  <c r="E523" i="4"/>
  <c r="F523" i="4" s="1"/>
  <c r="E531" i="4"/>
  <c r="F531" i="4" s="1"/>
  <c r="E539" i="4"/>
  <c r="F539" i="4" s="1"/>
  <c r="E547" i="4"/>
  <c r="F547" i="4" s="1"/>
  <c r="E555" i="4"/>
  <c r="F555" i="4" s="1"/>
  <c r="E563" i="4"/>
  <c r="F563" i="4" s="1"/>
  <c r="E571" i="4"/>
  <c r="F571" i="4" s="1"/>
  <c r="E579" i="4"/>
  <c r="F579" i="4" s="1"/>
  <c r="E587" i="4"/>
  <c r="F587" i="4" s="1"/>
  <c r="E595" i="4"/>
  <c r="F595" i="4" s="1"/>
  <c r="E8" i="4"/>
  <c r="F8" i="4" s="1"/>
  <c r="E72" i="4"/>
  <c r="F72" i="4" s="1"/>
  <c r="E136" i="4"/>
  <c r="F136" i="4" s="1"/>
  <c r="E192" i="4"/>
  <c r="F192" i="4" s="1"/>
  <c r="E240" i="4"/>
  <c r="F240" i="4" s="1"/>
  <c r="E288" i="4"/>
  <c r="F288" i="4" s="1"/>
  <c r="E336" i="4"/>
  <c r="F336" i="4" s="1"/>
  <c r="E384" i="4"/>
  <c r="F384" i="4" s="1"/>
  <c r="E432" i="4"/>
  <c r="F432" i="4" s="1"/>
  <c r="E4" i="4"/>
  <c r="F4" i="4" s="1"/>
  <c r="E12" i="4"/>
  <c r="F12" i="4" s="1"/>
  <c r="E20" i="4"/>
  <c r="F20" i="4" s="1"/>
  <c r="E28" i="4"/>
  <c r="F28" i="4" s="1"/>
  <c r="E36" i="4"/>
  <c r="F36" i="4" s="1"/>
  <c r="E44" i="4"/>
  <c r="F44" i="4" s="1"/>
  <c r="E52" i="4"/>
  <c r="F52" i="4" s="1"/>
  <c r="E60" i="4"/>
  <c r="F60" i="4" s="1"/>
  <c r="E68" i="4"/>
  <c r="F68" i="4" s="1"/>
  <c r="E76" i="4"/>
  <c r="F76" i="4" s="1"/>
  <c r="E84" i="4"/>
  <c r="F84" i="4" s="1"/>
  <c r="E92" i="4"/>
  <c r="F92" i="4" s="1"/>
  <c r="E100" i="4"/>
  <c r="F100" i="4" s="1"/>
  <c r="E108" i="4"/>
  <c r="F108" i="4" s="1"/>
  <c r="E116" i="4"/>
  <c r="F116" i="4" s="1"/>
  <c r="E124" i="4"/>
  <c r="F124" i="4" s="1"/>
  <c r="E132" i="4"/>
  <c r="F132" i="4" s="1"/>
  <c r="E140" i="4"/>
  <c r="F140" i="4" s="1"/>
  <c r="E148" i="4"/>
  <c r="F148" i="4" s="1"/>
  <c r="E156" i="4"/>
  <c r="F156" i="4" s="1"/>
  <c r="E164" i="4"/>
  <c r="F164" i="4" s="1"/>
  <c r="E172" i="4"/>
  <c r="F172" i="4" s="1"/>
  <c r="E180" i="4"/>
  <c r="F180" i="4" s="1"/>
  <c r="E188" i="4"/>
  <c r="F188" i="4" s="1"/>
  <c r="E196" i="4"/>
  <c r="F196" i="4" s="1"/>
  <c r="E204" i="4"/>
  <c r="F204" i="4" s="1"/>
  <c r="E212" i="4"/>
  <c r="F212" i="4" s="1"/>
  <c r="E220" i="4"/>
  <c r="F220" i="4" s="1"/>
  <c r="E228" i="4"/>
  <c r="F228" i="4" s="1"/>
  <c r="E236" i="4"/>
  <c r="F236" i="4" s="1"/>
  <c r="E244" i="4"/>
  <c r="F244" i="4" s="1"/>
  <c r="E252" i="4"/>
  <c r="F252" i="4" s="1"/>
  <c r="E260" i="4"/>
  <c r="F260" i="4" s="1"/>
  <c r="E268" i="4"/>
  <c r="F268" i="4" s="1"/>
  <c r="E276" i="4"/>
  <c r="F276" i="4" s="1"/>
  <c r="E284" i="4"/>
  <c r="F284" i="4" s="1"/>
  <c r="E292" i="4"/>
  <c r="F292" i="4" s="1"/>
  <c r="E300" i="4"/>
  <c r="F300" i="4" s="1"/>
  <c r="E308" i="4"/>
  <c r="F308" i="4" s="1"/>
  <c r="E316" i="4"/>
  <c r="F316" i="4" s="1"/>
  <c r="E324" i="4"/>
  <c r="F324" i="4" s="1"/>
  <c r="E332" i="4"/>
  <c r="F332" i="4" s="1"/>
  <c r="E340" i="4"/>
  <c r="F340" i="4" s="1"/>
  <c r="E348" i="4"/>
  <c r="F348" i="4" s="1"/>
  <c r="E356" i="4"/>
  <c r="F356" i="4" s="1"/>
  <c r="E364" i="4"/>
  <c r="F364" i="4" s="1"/>
  <c r="E372" i="4"/>
  <c r="F372" i="4" s="1"/>
  <c r="E380" i="4"/>
  <c r="F380" i="4" s="1"/>
  <c r="E388" i="4"/>
  <c r="F388" i="4" s="1"/>
  <c r="E396" i="4"/>
  <c r="F396" i="4" s="1"/>
  <c r="E404" i="4"/>
  <c r="F404" i="4" s="1"/>
  <c r="E412" i="4"/>
  <c r="F412" i="4" s="1"/>
  <c r="E420" i="4"/>
  <c r="F420" i="4" s="1"/>
  <c r="E428" i="4"/>
  <c r="F428" i="4" s="1"/>
  <c r="E436" i="4"/>
  <c r="F436" i="4" s="1"/>
  <c r="E444" i="4"/>
  <c r="F444" i="4" s="1"/>
  <c r="E452" i="4"/>
  <c r="F452" i="4" s="1"/>
  <c r="E460" i="4"/>
  <c r="F460" i="4" s="1"/>
  <c r="E468" i="4"/>
  <c r="F468" i="4" s="1"/>
  <c r="E476" i="4"/>
  <c r="F476" i="4" s="1"/>
  <c r="E484" i="4"/>
  <c r="F484" i="4" s="1"/>
  <c r="E492" i="4"/>
  <c r="F492" i="4" s="1"/>
  <c r="E500" i="4"/>
  <c r="F500" i="4" s="1"/>
  <c r="E508" i="4"/>
  <c r="F508" i="4" s="1"/>
  <c r="E516" i="4"/>
  <c r="F516" i="4" s="1"/>
  <c r="E524" i="4"/>
  <c r="F524" i="4" s="1"/>
  <c r="E532" i="4"/>
  <c r="F532" i="4" s="1"/>
  <c r="E540" i="4"/>
  <c r="F540" i="4" s="1"/>
  <c r="E548" i="4"/>
  <c r="F548" i="4" s="1"/>
  <c r="E556" i="4"/>
  <c r="F556" i="4" s="1"/>
  <c r="E564" i="4"/>
  <c r="F564" i="4" s="1"/>
  <c r="E572" i="4"/>
  <c r="F572" i="4" s="1"/>
  <c r="E580" i="4"/>
  <c r="F580" i="4" s="1"/>
  <c r="E588" i="4"/>
  <c r="F588" i="4" s="1"/>
  <c r="E48" i="4"/>
  <c r="F48" i="4" s="1"/>
  <c r="E120" i="4"/>
  <c r="F120" i="4" s="1"/>
  <c r="E176" i="4"/>
  <c r="F176" i="4" s="1"/>
  <c r="E232" i="4"/>
  <c r="F232" i="4" s="1"/>
  <c r="E280" i="4"/>
  <c r="F280" i="4" s="1"/>
  <c r="E328" i="4"/>
  <c r="F328" i="4" s="1"/>
  <c r="E376" i="4"/>
  <c r="F376" i="4" s="1"/>
  <c r="E424" i="4"/>
  <c r="F424" i="4" s="1"/>
  <c r="E5" i="4"/>
  <c r="F5" i="4" s="1"/>
  <c r="E13" i="4"/>
  <c r="F13" i="4" s="1"/>
  <c r="E21" i="4"/>
  <c r="F21" i="4" s="1"/>
  <c r="E29" i="4"/>
  <c r="F29" i="4" s="1"/>
  <c r="E37" i="4"/>
  <c r="F37" i="4" s="1"/>
  <c r="E45" i="4"/>
  <c r="F45" i="4" s="1"/>
  <c r="E53" i="4"/>
  <c r="F53" i="4" s="1"/>
  <c r="E61" i="4"/>
  <c r="F61" i="4" s="1"/>
  <c r="E69" i="4"/>
  <c r="F69" i="4" s="1"/>
  <c r="E77" i="4"/>
  <c r="F77" i="4" s="1"/>
  <c r="E85" i="4"/>
  <c r="F85" i="4" s="1"/>
  <c r="E93" i="4"/>
  <c r="F93" i="4" s="1"/>
  <c r="E101" i="4"/>
  <c r="F101" i="4" s="1"/>
  <c r="E109" i="4"/>
  <c r="F109" i="4" s="1"/>
  <c r="E117" i="4"/>
  <c r="F117" i="4" s="1"/>
  <c r="E125" i="4"/>
  <c r="F125" i="4" s="1"/>
  <c r="E133" i="4"/>
  <c r="F133" i="4" s="1"/>
  <c r="E141" i="4"/>
  <c r="F141" i="4" s="1"/>
  <c r="E149" i="4"/>
  <c r="F149" i="4" s="1"/>
  <c r="E157" i="4"/>
  <c r="F157" i="4" s="1"/>
  <c r="E165" i="4"/>
  <c r="F165" i="4" s="1"/>
  <c r="E173" i="4"/>
  <c r="F173" i="4" s="1"/>
  <c r="E181" i="4"/>
  <c r="F181" i="4" s="1"/>
  <c r="E189" i="4"/>
  <c r="F189" i="4" s="1"/>
  <c r="E197" i="4"/>
  <c r="F197" i="4" s="1"/>
  <c r="E205" i="4"/>
  <c r="F205" i="4" s="1"/>
  <c r="E213" i="4"/>
  <c r="F213" i="4" s="1"/>
  <c r="E221" i="4"/>
  <c r="F221" i="4" s="1"/>
  <c r="E229" i="4"/>
  <c r="F229" i="4" s="1"/>
  <c r="E237" i="4"/>
  <c r="F237" i="4" s="1"/>
  <c r="E245" i="4"/>
  <c r="F245" i="4" s="1"/>
  <c r="E253" i="4"/>
  <c r="F253" i="4" s="1"/>
  <c r="E261" i="4"/>
  <c r="F261" i="4" s="1"/>
  <c r="E269" i="4"/>
  <c r="F269" i="4" s="1"/>
  <c r="E277" i="4"/>
  <c r="F277" i="4" s="1"/>
  <c r="E285" i="4"/>
  <c r="F285" i="4" s="1"/>
  <c r="E293" i="4"/>
  <c r="F293" i="4" s="1"/>
  <c r="E301" i="4"/>
  <c r="F301" i="4" s="1"/>
  <c r="E309" i="4"/>
  <c r="F309" i="4" s="1"/>
  <c r="E317" i="4"/>
  <c r="F317" i="4" s="1"/>
  <c r="E325" i="4"/>
  <c r="F325" i="4" s="1"/>
  <c r="E333" i="4"/>
  <c r="F333" i="4" s="1"/>
  <c r="E341" i="4"/>
  <c r="F341" i="4" s="1"/>
  <c r="E349" i="4"/>
  <c r="F349" i="4" s="1"/>
  <c r="E357" i="4"/>
  <c r="F357" i="4" s="1"/>
  <c r="E365" i="4"/>
  <c r="F365" i="4" s="1"/>
  <c r="E373" i="4"/>
  <c r="F373" i="4" s="1"/>
  <c r="E381" i="4"/>
  <c r="F381" i="4" s="1"/>
  <c r="E389" i="4"/>
  <c r="F389" i="4" s="1"/>
  <c r="E397" i="4"/>
  <c r="F397" i="4" s="1"/>
  <c r="E405" i="4"/>
  <c r="F405" i="4" s="1"/>
  <c r="E413" i="4"/>
  <c r="F413" i="4" s="1"/>
  <c r="E421" i="4"/>
  <c r="F421" i="4" s="1"/>
  <c r="E429" i="4"/>
  <c r="F429" i="4" s="1"/>
  <c r="E437" i="4"/>
  <c r="F437" i="4" s="1"/>
  <c r="E445" i="4"/>
  <c r="F445" i="4" s="1"/>
  <c r="E453" i="4"/>
  <c r="F453" i="4" s="1"/>
  <c r="E461" i="4"/>
  <c r="F461" i="4" s="1"/>
  <c r="E469" i="4"/>
  <c r="F469" i="4" s="1"/>
  <c r="E477" i="4"/>
  <c r="F477" i="4" s="1"/>
  <c r="E485" i="4"/>
  <c r="F485" i="4" s="1"/>
  <c r="E493" i="4"/>
  <c r="F493" i="4" s="1"/>
  <c r="E501" i="4"/>
  <c r="F501" i="4" s="1"/>
  <c r="E509" i="4"/>
  <c r="F509" i="4" s="1"/>
  <c r="E517" i="4"/>
  <c r="F517" i="4" s="1"/>
  <c r="E525" i="4"/>
  <c r="F525" i="4" s="1"/>
  <c r="E533" i="4"/>
  <c r="F533" i="4" s="1"/>
  <c r="E541" i="4"/>
  <c r="F541" i="4" s="1"/>
  <c r="E549" i="4"/>
  <c r="F549" i="4" s="1"/>
  <c r="E557" i="4"/>
  <c r="F557" i="4" s="1"/>
  <c r="E565" i="4"/>
  <c r="F565" i="4" s="1"/>
  <c r="E573" i="4"/>
  <c r="F573" i="4" s="1"/>
  <c r="E581" i="4"/>
  <c r="F581" i="4" s="1"/>
  <c r="E589" i="4"/>
  <c r="F589" i="4" s="1"/>
  <c r="E6" i="4"/>
  <c r="F6" i="4" s="1"/>
  <c r="E14" i="4"/>
  <c r="F14" i="4" s="1"/>
  <c r="E22" i="4"/>
  <c r="F22" i="4" s="1"/>
  <c r="E30" i="4"/>
  <c r="F30" i="4" s="1"/>
  <c r="E38" i="4"/>
  <c r="F38" i="4" s="1"/>
  <c r="E46" i="4"/>
  <c r="F46" i="4" s="1"/>
  <c r="E54" i="4"/>
  <c r="F54" i="4" s="1"/>
  <c r="E62" i="4"/>
  <c r="F62" i="4" s="1"/>
  <c r="E70" i="4"/>
  <c r="F70" i="4" s="1"/>
  <c r="E78" i="4"/>
  <c r="F78" i="4" s="1"/>
  <c r="E86" i="4"/>
  <c r="F86" i="4" s="1"/>
  <c r="E94" i="4"/>
  <c r="F94" i="4" s="1"/>
  <c r="E102" i="4"/>
  <c r="F102" i="4" s="1"/>
  <c r="E110" i="4"/>
  <c r="F110" i="4" s="1"/>
  <c r="E118" i="4"/>
  <c r="F118" i="4" s="1"/>
  <c r="E126" i="4"/>
  <c r="F126" i="4" s="1"/>
  <c r="E134" i="4"/>
  <c r="F134" i="4" s="1"/>
  <c r="E142" i="4"/>
  <c r="F142" i="4" s="1"/>
  <c r="E150" i="4"/>
  <c r="F150" i="4" s="1"/>
  <c r="E158" i="4"/>
  <c r="F158" i="4" s="1"/>
  <c r="E166" i="4"/>
  <c r="F166" i="4" s="1"/>
  <c r="E174" i="4"/>
  <c r="F174" i="4" s="1"/>
  <c r="E182" i="4"/>
  <c r="F182" i="4" s="1"/>
  <c r="E190" i="4"/>
  <c r="F190" i="4" s="1"/>
  <c r="E198" i="4"/>
  <c r="F198" i="4" s="1"/>
  <c r="E206" i="4"/>
  <c r="F206" i="4" s="1"/>
  <c r="E214" i="4"/>
  <c r="F214" i="4" s="1"/>
  <c r="E222" i="4"/>
  <c r="F222" i="4" s="1"/>
  <c r="E230" i="4"/>
  <c r="F230" i="4" s="1"/>
  <c r="E238" i="4"/>
  <c r="F238" i="4" s="1"/>
  <c r="E246" i="4"/>
  <c r="F246" i="4" s="1"/>
  <c r="E254" i="4"/>
  <c r="F254" i="4" s="1"/>
  <c r="E262" i="4"/>
  <c r="F262" i="4" s="1"/>
  <c r="E270" i="4"/>
  <c r="F270" i="4" s="1"/>
  <c r="E278" i="4"/>
  <c r="F278" i="4" s="1"/>
  <c r="E286" i="4"/>
  <c r="F286" i="4" s="1"/>
  <c r="E294" i="4"/>
  <c r="F294" i="4" s="1"/>
  <c r="E302" i="4"/>
  <c r="F302" i="4" s="1"/>
  <c r="E310" i="4"/>
  <c r="F310" i="4" s="1"/>
  <c r="E318" i="4"/>
  <c r="F318" i="4" s="1"/>
  <c r="E326" i="4"/>
  <c r="F326" i="4" s="1"/>
  <c r="E334" i="4"/>
  <c r="F334" i="4" s="1"/>
  <c r="E342" i="4"/>
  <c r="F342" i="4" s="1"/>
  <c r="E350" i="4"/>
  <c r="F350" i="4" s="1"/>
  <c r="E358" i="4"/>
  <c r="F358" i="4" s="1"/>
  <c r="E366" i="4"/>
  <c r="F366" i="4" s="1"/>
  <c r="E374" i="4"/>
  <c r="F374" i="4" s="1"/>
  <c r="E382" i="4"/>
  <c r="F382" i="4" s="1"/>
  <c r="E390" i="4"/>
  <c r="F390" i="4" s="1"/>
  <c r="E398" i="4"/>
  <c r="F398" i="4" s="1"/>
  <c r="E406" i="4"/>
  <c r="F406" i="4" s="1"/>
  <c r="E414" i="4"/>
  <c r="F414" i="4" s="1"/>
  <c r="E422" i="4"/>
  <c r="F422" i="4" s="1"/>
  <c r="E430" i="4"/>
  <c r="F430" i="4" s="1"/>
  <c r="E438" i="4"/>
  <c r="F438" i="4" s="1"/>
  <c r="E446" i="4"/>
  <c r="F446" i="4" s="1"/>
  <c r="E454" i="4"/>
  <c r="F454" i="4" s="1"/>
  <c r="E462" i="4"/>
  <c r="F462" i="4" s="1"/>
  <c r="E470" i="4"/>
  <c r="F470" i="4" s="1"/>
  <c r="E478" i="4"/>
  <c r="F478" i="4" s="1"/>
  <c r="E486" i="4"/>
  <c r="F486" i="4" s="1"/>
  <c r="E494" i="4"/>
  <c r="F494" i="4" s="1"/>
  <c r="E502" i="4"/>
  <c r="F502" i="4" s="1"/>
  <c r="E510" i="4"/>
  <c r="F510" i="4" s="1"/>
  <c r="E518" i="4"/>
  <c r="F518" i="4" s="1"/>
  <c r="E526" i="4"/>
  <c r="F526" i="4" s="1"/>
  <c r="E534" i="4"/>
  <c r="F534" i="4" s="1"/>
  <c r="E542" i="4"/>
  <c r="F542" i="4" s="1"/>
  <c r="E550" i="4"/>
  <c r="F550" i="4" s="1"/>
  <c r="E558" i="4"/>
  <c r="F558" i="4" s="1"/>
  <c r="E566" i="4"/>
  <c r="F566" i="4" s="1"/>
  <c r="E574" i="4"/>
  <c r="F574" i="4" s="1"/>
  <c r="E582" i="4"/>
  <c r="F582" i="4" s="1"/>
  <c r="E590" i="4"/>
  <c r="F590" i="4" s="1"/>
  <c r="E32" i="4"/>
  <c r="F32" i="4" s="1"/>
  <c r="E64" i="4"/>
  <c r="F64" i="4" s="1"/>
  <c r="E104" i="4"/>
  <c r="F104" i="4" s="1"/>
  <c r="E144" i="4"/>
  <c r="F144" i="4" s="1"/>
  <c r="E184" i="4"/>
  <c r="F184" i="4" s="1"/>
  <c r="E224" i="4"/>
  <c r="F224" i="4" s="1"/>
  <c r="E264" i="4"/>
  <c r="F264" i="4" s="1"/>
  <c r="E304" i="4"/>
  <c r="F304" i="4" s="1"/>
  <c r="E352" i="4"/>
  <c r="F352" i="4" s="1"/>
  <c r="E400" i="4"/>
  <c r="F400" i="4" s="1"/>
  <c r="E7" i="4"/>
  <c r="F7" i="4" s="1"/>
  <c r="E15" i="4"/>
  <c r="F15" i="4" s="1"/>
  <c r="E23" i="4"/>
  <c r="F23" i="4" s="1"/>
  <c r="E31" i="4"/>
  <c r="F31" i="4" s="1"/>
  <c r="E39" i="4"/>
  <c r="F39" i="4" s="1"/>
  <c r="E47" i="4"/>
  <c r="F47" i="4" s="1"/>
  <c r="E55" i="4"/>
  <c r="F55" i="4" s="1"/>
  <c r="E63" i="4"/>
  <c r="F63" i="4" s="1"/>
  <c r="E71" i="4"/>
  <c r="F71" i="4" s="1"/>
  <c r="E79" i="4"/>
  <c r="F79" i="4" s="1"/>
  <c r="E87" i="4"/>
  <c r="F87" i="4" s="1"/>
  <c r="E95" i="4"/>
  <c r="F95" i="4" s="1"/>
  <c r="E103" i="4"/>
  <c r="F103" i="4" s="1"/>
  <c r="E111" i="4"/>
  <c r="F111" i="4" s="1"/>
  <c r="E119" i="4"/>
  <c r="F119" i="4" s="1"/>
  <c r="E127" i="4"/>
  <c r="F127" i="4" s="1"/>
  <c r="E135" i="4"/>
  <c r="F135" i="4" s="1"/>
  <c r="E143" i="4"/>
  <c r="F143" i="4" s="1"/>
  <c r="E151" i="4"/>
  <c r="F151" i="4" s="1"/>
  <c r="E159" i="4"/>
  <c r="F159" i="4" s="1"/>
  <c r="E167" i="4"/>
  <c r="F167" i="4" s="1"/>
  <c r="E175" i="4"/>
  <c r="F175" i="4" s="1"/>
  <c r="E183" i="4"/>
  <c r="F183" i="4" s="1"/>
  <c r="E191" i="4"/>
  <c r="F191" i="4" s="1"/>
  <c r="E199" i="4"/>
  <c r="F199" i="4" s="1"/>
  <c r="E207" i="4"/>
  <c r="F207" i="4" s="1"/>
  <c r="E215" i="4"/>
  <c r="F215" i="4" s="1"/>
  <c r="E223" i="4"/>
  <c r="F223" i="4" s="1"/>
  <c r="E231" i="4"/>
  <c r="F231" i="4" s="1"/>
  <c r="E239" i="4"/>
  <c r="F239" i="4" s="1"/>
  <c r="E247" i="4"/>
  <c r="F247" i="4" s="1"/>
  <c r="E255" i="4"/>
  <c r="F255" i="4" s="1"/>
  <c r="E263" i="4"/>
  <c r="F263" i="4" s="1"/>
  <c r="E271" i="4"/>
  <c r="F271" i="4" s="1"/>
  <c r="E279" i="4"/>
  <c r="F279" i="4" s="1"/>
  <c r="E287" i="4"/>
  <c r="F287" i="4" s="1"/>
  <c r="E295" i="4"/>
  <c r="F295" i="4" s="1"/>
  <c r="E303" i="4"/>
  <c r="F303" i="4" s="1"/>
  <c r="E311" i="4"/>
  <c r="F311" i="4" s="1"/>
  <c r="E319" i="4"/>
  <c r="F319" i="4" s="1"/>
  <c r="E327" i="4"/>
  <c r="F327" i="4" s="1"/>
  <c r="E335" i="4"/>
  <c r="F335" i="4" s="1"/>
  <c r="E343" i="4"/>
  <c r="F343" i="4" s="1"/>
  <c r="E351" i="4"/>
  <c r="F351" i="4" s="1"/>
  <c r="E359" i="4"/>
  <c r="F359" i="4" s="1"/>
  <c r="E367" i="4"/>
  <c r="F367" i="4" s="1"/>
  <c r="E375" i="4"/>
  <c r="F375" i="4" s="1"/>
  <c r="E383" i="4"/>
  <c r="F383" i="4" s="1"/>
  <c r="E391" i="4"/>
  <c r="F391" i="4" s="1"/>
  <c r="E399" i="4"/>
  <c r="F399" i="4" s="1"/>
  <c r="E407" i="4"/>
  <c r="F407" i="4" s="1"/>
  <c r="E415" i="4"/>
  <c r="F415" i="4" s="1"/>
  <c r="E423" i="4"/>
  <c r="F423" i="4" s="1"/>
  <c r="E431" i="4"/>
  <c r="F431" i="4" s="1"/>
  <c r="E439" i="4"/>
  <c r="F439" i="4" s="1"/>
  <c r="E447" i="4"/>
  <c r="F447" i="4" s="1"/>
  <c r="E455" i="4"/>
  <c r="F455" i="4" s="1"/>
  <c r="E463" i="4"/>
  <c r="F463" i="4" s="1"/>
  <c r="E471" i="4"/>
  <c r="F471" i="4" s="1"/>
  <c r="E479" i="4"/>
  <c r="F479" i="4" s="1"/>
  <c r="E487" i="4"/>
  <c r="F487" i="4" s="1"/>
  <c r="E495" i="4"/>
  <c r="F495" i="4" s="1"/>
  <c r="E503" i="4"/>
  <c r="F503" i="4" s="1"/>
  <c r="E511" i="4"/>
  <c r="F511" i="4" s="1"/>
  <c r="E519" i="4"/>
  <c r="F519" i="4" s="1"/>
  <c r="E527" i="4"/>
  <c r="F527" i="4" s="1"/>
  <c r="E535" i="4"/>
  <c r="F535" i="4" s="1"/>
  <c r="E543" i="4"/>
  <c r="F543" i="4" s="1"/>
  <c r="E551" i="4"/>
  <c r="F551" i="4" s="1"/>
  <c r="E559" i="4"/>
  <c r="F559" i="4" s="1"/>
  <c r="E567" i="4"/>
  <c r="F567" i="4" s="1"/>
  <c r="E575" i="4"/>
  <c r="F575" i="4" s="1"/>
  <c r="E583" i="4"/>
  <c r="F583" i="4" s="1"/>
  <c r="E591" i="4"/>
  <c r="F591" i="4" s="1"/>
  <c r="E16" i="4"/>
  <c r="F16" i="4" s="1"/>
  <c r="E88" i="4"/>
  <c r="F88" i="4" s="1"/>
  <c r="E152" i="4"/>
  <c r="F152" i="4" s="1"/>
  <c r="E208" i="4"/>
  <c r="F208" i="4" s="1"/>
  <c r="E256" i="4"/>
  <c r="F256" i="4" s="1"/>
  <c r="E312" i="4"/>
  <c r="F312" i="4" s="1"/>
  <c r="E360" i="4"/>
  <c r="F360" i="4" s="1"/>
  <c r="E416" i="4"/>
  <c r="F416" i="4" s="1"/>
  <c r="E9" i="4"/>
  <c r="F9" i="4" s="1"/>
  <c r="E17" i="4"/>
  <c r="F17" i="4" s="1"/>
  <c r="E25" i="4"/>
  <c r="F25" i="4" s="1"/>
  <c r="E33" i="4"/>
  <c r="F33" i="4" s="1"/>
  <c r="E41" i="4"/>
  <c r="F41" i="4" s="1"/>
  <c r="E49" i="4"/>
  <c r="F49" i="4" s="1"/>
  <c r="E57" i="4"/>
  <c r="F57" i="4" s="1"/>
  <c r="E65" i="4"/>
  <c r="F65" i="4" s="1"/>
  <c r="E73" i="4"/>
  <c r="F73" i="4" s="1"/>
  <c r="E81" i="4"/>
  <c r="F81" i="4" s="1"/>
  <c r="E89" i="4"/>
  <c r="F89" i="4" s="1"/>
  <c r="E97" i="4"/>
  <c r="F97" i="4" s="1"/>
  <c r="E105" i="4"/>
  <c r="F105" i="4" s="1"/>
  <c r="E113" i="4"/>
  <c r="F113" i="4" s="1"/>
  <c r="E121" i="4"/>
  <c r="F121" i="4" s="1"/>
  <c r="E129" i="4"/>
  <c r="F129" i="4" s="1"/>
  <c r="E137" i="4"/>
  <c r="F137" i="4" s="1"/>
  <c r="E145" i="4"/>
  <c r="F145" i="4" s="1"/>
  <c r="E153" i="4"/>
  <c r="F153" i="4" s="1"/>
  <c r="E161" i="4"/>
  <c r="F161" i="4" s="1"/>
  <c r="E169" i="4"/>
  <c r="F169" i="4" s="1"/>
  <c r="E177" i="4"/>
  <c r="F177" i="4" s="1"/>
  <c r="E185" i="4"/>
  <c r="F185" i="4" s="1"/>
  <c r="E193" i="4"/>
  <c r="F193" i="4" s="1"/>
  <c r="E201" i="4"/>
  <c r="F201" i="4" s="1"/>
  <c r="E209" i="4"/>
  <c r="F209" i="4" s="1"/>
  <c r="E217" i="4"/>
  <c r="F217" i="4" s="1"/>
  <c r="E225" i="4"/>
  <c r="F225" i="4" s="1"/>
  <c r="E233" i="4"/>
  <c r="F233" i="4" s="1"/>
  <c r="E241" i="4"/>
  <c r="F241" i="4" s="1"/>
  <c r="E249" i="4"/>
  <c r="F249" i="4" s="1"/>
  <c r="E257" i="4"/>
  <c r="F257" i="4" s="1"/>
  <c r="E265" i="4"/>
  <c r="F265" i="4" s="1"/>
  <c r="E273" i="4"/>
  <c r="F273" i="4" s="1"/>
  <c r="E281" i="4"/>
  <c r="F281" i="4" s="1"/>
  <c r="E289" i="4"/>
  <c r="F289" i="4" s="1"/>
  <c r="E297" i="4"/>
  <c r="F297" i="4" s="1"/>
  <c r="E305" i="4"/>
  <c r="F305" i="4" s="1"/>
  <c r="E313" i="4"/>
  <c r="F313" i="4" s="1"/>
  <c r="E321" i="4"/>
  <c r="F321" i="4" s="1"/>
  <c r="E329" i="4"/>
  <c r="F329" i="4" s="1"/>
  <c r="E337" i="4"/>
  <c r="F337" i="4" s="1"/>
  <c r="E345" i="4"/>
  <c r="F345" i="4" s="1"/>
  <c r="E353" i="4"/>
  <c r="F353" i="4" s="1"/>
  <c r="E361" i="4"/>
  <c r="F361" i="4" s="1"/>
  <c r="E369" i="4"/>
  <c r="F369" i="4" s="1"/>
  <c r="E377" i="4"/>
  <c r="F377" i="4" s="1"/>
  <c r="E385" i="4"/>
  <c r="F385" i="4" s="1"/>
  <c r="E393" i="4"/>
  <c r="F393" i="4" s="1"/>
  <c r="E401" i="4"/>
  <c r="F401" i="4" s="1"/>
  <c r="E409" i="4"/>
  <c r="F409" i="4" s="1"/>
  <c r="E417" i="4"/>
  <c r="F417" i="4" s="1"/>
  <c r="E425" i="4"/>
  <c r="F425" i="4" s="1"/>
  <c r="E433" i="4"/>
  <c r="F433" i="4" s="1"/>
  <c r="E441" i="4"/>
  <c r="F441" i="4" s="1"/>
  <c r="E449" i="4"/>
  <c r="F449" i="4" s="1"/>
  <c r="E457" i="4"/>
  <c r="F457" i="4" s="1"/>
  <c r="E465" i="4"/>
  <c r="F465" i="4" s="1"/>
  <c r="E473" i="4"/>
  <c r="F473" i="4" s="1"/>
  <c r="E481" i="4"/>
  <c r="F481" i="4" s="1"/>
  <c r="E489" i="4"/>
  <c r="F489" i="4" s="1"/>
  <c r="E497" i="4"/>
  <c r="F497" i="4" s="1"/>
  <c r="E505" i="4"/>
  <c r="F505" i="4" s="1"/>
  <c r="E513" i="4"/>
  <c r="F513" i="4" s="1"/>
  <c r="E521" i="4"/>
  <c r="F521" i="4" s="1"/>
  <c r="E529" i="4"/>
  <c r="F529" i="4" s="1"/>
  <c r="E537" i="4"/>
  <c r="F537" i="4" s="1"/>
  <c r="E545" i="4"/>
  <c r="F545" i="4" s="1"/>
  <c r="E553" i="4"/>
  <c r="F553" i="4" s="1"/>
  <c r="E561" i="4"/>
  <c r="F561" i="4" s="1"/>
  <c r="E569" i="4"/>
  <c r="F569" i="4" s="1"/>
  <c r="E577" i="4"/>
  <c r="F577" i="4" s="1"/>
  <c r="E585" i="4"/>
  <c r="F585" i="4" s="1"/>
  <c r="E593" i="4"/>
  <c r="F593" i="4" s="1"/>
  <c r="E24" i="4"/>
  <c r="F24" i="4" s="1"/>
  <c r="E56" i="4"/>
  <c r="F56" i="4" s="1"/>
  <c r="E112" i="4"/>
  <c r="F112" i="4" s="1"/>
  <c r="E160" i="4"/>
  <c r="F160" i="4" s="1"/>
  <c r="E216" i="4"/>
  <c r="F216" i="4" s="1"/>
  <c r="E272" i="4"/>
  <c r="F272" i="4" s="1"/>
  <c r="E320" i="4"/>
  <c r="F320" i="4" s="1"/>
  <c r="E368" i="4"/>
  <c r="F368" i="4" s="1"/>
  <c r="E408" i="4"/>
  <c r="F408" i="4" s="1"/>
  <c r="E456" i="4"/>
  <c r="F456" i="4" s="1"/>
  <c r="E96" i="4"/>
  <c r="F96" i="4" s="1"/>
  <c r="E512" i="4"/>
  <c r="F512" i="4" s="1"/>
  <c r="E576" i="4"/>
  <c r="F576" i="4" s="1"/>
  <c r="E560" i="4"/>
  <c r="F560" i="4" s="1"/>
  <c r="E448" i="4"/>
  <c r="F448" i="4" s="1"/>
  <c r="E520" i="4"/>
  <c r="F520" i="4" s="1"/>
  <c r="E584" i="4"/>
  <c r="F584" i="4" s="1"/>
  <c r="E464" i="4"/>
  <c r="F464" i="4" s="1"/>
  <c r="E528" i="4"/>
  <c r="F528" i="4" s="1"/>
  <c r="E592" i="4"/>
  <c r="F592" i="4" s="1"/>
  <c r="E472" i="4"/>
  <c r="F472" i="4" s="1"/>
  <c r="E536" i="4"/>
  <c r="F536" i="4" s="1"/>
  <c r="E480" i="4"/>
  <c r="F480" i="4" s="1"/>
  <c r="E544" i="4"/>
  <c r="F544" i="4" s="1"/>
  <c r="E488" i="4"/>
  <c r="F488" i="4" s="1"/>
  <c r="E552" i="4"/>
  <c r="F552" i="4" s="1"/>
  <c r="E496" i="4"/>
  <c r="F496" i="4" s="1"/>
  <c r="E504" i="4"/>
  <c r="F504" i="4" s="1"/>
  <c r="E568" i="4"/>
  <c r="F568" i="4" s="1"/>
</calcChain>
</file>

<file path=xl/sharedStrings.xml><?xml version="1.0" encoding="utf-8"?>
<sst xmlns="http://schemas.openxmlformats.org/spreadsheetml/2006/main" count="68" uniqueCount="16">
  <si>
    <t>Tempo(s)</t>
  </si>
  <si>
    <t>Alongamento (mm/mm)</t>
  </si>
  <si>
    <t>Deformação (mm/mm)</t>
  </si>
  <si>
    <t>Força (N)</t>
  </si>
  <si>
    <t>Tensão (Pa)</t>
  </si>
  <si>
    <t>Tensão (MPa)</t>
  </si>
  <si>
    <t>Unidade</t>
  </si>
  <si>
    <t>Comprimento</t>
  </si>
  <si>
    <t>Largura</t>
  </si>
  <si>
    <t>Espessura</t>
  </si>
  <si>
    <t>mm</t>
  </si>
  <si>
    <t>m</t>
  </si>
  <si>
    <t>Área (m^2)</t>
  </si>
  <si>
    <t>Desvio Padrão</t>
  </si>
  <si>
    <t>Média</t>
  </si>
  <si>
    <t>media força maxima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</si>
</sst>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1">
    <dxf>
      <numFmt numFmtId="2" formatCode="0.00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e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'A21-1'!$C$2:$C$583</c:f>
              <c:numCache>
                <c:formatCode>0.00</c:formatCode>
                <c:ptCount val="582"/>
                <c:pt idx="0">
                  <c:v>7.0724000000000009E-5</c:v>
                </c:pt>
                <c:pt idx="1">
                  <c:v>5.535E-3</c:v>
                </c:pt>
                <c:pt idx="2">
                  <c:v>5.5889999999999994E-3</c:v>
                </c:pt>
                <c:pt idx="3">
                  <c:v>5.6467999999999996E-3</c:v>
                </c:pt>
                <c:pt idx="4">
                  <c:v>5.7008000000000007E-3</c:v>
                </c:pt>
                <c:pt idx="5">
                  <c:v>5.7565999999999997E-3</c:v>
                </c:pt>
                <c:pt idx="6">
                  <c:v>5.8123999999999997E-3</c:v>
                </c:pt>
                <c:pt idx="7">
                  <c:v>5.8682000000000005E-3</c:v>
                </c:pt>
                <c:pt idx="8">
                  <c:v>5.9221999999999999E-3</c:v>
                </c:pt>
                <c:pt idx="9">
                  <c:v>5.9800000000000001E-3</c:v>
                </c:pt>
                <c:pt idx="10">
                  <c:v>6.0358E-3</c:v>
                </c:pt>
                <c:pt idx="11">
                  <c:v>6.0916E-3</c:v>
                </c:pt>
                <c:pt idx="12">
                  <c:v>6.1456000000000002E-3</c:v>
                </c:pt>
                <c:pt idx="13">
                  <c:v>6.2014000000000001E-3</c:v>
                </c:pt>
                <c:pt idx="14">
                  <c:v>6.257200000000001E-3</c:v>
                </c:pt>
                <c:pt idx="15">
                  <c:v>6.313E-3</c:v>
                </c:pt>
                <c:pt idx="16">
                  <c:v>6.3688E-3</c:v>
                </c:pt>
                <c:pt idx="17">
                  <c:v>6.4227999999999993E-3</c:v>
                </c:pt>
                <c:pt idx="18">
                  <c:v>6.4805999999999996E-3</c:v>
                </c:pt>
                <c:pt idx="19">
                  <c:v>6.5346000000000007E-3</c:v>
                </c:pt>
                <c:pt idx="20">
                  <c:v>6.5922000000000003E-3</c:v>
                </c:pt>
                <c:pt idx="21">
                  <c:v>6.6461999999999997E-3</c:v>
                </c:pt>
                <c:pt idx="22">
                  <c:v>6.7020000000000005E-3</c:v>
                </c:pt>
                <c:pt idx="23">
                  <c:v>6.7578000000000004E-3</c:v>
                </c:pt>
                <c:pt idx="24">
                  <c:v>6.8138000000000001E-3</c:v>
                </c:pt>
                <c:pt idx="25">
                  <c:v>6.8676000000000006E-3</c:v>
                </c:pt>
                <c:pt idx="26">
                  <c:v>6.9254000000000008E-3</c:v>
                </c:pt>
                <c:pt idx="27">
                  <c:v>6.9794000000000002E-3</c:v>
                </c:pt>
                <c:pt idx="28">
                  <c:v>7.0352000000000001E-3</c:v>
                </c:pt>
                <c:pt idx="29">
                  <c:v>7.0909999999999992E-3</c:v>
                </c:pt>
                <c:pt idx="30">
                  <c:v>7.1450000000000003E-3</c:v>
                </c:pt>
                <c:pt idx="31">
                  <c:v>7.2026E-3</c:v>
                </c:pt>
                <c:pt idx="32">
                  <c:v>7.2585999999999996E-3</c:v>
                </c:pt>
                <c:pt idx="33">
                  <c:v>7.3143999999999995E-3</c:v>
                </c:pt>
                <c:pt idx="34">
                  <c:v>7.3982000000000006E-3</c:v>
                </c:pt>
                <c:pt idx="35">
                  <c:v>7.4799999999999997E-3</c:v>
                </c:pt>
                <c:pt idx="36">
                  <c:v>7.5617999999999996E-3</c:v>
                </c:pt>
                <c:pt idx="37">
                  <c:v>7.6455999999999998E-3</c:v>
                </c:pt>
                <c:pt idx="38">
                  <c:v>7.7294E-3</c:v>
                </c:pt>
                <c:pt idx="39">
                  <c:v>7.8131999999999993E-3</c:v>
                </c:pt>
                <c:pt idx="40">
                  <c:v>7.8949999999999992E-3</c:v>
                </c:pt>
                <c:pt idx="41">
                  <c:v>7.9788000000000012E-3</c:v>
                </c:pt>
                <c:pt idx="42">
                  <c:v>8.0625999999999996E-3</c:v>
                </c:pt>
                <c:pt idx="43">
                  <c:v>8.1461999999999993E-3</c:v>
                </c:pt>
                <c:pt idx="44">
                  <c:v>8.2299999999999995E-3</c:v>
                </c:pt>
                <c:pt idx="45">
                  <c:v>8.3137999999999997E-3</c:v>
                </c:pt>
                <c:pt idx="46">
                  <c:v>8.3955999999999996E-3</c:v>
                </c:pt>
                <c:pt idx="47">
                  <c:v>8.4793999999999998E-3</c:v>
                </c:pt>
                <c:pt idx="48">
                  <c:v>8.5632E-3</c:v>
                </c:pt>
                <c:pt idx="49">
                  <c:v>8.6470000000000002E-3</c:v>
                </c:pt>
                <c:pt idx="50">
                  <c:v>8.7288000000000001E-3</c:v>
                </c:pt>
                <c:pt idx="51">
                  <c:v>8.8126000000000003E-3</c:v>
                </c:pt>
                <c:pt idx="52">
                  <c:v>8.8964000000000005E-3</c:v>
                </c:pt>
                <c:pt idx="53">
                  <c:v>8.9800000000000001E-3</c:v>
                </c:pt>
                <c:pt idx="54">
                  <c:v>9.0638000000000003E-3</c:v>
                </c:pt>
                <c:pt idx="55">
                  <c:v>9.1457999999999991E-3</c:v>
                </c:pt>
                <c:pt idx="56">
                  <c:v>9.2294000000000005E-3</c:v>
                </c:pt>
                <c:pt idx="57">
                  <c:v>9.3113999999999992E-3</c:v>
                </c:pt>
                <c:pt idx="58">
                  <c:v>9.3969999999999991E-3</c:v>
                </c:pt>
                <c:pt idx="59">
                  <c:v>9.478799999999999E-3</c:v>
                </c:pt>
                <c:pt idx="60">
                  <c:v>9.5625999999999992E-3</c:v>
                </c:pt>
                <c:pt idx="61">
                  <c:v>9.6445999999999997E-3</c:v>
                </c:pt>
                <c:pt idx="62">
                  <c:v>9.7301999999999996E-3</c:v>
                </c:pt>
                <c:pt idx="63">
                  <c:v>9.813800000000001E-3</c:v>
                </c:pt>
                <c:pt idx="64">
                  <c:v>9.8975999999999995E-3</c:v>
                </c:pt>
                <c:pt idx="65">
                  <c:v>9.9795999999999999E-3</c:v>
                </c:pt>
                <c:pt idx="66">
                  <c:v>1.0063200000000001E-2</c:v>
                </c:pt>
                <c:pt idx="67">
                  <c:v>1.01452E-2</c:v>
                </c:pt>
                <c:pt idx="68">
                  <c:v>1.02308E-2</c:v>
                </c:pt>
                <c:pt idx="69">
                  <c:v>1.03126E-2</c:v>
                </c:pt>
                <c:pt idx="70">
                  <c:v>1.0396399999999998E-2</c:v>
                </c:pt>
                <c:pt idx="71">
                  <c:v>1.04802E-2</c:v>
                </c:pt>
                <c:pt idx="72">
                  <c:v>1.0560199999999999E-2</c:v>
                </c:pt>
                <c:pt idx="73">
                  <c:v>1.06458E-2</c:v>
                </c:pt>
                <c:pt idx="74">
                  <c:v>1.0729599999999999E-2</c:v>
                </c:pt>
                <c:pt idx="75">
                  <c:v>1.0813399999999999E-2</c:v>
                </c:pt>
                <c:pt idx="76">
                  <c:v>1.0925000000000001E-2</c:v>
                </c:pt>
                <c:pt idx="77">
                  <c:v>1.1008800000000001E-2</c:v>
                </c:pt>
                <c:pt idx="78">
                  <c:v>1.1120399999999999E-2</c:v>
                </c:pt>
                <c:pt idx="79">
                  <c:v>1.1230199999999999E-2</c:v>
                </c:pt>
                <c:pt idx="80">
                  <c:v>1.1339999999999999E-2</c:v>
                </c:pt>
                <c:pt idx="81">
                  <c:v>1.1451800000000002E-2</c:v>
                </c:pt>
                <c:pt idx="82">
                  <c:v>1.15634E-2</c:v>
                </c:pt>
                <c:pt idx="83">
                  <c:v>1.1675E-2</c:v>
                </c:pt>
                <c:pt idx="84">
                  <c:v>1.17848E-2</c:v>
                </c:pt>
                <c:pt idx="85">
                  <c:v>1.18966E-2</c:v>
                </c:pt>
                <c:pt idx="86">
                  <c:v>1.2006399999999999E-2</c:v>
                </c:pt>
                <c:pt idx="87">
                  <c:v>1.2118E-2</c:v>
                </c:pt>
                <c:pt idx="88">
                  <c:v>1.22296E-2</c:v>
                </c:pt>
                <c:pt idx="89">
                  <c:v>1.2341400000000001E-2</c:v>
                </c:pt>
                <c:pt idx="90">
                  <c:v>1.2451200000000001E-2</c:v>
                </c:pt>
                <c:pt idx="91">
                  <c:v>1.2562800000000001E-2</c:v>
                </c:pt>
                <c:pt idx="92">
                  <c:v>1.2674399999999999E-2</c:v>
                </c:pt>
                <c:pt idx="93">
                  <c:v>1.2786200000000001E-2</c:v>
                </c:pt>
                <c:pt idx="94">
                  <c:v>1.2896000000000001E-2</c:v>
                </c:pt>
                <c:pt idx="95">
                  <c:v>1.3007599999999999E-2</c:v>
                </c:pt>
                <c:pt idx="96">
                  <c:v>1.3119400000000002E-2</c:v>
                </c:pt>
                <c:pt idx="97">
                  <c:v>1.3229200000000002E-2</c:v>
                </c:pt>
                <c:pt idx="98">
                  <c:v>1.33408E-2</c:v>
                </c:pt>
                <c:pt idx="99">
                  <c:v>1.34506E-2</c:v>
                </c:pt>
                <c:pt idx="100">
                  <c:v>1.35622E-2</c:v>
                </c:pt>
                <c:pt idx="101">
                  <c:v>1.3672E-2</c:v>
                </c:pt>
                <c:pt idx="102">
                  <c:v>1.37856E-2</c:v>
                </c:pt>
                <c:pt idx="103">
                  <c:v>1.38972E-2</c:v>
                </c:pt>
                <c:pt idx="104">
                  <c:v>1.4007E-2</c:v>
                </c:pt>
                <c:pt idx="105">
                  <c:v>1.4118800000000001E-2</c:v>
                </c:pt>
                <c:pt idx="106">
                  <c:v>1.4230400000000001E-2</c:v>
                </c:pt>
                <c:pt idx="107">
                  <c:v>1.4341999999999999E-2</c:v>
                </c:pt>
                <c:pt idx="108">
                  <c:v>1.4452E-2</c:v>
                </c:pt>
                <c:pt idx="109">
                  <c:v>1.4563600000000001E-2</c:v>
                </c:pt>
                <c:pt idx="110">
                  <c:v>1.4703200000000001E-2</c:v>
                </c:pt>
                <c:pt idx="111">
                  <c:v>1.4813E-2</c:v>
                </c:pt>
                <c:pt idx="112">
                  <c:v>1.49526E-2</c:v>
                </c:pt>
                <c:pt idx="113">
                  <c:v>1.50902E-2</c:v>
                </c:pt>
                <c:pt idx="114">
                  <c:v>1.5202E-2</c:v>
                </c:pt>
                <c:pt idx="115">
                  <c:v>1.53396E-2</c:v>
                </c:pt>
                <c:pt idx="116">
                  <c:v>1.5451399999999999E-2</c:v>
                </c:pt>
                <c:pt idx="117">
                  <c:v>1.5590999999999999E-2</c:v>
                </c:pt>
                <c:pt idx="118">
                  <c:v>1.5702600000000001E-2</c:v>
                </c:pt>
                <c:pt idx="119">
                  <c:v>1.5812400000000001E-2</c:v>
                </c:pt>
                <c:pt idx="120">
                  <c:v>1.5950200000000001E-2</c:v>
                </c:pt>
                <c:pt idx="121">
                  <c:v>1.6061800000000001E-2</c:v>
                </c:pt>
                <c:pt idx="122">
                  <c:v>1.6203200000000001E-2</c:v>
                </c:pt>
                <c:pt idx="123">
                  <c:v>1.6313000000000001E-2</c:v>
                </c:pt>
                <c:pt idx="124">
                  <c:v>1.64248E-2</c:v>
                </c:pt>
                <c:pt idx="125">
                  <c:v>1.65364E-2</c:v>
                </c:pt>
                <c:pt idx="126">
                  <c:v>1.66742E-2</c:v>
                </c:pt>
                <c:pt idx="127">
                  <c:v>1.67858E-2</c:v>
                </c:pt>
                <c:pt idx="128">
                  <c:v>1.68956E-2</c:v>
                </c:pt>
                <c:pt idx="129">
                  <c:v>1.70072E-2</c:v>
                </c:pt>
                <c:pt idx="130">
                  <c:v>1.71468E-2</c:v>
                </c:pt>
                <c:pt idx="131">
                  <c:v>1.7258599999999999E-2</c:v>
                </c:pt>
                <c:pt idx="132">
                  <c:v>1.7368399999999999E-2</c:v>
                </c:pt>
                <c:pt idx="133">
                  <c:v>1.7479999999999999E-2</c:v>
                </c:pt>
                <c:pt idx="134">
                  <c:v>1.7589799999999999E-2</c:v>
                </c:pt>
                <c:pt idx="135">
                  <c:v>1.7701399999999999E-2</c:v>
                </c:pt>
                <c:pt idx="136">
                  <c:v>1.7813200000000001E-2</c:v>
                </c:pt>
                <c:pt idx="137">
                  <c:v>1.7924800000000001E-2</c:v>
                </c:pt>
                <c:pt idx="138">
                  <c:v>1.8034600000000001E-2</c:v>
                </c:pt>
                <c:pt idx="139">
                  <c:v>1.81464E-2</c:v>
                </c:pt>
                <c:pt idx="140">
                  <c:v>1.8258E-2</c:v>
                </c:pt>
                <c:pt idx="141">
                  <c:v>1.83696E-2</c:v>
                </c:pt>
                <c:pt idx="142">
                  <c:v>1.8451599999999999E-2</c:v>
                </c:pt>
                <c:pt idx="143">
                  <c:v>1.8565000000000002E-2</c:v>
                </c:pt>
                <c:pt idx="144">
                  <c:v>1.8674800000000002E-2</c:v>
                </c:pt>
                <c:pt idx="145">
                  <c:v>1.8756800000000001E-2</c:v>
                </c:pt>
                <c:pt idx="146">
                  <c:v>1.88684E-2</c:v>
                </c:pt>
                <c:pt idx="147">
                  <c:v>1.8980199999999999E-2</c:v>
                </c:pt>
                <c:pt idx="148">
                  <c:v>1.9089999999999999E-2</c:v>
                </c:pt>
                <c:pt idx="149">
                  <c:v>1.9173599999999999E-2</c:v>
                </c:pt>
                <c:pt idx="150">
                  <c:v>1.9285399999999998E-2</c:v>
                </c:pt>
                <c:pt idx="151">
                  <c:v>1.9367200000000001E-2</c:v>
                </c:pt>
                <c:pt idx="152">
                  <c:v>1.94808E-2</c:v>
                </c:pt>
                <c:pt idx="153">
                  <c:v>1.95906E-2</c:v>
                </c:pt>
                <c:pt idx="154">
                  <c:v>1.96724E-2</c:v>
                </c:pt>
                <c:pt idx="155">
                  <c:v>1.9784200000000002E-2</c:v>
                </c:pt>
                <c:pt idx="156">
                  <c:v>1.9895799999999998E-2</c:v>
                </c:pt>
                <c:pt idx="157">
                  <c:v>2.0007999999999998E-2</c:v>
                </c:pt>
                <c:pt idx="158">
                  <c:v>2.0119999999999999E-2</c:v>
                </c:pt>
                <c:pt idx="159">
                  <c:v>2.0202000000000001E-2</c:v>
                </c:pt>
                <c:pt idx="160">
                  <c:v>2.0312E-2</c:v>
                </c:pt>
                <c:pt idx="161">
                  <c:v>2.0424000000000001E-2</c:v>
                </c:pt>
                <c:pt idx="162">
                  <c:v>2.0508000000000002E-2</c:v>
                </c:pt>
                <c:pt idx="163">
                  <c:v>2.0617999999999997E-2</c:v>
                </c:pt>
                <c:pt idx="164">
                  <c:v>2.0701999999999998E-2</c:v>
                </c:pt>
                <c:pt idx="165">
                  <c:v>2.0812000000000001E-2</c:v>
                </c:pt>
                <c:pt idx="166">
                  <c:v>2.0895999999999998E-2</c:v>
                </c:pt>
                <c:pt idx="167">
                  <c:v>2.1006E-2</c:v>
                </c:pt>
                <c:pt idx="168">
                  <c:v>2.1090000000000001E-2</c:v>
                </c:pt>
                <c:pt idx="169">
                  <c:v>2.1202000000000002E-2</c:v>
                </c:pt>
                <c:pt idx="170">
                  <c:v>2.1285999999999999E-2</c:v>
                </c:pt>
                <c:pt idx="171">
                  <c:v>2.1396000000000002E-2</c:v>
                </c:pt>
                <c:pt idx="172">
                  <c:v>2.1480000000000003E-2</c:v>
                </c:pt>
                <c:pt idx="173">
                  <c:v>2.1591999999999997E-2</c:v>
                </c:pt>
                <c:pt idx="174">
                  <c:v>2.1676000000000001E-2</c:v>
                </c:pt>
                <c:pt idx="175">
                  <c:v>2.1786E-2</c:v>
                </c:pt>
                <c:pt idx="176">
                  <c:v>2.1867999999999999E-2</c:v>
                </c:pt>
                <c:pt idx="177">
                  <c:v>2.1951999999999999E-2</c:v>
                </c:pt>
                <c:pt idx="178">
                  <c:v>2.2061999999999998E-2</c:v>
                </c:pt>
                <c:pt idx="179">
                  <c:v>2.2147999999999998E-2</c:v>
                </c:pt>
                <c:pt idx="180">
                  <c:v>2.2231999999999998E-2</c:v>
                </c:pt>
                <c:pt idx="181">
                  <c:v>2.2339999999999999E-2</c:v>
                </c:pt>
                <c:pt idx="182">
                  <c:v>2.2452E-2</c:v>
                </c:pt>
                <c:pt idx="183">
                  <c:v>2.2562000000000002E-2</c:v>
                </c:pt>
                <c:pt idx="184">
                  <c:v>2.2644000000000001E-2</c:v>
                </c:pt>
                <c:pt idx="185">
                  <c:v>2.273E-2</c:v>
                </c:pt>
                <c:pt idx="186">
                  <c:v>2.2841999999999998E-2</c:v>
                </c:pt>
                <c:pt idx="187">
                  <c:v>2.2952E-2</c:v>
                </c:pt>
                <c:pt idx="188">
                  <c:v>2.3035999999999997E-2</c:v>
                </c:pt>
                <c:pt idx="189">
                  <c:v>2.3118E-2</c:v>
                </c:pt>
                <c:pt idx="190">
                  <c:v>2.3203999999999999E-2</c:v>
                </c:pt>
                <c:pt idx="191">
                  <c:v>2.3283999999999999E-2</c:v>
                </c:pt>
                <c:pt idx="192">
                  <c:v>2.3368000000000003E-2</c:v>
                </c:pt>
                <c:pt idx="193">
                  <c:v>2.3452000000000001E-2</c:v>
                </c:pt>
                <c:pt idx="194">
                  <c:v>2.3536000000000001E-2</c:v>
                </c:pt>
                <c:pt idx="195">
                  <c:v>2.3618E-2</c:v>
                </c:pt>
                <c:pt idx="196">
                  <c:v>2.3702000000000001E-2</c:v>
                </c:pt>
                <c:pt idx="197">
                  <c:v>2.3786000000000002E-2</c:v>
                </c:pt>
                <c:pt idx="198">
                  <c:v>2.3869999999999999E-2</c:v>
                </c:pt>
                <c:pt idx="199">
                  <c:v>2.3952000000000001E-2</c:v>
                </c:pt>
                <c:pt idx="200">
                  <c:v>2.4035999999999998E-2</c:v>
                </c:pt>
                <c:pt idx="201">
                  <c:v>2.4118000000000001E-2</c:v>
                </c:pt>
                <c:pt idx="202">
                  <c:v>2.4199999999999999E-2</c:v>
                </c:pt>
                <c:pt idx="203">
                  <c:v>2.4285999999999999E-2</c:v>
                </c:pt>
                <c:pt idx="204">
                  <c:v>2.4367999999999997E-2</c:v>
                </c:pt>
                <c:pt idx="205">
                  <c:v>2.4451999999999998E-2</c:v>
                </c:pt>
                <c:pt idx="206">
                  <c:v>2.4533999999999997E-2</c:v>
                </c:pt>
                <c:pt idx="207">
                  <c:v>2.4618000000000001E-2</c:v>
                </c:pt>
                <c:pt idx="208">
                  <c:v>2.4704E-2</c:v>
                </c:pt>
                <c:pt idx="209">
                  <c:v>2.4786000000000002E-2</c:v>
                </c:pt>
                <c:pt idx="210">
                  <c:v>2.4868000000000001E-2</c:v>
                </c:pt>
                <c:pt idx="211">
                  <c:v>2.495E-2</c:v>
                </c:pt>
                <c:pt idx="212">
                  <c:v>2.5034000000000001E-2</c:v>
                </c:pt>
                <c:pt idx="213">
                  <c:v>2.5118000000000001E-2</c:v>
                </c:pt>
                <c:pt idx="214">
                  <c:v>2.5201999999999999E-2</c:v>
                </c:pt>
                <c:pt idx="215">
                  <c:v>2.5285999999999999E-2</c:v>
                </c:pt>
                <c:pt idx="216">
                  <c:v>2.5339999999999998E-2</c:v>
                </c:pt>
                <c:pt idx="217">
                  <c:v>2.5424000000000002E-2</c:v>
                </c:pt>
                <c:pt idx="218">
                  <c:v>2.5510000000000001E-2</c:v>
                </c:pt>
                <c:pt idx="219">
                  <c:v>2.5590000000000002E-2</c:v>
                </c:pt>
                <c:pt idx="220">
                  <c:v>2.5674000000000002E-2</c:v>
                </c:pt>
                <c:pt idx="221">
                  <c:v>2.5756000000000001E-2</c:v>
                </c:pt>
                <c:pt idx="222">
                  <c:v>2.5842E-2</c:v>
                </c:pt>
                <c:pt idx="223">
                  <c:v>2.5926000000000001E-2</c:v>
                </c:pt>
                <c:pt idx="224">
                  <c:v>2.6008E-2</c:v>
                </c:pt>
                <c:pt idx="225">
                  <c:v>2.6089999999999999E-2</c:v>
                </c:pt>
                <c:pt idx="226">
                  <c:v>2.6173999999999999E-2</c:v>
                </c:pt>
                <c:pt idx="227">
                  <c:v>2.6230000000000003E-2</c:v>
                </c:pt>
                <c:pt idx="228">
                  <c:v>2.6314000000000001E-2</c:v>
                </c:pt>
                <c:pt idx="229">
                  <c:v>2.6367999999999999E-2</c:v>
                </c:pt>
                <c:pt idx="230">
                  <c:v>2.6452E-2</c:v>
                </c:pt>
                <c:pt idx="231">
                  <c:v>2.6533999999999999E-2</c:v>
                </c:pt>
                <c:pt idx="232">
                  <c:v>2.6617999999999999E-2</c:v>
                </c:pt>
                <c:pt idx="233">
                  <c:v>2.6674000000000003E-2</c:v>
                </c:pt>
                <c:pt idx="234">
                  <c:v>2.6758000000000001E-2</c:v>
                </c:pt>
                <c:pt idx="235">
                  <c:v>2.6840000000000003E-2</c:v>
                </c:pt>
                <c:pt idx="236">
                  <c:v>2.6926000000000002E-2</c:v>
                </c:pt>
                <c:pt idx="237">
                  <c:v>2.6980000000000001E-2</c:v>
                </c:pt>
                <c:pt idx="238">
                  <c:v>2.7063999999999998E-2</c:v>
                </c:pt>
                <c:pt idx="239">
                  <c:v>2.7146E-2</c:v>
                </c:pt>
                <c:pt idx="240">
                  <c:v>2.7227999999999999E-2</c:v>
                </c:pt>
                <c:pt idx="241">
                  <c:v>2.7309999999999997E-2</c:v>
                </c:pt>
                <c:pt idx="242">
                  <c:v>2.7395999999999997E-2</c:v>
                </c:pt>
                <c:pt idx="243">
                  <c:v>2.7452000000000001E-2</c:v>
                </c:pt>
                <c:pt idx="244">
                  <c:v>2.7536000000000001E-2</c:v>
                </c:pt>
                <c:pt idx="245">
                  <c:v>2.7618E-2</c:v>
                </c:pt>
                <c:pt idx="246">
                  <c:v>2.7702000000000001E-2</c:v>
                </c:pt>
                <c:pt idx="247">
                  <c:v>2.7785999999999998E-2</c:v>
                </c:pt>
                <c:pt idx="248">
                  <c:v>2.7869999999999999E-2</c:v>
                </c:pt>
                <c:pt idx="249">
                  <c:v>2.7921999999999999E-2</c:v>
                </c:pt>
                <c:pt idx="250">
                  <c:v>2.8008000000000002E-2</c:v>
                </c:pt>
                <c:pt idx="251">
                  <c:v>2.809E-2</c:v>
                </c:pt>
                <c:pt idx="252">
                  <c:v>2.8174000000000001E-2</c:v>
                </c:pt>
                <c:pt idx="253">
                  <c:v>2.8285999999999999E-2</c:v>
                </c:pt>
                <c:pt idx="254">
                  <c:v>2.8395999999999998E-2</c:v>
                </c:pt>
                <c:pt idx="255">
                  <c:v>2.8507999999999999E-2</c:v>
                </c:pt>
                <c:pt idx="256">
                  <c:v>2.862E-2</c:v>
                </c:pt>
                <c:pt idx="257">
                  <c:v>2.8730000000000002E-2</c:v>
                </c:pt>
                <c:pt idx="258">
                  <c:v>2.8839999999999998E-2</c:v>
                </c:pt>
                <c:pt idx="259">
                  <c:v>2.8951999999999999E-2</c:v>
                </c:pt>
                <c:pt idx="260">
                  <c:v>2.9035999999999999E-2</c:v>
                </c:pt>
                <c:pt idx="261">
                  <c:v>2.9146000000000002E-2</c:v>
                </c:pt>
                <c:pt idx="262">
                  <c:v>2.9258000000000003E-2</c:v>
                </c:pt>
                <c:pt idx="263">
                  <c:v>2.9367999999999998E-2</c:v>
                </c:pt>
                <c:pt idx="264">
                  <c:v>2.9451999999999999E-2</c:v>
                </c:pt>
                <c:pt idx="265">
                  <c:v>2.9564E-2</c:v>
                </c:pt>
                <c:pt idx="266">
                  <c:v>2.9647999999999997E-2</c:v>
                </c:pt>
                <c:pt idx="267">
                  <c:v>2.9758E-2</c:v>
                </c:pt>
                <c:pt idx="268">
                  <c:v>2.9842E-2</c:v>
                </c:pt>
                <c:pt idx="269">
                  <c:v>2.9951999999999999E-2</c:v>
                </c:pt>
                <c:pt idx="270">
                  <c:v>3.0036E-2</c:v>
                </c:pt>
                <c:pt idx="271">
                  <c:v>3.0148000000000001E-2</c:v>
                </c:pt>
                <c:pt idx="272">
                  <c:v>3.0228000000000001E-2</c:v>
                </c:pt>
                <c:pt idx="273">
                  <c:v>3.0312000000000002E-2</c:v>
                </c:pt>
                <c:pt idx="274">
                  <c:v>3.0421999999999998E-2</c:v>
                </c:pt>
                <c:pt idx="275">
                  <c:v>3.0506000000000002E-2</c:v>
                </c:pt>
                <c:pt idx="276">
                  <c:v>3.0592000000000001E-2</c:v>
                </c:pt>
                <c:pt idx="277">
                  <c:v>3.0676000000000002E-2</c:v>
                </c:pt>
                <c:pt idx="278">
                  <c:v>3.0758000000000001E-2</c:v>
                </c:pt>
                <c:pt idx="279">
                  <c:v>3.0868000000000003E-2</c:v>
                </c:pt>
                <c:pt idx="280">
                  <c:v>3.0952E-2</c:v>
                </c:pt>
                <c:pt idx="281">
                  <c:v>3.1032000000000001E-2</c:v>
                </c:pt>
                <c:pt idx="282">
                  <c:v>3.1118E-2</c:v>
                </c:pt>
                <c:pt idx="283">
                  <c:v>3.1202000000000001E-2</c:v>
                </c:pt>
                <c:pt idx="284">
                  <c:v>3.1286000000000001E-2</c:v>
                </c:pt>
                <c:pt idx="285">
                  <c:v>3.1368E-2</c:v>
                </c:pt>
                <c:pt idx="286">
                  <c:v>3.1452000000000001E-2</c:v>
                </c:pt>
                <c:pt idx="287">
                  <c:v>3.1536000000000002E-2</c:v>
                </c:pt>
                <c:pt idx="288">
                  <c:v>3.1620000000000002E-2</c:v>
                </c:pt>
                <c:pt idx="289">
                  <c:v>3.1703999999999996E-2</c:v>
                </c:pt>
                <c:pt idx="290">
                  <c:v>3.1784E-2</c:v>
                </c:pt>
                <c:pt idx="291">
                  <c:v>3.1868E-2</c:v>
                </c:pt>
                <c:pt idx="292">
                  <c:v>3.1949999999999999E-2</c:v>
                </c:pt>
                <c:pt idx="293">
                  <c:v>3.2062E-2</c:v>
                </c:pt>
                <c:pt idx="294">
                  <c:v>3.2174000000000001E-2</c:v>
                </c:pt>
                <c:pt idx="295">
                  <c:v>3.2284E-2</c:v>
                </c:pt>
                <c:pt idx="296">
                  <c:v>3.2396000000000001E-2</c:v>
                </c:pt>
                <c:pt idx="297">
                  <c:v>3.2508000000000002E-2</c:v>
                </c:pt>
                <c:pt idx="298">
                  <c:v>3.2618000000000001E-2</c:v>
                </c:pt>
                <c:pt idx="299">
                  <c:v>3.2730000000000002E-2</c:v>
                </c:pt>
                <c:pt idx="300">
                  <c:v>3.2841999999999996E-2</c:v>
                </c:pt>
                <c:pt idx="301">
                  <c:v>3.2952000000000002E-2</c:v>
                </c:pt>
                <c:pt idx="302">
                  <c:v>3.3064000000000003E-2</c:v>
                </c:pt>
                <c:pt idx="303">
                  <c:v>3.3176000000000004E-2</c:v>
                </c:pt>
                <c:pt idx="304">
                  <c:v>3.3285999999999996E-2</c:v>
                </c:pt>
                <c:pt idx="305">
                  <c:v>3.3396000000000002E-2</c:v>
                </c:pt>
                <c:pt idx="306">
                  <c:v>3.3506000000000001E-2</c:v>
                </c:pt>
                <c:pt idx="307">
                  <c:v>3.3618000000000002E-2</c:v>
                </c:pt>
                <c:pt idx="308">
                  <c:v>3.3730000000000003E-2</c:v>
                </c:pt>
                <c:pt idx="309">
                  <c:v>3.3840000000000002E-2</c:v>
                </c:pt>
                <c:pt idx="310">
                  <c:v>3.3952000000000003E-2</c:v>
                </c:pt>
                <c:pt idx="311">
                  <c:v>3.4062000000000002E-2</c:v>
                </c:pt>
                <c:pt idx="312">
                  <c:v>3.4174000000000003E-2</c:v>
                </c:pt>
                <c:pt idx="313">
                  <c:v>3.4256000000000002E-2</c:v>
                </c:pt>
                <c:pt idx="314">
                  <c:v>3.4340000000000002E-2</c:v>
                </c:pt>
                <c:pt idx="315">
                  <c:v>3.4450000000000001E-2</c:v>
                </c:pt>
                <c:pt idx="316">
                  <c:v>3.4562000000000002E-2</c:v>
                </c:pt>
                <c:pt idx="317">
                  <c:v>3.4674000000000003E-2</c:v>
                </c:pt>
                <c:pt idx="318">
                  <c:v>3.4756000000000002E-2</c:v>
                </c:pt>
                <c:pt idx="319">
                  <c:v>3.4866000000000001E-2</c:v>
                </c:pt>
                <c:pt idx="320">
                  <c:v>3.4952000000000004E-2</c:v>
                </c:pt>
                <c:pt idx="321">
                  <c:v>3.5062000000000003E-2</c:v>
                </c:pt>
                <c:pt idx="322">
                  <c:v>3.5172000000000002E-2</c:v>
                </c:pt>
                <c:pt idx="323">
                  <c:v>3.5285999999999998E-2</c:v>
                </c:pt>
                <c:pt idx="324">
                  <c:v>3.5396000000000004E-2</c:v>
                </c:pt>
                <c:pt idx="325">
                  <c:v>3.5508000000000005E-2</c:v>
                </c:pt>
                <c:pt idx="326">
                  <c:v>3.5617999999999997E-2</c:v>
                </c:pt>
                <c:pt idx="327">
                  <c:v>3.5729999999999998E-2</c:v>
                </c:pt>
                <c:pt idx="328">
                  <c:v>3.5840000000000004E-2</c:v>
                </c:pt>
                <c:pt idx="329">
                  <c:v>3.5952000000000005E-2</c:v>
                </c:pt>
                <c:pt idx="330">
                  <c:v>3.6063999999999999E-2</c:v>
                </c:pt>
                <c:pt idx="331">
                  <c:v>3.6176E-2</c:v>
                </c:pt>
                <c:pt idx="332">
                  <c:v>3.6285999999999999E-2</c:v>
                </c:pt>
                <c:pt idx="333">
                  <c:v>3.6396000000000005E-2</c:v>
                </c:pt>
                <c:pt idx="334">
                  <c:v>3.6505999999999997E-2</c:v>
                </c:pt>
                <c:pt idx="335">
                  <c:v>3.6616000000000003E-2</c:v>
                </c:pt>
                <c:pt idx="336">
                  <c:v>3.6728000000000004E-2</c:v>
                </c:pt>
                <c:pt idx="337">
                  <c:v>3.6842E-2</c:v>
                </c:pt>
                <c:pt idx="338">
                  <c:v>3.6951999999999999E-2</c:v>
                </c:pt>
                <c:pt idx="339">
                  <c:v>3.7064E-2</c:v>
                </c:pt>
                <c:pt idx="340">
                  <c:v>3.7173999999999999E-2</c:v>
                </c:pt>
                <c:pt idx="341">
                  <c:v>3.7286E-2</c:v>
                </c:pt>
                <c:pt idx="342">
                  <c:v>3.7395999999999999E-2</c:v>
                </c:pt>
                <c:pt idx="343">
                  <c:v>3.7508E-2</c:v>
                </c:pt>
                <c:pt idx="344">
                  <c:v>3.7620000000000001E-2</c:v>
                </c:pt>
                <c:pt idx="345">
                  <c:v>3.7758E-2</c:v>
                </c:pt>
                <c:pt idx="346">
                  <c:v>3.7895999999999999E-2</c:v>
                </c:pt>
                <c:pt idx="347">
                  <c:v>3.8036E-2</c:v>
                </c:pt>
                <c:pt idx="348">
                  <c:v>3.8172000000000005E-2</c:v>
                </c:pt>
                <c:pt idx="349">
                  <c:v>3.8283999999999999E-2</c:v>
                </c:pt>
                <c:pt idx="350">
                  <c:v>3.8424E-2</c:v>
                </c:pt>
                <c:pt idx="351">
                  <c:v>3.8564000000000001E-2</c:v>
                </c:pt>
                <c:pt idx="352">
                  <c:v>3.8699999999999998E-2</c:v>
                </c:pt>
                <c:pt idx="353">
                  <c:v>3.8811999999999999E-2</c:v>
                </c:pt>
                <c:pt idx="354">
                  <c:v>3.8952000000000001E-2</c:v>
                </c:pt>
                <c:pt idx="355">
                  <c:v>3.9064000000000002E-2</c:v>
                </c:pt>
                <c:pt idx="356">
                  <c:v>3.9202000000000001E-2</c:v>
                </c:pt>
                <c:pt idx="357">
                  <c:v>3.9342000000000002E-2</c:v>
                </c:pt>
                <c:pt idx="358">
                  <c:v>3.9452000000000001E-2</c:v>
                </c:pt>
                <c:pt idx="359">
                  <c:v>3.959E-2</c:v>
                </c:pt>
                <c:pt idx="360">
                  <c:v>3.9702000000000001E-2</c:v>
                </c:pt>
                <c:pt idx="361">
                  <c:v>3.984E-2</c:v>
                </c:pt>
                <c:pt idx="362">
                  <c:v>3.9952000000000001E-2</c:v>
                </c:pt>
                <c:pt idx="363">
                  <c:v>4.0091999999999996E-2</c:v>
                </c:pt>
                <c:pt idx="364">
                  <c:v>4.0228E-2</c:v>
                </c:pt>
                <c:pt idx="365">
                  <c:v>4.0368000000000001E-2</c:v>
                </c:pt>
                <c:pt idx="366">
                  <c:v>4.0507999999999995E-2</c:v>
                </c:pt>
                <c:pt idx="367">
                  <c:v>4.0644E-2</c:v>
                </c:pt>
                <c:pt idx="368">
                  <c:v>4.0785999999999996E-2</c:v>
                </c:pt>
                <c:pt idx="369">
                  <c:v>4.0925999999999997E-2</c:v>
                </c:pt>
                <c:pt idx="370">
                  <c:v>4.1062000000000001E-2</c:v>
                </c:pt>
                <c:pt idx="371">
                  <c:v>4.1201999999999996E-2</c:v>
                </c:pt>
                <c:pt idx="372">
                  <c:v>4.1341999999999997E-2</c:v>
                </c:pt>
                <c:pt idx="373">
                  <c:v>4.1479999999999996E-2</c:v>
                </c:pt>
                <c:pt idx="374">
                  <c:v>4.1618000000000002E-2</c:v>
                </c:pt>
                <c:pt idx="375">
                  <c:v>4.1756000000000001E-2</c:v>
                </c:pt>
                <c:pt idx="376">
                  <c:v>4.1894000000000001E-2</c:v>
                </c:pt>
                <c:pt idx="377">
                  <c:v>4.2034000000000002E-2</c:v>
                </c:pt>
                <c:pt idx="378">
                  <c:v>4.2173999999999996E-2</c:v>
                </c:pt>
                <c:pt idx="379">
                  <c:v>4.2312000000000002E-2</c:v>
                </c:pt>
                <c:pt idx="380">
                  <c:v>4.2453999999999999E-2</c:v>
                </c:pt>
                <c:pt idx="381">
                  <c:v>4.2590000000000003E-2</c:v>
                </c:pt>
                <c:pt idx="382">
                  <c:v>4.2758000000000004E-2</c:v>
                </c:pt>
                <c:pt idx="383">
                  <c:v>4.2923999999999997E-2</c:v>
                </c:pt>
                <c:pt idx="384">
                  <c:v>4.3091999999999998E-2</c:v>
                </c:pt>
                <c:pt idx="385">
                  <c:v>4.3257999999999998E-2</c:v>
                </c:pt>
                <c:pt idx="386">
                  <c:v>4.3423999999999997E-2</c:v>
                </c:pt>
                <c:pt idx="387">
                  <c:v>4.3562000000000003E-2</c:v>
                </c:pt>
                <c:pt idx="388">
                  <c:v>4.3704E-2</c:v>
                </c:pt>
                <c:pt idx="389">
                  <c:v>4.3841999999999999E-2</c:v>
                </c:pt>
                <c:pt idx="390">
                  <c:v>4.3979999999999998E-2</c:v>
                </c:pt>
                <c:pt idx="391">
                  <c:v>4.4118000000000004E-2</c:v>
                </c:pt>
                <c:pt idx="392">
                  <c:v>4.4256000000000004E-2</c:v>
                </c:pt>
                <c:pt idx="393">
                  <c:v>4.4396000000000005E-2</c:v>
                </c:pt>
                <c:pt idx="394">
                  <c:v>4.4535999999999999E-2</c:v>
                </c:pt>
                <c:pt idx="395">
                  <c:v>4.4673999999999998E-2</c:v>
                </c:pt>
                <c:pt idx="396">
                  <c:v>4.4814E-2</c:v>
                </c:pt>
                <c:pt idx="397">
                  <c:v>4.4977999999999997E-2</c:v>
                </c:pt>
                <c:pt idx="398">
                  <c:v>4.5145999999999999E-2</c:v>
                </c:pt>
                <c:pt idx="399">
                  <c:v>4.5311999999999998E-2</c:v>
                </c:pt>
                <c:pt idx="400">
                  <c:v>4.5481999999999995E-2</c:v>
                </c:pt>
                <c:pt idx="401">
                  <c:v>4.5646000000000006E-2</c:v>
                </c:pt>
                <c:pt idx="402">
                  <c:v>4.5811999999999999E-2</c:v>
                </c:pt>
                <c:pt idx="403">
                  <c:v>4.598E-2</c:v>
                </c:pt>
                <c:pt idx="404">
                  <c:v>4.6146E-2</c:v>
                </c:pt>
                <c:pt idx="405">
                  <c:v>4.6314000000000001E-2</c:v>
                </c:pt>
                <c:pt idx="406">
                  <c:v>4.6479999999999994E-2</c:v>
                </c:pt>
                <c:pt idx="407">
                  <c:v>4.6646E-2</c:v>
                </c:pt>
                <c:pt idx="408">
                  <c:v>4.6814000000000001E-2</c:v>
                </c:pt>
                <c:pt idx="409">
                  <c:v>4.6980000000000001E-2</c:v>
                </c:pt>
                <c:pt idx="410">
                  <c:v>4.7146E-2</c:v>
                </c:pt>
                <c:pt idx="411">
                  <c:v>4.7312E-2</c:v>
                </c:pt>
                <c:pt idx="412">
                  <c:v>4.7477999999999999E-2</c:v>
                </c:pt>
                <c:pt idx="413">
                  <c:v>4.7645999999999994E-2</c:v>
                </c:pt>
                <c:pt idx="414">
                  <c:v>4.7813999999999995E-2</c:v>
                </c:pt>
                <c:pt idx="415">
                  <c:v>4.7977999999999993E-2</c:v>
                </c:pt>
                <c:pt idx="416">
                  <c:v>4.8146000000000001E-2</c:v>
                </c:pt>
                <c:pt idx="417">
                  <c:v>4.8314000000000003E-2</c:v>
                </c:pt>
                <c:pt idx="418">
                  <c:v>4.8479999999999995E-2</c:v>
                </c:pt>
                <c:pt idx="419">
                  <c:v>4.8646000000000002E-2</c:v>
                </c:pt>
                <c:pt idx="420">
                  <c:v>4.8811999999999994E-2</c:v>
                </c:pt>
                <c:pt idx="421">
                  <c:v>4.8979999999999996E-2</c:v>
                </c:pt>
                <c:pt idx="422">
                  <c:v>4.9173999999999995E-2</c:v>
                </c:pt>
                <c:pt idx="423">
                  <c:v>4.9340000000000002E-2</c:v>
                </c:pt>
                <c:pt idx="424">
                  <c:v>4.9534000000000002E-2</c:v>
                </c:pt>
                <c:pt idx="425">
                  <c:v>4.9729999999999996E-2</c:v>
                </c:pt>
                <c:pt idx="426">
                  <c:v>4.9923999999999996E-2</c:v>
                </c:pt>
                <c:pt idx="427">
                  <c:v>5.0119999999999998E-2</c:v>
                </c:pt>
                <c:pt idx="428">
                  <c:v>5.0313999999999998E-2</c:v>
                </c:pt>
                <c:pt idx="429">
                  <c:v>5.0507999999999997E-2</c:v>
                </c:pt>
                <c:pt idx="430">
                  <c:v>5.0674000000000004E-2</c:v>
                </c:pt>
                <c:pt idx="431">
                  <c:v>5.0868000000000003E-2</c:v>
                </c:pt>
                <c:pt idx="432">
                  <c:v>5.1062000000000003E-2</c:v>
                </c:pt>
                <c:pt idx="433">
                  <c:v>5.1257999999999998E-2</c:v>
                </c:pt>
                <c:pt idx="434">
                  <c:v>5.1451999999999998E-2</c:v>
                </c:pt>
                <c:pt idx="435">
                  <c:v>5.1647999999999999E-2</c:v>
                </c:pt>
                <c:pt idx="436">
                  <c:v>5.1840000000000004E-2</c:v>
                </c:pt>
                <c:pt idx="437">
                  <c:v>5.2035999999999999E-2</c:v>
                </c:pt>
                <c:pt idx="438">
                  <c:v>5.2229999999999999E-2</c:v>
                </c:pt>
                <c:pt idx="439">
                  <c:v>5.2423999999999998E-2</c:v>
                </c:pt>
                <c:pt idx="440">
                  <c:v>5.2617999999999998E-2</c:v>
                </c:pt>
                <c:pt idx="441">
                  <c:v>5.2814E-2</c:v>
                </c:pt>
                <c:pt idx="442">
                  <c:v>5.3008E-2</c:v>
                </c:pt>
                <c:pt idx="443">
                  <c:v>5.3201999999999999E-2</c:v>
                </c:pt>
                <c:pt idx="444">
                  <c:v>5.3423999999999999E-2</c:v>
                </c:pt>
                <c:pt idx="445">
                  <c:v>5.3617999999999999E-2</c:v>
                </c:pt>
                <c:pt idx="446">
                  <c:v>5.3842000000000001E-2</c:v>
                </c:pt>
                <c:pt idx="447">
                  <c:v>5.4061999999999999E-2</c:v>
                </c:pt>
                <c:pt idx="448">
                  <c:v>5.4258000000000001E-2</c:v>
                </c:pt>
                <c:pt idx="449">
                  <c:v>5.4452E-2</c:v>
                </c:pt>
                <c:pt idx="450">
                  <c:v>5.4646E-2</c:v>
                </c:pt>
                <c:pt idx="451">
                  <c:v>5.484E-2</c:v>
                </c:pt>
                <c:pt idx="452">
                  <c:v>5.5034E-2</c:v>
                </c:pt>
                <c:pt idx="453">
                  <c:v>5.5258000000000002E-2</c:v>
                </c:pt>
                <c:pt idx="454">
                  <c:v>5.5481999999999997E-2</c:v>
                </c:pt>
                <c:pt idx="455">
                  <c:v>5.5702000000000002E-2</c:v>
                </c:pt>
                <c:pt idx="456">
                  <c:v>5.5923999999999995E-2</c:v>
                </c:pt>
                <c:pt idx="457">
                  <c:v>5.6146000000000001E-2</c:v>
                </c:pt>
                <c:pt idx="458">
                  <c:v>5.6368000000000001E-2</c:v>
                </c:pt>
                <c:pt idx="459">
                  <c:v>5.6590000000000001E-2</c:v>
                </c:pt>
                <c:pt idx="460">
                  <c:v>5.6814000000000003E-2</c:v>
                </c:pt>
                <c:pt idx="461">
                  <c:v>5.7035999999999996E-2</c:v>
                </c:pt>
                <c:pt idx="462">
                  <c:v>5.7257999999999996E-2</c:v>
                </c:pt>
                <c:pt idx="463">
                  <c:v>5.7480000000000003E-2</c:v>
                </c:pt>
                <c:pt idx="464">
                  <c:v>5.7702000000000003E-2</c:v>
                </c:pt>
                <c:pt idx="465">
                  <c:v>5.7923999999999996E-2</c:v>
                </c:pt>
                <c:pt idx="466">
                  <c:v>5.8146000000000003E-2</c:v>
                </c:pt>
                <c:pt idx="467">
                  <c:v>5.8368000000000003E-2</c:v>
                </c:pt>
                <c:pt idx="468">
                  <c:v>5.8592000000000005E-2</c:v>
                </c:pt>
                <c:pt idx="469">
                  <c:v>5.8840000000000003E-2</c:v>
                </c:pt>
                <c:pt idx="470">
                  <c:v>5.9089999999999997E-2</c:v>
                </c:pt>
                <c:pt idx="471">
                  <c:v>5.9341999999999999E-2</c:v>
                </c:pt>
                <c:pt idx="472">
                  <c:v>5.9589999999999997E-2</c:v>
                </c:pt>
                <c:pt idx="473">
                  <c:v>5.9842000000000006E-2</c:v>
                </c:pt>
                <c:pt idx="474">
                  <c:v>6.0090000000000005E-2</c:v>
                </c:pt>
                <c:pt idx="475">
                  <c:v>6.0312000000000004E-2</c:v>
                </c:pt>
                <c:pt idx="476">
                  <c:v>6.0564E-2</c:v>
                </c:pt>
                <c:pt idx="477">
                  <c:v>6.0811999999999998E-2</c:v>
                </c:pt>
                <c:pt idx="478">
                  <c:v>6.1062000000000005E-2</c:v>
                </c:pt>
                <c:pt idx="479">
                  <c:v>6.1314E-2</c:v>
                </c:pt>
                <c:pt idx="480">
                  <c:v>6.1563999999999994E-2</c:v>
                </c:pt>
                <c:pt idx="481">
                  <c:v>6.1811999999999999E-2</c:v>
                </c:pt>
                <c:pt idx="482">
                  <c:v>6.2061999999999999E-2</c:v>
                </c:pt>
                <c:pt idx="483">
                  <c:v>6.2314000000000001E-2</c:v>
                </c:pt>
                <c:pt idx="484">
                  <c:v>6.2590000000000007E-2</c:v>
                </c:pt>
                <c:pt idx="485">
                  <c:v>6.2839999999999993E-2</c:v>
                </c:pt>
                <c:pt idx="486">
                  <c:v>6.3091999999999995E-2</c:v>
                </c:pt>
                <c:pt idx="487">
                  <c:v>6.3339999999999994E-2</c:v>
                </c:pt>
                <c:pt idx="488">
                  <c:v>6.3589999999999994E-2</c:v>
                </c:pt>
                <c:pt idx="489">
                  <c:v>6.3841999999999996E-2</c:v>
                </c:pt>
                <c:pt idx="490">
                  <c:v>6.4089999999999994E-2</c:v>
                </c:pt>
                <c:pt idx="491">
                  <c:v>6.4340000000000008E-2</c:v>
                </c:pt>
                <c:pt idx="492">
                  <c:v>6.4619999999999997E-2</c:v>
                </c:pt>
                <c:pt idx="493">
                  <c:v>6.4896000000000009E-2</c:v>
                </c:pt>
                <c:pt idx="494">
                  <c:v>6.5145999999999996E-2</c:v>
                </c:pt>
                <c:pt idx="495">
                  <c:v>6.5423999999999996E-2</c:v>
                </c:pt>
                <c:pt idx="496">
                  <c:v>6.5701999999999997E-2</c:v>
                </c:pt>
                <c:pt idx="497">
                  <c:v>6.5979999999999997E-2</c:v>
                </c:pt>
                <c:pt idx="498">
                  <c:v>6.6257999999999997E-2</c:v>
                </c:pt>
                <c:pt idx="499">
                  <c:v>6.653400000000001E-2</c:v>
                </c:pt>
                <c:pt idx="500">
                  <c:v>6.6813999999999998E-2</c:v>
                </c:pt>
                <c:pt idx="501">
                  <c:v>6.7091999999999999E-2</c:v>
                </c:pt>
                <c:pt idx="502">
                  <c:v>6.7367999999999997E-2</c:v>
                </c:pt>
                <c:pt idx="503">
                  <c:v>6.7643999999999996E-2</c:v>
                </c:pt>
                <c:pt idx="504">
                  <c:v>6.7923999999999998E-2</c:v>
                </c:pt>
                <c:pt idx="505">
                  <c:v>6.8201999999999999E-2</c:v>
                </c:pt>
                <c:pt idx="506">
                  <c:v>6.8479999999999999E-2</c:v>
                </c:pt>
                <c:pt idx="507">
                  <c:v>6.8783999999999998E-2</c:v>
                </c:pt>
                <c:pt idx="508">
                  <c:v>6.9089999999999999E-2</c:v>
                </c:pt>
                <c:pt idx="509">
                  <c:v>6.9395999999999999E-2</c:v>
                </c:pt>
                <c:pt idx="510">
                  <c:v>6.9702E-2</c:v>
                </c:pt>
                <c:pt idx="511">
                  <c:v>7.0008000000000001E-2</c:v>
                </c:pt>
                <c:pt idx="512">
                  <c:v>7.0311999999999999E-2</c:v>
                </c:pt>
                <c:pt idx="513">
                  <c:v>7.0620000000000002E-2</c:v>
                </c:pt>
                <c:pt idx="514">
                  <c:v>7.0924000000000001E-2</c:v>
                </c:pt>
                <c:pt idx="515">
                  <c:v>7.1230000000000002E-2</c:v>
                </c:pt>
                <c:pt idx="516">
                  <c:v>7.1536000000000002E-2</c:v>
                </c:pt>
                <c:pt idx="517">
                  <c:v>7.1868000000000001E-2</c:v>
                </c:pt>
                <c:pt idx="518">
                  <c:v>7.2174000000000002E-2</c:v>
                </c:pt>
                <c:pt idx="519">
                  <c:v>7.2480000000000003E-2</c:v>
                </c:pt>
                <c:pt idx="520">
                  <c:v>7.2784000000000001E-2</c:v>
                </c:pt>
                <c:pt idx="521">
                  <c:v>7.3118000000000002E-2</c:v>
                </c:pt>
                <c:pt idx="522">
                  <c:v>7.3423999999999989E-2</c:v>
                </c:pt>
                <c:pt idx="523">
                  <c:v>7.3730000000000004E-2</c:v>
                </c:pt>
                <c:pt idx="524">
                  <c:v>7.4063999999999991E-2</c:v>
                </c:pt>
                <c:pt idx="525">
                  <c:v>7.4370000000000006E-2</c:v>
                </c:pt>
                <c:pt idx="526">
                  <c:v>7.4702000000000005E-2</c:v>
                </c:pt>
                <c:pt idx="527">
                  <c:v>7.5006000000000003E-2</c:v>
                </c:pt>
                <c:pt idx="528">
                  <c:v>7.5342000000000006E-2</c:v>
                </c:pt>
                <c:pt idx="529">
                  <c:v>7.5674000000000005E-2</c:v>
                </c:pt>
                <c:pt idx="530">
                  <c:v>7.6006000000000004E-2</c:v>
                </c:pt>
                <c:pt idx="531">
                  <c:v>7.6341999999999993E-2</c:v>
                </c:pt>
                <c:pt idx="532">
                  <c:v>7.6673999999999992E-2</c:v>
                </c:pt>
                <c:pt idx="533">
                  <c:v>7.7008000000000007E-2</c:v>
                </c:pt>
                <c:pt idx="534">
                  <c:v>7.7340000000000006E-2</c:v>
                </c:pt>
                <c:pt idx="535">
                  <c:v>7.7674000000000007E-2</c:v>
                </c:pt>
                <c:pt idx="536">
                  <c:v>7.8036000000000008E-2</c:v>
                </c:pt>
                <c:pt idx="537">
                  <c:v>7.8395999999999993E-2</c:v>
                </c:pt>
                <c:pt idx="538">
                  <c:v>7.8757999999999995E-2</c:v>
                </c:pt>
                <c:pt idx="539">
                  <c:v>7.9118000000000008E-2</c:v>
                </c:pt>
                <c:pt idx="540">
                  <c:v>7.9480000000000009E-2</c:v>
                </c:pt>
                <c:pt idx="541">
                  <c:v>7.9839999999999994E-2</c:v>
                </c:pt>
                <c:pt idx="542">
                  <c:v>8.0202000000000009E-2</c:v>
                </c:pt>
                <c:pt idx="543">
                  <c:v>8.0562000000000009E-2</c:v>
                </c:pt>
                <c:pt idx="544">
                  <c:v>8.0925999999999998E-2</c:v>
                </c:pt>
                <c:pt idx="545">
                  <c:v>8.1311999999999995E-2</c:v>
                </c:pt>
                <c:pt idx="546">
                  <c:v>8.1704000000000013E-2</c:v>
                </c:pt>
                <c:pt idx="547">
                  <c:v>8.2089999999999996E-2</c:v>
                </c:pt>
                <c:pt idx="548">
                  <c:v>8.2482E-2</c:v>
                </c:pt>
                <c:pt idx="549">
                  <c:v>8.2867999999999997E-2</c:v>
                </c:pt>
                <c:pt idx="550">
                  <c:v>8.3257999999999999E-2</c:v>
                </c:pt>
                <c:pt idx="551">
                  <c:v>8.3645999999999998E-2</c:v>
                </c:pt>
                <c:pt idx="552">
                  <c:v>8.4036000000000013E-2</c:v>
                </c:pt>
                <c:pt idx="553">
                  <c:v>8.4423999999999999E-2</c:v>
                </c:pt>
                <c:pt idx="554">
                  <c:v>8.4814000000000001E-2</c:v>
                </c:pt>
                <c:pt idx="555">
                  <c:v>8.5202000000000014E-2</c:v>
                </c:pt>
                <c:pt idx="556">
                  <c:v>8.5592000000000001E-2</c:v>
                </c:pt>
                <c:pt idx="557">
                  <c:v>8.5980000000000001E-2</c:v>
                </c:pt>
                <c:pt idx="558">
                  <c:v>8.6396000000000001E-2</c:v>
                </c:pt>
                <c:pt idx="559">
                  <c:v>8.6814000000000002E-2</c:v>
                </c:pt>
                <c:pt idx="560">
                  <c:v>8.7230000000000002E-2</c:v>
                </c:pt>
                <c:pt idx="561">
                  <c:v>8.7646000000000002E-2</c:v>
                </c:pt>
                <c:pt idx="562">
                  <c:v>8.8062000000000001E-2</c:v>
                </c:pt>
                <c:pt idx="563">
                  <c:v>8.8507999999999989E-2</c:v>
                </c:pt>
                <c:pt idx="564">
                  <c:v>8.8952000000000003E-2</c:v>
                </c:pt>
                <c:pt idx="565">
                  <c:v>8.9398000000000005E-2</c:v>
                </c:pt>
                <c:pt idx="566">
                  <c:v>8.9841999999999991E-2</c:v>
                </c:pt>
                <c:pt idx="567">
                  <c:v>9.0283999999999989E-2</c:v>
                </c:pt>
                <c:pt idx="568">
                  <c:v>9.0730000000000005E-2</c:v>
                </c:pt>
                <c:pt idx="569">
                  <c:v>9.1174000000000005E-2</c:v>
                </c:pt>
                <c:pt idx="570">
                  <c:v>9.1646000000000005E-2</c:v>
                </c:pt>
                <c:pt idx="571">
                  <c:v>9.2118000000000005E-2</c:v>
                </c:pt>
                <c:pt idx="572">
                  <c:v>9.2590000000000006E-2</c:v>
                </c:pt>
                <c:pt idx="573">
                  <c:v>9.3062000000000006E-2</c:v>
                </c:pt>
                <c:pt idx="574">
                  <c:v>9.3534000000000006E-2</c:v>
                </c:pt>
                <c:pt idx="575">
                  <c:v>9.4006000000000006E-2</c:v>
                </c:pt>
                <c:pt idx="576">
                  <c:v>9.4480000000000008E-2</c:v>
                </c:pt>
                <c:pt idx="577">
                  <c:v>9.4949999999999993E-2</c:v>
                </c:pt>
                <c:pt idx="578">
                  <c:v>9.5451999999999995E-2</c:v>
                </c:pt>
                <c:pt idx="579">
                  <c:v>9.5951999999999996E-2</c:v>
                </c:pt>
                <c:pt idx="580">
                  <c:v>9.645200000000001E-2</c:v>
                </c:pt>
                <c:pt idx="581">
                  <c:v>9.6980000000000011E-2</c:v>
                </c:pt>
              </c:numCache>
            </c:numRef>
          </c:cat>
          <c:val>
            <c:numRef>
              <c:f>'A21-1'!$F$2:$F$583</c:f>
              <c:numCache>
                <c:formatCode>0.00</c:formatCode>
                <c:ptCount val="582"/>
                <c:pt idx="0">
                  <c:v>0</c:v>
                </c:pt>
                <c:pt idx="1">
                  <c:v>5.6194782149059888E-2</c:v>
                </c:pt>
                <c:pt idx="2">
                  <c:v>5.6194782149059888E-2</c:v>
                </c:pt>
                <c:pt idx="3">
                  <c:v>5.6194782149059888E-2</c:v>
                </c:pt>
                <c:pt idx="4">
                  <c:v>5.6194782149059888E-2</c:v>
                </c:pt>
                <c:pt idx="5">
                  <c:v>5.6194782149059888E-2</c:v>
                </c:pt>
                <c:pt idx="6">
                  <c:v>5.6194782149059888E-2</c:v>
                </c:pt>
                <c:pt idx="7">
                  <c:v>5.6194782149059888E-2</c:v>
                </c:pt>
                <c:pt idx="8">
                  <c:v>5.6194782149059888E-2</c:v>
                </c:pt>
                <c:pt idx="9">
                  <c:v>6.0208695159707018E-2</c:v>
                </c:pt>
                <c:pt idx="10">
                  <c:v>6.0208695159707018E-2</c:v>
                </c:pt>
                <c:pt idx="11">
                  <c:v>6.0208695159707018E-2</c:v>
                </c:pt>
                <c:pt idx="12">
                  <c:v>6.0208695159707018E-2</c:v>
                </c:pt>
                <c:pt idx="13">
                  <c:v>6.0208695159707018E-2</c:v>
                </c:pt>
                <c:pt idx="14">
                  <c:v>6.0208695159707018E-2</c:v>
                </c:pt>
                <c:pt idx="15">
                  <c:v>6.0208695159707018E-2</c:v>
                </c:pt>
                <c:pt idx="16">
                  <c:v>6.0208695159707018E-2</c:v>
                </c:pt>
                <c:pt idx="17">
                  <c:v>6.0208695159707018E-2</c:v>
                </c:pt>
                <c:pt idx="18">
                  <c:v>6.0208695159707018E-2</c:v>
                </c:pt>
                <c:pt idx="19">
                  <c:v>6.0208695159707018E-2</c:v>
                </c:pt>
                <c:pt idx="20">
                  <c:v>6.4222608170354148E-2</c:v>
                </c:pt>
                <c:pt idx="21">
                  <c:v>6.4222608170354148E-2</c:v>
                </c:pt>
                <c:pt idx="22">
                  <c:v>6.4222608170354148E-2</c:v>
                </c:pt>
                <c:pt idx="23">
                  <c:v>6.4222608170354148E-2</c:v>
                </c:pt>
                <c:pt idx="24">
                  <c:v>6.4222608170354148E-2</c:v>
                </c:pt>
                <c:pt idx="25">
                  <c:v>6.4222608170354148E-2</c:v>
                </c:pt>
                <c:pt idx="26">
                  <c:v>6.0208695159707018E-2</c:v>
                </c:pt>
                <c:pt idx="27">
                  <c:v>6.4222608170354148E-2</c:v>
                </c:pt>
                <c:pt idx="28">
                  <c:v>6.0208695159707018E-2</c:v>
                </c:pt>
                <c:pt idx="29">
                  <c:v>6.0208695159707018E-2</c:v>
                </c:pt>
                <c:pt idx="30">
                  <c:v>6.0208695159707018E-2</c:v>
                </c:pt>
                <c:pt idx="31">
                  <c:v>6.0208695159707018E-2</c:v>
                </c:pt>
                <c:pt idx="32">
                  <c:v>6.0208695159707018E-2</c:v>
                </c:pt>
                <c:pt idx="33">
                  <c:v>6.4222608170354148E-2</c:v>
                </c:pt>
                <c:pt idx="34">
                  <c:v>6.4222608170354148E-2</c:v>
                </c:pt>
                <c:pt idx="35">
                  <c:v>6.4222608170354148E-2</c:v>
                </c:pt>
                <c:pt idx="36">
                  <c:v>6.4222608170354148E-2</c:v>
                </c:pt>
                <c:pt idx="37">
                  <c:v>6.4222608170354148E-2</c:v>
                </c:pt>
                <c:pt idx="38">
                  <c:v>6.4222608170354148E-2</c:v>
                </c:pt>
                <c:pt idx="39">
                  <c:v>6.4222608170354148E-2</c:v>
                </c:pt>
                <c:pt idx="40">
                  <c:v>6.8236521181001278E-2</c:v>
                </c:pt>
                <c:pt idx="41">
                  <c:v>6.8236521181001278E-2</c:v>
                </c:pt>
                <c:pt idx="42">
                  <c:v>6.8236521181001278E-2</c:v>
                </c:pt>
                <c:pt idx="43">
                  <c:v>7.2250434191648408E-2</c:v>
                </c:pt>
                <c:pt idx="44">
                  <c:v>7.2250434191648408E-2</c:v>
                </c:pt>
                <c:pt idx="45">
                  <c:v>7.6264347202295552E-2</c:v>
                </c:pt>
                <c:pt idx="46">
                  <c:v>7.6264347202295552E-2</c:v>
                </c:pt>
                <c:pt idx="47">
                  <c:v>8.0278260212942695E-2</c:v>
                </c:pt>
                <c:pt idx="48">
                  <c:v>8.0278260212942695E-2</c:v>
                </c:pt>
                <c:pt idx="49">
                  <c:v>8.0278260212942695E-2</c:v>
                </c:pt>
                <c:pt idx="50">
                  <c:v>8.4292173223589825E-2</c:v>
                </c:pt>
                <c:pt idx="51">
                  <c:v>8.8306086234236955E-2</c:v>
                </c:pt>
                <c:pt idx="52">
                  <c:v>9.2319999244884099E-2</c:v>
                </c:pt>
                <c:pt idx="53">
                  <c:v>9.6333912255531215E-2</c:v>
                </c:pt>
                <c:pt idx="54">
                  <c:v>0.10034782526617837</c:v>
                </c:pt>
                <c:pt idx="55">
                  <c:v>0.10837565128747262</c:v>
                </c:pt>
                <c:pt idx="56">
                  <c:v>0.11238956429811978</c:v>
                </c:pt>
                <c:pt idx="57">
                  <c:v>0.12041739031941404</c:v>
                </c:pt>
                <c:pt idx="58">
                  <c:v>0.1284452163407083</c:v>
                </c:pt>
                <c:pt idx="59">
                  <c:v>0.13245912935135543</c:v>
                </c:pt>
                <c:pt idx="60">
                  <c:v>0.14048695537264971</c:v>
                </c:pt>
                <c:pt idx="61">
                  <c:v>0.1525286944045911</c:v>
                </c:pt>
                <c:pt idx="62">
                  <c:v>0.16055652042588539</c:v>
                </c:pt>
                <c:pt idx="63">
                  <c:v>0.16457043343653249</c:v>
                </c:pt>
                <c:pt idx="64">
                  <c:v>0.17660981273125426</c:v>
                </c:pt>
                <c:pt idx="65">
                  <c:v>0.18463763875254852</c:v>
                </c:pt>
                <c:pt idx="66">
                  <c:v>0.18865155176319567</c:v>
                </c:pt>
                <c:pt idx="67">
                  <c:v>0.19667937778448991</c:v>
                </c:pt>
                <c:pt idx="68">
                  <c:v>0.20872111681643135</c:v>
                </c:pt>
                <c:pt idx="69">
                  <c:v>0.21674894283772558</c:v>
                </c:pt>
                <c:pt idx="70">
                  <c:v>0.22076285584837271</c:v>
                </c:pt>
                <c:pt idx="71">
                  <c:v>0.23280459488031413</c:v>
                </c:pt>
                <c:pt idx="72">
                  <c:v>0.24083478063882807</c:v>
                </c:pt>
                <c:pt idx="73">
                  <c:v>0.24484633391225552</c:v>
                </c:pt>
                <c:pt idx="74">
                  <c:v>0.25286944045911047</c:v>
                </c:pt>
                <c:pt idx="75">
                  <c:v>0.26089254700596543</c:v>
                </c:pt>
                <c:pt idx="76">
                  <c:v>0.27295080419844447</c:v>
                </c:pt>
                <c:pt idx="77">
                  <c:v>0.27696235747187192</c:v>
                </c:pt>
                <c:pt idx="78">
                  <c:v>0.28899701729215438</c:v>
                </c:pt>
                <c:pt idx="79">
                  <c:v>0.29702012383900928</c:v>
                </c:pt>
                <c:pt idx="80">
                  <c:v>0.31308993430491583</c:v>
                </c:pt>
                <c:pt idx="81">
                  <c:v>0.32111304085177078</c:v>
                </c:pt>
                <c:pt idx="82">
                  <c:v>0.33314770067205313</c:v>
                </c:pt>
                <c:pt idx="83">
                  <c:v>0.34518236049233558</c:v>
                </c:pt>
                <c:pt idx="84">
                  <c:v>0.35724061768481463</c:v>
                </c:pt>
                <c:pt idx="85">
                  <c:v>0.36526372423166958</c:v>
                </c:pt>
                <c:pt idx="86">
                  <c:v>0.37729838405195198</c:v>
                </c:pt>
                <c:pt idx="87">
                  <c:v>0.38935664124443103</c:v>
                </c:pt>
                <c:pt idx="88">
                  <c:v>0.40139130106471349</c:v>
                </c:pt>
                <c:pt idx="89">
                  <c:v>0.41342596088499589</c:v>
                </c:pt>
                <c:pt idx="90">
                  <c:v>0.42546062070527829</c:v>
                </c:pt>
                <c:pt idx="91">
                  <c:v>0.43751887789775734</c:v>
                </c:pt>
                <c:pt idx="92">
                  <c:v>0.44955353771803969</c:v>
                </c:pt>
                <c:pt idx="93">
                  <c:v>0.46158819753832214</c:v>
                </c:pt>
                <c:pt idx="94">
                  <c:v>0.47364645473080119</c:v>
                </c:pt>
                <c:pt idx="95">
                  <c:v>0.48166956127765614</c:v>
                </c:pt>
                <c:pt idx="96">
                  <c:v>0.49370422109793854</c:v>
                </c:pt>
                <c:pt idx="97">
                  <c:v>0.50573888091822095</c:v>
                </c:pt>
                <c:pt idx="98">
                  <c:v>0.51779713811070005</c:v>
                </c:pt>
                <c:pt idx="99">
                  <c:v>0.52582024465755506</c:v>
                </c:pt>
                <c:pt idx="100">
                  <c:v>0.53785490447783735</c:v>
                </c:pt>
                <c:pt idx="101">
                  <c:v>0.54991316167031634</c:v>
                </c:pt>
                <c:pt idx="102">
                  <c:v>0.56194782149059885</c:v>
                </c:pt>
                <c:pt idx="103">
                  <c:v>0.57398248131088137</c:v>
                </c:pt>
                <c:pt idx="104">
                  <c:v>0.58601714113116365</c:v>
                </c:pt>
                <c:pt idx="105">
                  <c:v>0.59807539832364265</c:v>
                </c:pt>
                <c:pt idx="106">
                  <c:v>0.61011005814392516</c:v>
                </c:pt>
                <c:pt idx="107">
                  <c:v>0.62214471796420756</c:v>
                </c:pt>
                <c:pt idx="108">
                  <c:v>0.63821452843011406</c:v>
                </c:pt>
                <c:pt idx="109">
                  <c:v>0.65024918825039657</c:v>
                </c:pt>
                <c:pt idx="110">
                  <c:v>0.66629540134410625</c:v>
                </c:pt>
                <c:pt idx="111">
                  <c:v>0.68236521181001297</c:v>
                </c:pt>
                <c:pt idx="112">
                  <c:v>0.69841142490372277</c:v>
                </c:pt>
                <c:pt idx="113">
                  <c:v>0.71448123536962926</c:v>
                </c:pt>
                <c:pt idx="114">
                  <c:v>0.73052744846333917</c:v>
                </c:pt>
                <c:pt idx="115">
                  <c:v>0.74657366155704907</c:v>
                </c:pt>
                <c:pt idx="116">
                  <c:v>0.76264347202295568</c:v>
                </c:pt>
                <c:pt idx="117">
                  <c:v>0.77868968511666548</c:v>
                </c:pt>
                <c:pt idx="118">
                  <c:v>0.79475949558257197</c:v>
                </c:pt>
                <c:pt idx="119">
                  <c:v>0.81080570867628188</c:v>
                </c:pt>
                <c:pt idx="120">
                  <c:v>0.82685192176999178</c:v>
                </c:pt>
                <c:pt idx="121">
                  <c:v>0.84292173223589817</c:v>
                </c:pt>
                <c:pt idx="122">
                  <c:v>0.85896794532960818</c:v>
                </c:pt>
                <c:pt idx="123">
                  <c:v>0.87503775579551468</c:v>
                </c:pt>
                <c:pt idx="124">
                  <c:v>0.89108396888922459</c:v>
                </c:pt>
                <c:pt idx="125">
                  <c:v>0.90713018198293438</c:v>
                </c:pt>
                <c:pt idx="126">
                  <c:v>0.92319999244884088</c:v>
                </c:pt>
                <c:pt idx="127">
                  <c:v>0.93924620554255078</c:v>
                </c:pt>
                <c:pt idx="128">
                  <c:v>0.95531601600845739</c:v>
                </c:pt>
                <c:pt idx="129">
                  <c:v>0.97136222910216719</c:v>
                </c:pt>
                <c:pt idx="130">
                  <c:v>0.99141999546930459</c:v>
                </c:pt>
                <c:pt idx="131">
                  <c:v>1.0074898059352111</c:v>
                </c:pt>
                <c:pt idx="132">
                  <c:v>1.0235360190289209</c:v>
                </c:pt>
                <c:pt idx="133">
                  <c:v>1.0396058294948274</c:v>
                </c:pt>
                <c:pt idx="134">
                  <c:v>1.0556520425885374</c:v>
                </c:pt>
                <c:pt idx="135">
                  <c:v>1.0716982556822472</c:v>
                </c:pt>
                <c:pt idx="136">
                  <c:v>1.0917796194215812</c:v>
                </c:pt>
                <c:pt idx="137">
                  <c:v>1.1078258325152912</c:v>
                </c:pt>
                <c:pt idx="138">
                  <c:v>1.1238956429811977</c:v>
                </c:pt>
                <c:pt idx="139">
                  <c:v>1.1399418560749075</c:v>
                </c:pt>
                <c:pt idx="140">
                  <c:v>1.1559880691686175</c:v>
                </c:pt>
                <c:pt idx="141">
                  <c:v>1.1720578796345238</c:v>
                </c:pt>
                <c:pt idx="142">
                  <c:v>1.1881040927282336</c:v>
                </c:pt>
                <c:pt idx="143">
                  <c:v>1.2041739031941403</c:v>
                </c:pt>
                <c:pt idx="144">
                  <c:v>1.2202201162878503</c:v>
                </c:pt>
                <c:pt idx="145">
                  <c:v>1.2362663293815601</c:v>
                </c:pt>
                <c:pt idx="146">
                  <c:v>1.2523361398474664</c:v>
                </c:pt>
                <c:pt idx="147">
                  <c:v>1.2683823529411764</c:v>
                </c:pt>
                <c:pt idx="148">
                  <c:v>1.2844521634070831</c:v>
                </c:pt>
                <c:pt idx="149">
                  <c:v>1.3004983765007931</c:v>
                </c:pt>
                <c:pt idx="150">
                  <c:v>1.3165445895945029</c:v>
                </c:pt>
                <c:pt idx="151">
                  <c:v>1.3326144000604092</c:v>
                </c:pt>
                <c:pt idx="152">
                  <c:v>1.348660613154119</c:v>
                </c:pt>
                <c:pt idx="153">
                  <c:v>1.3647304236200259</c:v>
                </c:pt>
                <c:pt idx="154">
                  <c:v>1.3807766367137357</c:v>
                </c:pt>
                <c:pt idx="155">
                  <c:v>1.3968228498074455</c:v>
                </c:pt>
                <c:pt idx="156">
                  <c:v>1.4169042135467795</c:v>
                </c:pt>
                <c:pt idx="157">
                  <c:v>1.4329504266404893</c:v>
                </c:pt>
                <c:pt idx="158">
                  <c:v>1.4490202371063958</c:v>
                </c:pt>
                <c:pt idx="159">
                  <c:v>1.4650664502001058</c:v>
                </c:pt>
                <c:pt idx="160">
                  <c:v>1.4811126632938156</c:v>
                </c:pt>
                <c:pt idx="161">
                  <c:v>1.4971824737597221</c:v>
                </c:pt>
                <c:pt idx="162">
                  <c:v>1.5132286868534319</c:v>
                </c:pt>
                <c:pt idx="163">
                  <c:v>1.5292984973193386</c:v>
                </c:pt>
                <c:pt idx="164">
                  <c:v>1.5453447104130484</c:v>
                </c:pt>
                <c:pt idx="165">
                  <c:v>1.5613909235067585</c:v>
                </c:pt>
                <c:pt idx="166">
                  <c:v>1.577460733972665</c:v>
                </c:pt>
                <c:pt idx="167">
                  <c:v>1.5935069470663745</c:v>
                </c:pt>
                <c:pt idx="168">
                  <c:v>1.609576757532281</c:v>
                </c:pt>
                <c:pt idx="169">
                  <c:v>1.6256229706259913</c:v>
                </c:pt>
                <c:pt idx="170">
                  <c:v>1.6416691837197008</c:v>
                </c:pt>
                <c:pt idx="171">
                  <c:v>1.6577389941856076</c:v>
                </c:pt>
                <c:pt idx="172">
                  <c:v>1.6737852072793173</c:v>
                </c:pt>
                <c:pt idx="173">
                  <c:v>1.6898550177452238</c:v>
                </c:pt>
                <c:pt idx="174">
                  <c:v>1.7059012308389339</c:v>
                </c:pt>
                <c:pt idx="175">
                  <c:v>1.7219474439326437</c:v>
                </c:pt>
                <c:pt idx="176">
                  <c:v>1.7380172543985504</c:v>
                </c:pt>
                <c:pt idx="177">
                  <c:v>1.7540634674922599</c:v>
                </c:pt>
                <c:pt idx="178">
                  <c:v>1.7701332779581667</c:v>
                </c:pt>
                <c:pt idx="179">
                  <c:v>1.7861794910518767</c:v>
                </c:pt>
                <c:pt idx="180">
                  <c:v>1.8022257041455862</c:v>
                </c:pt>
                <c:pt idx="181">
                  <c:v>1.8223070678849203</c:v>
                </c:pt>
                <c:pt idx="182">
                  <c:v>1.8423648342520578</c:v>
                </c:pt>
                <c:pt idx="183">
                  <c:v>1.8584346447179643</c:v>
                </c:pt>
                <c:pt idx="184">
                  <c:v>1.8744808578116743</c:v>
                </c:pt>
                <c:pt idx="185">
                  <c:v>1.8905506682775808</c:v>
                </c:pt>
                <c:pt idx="186">
                  <c:v>1.9106084346447179</c:v>
                </c:pt>
                <c:pt idx="187">
                  <c:v>1.9266546477384281</c:v>
                </c:pt>
                <c:pt idx="188">
                  <c:v>1.9427244582043344</c:v>
                </c:pt>
                <c:pt idx="189">
                  <c:v>1.9587706712980442</c:v>
                </c:pt>
                <c:pt idx="190">
                  <c:v>1.9748404817639504</c:v>
                </c:pt>
                <c:pt idx="191">
                  <c:v>1.9908866948576607</c:v>
                </c:pt>
                <c:pt idx="192">
                  <c:v>2.0069329079513709</c:v>
                </c:pt>
                <c:pt idx="193">
                  <c:v>2.0230027184172772</c:v>
                </c:pt>
                <c:pt idx="194">
                  <c:v>2.0390489315109872</c:v>
                </c:pt>
                <c:pt idx="195">
                  <c:v>2.0551187419768935</c:v>
                </c:pt>
                <c:pt idx="196">
                  <c:v>2.0711649550706035</c:v>
                </c:pt>
                <c:pt idx="197">
                  <c:v>2.0872111681643131</c:v>
                </c:pt>
                <c:pt idx="198">
                  <c:v>2.1032809786302202</c:v>
                </c:pt>
                <c:pt idx="199">
                  <c:v>2.1193271917239298</c:v>
                </c:pt>
                <c:pt idx="200">
                  <c:v>2.1353970021898361</c:v>
                </c:pt>
                <c:pt idx="201">
                  <c:v>2.1514432152835461</c:v>
                </c:pt>
                <c:pt idx="202">
                  <c:v>2.1674894283772557</c:v>
                </c:pt>
                <c:pt idx="203">
                  <c:v>2.1835592388431624</c:v>
                </c:pt>
                <c:pt idx="204">
                  <c:v>2.1996054519368724</c:v>
                </c:pt>
                <c:pt idx="205">
                  <c:v>2.2156752624027791</c:v>
                </c:pt>
                <c:pt idx="206">
                  <c:v>2.2317214754964887</c:v>
                </c:pt>
                <c:pt idx="207">
                  <c:v>2.251779241863626</c:v>
                </c:pt>
                <c:pt idx="208">
                  <c:v>2.2678490523295323</c:v>
                </c:pt>
                <c:pt idx="209">
                  <c:v>2.2838952654232423</c:v>
                </c:pt>
                <c:pt idx="210">
                  <c:v>2.3039766291625767</c:v>
                </c:pt>
                <c:pt idx="211">
                  <c:v>2.3200228422562863</c:v>
                </c:pt>
                <c:pt idx="212">
                  <c:v>2.3401042059956207</c:v>
                </c:pt>
                <c:pt idx="213">
                  <c:v>2.3561504190893303</c:v>
                </c:pt>
                <c:pt idx="214">
                  <c:v>2.376255380200861</c:v>
                </c:pt>
                <c:pt idx="215">
                  <c:v>2.3923015932945706</c:v>
                </c:pt>
                <c:pt idx="216">
                  <c:v>2.4083478063882806</c:v>
                </c:pt>
                <c:pt idx="217">
                  <c:v>2.4243940194819906</c:v>
                </c:pt>
                <c:pt idx="218">
                  <c:v>2.4444517858491279</c:v>
                </c:pt>
                <c:pt idx="219">
                  <c:v>2.4645095522162652</c:v>
                </c:pt>
                <c:pt idx="220">
                  <c:v>2.484567318583403</c:v>
                </c:pt>
                <c:pt idx="221">
                  <c:v>2.5006135316771125</c:v>
                </c:pt>
                <c:pt idx="222">
                  <c:v>2.5206712980442498</c:v>
                </c:pt>
                <c:pt idx="223">
                  <c:v>2.5407290644113871</c:v>
                </c:pt>
                <c:pt idx="224">
                  <c:v>2.5607868307785244</c:v>
                </c:pt>
                <c:pt idx="225">
                  <c:v>2.5808445971456622</c:v>
                </c:pt>
                <c:pt idx="226">
                  <c:v>2.5968908102393717</c:v>
                </c:pt>
                <c:pt idx="227">
                  <c:v>2.6129370233330818</c:v>
                </c:pt>
                <c:pt idx="228">
                  <c:v>2.6289832364267918</c:v>
                </c:pt>
                <c:pt idx="229">
                  <c:v>2.6452654232424675</c:v>
                </c:pt>
                <c:pt idx="230">
                  <c:v>2.6653231896096052</c:v>
                </c:pt>
                <c:pt idx="231">
                  <c:v>2.6853809559767425</c:v>
                </c:pt>
                <c:pt idx="232">
                  <c:v>2.7054387223438803</c:v>
                </c:pt>
                <c:pt idx="233">
                  <c:v>2.7214849354375898</c:v>
                </c:pt>
                <c:pt idx="234">
                  <c:v>2.7415427018047271</c:v>
                </c:pt>
                <c:pt idx="235">
                  <c:v>2.7616004681718644</c:v>
                </c:pt>
                <c:pt idx="236">
                  <c:v>2.7816582345390017</c:v>
                </c:pt>
                <c:pt idx="237">
                  <c:v>2.7977044476327118</c:v>
                </c:pt>
                <c:pt idx="238">
                  <c:v>2.8177622139998486</c:v>
                </c:pt>
                <c:pt idx="239">
                  <c:v>2.8378199803669868</c:v>
                </c:pt>
                <c:pt idx="240">
                  <c:v>2.8578777467341236</c:v>
                </c:pt>
                <c:pt idx="241">
                  <c:v>2.8779355131012609</c:v>
                </c:pt>
                <c:pt idx="242">
                  <c:v>2.8979932794683987</c:v>
                </c:pt>
                <c:pt idx="243">
                  <c:v>2.9140394925621083</c:v>
                </c:pt>
                <c:pt idx="244">
                  <c:v>2.9340972589292456</c:v>
                </c:pt>
                <c:pt idx="245">
                  <c:v>2.9541550252963829</c:v>
                </c:pt>
                <c:pt idx="246">
                  <c:v>2.9742127916635206</c:v>
                </c:pt>
                <c:pt idx="247">
                  <c:v>2.9942705580306579</c:v>
                </c:pt>
                <c:pt idx="248">
                  <c:v>3.0143283243977947</c:v>
                </c:pt>
                <c:pt idx="249">
                  <c:v>3.0303745374915048</c:v>
                </c:pt>
                <c:pt idx="250">
                  <c:v>3.0506682775806087</c:v>
                </c:pt>
                <c:pt idx="251">
                  <c:v>3.070726043947746</c:v>
                </c:pt>
                <c:pt idx="252">
                  <c:v>3.0907838103148828</c:v>
                </c:pt>
                <c:pt idx="253">
                  <c:v>3.1188646832288756</c:v>
                </c:pt>
                <c:pt idx="254">
                  <c:v>3.1469455561428683</c:v>
                </c:pt>
                <c:pt idx="255">
                  <c:v>3.1750264290568606</c:v>
                </c:pt>
                <c:pt idx="256">
                  <c:v>3.2031073019708529</c:v>
                </c:pt>
                <c:pt idx="257">
                  <c:v>3.2311881748848452</c:v>
                </c:pt>
                <c:pt idx="258">
                  <c:v>3.2592690477988375</c:v>
                </c:pt>
                <c:pt idx="259">
                  <c:v>3.2873499207128294</c:v>
                </c:pt>
                <c:pt idx="260">
                  <c:v>3.3114192403533949</c:v>
                </c:pt>
                <c:pt idx="261">
                  <c:v>3.3395001132673867</c:v>
                </c:pt>
                <c:pt idx="262">
                  <c:v>3.3675809861813795</c:v>
                </c:pt>
                <c:pt idx="263">
                  <c:v>3.3956618590953713</c:v>
                </c:pt>
                <c:pt idx="264">
                  <c:v>3.4197311787359355</c:v>
                </c:pt>
                <c:pt idx="265">
                  <c:v>3.4478120516499287</c:v>
                </c:pt>
                <c:pt idx="266">
                  <c:v>3.4721173450124589</c:v>
                </c:pt>
                <c:pt idx="267">
                  <c:v>3.5001982179264521</c:v>
                </c:pt>
                <c:pt idx="268">
                  <c:v>3.5242675375670167</c:v>
                </c:pt>
                <c:pt idx="269">
                  <c:v>3.5523484104810086</c:v>
                </c:pt>
                <c:pt idx="270">
                  <c:v>3.576417730121574</c:v>
                </c:pt>
                <c:pt idx="271">
                  <c:v>3.6044986030355659</c:v>
                </c:pt>
                <c:pt idx="272">
                  <c:v>3.6285679226761309</c:v>
                </c:pt>
                <c:pt idx="273">
                  <c:v>3.6526372423166955</c:v>
                </c:pt>
                <c:pt idx="274">
                  <c:v>3.6807181152306878</c:v>
                </c:pt>
                <c:pt idx="275">
                  <c:v>3.7047874348712528</c:v>
                </c:pt>
                <c:pt idx="276">
                  <c:v>3.7288567545118179</c:v>
                </c:pt>
                <c:pt idx="277">
                  <c:v>3.752926074152382</c:v>
                </c:pt>
                <c:pt idx="278">
                  <c:v>3.7769953937929475</c:v>
                </c:pt>
                <c:pt idx="279">
                  <c:v>3.8050762667069398</c:v>
                </c:pt>
                <c:pt idx="280">
                  <c:v>3.8291455863475043</c:v>
                </c:pt>
                <c:pt idx="281">
                  <c:v>3.8532149059880694</c:v>
                </c:pt>
                <c:pt idx="282">
                  <c:v>3.8775201993506001</c:v>
                </c:pt>
                <c:pt idx="283">
                  <c:v>3.9015895189911651</c:v>
                </c:pt>
                <c:pt idx="284">
                  <c:v>3.9256588386317306</c:v>
                </c:pt>
                <c:pt idx="285">
                  <c:v>3.9537397115457225</c:v>
                </c:pt>
                <c:pt idx="286">
                  <c:v>3.977809031186287</c:v>
                </c:pt>
                <c:pt idx="287">
                  <c:v>4.0018783508268516</c:v>
                </c:pt>
                <c:pt idx="288">
                  <c:v>4.0299592237408444</c:v>
                </c:pt>
                <c:pt idx="289">
                  <c:v>4.0540285433814089</c:v>
                </c:pt>
                <c:pt idx="290">
                  <c:v>4.0780978630219744</c:v>
                </c:pt>
                <c:pt idx="291">
                  <c:v>4.1061787359359663</c:v>
                </c:pt>
                <c:pt idx="292">
                  <c:v>4.1302480555765309</c:v>
                </c:pt>
                <c:pt idx="293">
                  <c:v>4.1623404817639509</c:v>
                </c:pt>
                <c:pt idx="294">
                  <c:v>4.1984444612247982</c:v>
                </c:pt>
                <c:pt idx="295">
                  <c:v>4.2345484406856446</c:v>
                </c:pt>
                <c:pt idx="296">
                  <c:v>4.2668768405950308</c:v>
                </c:pt>
                <c:pt idx="297">
                  <c:v>4.302980820055879</c:v>
                </c:pt>
                <c:pt idx="298">
                  <c:v>4.3390847995167254</c:v>
                </c:pt>
                <c:pt idx="299">
                  <c:v>4.3751887789775727</c:v>
                </c:pt>
                <c:pt idx="300">
                  <c:v>4.4112927584384201</c:v>
                </c:pt>
                <c:pt idx="301">
                  <c:v>4.4514082911726947</c:v>
                </c:pt>
                <c:pt idx="302">
                  <c:v>4.487512270633542</c:v>
                </c:pt>
                <c:pt idx="303">
                  <c:v>4.5236162500943893</c:v>
                </c:pt>
                <c:pt idx="304">
                  <c:v>4.5597202295552366</c:v>
                </c:pt>
                <c:pt idx="305">
                  <c:v>4.5958242090160839</c:v>
                </c:pt>
                <c:pt idx="306">
                  <c:v>4.6319281884769312</c:v>
                </c:pt>
                <c:pt idx="307">
                  <c:v>4.6680321679377785</c:v>
                </c:pt>
                <c:pt idx="308">
                  <c:v>4.7043721211205929</c:v>
                </c:pt>
                <c:pt idx="309">
                  <c:v>4.7444876538548666</c:v>
                </c:pt>
                <c:pt idx="310">
                  <c:v>4.7805916333157139</c:v>
                </c:pt>
                <c:pt idx="311">
                  <c:v>4.8207071660499885</c:v>
                </c:pt>
                <c:pt idx="312">
                  <c:v>4.860822698784264</c:v>
                </c:pt>
                <c:pt idx="313">
                  <c:v>4.8929151249716831</c:v>
                </c:pt>
                <c:pt idx="314">
                  <c:v>4.9250075511591032</c:v>
                </c:pt>
                <c:pt idx="315">
                  <c:v>4.9651230838933778</c:v>
                </c:pt>
                <c:pt idx="316">
                  <c:v>5.0052386166276532</c:v>
                </c:pt>
                <c:pt idx="317">
                  <c:v>5.0453541493619269</c:v>
                </c:pt>
                <c:pt idx="318">
                  <c:v>5.0776825492713131</c:v>
                </c:pt>
                <c:pt idx="319">
                  <c:v>5.1177980820055886</c:v>
                </c:pt>
                <c:pt idx="320">
                  <c:v>5.1498905081930078</c:v>
                </c:pt>
                <c:pt idx="321">
                  <c:v>5.1900060409272823</c:v>
                </c:pt>
                <c:pt idx="322">
                  <c:v>5.2301215736615561</c:v>
                </c:pt>
                <c:pt idx="323">
                  <c:v>5.2742486596692597</c:v>
                </c:pt>
                <c:pt idx="324">
                  <c:v>5.3143641924035343</c:v>
                </c:pt>
                <c:pt idx="325">
                  <c:v>5.3584912784112362</c:v>
                </c:pt>
                <c:pt idx="326">
                  <c:v>5.3986068111455117</c:v>
                </c:pt>
                <c:pt idx="327">
                  <c:v>5.4387223438797854</c:v>
                </c:pt>
                <c:pt idx="328">
                  <c:v>5.4828494298874872</c:v>
                </c:pt>
                <c:pt idx="329">
                  <c:v>5.5272124896171562</c:v>
                </c:pt>
                <c:pt idx="330">
                  <c:v>5.5673280223514316</c:v>
                </c:pt>
                <c:pt idx="331">
                  <c:v>5.6114551083591335</c:v>
                </c:pt>
                <c:pt idx="332">
                  <c:v>5.6555821943668354</c:v>
                </c:pt>
                <c:pt idx="333">
                  <c:v>5.69569772710111</c:v>
                </c:pt>
                <c:pt idx="334">
                  <c:v>5.7398248131088128</c:v>
                </c:pt>
                <c:pt idx="335">
                  <c:v>5.7839518991165155</c:v>
                </c:pt>
                <c:pt idx="336">
                  <c:v>5.8280789851242165</c:v>
                </c:pt>
                <c:pt idx="337">
                  <c:v>5.8722060711319184</c:v>
                </c:pt>
                <c:pt idx="338">
                  <c:v>5.91255757758816</c:v>
                </c:pt>
                <c:pt idx="339">
                  <c:v>5.9566846635958628</c:v>
                </c:pt>
                <c:pt idx="340">
                  <c:v>6.0008117496035647</c:v>
                </c:pt>
                <c:pt idx="341">
                  <c:v>6.0449388356112674</c:v>
                </c:pt>
                <c:pt idx="342">
                  <c:v>6.0890659216189693</c:v>
                </c:pt>
                <c:pt idx="343">
                  <c:v>6.1291814543532439</c:v>
                </c:pt>
                <c:pt idx="344">
                  <c:v>6.1773200936343722</c:v>
                </c:pt>
                <c:pt idx="345">
                  <c:v>6.2334818394623586</c:v>
                </c:pt>
                <c:pt idx="346">
                  <c:v>6.2896435852903423</c:v>
                </c:pt>
                <c:pt idx="347">
                  <c:v>6.3460413048402939</c:v>
                </c:pt>
                <c:pt idx="348">
                  <c:v>6.4022030506682777</c:v>
                </c:pt>
                <c:pt idx="349">
                  <c:v>6.4503416899494086</c:v>
                </c:pt>
                <c:pt idx="350">
                  <c:v>6.5065034357773923</c:v>
                </c:pt>
                <c:pt idx="351">
                  <c:v>6.5626651816053769</c:v>
                </c:pt>
                <c:pt idx="352">
                  <c:v>6.6188269274333615</c:v>
                </c:pt>
                <c:pt idx="353">
                  <c:v>6.6669655667144898</c:v>
                </c:pt>
                <c:pt idx="354">
                  <c:v>6.7233632862644424</c:v>
                </c:pt>
                <c:pt idx="355">
                  <c:v>6.7715019255455715</c:v>
                </c:pt>
                <c:pt idx="356">
                  <c:v>6.8276636713735552</c:v>
                </c:pt>
                <c:pt idx="357">
                  <c:v>6.8838254172015416</c:v>
                </c:pt>
                <c:pt idx="358">
                  <c:v>6.9319640564826699</c:v>
                </c:pt>
                <c:pt idx="359">
                  <c:v>6.9881258023106545</c:v>
                </c:pt>
                <c:pt idx="360">
                  <c:v>7.0362644415917845</c:v>
                </c:pt>
                <c:pt idx="361">
                  <c:v>7.0924261874197692</c:v>
                </c:pt>
                <c:pt idx="362">
                  <c:v>7.1408008004228654</c:v>
                </c:pt>
                <c:pt idx="363">
                  <c:v>7.19696254625085</c:v>
                </c:pt>
                <c:pt idx="364">
                  <c:v>7.2571358453522619</c:v>
                </c:pt>
                <c:pt idx="365">
                  <c:v>7.3173091444536738</c:v>
                </c:pt>
                <c:pt idx="366">
                  <c:v>7.3734708902816584</c:v>
                </c:pt>
                <c:pt idx="367">
                  <c:v>7.4336441893830703</c:v>
                </c:pt>
                <c:pt idx="368">
                  <c:v>7.4938174884844821</c:v>
                </c:pt>
                <c:pt idx="369">
                  <c:v>7.5542267613078611</c:v>
                </c:pt>
                <c:pt idx="370">
                  <c:v>7.6103885071358457</c:v>
                </c:pt>
                <c:pt idx="371">
                  <c:v>7.6705618062372576</c:v>
                </c:pt>
                <c:pt idx="372">
                  <c:v>7.7307351053386704</c:v>
                </c:pt>
                <c:pt idx="373">
                  <c:v>7.7909084044400823</c:v>
                </c:pt>
                <c:pt idx="374">
                  <c:v>7.8510817035414933</c:v>
                </c:pt>
                <c:pt idx="375">
                  <c:v>7.9112550026429052</c:v>
                </c:pt>
                <c:pt idx="376">
                  <c:v>7.9716642754662841</c:v>
                </c:pt>
                <c:pt idx="377">
                  <c:v>8.031837574567696</c:v>
                </c:pt>
                <c:pt idx="378">
                  <c:v>8.0920108736691088</c:v>
                </c:pt>
                <c:pt idx="379">
                  <c:v>8.1521841727705215</c:v>
                </c:pt>
                <c:pt idx="380">
                  <c:v>8.2123574718719325</c:v>
                </c:pt>
                <c:pt idx="381">
                  <c:v>8.2725307709733436</c:v>
                </c:pt>
                <c:pt idx="382">
                  <c:v>8.3449747036170052</c:v>
                </c:pt>
                <c:pt idx="383">
                  <c:v>8.4171826625386998</c:v>
                </c:pt>
                <c:pt idx="384">
                  <c:v>8.4893906214603945</c:v>
                </c:pt>
                <c:pt idx="385">
                  <c:v>8.5656101336555164</c:v>
                </c:pt>
                <c:pt idx="386">
                  <c:v>8.637818092577211</c:v>
                </c:pt>
                <c:pt idx="387">
                  <c:v>8.7020029449520511</c:v>
                </c:pt>
                <c:pt idx="388">
                  <c:v>8.7664237710488564</c:v>
                </c:pt>
                <c:pt idx="389">
                  <c:v>8.8306086234236947</c:v>
                </c:pt>
                <c:pt idx="390">
                  <c:v>8.8947934757985365</c:v>
                </c:pt>
                <c:pt idx="391">
                  <c:v>8.9589783281733748</c:v>
                </c:pt>
                <c:pt idx="392">
                  <c:v>9.0231631805482131</c:v>
                </c:pt>
                <c:pt idx="393">
                  <c:v>9.0873480329230532</c:v>
                </c:pt>
                <c:pt idx="394">
                  <c:v>9.1557804122932875</c:v>
                </c:pt>
                <c:pt idx="395">
                  <c:v>9.2199652646681276</c:v>
                </c:pt>
                <c:pt idx="396">
                  <c:v>9.2841501170429659</c:v>
                </c:pt>
                <c:pt idx="397">
                  <c:v>9.3603696292380896</c:v>
                </c:pt>
                <c:pt idx="398">
                  <c:v>9.440600694706637</c:v>
                </c:pt>
                <c:pt idx="399">
                  <c:v>9.520831760175188</c:v>
                </c:pt>
                <c:pt idx="400">
                  <c:v>9.6012987993657024</c:v>
                </c:pt>
                <c:pt idx="401">
                  <c:v>9.6815298648342516</c:v>
                </c:pt>
                <c:pt idx="402">
                  <c:v>9.7617609303028026</c:v>
                </c:pt>
                <c:pt idx="403">
                  <c:v>9.84199199577135</c:v>
                </c:pt>
                <c:pt idx="404">
                  <c:v>9.9222230612399027</c:v>
                </c:pt>
                <c:pt idx="405">
                  <c:v>10.006701653703844</c:v>
                </c:pt>
                <c:pt idx="406">
                  <c:v>10.086932719172392</c:v>
                </c:pt>
                <c:pt idx="407">
                  <c:v>10.17117533791437</c:v>
                </c:pt>
                <c:pt idx="408">
                  <c:v>10.251406403382919</c:v>
                </c:pt>
                <c:pt idx="409">
                  <c:v>10.335649022124896</c:v>
                </c:pt>
                <c:pt idx="410">
                  <c:v>10.416116061315414</c:v>
                </c:pt>
                <c:pt idx="411">
                  <c:v>10.50035868005739</c:v>
                </c:pt>
                <c:pt idx="412">
                  <c:v>10.584601298799365</c:v>
                </c:pt>
                <c:pt idx="413">
                  <c:v>10.668843917541343</c:v>
                </c:pt>
                <c:pt idx="414">
                  <c:v>10.749074983009892</c:v>
                </c:pt>
                <c:pt idx="415">
                  <c:v>10.833553575473836</c:v>
                </c:pt>
                <c:pt idx="416">
                  <c:v>10.913784640942385</c:v>
                </c:pt>
                <c:pt idx="417">
                  <c:v>10.998027259684362</c:v>
                </c:pt>
                <c:pt idx="418">
                  <c:v>11.078258325152911</c:v>
                </c:pt>
                <c:pt idx="419">
                  <c:v>11.162500943894889</c:v>
                </c:pt>
                <c:pt idx="420">
                  <c:v>11.242967983085403</c:v>
                </c:pt>
                <c:pt idx="421">
                  <c:v>11.327210601827382</c:v>
                </c:pt>
                <c:pt idx="422">
                  <c:v>11.42348788038964</c:v>
                </c:pt>
                <c:pt idx="423">
                  <c:v>11.511742052405044</c:v>
                </c:pt>
                <c:pt idx="424">
                  <c:v>11.608255304689269</c:v>
                </c:pt>
                <c:pt idx="425">
                  <c:v>11.708544136524957</c:v>
                </c:pt>
                <c:pt idx="426">
                  <c:v>11.804821415087215</c:v>
                </c:pt>
                <c:pt idx="427">
                  <c:v>11.905110246922902</c:v>
                </c:pt>
                <c:pt idx="428">
                  <c:v>12.005635052480557</c:v>
                </c:pt>
                <c:pt idx="429">
                  <c:v>12.101912331042815</c:v>
                </c:pt>
                <c:pt idx="430">
                  <c:v>12.19016650305822</c:v>
                </c:pt>
                <c:pt idx="431">
                  <c:v>12.290455334893906</c:v>
                </c:pt>
                <c:pt idx="432">
                  <c:v>12.386732613456166</c:v>
                </c:pt>
                <c:pt idx="433">
                  <c:v>12.487257419013817</c:v>
                </c:pt>
                <c:pt idx="434">
                  <c:v>12.587546250849504</c:v>
                </c:pt>
                <c:pt idx="435">
                  <c:v>12.687835082685192</c:v>
                </c:pt>
                <c:pt idx="436">
                  <c:v>12.788123914520879</c:v>
                </c:pt>
                <c:pt idx="437">
                  <c:v>12.888648720078534</c:v>
                </c:pt>
                <c:pt idx="438">
                  <c:v>12.98492599864079</c:v>
                </c:pt>
                <c:pt idx="439">
                  <c:v>13.085214830476477</c:v>
                </c:pt>
                <c:pt idx="440">
                  <c:v>13.185503662312165</c:v>
                </c:pt>
                <c:pt idx="441">
                  <c:v>13.290040021143247</c:v>
                </c:pt>
                <c:pt idx="442">
                  <c:v>13.394340406252359</c:v>
                </c:pt>
                <c:pt idx="443">
                  <c:v>13.498640791361474</c:v>
                </c:pt>
                <c:pt idx="444">
                  <c:v>13.615211810012838</c:v>
                </c:pt>
                <c:pt idx="445">
                  <c:v>13.719512195121951</c:v>
                </c:pt>
                <c:pt idx="446">
                  <c:v>13.835847240051349</c:v>
                </c:pt>
                <c:pt idx="447">
                  <c:v>13.952182284980744</c:v>
                </c:pt>
                <c:pt idx="448">
                  <c:v>14.056718643811827</c:v>
                </c:pt>
                <c:pt idx="449">
                  <c:v>14.16101902892094</c:v>
                </c:pt>
                <c:pt idx="450">
                  <c:v>14.269330967303484</c:v>
                </c:pt>
                <c:pt idx="451">
                  <c:v>14.377642905686022</c:v>
                </c:pt>
                <c:pt idx="452">
                  <c:v>14.486190817790531</c:v>
                </c:pt>
                <c:pt idx="453">
                  <c:v>14.606537415993355</c:v>
                </c:pt>
                <c:pt idx="454">
                  <c:v>14.730895567469606</c:v>
                </c:pt>
                <c:pt idx="455">
                  <c:v>14.851478139394397</c:v>
                </c:pt>
                <c:pt idx="456">
                  <c:v>14.971824737597222</c:v>
                </c:pt>
                <c:pt idx="457">
                  <c:v>15.092171335800046</c:v>
                </c:pt>
                <c:pt idx="458">
                  <c:v>15.216529487276299</c:v>
                </c:pt>
                <c:pt idx="459">
                  <c:v>15.33711205920109</c:v>
                </c:pt>
                <c:pt idx="460">
                  <c:v>15.461470210677341</c:v>
                </c:pt>
                <c:pt idx="461">
                  <c:v>15.585828362153592</c:v>
                </c:pt>
                <c:pt idx="462">
                  <c:v>15.710422487351808</c:v>
                </c:pt>
                <c:pt idx="463">
                  <c:v>15.834780638828059</c:v>
                </c:pt>
                <c:pt idx="464">
                  <c:v>15.95913879030431</c:v>
                </c:pt>
                <c:pt idx="465">
                  <c:v>16.079721362229101</c:v>
                </c:pt>
                <c:pt idx="466">
                  <c:v>16.200067960431927</c:v>
                </c:pt>
                <c:pt idx="467">
                  <c:v>16.324426111908178</c:v>
                </c:pt>
                <c:pt idx="468">
                  <c:v>16.448784263384429</c:v>
                </c:pt>
                <c:pt idx="469">
                  <c:v>16.58942460167636</c:v>
                </c:pt>
                <c:pt idx="470">
                  <c:v>16.72982896624632</c:v>
                </c:pt>
                <c:pt idx="471">
                  <c:v>16.870469304538247</c:v>
                </c:pt>
                <c:pt idx="472">
                  <c:v>17.010873669108207</c:v>
                </c:pt>
                <c:pt idx="473">
                  <c:v>17.147266480404742</c:v>
                </c:pt>
                <c:pt idx="474">
                  <c:v>17.287906818696669</c:v>
                </c:pt>
                <c:pt idx="475">
                  <c:v>17.416276523446349</c:v>
                </c:pt>
                <c:pt idx="476">
                  <c:v>17.556680888016309</c:v>
                </c:pt>
                <c:pt idx="477">
                  <c:v>17.701332779581666</c:v>
                </c:pt>
                <c:pt idx="478">
                  <c:v>17.841737144151629</c:v>
                </c:pt>
                <c:pt idx="479">
                  <c:v>17.98214150872159</c:v>
                </c:pt>
                <c:pt idx="480">
                  <c:v>18.122781847013517</c:v>
                </c:pt>
                <c:pt idx="481">
                  <c:v>18.267197764856906</c:v>
                </c:pt>
                <c:pt idx="482">
                  <c:v>18.40760212942687</c:v>
                </c:pt>
                <c:pt idx="483">
                  <c:v>18.552254020992223</c:v>
                </c:pt>
                <c:pt idx="484">
                  <c:v>18.708704598655896</c:v>
                </c:pt>
                <c:pt idx="485">
                  <c:v>18.853120516499285</c:v>
                </c:pt>
                <c:pt idx="486">
                  <c:v>19.001783961338067</c:v>
                </c:pt>
                <c:pt idx="487">
                  <c:v>19.146199879181456</c:v>
                </c:pt>
                <c:pt idx="488">
                  <c:v>19.294627350298271</c:v>
                </c:pt>
                <c:pt idx="489">
                  <c:v>19.439279241863627</c:v>
                </c:pt>
                <c:pt idx="490">
                  <c:v>19.587706712980445</c:v>
                </c:pt>
                <c:pt idx="491">
                  <c:v>19.740381711092652</c:v>
                </c:pt>
                <c:pt idx="492">
                  <c:v>19.90485539530318</c:v>
                </c:pt>
                <c:pt idx="493">
                  <c:v>20.069329079513707</c:v>
                </c:pt>
                <c:pt idx="494">
                  <c:v>20.222004077625915</c:v>
                </c:pt>
                <c:pt idx="495">
                  <c:v>20.390489315109871</c:v>
                </c:pt>
                <c:pt idx="496">
                  <c:v>20.559210526315791</c:v>
                </c:pt>
                <c:pt idx="497">
                  <c:v>20.723684210526319</c:v>
                </c:pt>
                <c:pt idx="498">
                  <c:v>20.892169448010268</c:v>
                </c:pt>
                <c:pt idx="499">
                  <c:v>21.060890659216192</c:v>
                </c:pt>
                <c:pt idx="500">
                  <c:v>21.229375896700144</c:v>
                </c:pt>
                <c:pt idx="501">
                  <c:v>21.398097107906061</c:v>
                </c:pt>
                <c:pt idx="502">
                  <c:v>21.562570792116588</c:v>
                </c:pt>
                <c:pt idx="503">
                  <c:v>21.731056029600541</c:v>
                </c:pt>
                <c:pt idx="504">
                  <c:v>21.899777240806465</c:v>
                </c:pt>
                <c:pt idx="505">
                  <c:v>22.068262478290421</c:v>
                </c:pt>
                <c:pt idx="506">
                  <c:v>22.236983689496338</c:v>
                </c:pt>
                <c:pt idx="507">
                  <c:v>22.421515140074</c:v>
                </c:pt>
                <c:pt idx="508">
                  <c:v>22.602271011100207</c:v>
                </c:pt>
                <c:pt idx="509">
                  <c:v>22.778779355131011</c:v>
                </c:pt>
                <c:pt idx="510">
                  <c:v>22.959535226157215</c:v>
                </c:pt>
                <c:pt idx="511">
                  <c:v>23.14406667673488</c:v>
                </c:pt>
                <c:pt idx="512">
                  <c:v>23.328598127312546</c:v>
                </c:pt>
                <c:pt idx="513">
                  <c:v>23.513365551612175</c:v>
                </c:pt>
                <c:pt idx="514">
                  <c:v>23.694121422638375</c:v>
                </c:pt>
                <c:pt idx="515">
                  <c:v>23.878180925772103</c:v>
                </c:pt>
                <c:pt idx="516">
                  <c:v>24.062240428905838</c:v>
                </c:pt>
                <c:pt idx="517">
                  <c:v>24.260458355357546</c:v>
                </c:pt>
                <c:pt idx="518">
                  <c:v>24.444517858491285</c:v>
                </c:pt>
                <c:pt idx="519">
                  <c:v>24.628577361625013</c:v>
                </c:pt>
                <c:pt idx="520">
                  <c:v>24.814996601978404</c:v>
                </c:pt>
                <c:pt idx="521">
                  <c:v>25.017934002869442</c:v>
                </c:pt>
                <c:pt idx="522">
                  <c:v>25.211432454881827</c:v>
                </c:pt>
                <c:pt idx="523">
                  <c:v>25.404930906894208</c:v>
                </c:pt>
                <c:pt idx="524">
                  <c:v>25.607868307785246</c:v>
                </c:pt>
                <c:pt idx="525">
                  <c:v>25.801366759797634</c:v>
                </c:pt>
                <c:pt idx="526">
                  <c:v>26.009023635127996</c:v>
                </c:pt>
                <c:pt idx="527">
                  <c:v>26.209601298799367</c:v>
                </c:pt>
                <c:pt idx="528">
                  <c:v>26.419617911349391</c:v>
                </c:pt>
                <c:pt idx="529">
                  <c:v>26.631994261119079</c:v>
                </c:pt>
                <c:pt idx="530">
                  <c:v>26.84437061088877</c:v>
                </c:pt>
                <c:pt idx="531">
                  <c:v>27.056746960658462</c:v>
                </c:pt>
                <c:pt idx="532">
                  <c:v>27.271483047647816</c:v>
                </c:pt>
                <c:pt idx="533">
                  <c:v>27.483859397417504</c:v>
                </c:pt>
                <c:pt idx="534">
                  <c:v>27.696235747187192</c:v>
                </c:pt>
                <c:pt idx="535">
                  <c:v>27.908612096956887</c:v>
                </c:pt>
                <c:pt idx="536">
                  <c:v>28.137506607264218</c:v>
                </c:pt>
                <c:pt idx="537">
                  <c:v>28.361681643132226</c:v>
                </c:pt>
                <c:pt idx="538">
                  <c:v>28.58585667900023</c:v>
                </c:pt>
                <c:pt idx="539">
                  <c:v>28.812391452087898</c:v>
                </c:pt>
                <c:pt idx="540">
                  <c:v>29.041285962395229</c:v>
                </c:pt>
                <c:pt idx="541">
                  <c:v>29.270180472702563</c:v>
                </c:pt>
                <c:pt idx="542">
                  <c:v>29.499074983009891</c:v>
                </c:pt>
                <c:pt idx="543">
                  <c:v>29.727969493317225</c:v>
                </c:pt>
                <c:pt idx="544">
                  <c:v>29.954504266404896</c:v>
                </c:pt>
                <c:pt idx="545">
                  <c:v>30.199916937249871</c:v>
                </c:pt>
                <c:pt idx="546">
                  <c:v>30.445329608094845</c:v>
                </c:pt>
                <c:pt idx="547">
                  <c:v>30.686022804500496</c:v>
                </c:pt>
                <c:pt idx="548">
                  <c:v>30.931435475345467</c:v>
                </c:pt>
                <c:pt idx="549">
                  <c:v>31.176848146190441</c:v>
                </c:pt>
                <c:pt idx="550">
                  <c:v>31.419901079815752</c:v>
                </c:pt>
                <c:pt idx="551">
                  <c:v>31.670033225100052</c:v>
                </c:pt>
                <c:pt idx="552">
                  <c:v>31.915445895945027</c:v>
                </c:pt>
                <c:pt idx="553">
                  <c:v>32.163218304009668</c:v>
                </c:pt>
                <c:pt idx="554">
                  <c:v>32.410990712074309</c:v>
                </c:pt>
                <c:pt idx="555">
                  <c:v>32.665842331797933</c:v>
                </c:pt>
                <c:pt idx="556">
                  <c:v>32.913614739862567</c:v>
                </c:pt>
                <c:pt idx="557">
                  <c:v>33.170826096805861</c:v>
                </c:pt>
                <c:pt idx="558">
                  <c:v>33.444555614286791</c:v>
                </c:pt>
                <c:pt idx="559">
                  <c:v>33.715925394548066</c:v>
                </c:pt>
                <c:pt idx="560">
                  <c:v>33.984935437589677</c:v>
                </c:pt>
                <c:pt idx="561">
                  <c:v>34.25394548063128</c:v>
                </c:pt>
                <c:pt idx="562">
                  <c:v>34.518236049233558</c:v>
                </c:pt>
                <c:pt idx="563">
                  <c:v>34.796685041153822</c:v>
                </c:pt>
                <c:pt idx="564">
                  <c:v>35.077493770293742</c:v>
                </c:pt>
                <c:pt idx="565">
                  <c:v>35.353583024994336</c:v>
                </c:pt>
                <c:pt idx="566">
                  <c:v>35.634391754134263</c:v>
                </c:pt>
                <c:pt idx="567">
                  <c:v>35.915200483274184</c:v>
                </c:pt>
                <c:pt idx="568">
                  <c:v>36.198368949633767</c:v>
                </c:pt>
                <c:pt idx="569">
                  <c:v>36.479177678773695</c:v>
                </c:pt>
                <c:pt idx="570">
                  <c:v>36.771785094011932</c:v>
                </c:pt>
                <c:pt idx="571">
                  <c:v>37.064392509250169</c:v>
                </c:pt>
                <c:pt idx="572">
                  <c:v>37.361719398927733</c:v>
                </c:pt>
                <c:pt idx="573">
                  <c:v>37.659046288605303</c:v>
                </c:pt>
                <c:pt idx="574">
                  <c:v>37.946934229404214</c:v>
                </c:pt>
                <c:pt idx="575">
                  <c:v>38.248980593521111</c:v>
                </c:pt>
                <c:pt idx="576">
                  <c:v>38.546307483198675</c:v>
                </c:pt>
                <c:pt idx="577">
                  <c:v>38.845994110095901</c:v>
                </c:pt>
                <c:pt idx="578">
                  <c:v>39.159839160311108</c:v>
                </c:pt>
                <c:pt idx="579">
                  <c:v>39.468964736086988</c:v>
                </c:pt>
                <c:pt idx="580">
                  <c:v>39.773370837423549</c:v>
                </c:pt>
                <c:pt idx="581">
                  <c:v>40.082496413199422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7E-4534-80E6-531237C78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6552655"/>
        <c:axId val="906552175"/>
      </c:lineChart>
      <c:catAx>
        <c:axId val="9065526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552175"/>
        <c:crosses val="autoZero"/>
        <c:auto val="1"/>
        <c:lblAlgn val="ctr"/>
        <c:lblOffset val="100"/>
        <c:noMultiLvlLbl val="0"/>
      </c:catAx>
      <c:valAx>
        <c:axId val="90655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655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'A21-2'!$C$2:$C$663</c:f>
              <c:numCache>
                <c:formatCode>0.00</c:formatCode>
                <c:ptCount val="662"/>
                <c:pt idx="0">
                  <c:v>0</c:v>
                </c:pt>
                <c:pt idx="1">
                  <c:v>7.4911999999999999E-3</c:v>
                </c:pt>
                <c:pt idx="2">
                  <c:v>7.5749999999999993E-3</c:v>
                </c:pt>
                <c:pt idx="3">
                  <c:v>7.6585999999999998E-3</c:v>
                </c:pt>
                <c:pt idx="4">
                  <c:v>7.7424E-3</c:v>
                </c:pt>
                <c:pt idx="5">
                  <c:v>7.8244000000000005E-3</c:v>
                </c:pt>
                <c:pt idx="6">
                  <c:v>7.9080000000000001E-3</c:v>
                </c:pt>
                <c:pt idx="7">
                  <c:v>7.9900000000000006E-3</c:v>
                </c:pt>
                <c:pt idx="8">
                  <c:v>8.0755999999999988E-3</c:v>
                </c:pt>
                <c:pt idx="9">
                  <c:v>8.1594000000000007E-3</c:v>
                </c:pt>
                <c:pt idx="10">
                  <c:v>8.2430000000000003E-3</c:v>
                </c:pt>
                <c:pt idx="11">
                  <c:v>8.3250000000000008E-3</c:v>
                </c:pt>
                <c:pt idx="12">
                  <c:v>8.4087999999999993E-3</c:v>
                </c:pt>
                <c:pt idx="13">
                  <c:v>8.4924000000000006E-3</c:v>
                </c:pt>
                <c:pt idx="14">
                  <c:v>8.5762000000000008E-3</c:v>
                </c:pt>
                <c:pt idx="15">
                  <c:v>8.6599999999999993E-3</c:v>
                </c:pt>
                <c:pt idx="16">
                  <c:v>8.7417999999999992E-3</c:v>
                </c:pt>
                <c:pt idx="17">
                  <c:v>8.8237999999999997E-3</c:v>
                </c:pt>
                <c:pt idx="18">
                  <c:v>8.9075999999999999E-3</c:v>
                </c:pt>
                <c:pt idx="19">
                  <c:v>8.9931999999999998E-3</c:v>
                </c:pt>
                <c:pt idx="20">
                  <c:v>9.0749999999999997E-3</c:v>
                </c:pt>
                <c:pt idx="21">
                  <c:v>9.1587999999999999E-3</c:v>
                </c:pt>
                <c:pt idx="22">
                  <c:v>9.2405999999999999E-3</c:v>
                </c:pt>
                <c:pt idx="23">
                  <c:v>9.3244E-3</c:v>
                </c:pt>
                <c:pt idx="24">
                  <c:v>9.4082000000000002E-3</c:v>
                </c:pt>
                <c:pt idx="25">
                  <c:v>9.4920000000000004E-3</c:v>
                </c:pt>
                <c:pt idx="26">
                  <c:v>9.5756000000000001E-3</c:v>
                </c:pt>
                <c:pt idx="27">
                  <c:v>9.6575999999999988E-3</c:v>
                </c:pt>
                <c:pt idx="28">
                  <c:v>9.7414000000000008E-3</c:v>
                </c:pt>
                <c:pt idx="29">
                  <c:v>9.8250000000000004E-3</c:v>
                </c:pt>
                <c:pt idx="30">
                  <c:v>9.9088000000000006E-3</c:v>
                </c:pt>
                <c:pt idx="31">
                  <c:v>9.9907999999999993E-3</c:v>
                </c:pt>
                <c:pt idx="32">
                  <c:v>1.0074399999999999E-2</c:v>
                </c:pt>
                <c:pt idx="33">
                  <c:v>1.0156400000000001E-2</c:v>
                </c:pt>
                <c:pt idx="34">
                  <c:v>1.0241999999999999E-2</c:v>
                </c:pt>
                <c:pt idx="35">
                  <c:v>1.0325800000000001E-2</c:v>
                </c:pt>
                <c:pt idx="36">
                  <c:v>1.0409399999999999E-2</c:v>
                </c:pt>
                <c:pt idx="37">
                  <c:v>1.04914E-2</c:v>
                </c:pt>
                <c:pt idx="38">
                  <c:v>1.05752E-2</c:v>
                </c:pt>
                <c:pt idx="39">
                  <c:v>1.06588E-2</c:v>
                </c:pt>
                <c:pt idx="40">
                  <c:v>1.07426E-2</c:v>
                </c:pt>
                <c:pt idx="41">
                  <c:v>1.0854200000000001E-2</c:v>
                </c:pt>
                <c:pt idx="42">
                  <c:v>1.0964E-2</c:v>
                </c:pt>
                <c:pt idx="43">
                  <c:v>1.10758E-2</c:v>
                </c:pt>
                <c:pt idx="44">
                  <c:v>1.11856E-2</c:v>
                </c:pt>
                <c:pt idx="45">
                  <c:v>1.12972E-2</c:v>
                </c:pt>
                <c:pt idx="46">
                  <c:v>1.1407E-2</c:v>
                </c:pt>
                <c:pt idx="47">
                  <c:v>1.1518800000000001E-2</c:v>
                </c:pt>
                <c:pt idx="48">
                  <c:v>1.1630400000000001E-2</c:v>
                </c:pt>
                <c:pt idx="49">
                  <c:v>1.1741999999999999E-2</c:v>
                </c:pt>
                <c:pt idx="50">
                  <c:v>1.1851799999999999E-2</c:v>
                </c:pt>
                <c:pt idx="51">
                  <c:v>1.1965399999999999E-2</c:v>
                </c:pt>
                <c:pt idx="52">
                  <c:v>1.2075199999999999E-2</c:v>
                </c:pt>
                <c:pt idx="53">
                  <c:v>1.2186799999999999E-2</c:v>
                </c:pt>
                <c:pt idx="54">
                  <c:v>1.22986E-2</c:v>
                </c:pt>
                <c:pt idx="55">
                  <c:v>1.24102E-2</c:v>
                </c:pt>
                <c:pt idx="56">
                  <c:v>1.252E-2</c:v>
                </c:pt>
                <c:pt idx="57">
                  <c:v>1.26298E-2</c:v>
                </c:pt>
                <c:pt idx="58">
                  <c:v>1.2741599999999999E-2</c:v>
                </c:pt>
                <c:pt idx="59">
                  <c:v>1.2851399999999999E-2</c:v>
                </c:pt>
                <c:pt idx="60">
                  <c:v>1.2963000000000001E-2</c:v>
                </c:pt>
                <c:pt idx="61">
                  <c:v>1.30746E-2</c:v>
                </c:pt>
                <c:pt idx="62">
                  <c:v>1.3186400000000001E-2</c:v>
                </c:pt>
                <c:pt idx="63">
                  <c:v>1.3298000000000001E-2</c:v>
                </c:pt>
                <c:pt idx="64">
                  <c:v>1.3407800000000001E-2</c:v>
                </c:pt>
                <c:pt idx="65">
                  <c:v>1.3519399999999999E-2</c:v>
                </c:pt>
                <c:pt idx="66">
                  <c:v>1.3631200000000001E-2</c:v>
                </c:pt>
                <c:pt idx="67">
                  <c:v>1.3742799999999999E-2</c:v>
                </c:pt>
                <c:pt idx="68">
                  <c:v>1.38526E-2</c:v>
                </c:pt>
                <c:pt idx="69">
                  <c:v>1.39642E-2</c:v>
                </c:pt>
                <c:pt idx="70">
                  <c:v>1.4076E-2</c:v>
                </c:pt>
                <c:pt idx="71">
                  <c:v>1.41858E-2</c:v>
                </c:pt>
                <c:pt idx="72">
                  <c:v>1.42974E-2</c:v>
                </c:pt>
                <c:pt idx="73">
                  <c:v>1.4437E-2</c:v>
                </c:pt>
                <c:pt idx="74">
                  <c:v>1.45766E-2</c:v>
                </c:pt>
                <c:pt idx="75">
                  <c:v>1.47124E-2</c:v>
                </c:pt>
                <c:pt idx="76">
                  <c:v>1.4852000000000001E-2</c:v>
                </c:pt>
                <c:pt idx="77">
                  <c:v>1.4991600000000001E-2</c:v>
                </c:pt>
                <c:pt idx="78">
                  <c:v>1.5129399999999999E-2</c:v>
                </c:pt>
                <c:pt idx="79">
                  <c:v>1.5269E-2</c:v>
                </c:pt>
                <c:pt idx="80">
                  <c:v>1.54086E-2</c:v>
                </c:pt>
                <c:pt idx="81">
                  <c:v>1.55462E-2</c:v>
                </c:pt>
                <c:pt idx="82">
                  <c:v>1.56858E-2</c:v>
                </c:pt>
                <c:pt idx="83">
                  <c:v>1.58254E-2</c:v>
                </c:pt>
                <c:pt idx="84">
                  <c:v>1.5965E-2</c:v>
                </c:pt>
                <c:pt idx="85">
                  <c:v>1.61046E-2</c:v>
                </c:pt>
                <c:pt idx="86">
                  <c:v>1.6242400000000001E-2</c:v>
                </c:pt>
                <c:pt idx="87">
                  <c:v>1.6378199999999999E-2</c:v>
                </c:pt>
                <c:pt idx="88">
                  <c:v>1.6519600000000002E-2</c:v>
                </c:pt>
                <c:pt idx="89">
                  <c:v>1.6657399999999999E-2</c:v>
                </c:pt>
                <c:pt idx="90">
                  <c:v>1.6796999999999999E-2</c:v>
                </c:pt>
                <c:pt idx="91">
                  <c:v>1.69366E-2</c:v>
                </c:pt>
                <c:pt idx="92">
                  <c:v>1.7074199999999998E-2</c:v>
                </c:pt>
                <c:pt idx="93">
                  <c:v>1.7213799999999998E-2</c:v>
                </c:pt>
                <c:pt idx="94">
                  <c:v>1.7353400000000001E-2</c:v>
                </c:pt>
                <c:pt idx="95">
                  <c:v>1.7491199999999998E-2</c:v>
                </c:pt>
                <c:pt idx="96">
                  <c:v>1.7630799999999999E-2</c:v>
                </c:pt>
                <c:pt idx="97">
                  <c:v>1.7770399999999999E-2</c:v>
                </c:pt>
                <c:pt idx="98">
                  <c:v>1.7908E-2</c:v>
                </c:pt>
                <c:pt idx="99">
                  <c:v>1.80476E-2</c:v>
                </c:pt>
                <c:pt idx="100">
                  <c:v>1.8187200000000001E-2</c:v>
                </c:pt>
                <c:pt idx="101">
                  <c:v>1.8352799999999999E-2</c:v>
                </c:pt>
                <c:pt idx="102">
                  <c:v>1.85186E-2</c:v>
                </c:pt>
                <c:pt idx="103">
                  <c:v>1.8686000000000001E-2</c:v>
                </c:pt>
                <c:pt idx="104">
                  <c:v>1.88516E-2</c:v>
                </c:pt>
                <c:pt idx="105">
                  <c:v>1.90192E-2</c:v>
                </c:pt>
                <c:pt idx="106">
                  <c:v>1.9186600000000002E-2</c:v>
                </c:pt>
                <c:pt idx="107">
                  <c:v>1.9352400000000002E-2</c:v>
                </c:pt>
                <c:pt idx="108">
                  <c:v>1.95198E-2</c:v>
                </c:pt>
                <c:pt idx="109">
                  <c:v>1.9687400000000001E-2</c:v>
                </c:pt>
                <c:pt idx="110">
                  <c:v>1.9852999999999999E-2</c:v>
                </c:pt>
                <c:pt idx="111">
                  <c:v>2.0019999999999996E-2</c:v>
                </c:pt>
                <c:pt idx="112">
                  <c:v>2.0186000000000003E-2</c:v>
                </c:pt>
                <c:pt idx="113">
                  <c:v>2.0354000000000001E-2</c:v>
                </c:pt>
                <c:pt idx="114">
                  <c:v>2.052E-2</c:v>
                </c:pt>
                <c:pt idx="115">
                  <c:v>2.0686E-2</c:v>
                </c:pt>
                <c:pt idx="116">
                  <c:v>2.0851999999999999E-2</c:v>
                </c:pt>
                <c:pt idx="117">
                  <c:v>2.1017999999999998E-2</c:v>
                </c:pt>
                <c:pt idx="118">
                  <c:v>2.1185999999999997E-2</c:v>
                </c:pt>
                <c:pt idx="119">
                  <c:v>2.1352000000000003E-2</c:v>
                </c:pt>
                <c:pt idx="120">
                  <c:v>2.1520000000000001E-2</c:v>
                </c:pt>
                <c:pt idx="121">
                  <c:v>2.1687999999999999E-2</c:v>
                </c:pt>
                <c:pt idx="122">
                  <c:v>2.1882000000000002E-2</c:v>
                </c:pt>
                <c:pt idx="123">
                  <c:v>2.2075999999999998E-2</c:v>
                </c:pt>
                <c:pt idx="124">
                  <c:v>2.2268E-2</c:v>
                </c:pt>
                <c:pt idx="125">
                  <c:v>2.2463999999999998E-2</c:v>
                </c:pt>
                <c:pt idx="126">
                  <c:v>2.2658000000000001E-2</c:v>
                </c:pt>
                <c:pt idx="127">
                  <c:v>2.2853999999999999E-2</c:v>
                </c:pt>
                <c:pt idx="128">
                  <c:v>2.3046000000000001E-2</c:v>
                </c:pt>
                <c:pt idx="129">
                  <c:v>2.3241999999999999E-2</c:v>
                </c:pt>
                <c:pt idx="130">
                  <c:v>2.3438000000000001E-2</c:v>
                </c:pt>
                <c:pt idx="131">
                  <c:v>2.3632E-2</c:v>
                </c:pt>
                <c:pt idx="132">
                  <c:v>2.3821999999999999E-2</c:v>
                </c:pt>
                <c:pt idx="133">
                  <c:v>2.4018000000000001E-2</c:v>
                </c:pt>
                <c:pt idx="134">
                  <c:v>2.4214000000000003E-2</c:v>
                </c:pt>
                <c:pt idx="135">
                  <c:v>2.4409999999999998E-2</c:v>
                </c:pt>
                <c:pt idx="136">
                  <c:v>2.4601999999999999E-2</c:v>
                </c:pt>
                <c:pt idx="137">
                  <c:v>2.4798000000000001E-2</c:v>
                </c:pt>
                <c:pt idx="138">
                  <c:v>2.4992E-2</c:v>
                </c:pt>
                <c:pt idx="139">
                  <c:v>2.5186E-2</c:v>
                </c:pt>
                <c:pt idx="140">
                  <c:v>2.538E-2</c:v>
                </c:pt>
                <c:pt idx="141">
                  <c:v>2.5604000000000002E-2</c:v>
                </c:pt>
                <c:pt idx="142">
                  <c:v>2.5825999999999998E-2</c:v>
                </c:pt>
                <c:pt idx="143">
                  <c:v>2.6048000000000002E-2</c:v>
                </c:pt>
                <c:pt idx="144">
                  <c:v>2.6269999999999998E-2</c:v>
                </c:pt>
                <c:pt idx="145">
                  <c:v>2.6492000000000002E-2</c:v>
                </c:pt>
                <c:pt idx="146">
                  <c:v>2.6714000000000002E-2</c:v>
                </c:pt>
                <c:pt idx="147">
                  <c:v>2.6880000000000001E-2</c:v>
                </c:pt>
                <c:pt idx="148">
                  <c:v>2.7048000000000003E-2</c:v>
                </c:pt>
                <c:pt idx="149">
                  <c:v>2.7242000000000002E-2</c:v>
                </c:pt>
                <c:pt idx="150">
                  <c:v>2.7463999999999999E-2</c:v>
                </c:pt>
                <c:pt idx="151">
                  <c:v>2.7658000000000002E-2</c:v>
                </c:pt>
                <c:pt idx="152">
                  <c:v>2.7879999999999999E-2</c:v>
                </c:pt>
                <c:pt idx="153">
                  <c:v>2.8076E-2</c:v>
                </c:pt>
                <c:pt idx="154">
                  <c:v>2.8298E-2</c:v>
                </c:pt>
                <c:pt idx="155">
                  <c:v>2.852E-2</c:v>
                </c:pt>
                <c:pt idx="156">
                  <c:v>2.8714E-2</c:v>
                </c:pt>
                <c:pt idx="157">
                  <c:v>2.8938000000000002E-2</c:v>
                </c:pt>
                <c:pt idx="158">
                  <c:v>2.913E-2</c:v>
                </c:pt>
                <c:pt idx="159">
                  <c:v>2.9323999999999999E-2</c:v>
                </c:pt>
                <c:pt idx="160">
                  <c:v>2.9575999999999998E-2</c:v>
                </c:pt>
                <c:pt idx="161">
                  <c:v>2.9826000000000002E-2</c:v>
                </c:pt>
                <c:pt idx="162">
                  <c:v>3.0047999999999998E-2</c:v>
                </c:pt>
                <c:pt idx="163">
                  <c:v>3.0270000000000002E-2</c:v>
                </c:pt>
                <c:pt idx="164">
                  <c:v>3.0520000000000002E-2</c:v>
                </c:pt>
                <c:pt idx="165">
                  <c:v>3.0741999999999998E-2</c:v>
                </c:pt>
                <c:pt idx="166">
                  <c:v>3.0964000000000002E-2</c:v>
                </c:pt>
                <c:pt idx="167">
                  <c:v>3.1185999999999998E-2</c:v>
                </c:pt>
                <c:pt idx="168">
                  <c:v>3.1407999999999998E-2</c:v>
                </c:pt>
                <c:pt idx="169">
                  <c:v>3.1629999999999998E-2</c:v>
                </c:pt>
                <c:pt idx="170">
                  <c:v>3.1854E-2</c:v>
                </c:pt>
                <c:pt idx="171">
                  <c:v>3.2076E-2</c:v>
                </c:pt>
                <c:pt idx="172">
                  <c:v>3.227E-2</c:v>
                </c:pt>
                <c:pt idx="173">
                  <c:v>3.2436E-2</c:v>
                </c:pt>
                <c:pt idx="174">
                  <c:v>3.2629999999999999E-2</c:v>
                </c:pt>
                <c:pt idx="175">
                  <c:v>3.2798000000000001E-2</c:v>
                </c:pt>
                <c:pt idx="176">
                  <c:v>3.2936E-2</c:v>
                </c:pt>
                <c:pt idx="177">
                  <c:v>3.3101999999999999E-2</c:v>
                </c:pt>
                <c:pt idx="178">
                  <c:v>3.3298000000000001E-2</c:v>
                </c:pt>
                <c:pt idx="179">
                  <c:v>3.3464000000000001E-2</c:v>
                </c:pt>
                <c:pt idx="180">
                  <c:v>3.3660000000000002E-2</c:v>
                </c:pt>
                <c:pt idx="181">
                  <c:v>3.3824E-2</c:v>
                </c:pt>
                <c:pt idx="182">
                  <c:v>3.4020000000000002E-2</c:v>
                </c:pt>
                <c:pt idx="183">
                  <c:v>3.4186000000000001E-2</c:v>
                </c:pt>
                <c:pt idx="184">
                  <c:v>3.4380000000000001E-2</c:v>
                </c:pt>
                <c:pt idx="185">
                  <c:v>3.4574000000000001E-2</c:v>
                </c:pt>
                <c:pt idx="186">
                  <c:v>3.4769999999999995E-2</c:v>
                </c:pt>
                <c:pt idx="187">
                  <c:v>3.4964000000000002E-2</c:v>
                </c:pt>
                <c:pt idx="188">
                  <c:v>3.5159999999999997E-2</c:v>
                </c:pt>
                <c:pt idx="189">
                  <c:v>3.5352000000000001E-2</c:v>
                </c:pt>
                <c:pt idx="190">
                  <c:v>3.5575999999999997E-2</c:v>
                </c:pt>
                <c:pt idx="191">
                  <c:v>3.5769999999999996E-2</c:v>
                </c:pt>
                <c:pt idx="192">
                  <c:v>3.5935999999999996E-2</c:v>
                </c:pt>
                <c:pt idx="193">
                  <c:v>3.6130000000000002E-2</c:v>
                </c:pt>
                <c:pt idx="194">
                  <c:v>3.6324000000000002E-2</c:v>
                </c:pt>
                <c:pt idx="195">
                  <c:v>3.6491999999999997E-2</c:v>
                </c:pt>
                <c:pt idx="196">
                  <c:v>3.6657999999999996E-2</c:v>
                </c:pt>
                <c:pt idx="197">
                  <c:v>3.6823999999999996E-2</c:v>
                </c:pt>
                <c:pt idx="198">
                  <c:v>3.6991999999999997E-2</c:v>
                </c:pt>
                <c:pt idx="199">
                  <c:v>3.7185999999999997E-2</c:v>
                </c:pt>
                <c:pt idx="200">
                  <c:v>3.7325999999999998E-2</c:v>
                </c:pt>
                <c:pt idx="201">
                  <c:v>3.7519999999999998E-2</c:v>
                </c:pt>
                <c:pt idx="202">
                  <c:v>3.7686000000000004E-2</c:v>
                </c:pt>
                <c:pt idx="203">
                  <c:v>3.7853999999999999E-2</c:v>
                </c:pt>
                <c:pt idx="204">
                  <c:v>3.8019999999999998E-2</c:v>
                </c:pt>
                <c:pt idx="205">
                  <c:v>3.8216E-2</c:v>
                </c:pt>
                <c:pt idx="206">
                  <c:v>3.8379999999999997E-2</c:v>
                </c:pt>
                <c:pt idx="207">
                  <c:v>3.8574000000000004E-2</c:v>
                </c:pt>
                <c:pt idx="208">
                  <c:v>3.8741999999999999E-2</c:v>
                </c:pt>
                <c:pt idx="209">
                  <c:v>3.8907999999999998E-2</c:v>
                </c:pt>
                <c:pt idx="210">
                  <c:v>3.9101999999999998E-2</c:v>
                </c:pt>
                <c:pt idx="211">
                  <c:v>3.9241999999999999E-2</c:v>
                </c:pt>
                <c:pt idx="212">
                  <c:v>3.9407999999999999E-2</c:v>
                </c:pt>
                <c:pt idx="213">
                  <c:v>3.9576E-2</c:v>
                </c:pt>
                <c:pt idx="214">
                  <c:v>3.9742E-2</c:v>
                </c:pt>
                <c:pt idx="215">
                  <c:v>3.9933999999999997E-2</c:v>
                </c:pt>
                <c:pt idx="216">
                  <c:v>4.0101999999999999E-2</c:v>
                </c:pt>
                <c:pt idx="217">
                  <c:v>4.027E-2</c:v>
                </c:pt>
                <c:pt idx="218">
                  <c:v>4.0436E-2</c:v>
                </c:pt>
                <c:pt idx="219">
                  <c:v>4.0603999999999994E-2</c:v>
                </c:pt>
                <c:pt idx="220">
                  <c:v>4.0797999999999994E-2</c:v>
                </c:pt>
                <c:pt idx="221">
                  <c:v>4.0964E-2</c:v>
                </c:pt>
                <c:pt idx="222">
                  <c:v>4.1132000000000002E-2</c:v>
                </c:pt>
                <c:pt idx="223">
                  <c:v>4.1326000000000002E-2</c:v>
                </c:pt>
                <c:pt idx="224">
                  <c:v>4.1489999999999999E-2</c:v>
                </c:pt>
                <c:pt idx="225">
                  <c:v>4.1685999999999994E-2</c:v>
                </c:pt>
                <c:pt idx="226">
                  <c:v>4.1882000000000003E-2</c:v>
                </c:pt>
                <c:pt idx="227">
                  <c:v>4.2050000000000004E-2</c:v>
                </c:pt>
                <c:pt idx="228">
                  <c:v>4.2212E-2</c:v>
                </c:pt>
                <c:pt idx="229">
                  <c:v>4.2352000000000001E-2</c:v>
                </c:pt>
                <c:pt idx="230">
                  <c:v>4.2492000000000002E-2</c:v>
                </c:pt>
                <c:pt idx="231">
                  <c:v>4.2630000000000001E-2</c:v>
                </c:pt>
                <c:pt idx="232">
                  <c:v>4.2770000000000002E-2</c:v>
                </c:pt>
                <c:pt idx="233">
                  <c:v>4.2910000000000004E-2</c:v>
                </c:pt>
                <c:pt idx="234">
                  <c:v>4.3019999999999996E-2</c:v>
                </c:pt>
                <c:pt idx="235">
                  <c:v>4.3158000000000002E-2</c:v>
                </c:pt>
                <c:pt idx="236">
                  <c:v>4.3297999999999996E-2</c:v>
                </c:pt>
                <c:pt idx="237">
                  <c:v>4.3436000000000002E-2</c:v>
                </c:pt>
                <c:pt idx="238">
                  <c:v>4.3575999999999997E-2</c:v>
                </c:pt>
                <c:pt idx="239">
                  <c:v>4.3714000000000003E-2</c:v>
                </c:pt>
                <c:pt idx="240">
                  <c:v>4.3852000000000002E-2</c:v>
                </c:pt>
                <c:pt idx="241">
                  <c:v>4.3962000000000001E-2</c:v>
                </c:pt>
                <c:pt idx="242">
                  <c:v>4.4101999999999995E-2</c:v>
                </c:pt>
                <c:pt idx="243">
                  <c:v>4.4241999999999997E-2</c:v>
                </c:pt>
                <c:pt idx="244">
                  <c:v>4.4379999999999996E-2</c:v>
                </c:pt>
                <c:pt idx="245">
                  <c:v>4.4519999999999997E-2</c:v>
                </c:pt>
                <c:pt idx="246">
                  <c:v>4.4657999999999996E-2</c:v>
                </c:pt>
                <c:pt idx="247">
                  <c:v>4.4795999999999996E-2</c:v>
                </c:pt>
                <c:pt idx="248">
                  <c:v>4.4908000000000003E-2</c:v>
                </c:pt>
                <c:pt idx="249">
                  <c:v>4.5048000000000005E-2</c:v>
                </c:pt>
                <c:pt idx="250">
                  <c:v>4.5187999999999999E-2</c:v>
                </c:pt>
                <c:pt idx="251">
                  <c:v>4.5324000000000003E-2</c:v>
                </c:pt>
                <c:pt idx="252">
                  <c:v>4.5464000000000004E-2</c:v>
                </c:pt>
                <c:pt idx="253">
                  <c:v>4.5603999999999999E-2</c:v>
                </c:pt>
                <c:pt idx="254">
                  <c:v>4.5772000000000007E-2</c:v>
                </c:pt>
                <c:pt idx="255">
                  <c:v>4.5909999999999999E-2</c:v>
                </c:pt>
                <c:pt idx="256">
                  <c:v>4.6074000000000004E-2</c:v>
                </c:pt>
                <c:pt idx="257">
                  <c:v>4.6214000000000005E-2</c:v>
                </c:pt>
                <c:pt idx="258">
                  <c:v>4.6379999999999998E-2</c:v>
                </c:pt>
                <c:pt idx="259">
                  <c:v>4.6492000000000006E-2</c:v>
                </c:pt>
                <c:pt idx="260">
                  <c:v>4.6632E-2</c:v>
                </c:pt>
                <c:pt idx="261">
                  <c:v>4.6769999999999999E-2</c:v>
                </c:pt>
                <c:pt idx="262">
                  <c:v>4.6908000000000005E-2</c:v>
                </c:pt>
                <c:pt idx="263">
                  <c:v>4.7048E-2</c:v>
                </c:pt>
                <c:pt idx="264">
                  <c:v>4.7186000000000006E-2</c:v>
                </c:pt>
                <c:pt idx="265">
                  <c:v>4.7326E-2</c:v>
                </c:pt>
                <c:pt idx="266">
                  <c:v>4.7466000000000001E-2</c:v>
                </c:pt>
                <c:pt idx="267">
                  <c:v>4.7573999999999998E-2</c:v>
                </c:pt>
                <c:pt idx="268">
                  <c:v>4.7713999999999999E-2</c:v>
                </c:pt>
                <c:pt idx="269">
                  <c:v>4.7851999999999999E-2</c:v>
                </c:pt>
                <c:pt idx="270">
                  <c:v>4.7992E-2</c:v>
                </c:pt>
                <c:pt idx="271">
                  <c:v>4.8129999999999999E-2</c:v>
                </c:pt>
                <c:pt idx="272">
                  <c:v>4.8242E-2</c:v>
                </c:pt>
                <c:pt idx="273">
                  <c:v>4.8379999999999999E-2</c:v>
                </c:pt>
                <c:pt idx="274">
                  <c:v>4.8492E-2</c:v>
                </c:pt>
                <c:pt idx="275">
                  <c:v>4.8630000000000007E-2</c:v>
                </c:pt>
                <c:pt idx="276">
                  <c:v>4.8742000000000001E-2</c:v>
                </c:pt>
                <c:pt idx="277">
                  <c:v>4.8882000000000002E-2</c:v>
                </c:pt>
                <c:pt idx="278">
                  <c:v>4.8994000000000003E-2</c:v>
                </c:pt>
                <c:pt idx="279">
                  <c:v>4.9102E-2</c:v>
                </c:pt>
                <c:pt idx="280">
                  <c:v>4.9240000000000006E-2</c:v>
                </c:pt>
                <c:pt idx="281">
                  <c:v>4.9352E-2</c:v>
                </c:pt>
                <c:pt idx="282">
                  <c:v>4.9463999999999994E-2</c:v>
                </c:pt>
                <c:pt idx="283">
                  <c:v>4.9576000000000002E-2</c:v>
                </c:pt>
                <c:pt idx="284">
                  <c:v>4.9714000000000001E-2</c:v>
                </c:pt>
                <c:pt idx="285">
                  <c:v>4.9825999999999995E-2</c:v>
                </c:pt>
                <c:pt idx="286">
                  <c:v>4.9936000000000001E-2</c:v>
                </c:pt>
                <c:pt idx="287">
                  <c:v>5.0073999999999994E-2</c:v>
                </c:pt>
                <c:pt idx="288">
                  <c:v>5.0183999999999999E-2</c:v>
                </c:pt>
                <c:pt idx="289">
                  <c:v>5.0297999999999995E-2</c:v>
                </c:pt>
                <c:pt idx="290">
                  <c:v>5.0410000000000003E-2</c:v>
                </c:pt>
                <c:pt idx="291">
                  <c:v>5.0519999999999995E-2</c:v>
                </c:pt>
                <c:pt idx="292">
                  <c:v>5.0629999999999994E-2</c:v>
                </c:pt>
                <c:pt idx="293">
                  <c:v>5.0742000000000002E-2</c:v>
                </c:pt>
                <c:pt idx="294">
                  <c:v>5.0853999999999996E-2</c:v>
                </c:pt>
                <c:pt idx="295">
                  <c:v>5.0964000000000002E-2</c:v>
                </c:pt>
                <c:pt idx="296">
                  <c:v>5.1075999999999996E-2</c:v>
                </c:pt>
                <c:pt idx="297">
                  <c:v>5.1188000000000004E-2</c:v>
                </c:pt>
                <c:pt idx="298">
                  <c:v>5.1298000000000003E-2</c:v>
                </c:pt>
                <c:pt idx="299">
                  <c:v>5.1407999999999995E-2</c:v>
                </c:pt>
                <c:pt idx="300">
                  <c:v>5.1517999999999994E-2</c:v>
                </c:pt>
                <c:pt idx="301">
                  <c:v>5.1601999999999995E-2</c:v>
                </c:pt>
                <c:pt idx="302">
                  <c:v>5.1712000000000001E-2</c:v>
                </c:pt>
                <c:pt idx="303">
                  <c:v>5.1798000000000004E-2</c:v>
                </c:pt>
                <c:pt idx="304">
                  <c:v>5.1882000000000005E-2</c:v>
                </c:pt>
                <c:pt idx="305">
                  <c:v>5.1993999999999999E-2</c:v>
                </c:pt>
                <c:pt idx="306">
                  <c:v>5.2103999999999998E-2</c:v>
                </c:pt>
                <c:pt idx="307">
                  <c:v>5.2186000000000003E-2</c:v>
                </c:pt>
                <c:pt idx="308">
                  <c:v>5.2297999999999997E-2</c:v>
                </c:pt>
                <c:pt idx="309">
                  <c:v>5.2408000000000003E-2</c:v>
                </c:pt>
                <c:pt idx="310">
                  <c:v>5.2492000000000004E-2</c:v>
                </c:pt>
                <c:pt idx="311">
                  <c:v>5.2575999999999998E-2</c:v>
                </c:pt>
                <c:pt idx="312">
                  <c:v>5.2657999999999996E-2</c:v>
                </c:pt>
                <c:pt idx="313">
                  <c:v>5.2742000000000004E-2</c:v>
                </c:pt>
                <c:pt idx="314">
                  <c:v>5.2826000000000005E-2</c:v>
                </c:pt>
                <c:pt idx="315">
                  <c:v>5.2910000000000006E-2</c:v>
                </c:pt>
                <c:pt idx="316">
                  <c:v>5.2990000000000002E-2</c:v>
                </c:pt>
                <c:pt idx="317">
                  <c:v>5.3075999999999998E-2</c:v>
                </c:pt>
                <c:pt idx="318">
                  <c:v>5.3159999999999999E-2</c:v>
                </c:pt>
                <c:pt idx="319">
                  <c:v>5.3242000000000005E-2</c:v>
                </c:pt>
                <c:pt idx="320">
                  <c:v>5.3326000000000005E-2</c:v>
                </c:pt>
                <c:pt idx="321">
                  <c:v>5.3407999999999997E-2</c:v>
                </c:pt>
                <c:pt idx="322">
                  <c:v>5.3491999999999998E-2</c:v>
                </c:pt>
                <c:pt idx="323">
                  <c:v>5.3575999999999999E-2</c:v>
                </c:pt>
                <c:pt idx="324">
                  <c:v>5.3659999999999999E-2</c:v>
                </c:pt>
                <c:pt idx="325">
                  <c:v>5.3769999999999998E-2</c:v>
                </c:pt>
                <c:pt idx="326">
                  <c:v>5.3879999999999997E-2</c:v>
                </c:pt>
                <c:pt idx="327">
                  <c:v>5.3992000000000005E-2</c:v>
                </c:pt>
                <c:pt idx="328">
                  <c:v>5.4101999999999997E-2</c:v>
                </c:pt>
                <c:pt idx="329">
                  <c:v>5.4214000000000005E-2</c:v>
                </c:pt>
                <c:pt idx="330">
                  <c:v>5.4325999999999999E-2</c:v>
                </c:pt>
                <c:pt idx="331">
                  <c:v>5.4435999999999998E-2</c:v>
                </c:pt>
                <c:pt idx="332">
                  <c:v>5.4546000000000004E-2</c:v>
                </c:pt>
                <c:pt idx="333">
                  <c:v>5.4657999999999998E-2</c:v>
                </c:pt>
                <c:pt idx="334">
                  <c:v>5.4770000000000006E-2</c:v>
                </c:pt>
                <c:pt idx="335">
                  <c:v>5.4880000000000005E-2</c:v>
                </c:pt>
                <c:pt idx="336">
                  <c:v>5.4991999999999999E-2</c:v>
                </c:pt>
                <c:pt idx="337">
                  <c:v>5.5104E-2</c:v>
                </c:pt>
                <c:pt idx="338">
                  <c:v>5.5216000000000001E-2</c:v>
                </c:pt>
                <c:pt idx="339">
                  <c:v>5.5323999999999998E-2</c:v>
                </c:pt>
                <c:pt idx="340">
                  <c:v>5.5435999999999999E-2</c:v>
                </c:pt>
                <c:pt idx="341">
                  <c:v>5.5545999999999998E-2</c:v>
                </c:pt>
                <c:pt idx="342">
                  <c:v>5.5658000000000006E-2</c:v>
                </c:pt>
                <c:pt idx="343">
                  <c:v>5.5768000000000005E-2</c:v>
                </c:pt>
                <c:pt idx="344">
                  <c:v>5.5879999999999999E-2</c:v>
                </c:pt>
                <c:pt idx="345">
                  <c:v>5.5992E-2</c:v>
                </c:pt>
                <c:pt idx="346">
                  <c:v>5.6101999999999999E-2</c:v>
                </c:pt>
                <c:pt idx="347">
                  <c:v>5.6214000000000007E-2</c:v>
                </c:pt>
                <c:pt idx="348">
                  <c:v>5.6326000000000001E-2</c:v>
                </c:pt>
                <c:pt idx="349">
                  <c:v>5.6407999999999993E-2</c:v>
                </c:pt>
                <c:pt idx="350">
                  <c:v>5.6520000000000001E-2</c:v>
                </c:pt>
                <c:pt idx="351">
                  <c:v>5.6631999999999995E-2</c:v>
                </c:pt>
                <c:pt idx="352">
                  <c:v>5.6744000000000003E-2</c:v>
                </c:pt>
                <c:pt idx="353">
                  <c:v>5.6853999999999995E-2</c:v>
                </c:pt>
                <c:pt idx="354">
                  <c:v>5.6963999999999994E-2</c:v>
                </c:pt>
                <c:pt idx="355">
                  <c:v>5.7076000000000002E-2</c:v>
                </c:pt>
                <c:pt idx="356">
                  <c:v>5.7186000000000001E-2</c:v>
                </c:pt>
                <c:pt idx="357">
                  <c:v>5.7298000000000002E-2</c:v>
                </c:pt>
                <c:pt idx="358">
                  <c:v>5.7408000000000001E-2</c:v>
                </c:pt>
                <c:pt idx="359">
                  <c:v>5.7493999999999996E-2</c:v>
                </c:pt>
                <c:pt idx="360">
                  <c:v>5.7602E-2</c:v>
                </c:pt>
                <c:pt idx="361">
                  <c:v>5.7686000000000001E-2</c:v>
                </c:pt>
                <c:pt idx="362">
                  <c:v>5.7770000000000002E-2</c:v>
                </c:pt>
                <c:pt idx="363">
                  <c:v>5.7880000000000001E-2</c:v>
                </c:pt>
                <c:pt idx="364">
                  <c:v>5.7992000000000002E-2</c:v>
                </c:pt>
                <c:pt idx="365">
                  <c:v>5.8103999999999996E-2</c:v>
                </c:pt>
                <c:pt idx="366">
                  <c:v>5.8216000000000004E-2</c:v>
                </c:pt>
                <c:pt idx="367">
                  <c:v>5.8352000000000001E-2</c:v>
                </c:pt>
                <c:pt idx="368">
                  <c:v>5.8461999999999993E-2</c:v>
                </c:pt>
                <c:pt idx="369">
                  <c:v>5.8574000000000001E-2</c:v>
                </c:pt>
                <c:pt idx="370">
                  <c:v>5.8685999999999995E-2</c:v>
                </c:pt>
                <c:pt idx="371">
                  <c:v>5.8798000000000003E-2</c:v>
                </c:pt>
                <c:pt idx="372">
                  <c:v>5.8909999999999997E-2</c:v>
                </c:pt>
                <c:pt idx="373">
                  <c:v>5.9020000000000003E-2</c:v>
                </c:pt>
                <c:pt idx="374">
                  <c:v>5.9130000000000002E-2</c:v>
                </c:pt>
                <c:pt idx="375">
                  <c:v>5.9241999999999996E-2</c:v>
                </c:pt>
                <c:pt idx="376">
                  <c:v>5.9352000000000002E-2</c:v>
                </c:pt>
                <c:pt idx="377">
                  <c:v>5.9463999999999996E-2</c:v>
                </c:pt>
                <c:pt idx="378">
                  <c:v>5.9576000000000004E-2</c:v>
                </c:pt>
                <c:pt idx="379">
                  <c:v>5.9686000000000003E-2</c:v>
                </c:pt>
                <c:pt idx="380">
                  <c:v>5.9795999999999995E-2</c:v>
                </c:pt>
                <c:pt idx="381">
                  <c:v>5.9908000000000003E-2</c:v>
                </c:pt>
                <c:pt idx="382">
                  <c:v>6.0019999999999997E-2</c:v>
                </c:pt>
                <c:pt idx="383">
                  <c:v>6.0129999999999996E-2</c:v>
                </c:pt>
                <c:pt idx="384">
                  <c:v>6.0242000000000004E-2</c:v>
                </c:pt>
                <c:pt idx="385">
                  <c:v>6.0353999999999998E-2</c:v>
                </c:pt>
                <c:pt idx="386">
                  <c:v>6.0464000000000004E-2</c:v>
                </c:pt>
                <c:pt idx="387">
                  <c:v>6.0578E-2</c:v>
                </c:pt>
                <c:pt idx="388">
                  <c:v>6.0685999999999997E-2</c:v>
                </c:pt>
                <c:pt idx="389">
                  <c:v>6.0797999999999998E-2</c:v>
                </c:pt>
                <c:pt idx="390">
                  <c:v>6.0907999999999997E-2</c:v>
                </c:pt>
                <c:pt idx="391">
                  <c:v>6.1020000000000005E-2</c:v>
                </c:pt>
                <c:pt idx="392">
                  <c:v>6.1130000000000004E-2</c:v>
                </c:pt>
                <c:pt idx="393">
                  <c:v>6.1241999999999998E-2</c:v>
                </c:pt>
                <c:pt idx="394">
                  <c:v>6.1382000000000006E-2</c:v>
                </c:pt>
                <c:pt idx="395">
                  <c:v>6.1519999999999998E-2</c:v>
                </c:pt>
                <c:pt idx="396">
                  <c:v>6.1656000000000002E-2</c:v>
                </c:pt>
                <c:pt idx="397">
                  <c:v>6.1797999999999999E-2</c:v>
                </c:pt>
                <c:pt idx="398">
                  <c:v>6.1938000000000007E-2</c:v>
                </c:pt>
                <c:pt idx="399">
                  <c:v>6.2075999999999999E-2</c:v>
                </c:pt>
                <c:pt idx="400">
                  <c:v>6.2186000000000005E-2</c:v>
                </c:pt>
                <c:pt idx="401">
                  <c:v>6.2324000000000004E-2</c:v>
                </c:pt>
                <c:pt idx="402">
                  <c:v>6.2464000000000006E-2</c:v>
                </c:pt>
                <c:pt idx="403">
                  <c:v>6.2602000000000005E-2</c:v>
                </c:pt>
                <c:pt idx="404">
                  <c:v>6.2742000000000006E-2</c:v>
                </c:pt>
                <c:pt idx="405">
                  <c:v>6.2854000000000007E-2</c:v>
                </c:pt>
                <c:pt idx="406">
                  <c:v>6.2990000000000004E-2</c:v>
                </c:pt>
                <c:pt idx="407">
                  <c:v>6.3129999999999992E-2</c:v>
                </c:pt>
                <c:pt idx="408">
                  <c:v>6.3269999999999993E-2</c:v>
                </c:pt>
                <c:pt idx="409">
                  <c:v>6.3407999999999992E-2</c:v>
                </c:pt>
                <c:pt idx="410">
                  <c:v>6.3520000000000007E-2</c:v>
                </c:pt>
                <c:pt idx="411">
                  <c:v>6.3631999999999994E-2</c:v>
                </c:pt>
                <c:pt idx="412">
                  <c:v>6.3742000000000007E-2</c:v>
                </c:pt>
                <c:pt idx="413">
                  <c:v>6.3852000000000006E-2</c:v>
                </c:pt>
                <c:pt idx="414">
                  <c:v>6.3963999999999993E-2</c:v>
                </c:pt>
                <c:pt idx="415">
                  <c:v>6.4076000000000008E-2</c:v>
                </c:pt>
                <c:pt idx="416">
                  <c:v>6.4185999999999993E-2</c:v>
                </c:pt>
                <c:pt idx="417">
                  <c:v>6.4299999999999996E-2</c:v>
                </c:pt>
                <c:pt idx="418">
                  <c:v>6.4435999999999993E-2</c:v>
                </c:pt>
                <c:pt idx="419">
                  <c:v>6.4573999999999993E-2</c:v>
                </c:pt>
                <c:pt idx="420">
                  <c:v>6.4713999999999994E-2</c:v>
                </c:pt>
                <c:pt idx="421">
                  <c:v>6.4851999999999993E-2</c:v>
                </c:pt>
                <c:pt idx="422">
                  <c:v>6.4991999999999994E-2</c:v>
                </c:pt>
                <c:pt idx="423">
                  <c:v>6.5132000000000009E-2</c:v>
                </c:pt>
                <c:pt idx="424">
                  <c:v>6.5269999999999995E-2</c:v>
                </c:pt>
                <c:pt idx="425">
                  <c:v>6.5407999999999994E-2</c:v>
                </c:pt>
                <c:pt idx="426">
                  <c:v>6.5547999999999995E-2</c:v>
                </c:pt>
                <c:pt idx="427">
                  <c:v>6.5683999999999992E-2</c:v>
                </c:pt>
                <c:pt idx="428">
                  <c:v>6.5825999999999996E-2</c:v>
                </c:pt>
                <c:pt idx="429">
                  <c:v>6.5965999999999997E-2</c:v>
                </c:pt>
                <c:pt idx="430">
                  <c:v>6.6101999999999994E-2</c:v>
                </c:pt>
                <c:pt idx="431">
                  <c:v>6.6241999999999995E-2</c:v>
                </c:pt>
                <c:pt idx="432">
                  <c:v>6.6381999999999997E-2</c:v>
                </c:pt>
                <c:pt idx="433">
                  <c:v>6.6519999999999996E-2</c:v>
                </c:pt>
                <c:pt idx="434">
                  <c:v>6.6659999999999997E-2</c:v>
                </c:pt>
                <c:pt idx="435">
                  <c:v>6.6797999999999996E-2</c:v>
                </c:pt>
                <c:pt idx="436">
                  <c:v>6.6908000000000009E-2</c:v>
                </c:pt>
                <c:pt idx="437">
                  <c:v>6.7045999999999994E-2</c:v>
                </c:pt>
                <c:pt idx="438">
                  <c:v>6.7187999999999998E-2</c:v>
                </c:pt>
                <c:pt idx="439">
                  <c:v>6.7325999999999997E-2</c:v>
                </c:pt>
                <c:pt idx="440">
                  <c:v>6.746400000000001E-2</c:v>
                </c:pt>
                <c:pt idx="441">
                  <c:v>6.7601999999999995E-2</c:v>
                </c:pt>
                <c:pt idx="442">
                  <c:v>6.7742000000000011E-2</c:v>
                </c:pt>
                <c:pt idx="443">
                  <c:v>6.7879999999999996E-2</c:v>
                </c:pt>
                <c:pt idx="444">
                  <c:v>6.8021999999999999E-2</c:v>
                </c:pt>
                <c:pt idx="445">
                  <c:v>6.8157999999999996E-2</c:v>
                </c:pt>
                <c:pt idx="446">
                  <c:v>6.8297999999999998E-2</c:v>
                </c:pt>
                <c:pt idx="447">
                  <c:v>6.8435999999999997E-2</c:v>
                </c:pt>
                <c:pt idx="448">
                  <c:v>6.8573999999999996E-2</c:v>
                </c:pt>
                <c:pt idx="449">
                  <c:v>6.8713999999999997E-2</c:v>
                </c:pt>
                <c:pt idx="450">
                  <c:v>6.8853999999999999E-2</c:v>
                </c:pt>
                <c:pt idx="451">
                  <c:v>6.8991999999999998E-2</c:v>
                </c:pt>
                <c:pt idx="452">
                  <c:v>6.9129999999999997E-2</c:v>
                </c:pt>
                <c:pt idx="453">
                  <c:v>6.9269999999999998E-2</c:v>
                </c:pt>
                <c:pt idx="454">
                  <c:v>6.9405999999999995E-2</c:v>
                </c:pt>
                <c:pt idx="455">
                  <c:v>6.9575999999999999E-2</c:v>
                </c:pt>
                <c:pt idx="456">
                  <c:v>6.9741999999999998E-2</c:v>
                </c:pt>
                <c:pt idx="457">
                  <c:v>6.9907999999999998E-2</c:v>
                </c:pt>
                <c:pt idx="458">
                  <c:v>7.0075999999999999E-2</c:v>
                </c:pt>
                <c:pt idx="459">
                  <c:v>7.0241999999999999E-2</c:v>
                </c:pt>
                <c:pt idx="460">
                  <c:v>7.041E-2</c:v>
                </c:pt>
                <c:pt idx="461">
                  <c:v>7.0576E-2</c:v>
                </c:pt>
                <c:pt idx="462">
                  <c:v>7.0739999999999997E-2</c:v>
                </c:pt>
                <c:pt idx="463">
                  <c:v>7.0879999999999999E-2</c:v>
                </c:pt>
                <c:pt idx="464">
                  <c:v>7.1048E-2</c:v>
                </c:pt>
                <c:pt idx="465">
                  <c:v>7.1214E-2</c:v>
                </c:pt>
                <c:pt idx="466">
                  <c:v>7.1354000000000001E-2</c:v>
                </c:pt>
                <c:pt idx="467">
                  <c:v>7.152E-2</c:v>
                </c:pt>
                <c:pt idx="468">
                  <c:v>7.1686E-2</c:v>
                </c:pt>
                <c:pt idx="469">
                  <c:v>7.1854000000000001E-2</c:v>
                </c:pt>
                <c:pt idx="470">
                  <c:v>7.2020000000000001E-2</c:v>
                </c:pt>
                <c:pt idx="471">
                  <c:v>7.2186E-2</c:v>
                </c:pt>
                <c:pt idx="472">
                  <c:v>7.2352E-2</c:v>
                </c:pt>
                <c:pt idx="473">
                  <c:v>7.2517999999999999E-2</c:v>
                </c:pt>
                <c:pt idx="474">
                  <c:v>7.2688000000000003E-2</c:v>
                </c:pt>
                <c:pt idx="475">
                  <c:v>7.2854000000000002E-2</c:v>
                </c:pt>
                <c:pt idx="476">
                  <c:v>7.3018E-2</c:v>
                </c:pt>
                <c:pt idx="477">
                  <c:v>7.3186000000000001E-2</c:v>
                </c:pt>
                <c:pt idx="478">
                  <c:v>7.3352000000000001E-2</c:v>
                </c:pt>
                <c:pt idx="479">
                  <c:v>7.3520000000000002E-2</c:v>
                </c:pt>
                <c:pt idx="480">
                  <c:v>7.3688000000000003E-2</c:v>
                </c:pt>
                <c:pt idx="481">
                  <c:v>7.3852000000000001E-2</c:v>
                </c:pt>
                <c:pt idx="482">
                  <c:v>7.4020000000000002E-2</c:v>
                </c:pt>
                <c:pt idx="483">
                  <c:v>7.4186000000000002E-2</c:v>
                </c:pt>
                <c:pt idx="484">
                  <c:v>7.435399999999999E-2</c:v>
                </c:pt>
                <c:pt idx="485">
                  <c:v>7.4520000000000003E-2</c:v>
                </c:pt>
                <c:pt idx="486">
                  <c:v>7.4684E-2</c:v>
                </c:pt>
                <c:pt idx="487">
                  <c:v>7.4852000000000002E-2</c:v>
                </c:pt>
                <c:pt idx="488">
                  <c:v>7.5020000000000003E-2</c:v>
                </c:pt>
                <c:pt idx="489">
                  <c:v>7.5214000000000003E-2</c:v>
                </c:pt>
                <c:pt idx="490">
                  <c:v>7.5382000000000005E-2</c:v>
                </c:pt>
                <c:pt idx="491">
                  <c:v>7.5576000000000004E-2</c:v>
                </c:pt>
                <c:pt idx="492">
                  <c:v>7.5770000000000004E-2</c:v>
                </c:pt>
                <c:pt idx="493">
                  <c:v>7.5936000000000003E-2</c:v>
                </c:pt>
                <c:pt idx="494">
                  <c:v>7.6102000000000003E-2</c:v>
                </c:pt>
                <c:pt idx="495">
                  <c:v>7.6298000000000005E-2</c:v>
                </c:pt>
                <c:pt idx="496">
                  <c:v>7.6492000000000004E-2</c:v>
                </c:pt>
                <c:pt idx="497">
                  <c:v>7.668599999999999E-2</c:v>
                </c:pt>
                <c:pt idx="498">
                  <c:v>7.6880000000000004E-2</c:v>
                </c:pt>
                <c:pt idx="499">
                  <c:v>7.7074000000000004E-2</c:v>
                </c:pt>
                <c:pt idx="500">
                  <c:v>7.7270000000000005E-2</c:v>
                </c:pt>
                <c:pt idx="501">
                  <c:v>7.7464000000000005E-2</c:v>
                </c:pt>
                <c:pt idx="502">
                  <c:v>7.7657999999999991E-2</c:v>
                </c:pt>
                <c:pt idx="503">
                  <c:v>7.7854000000000007E-2</c:v>
                </c:pt>
                <c:pt idx="504">
                  <c:v>7.8048000000000006E-2</c:v>
                </c:pt>
                <c:pt idx="505">
                  <c:v>7.8242000000000006E-2</c:v>
                </c:pt>
                <c:pt idx="506">
                  <c:v>7.8436000000000006E-2</c:v>
                </c:pt>
                <c:pt idx="507">
                  <c:v>7.8630000000000005E-2</c:v>
                </c:pt>
                <c:pt idx="508">
                  <c:v>7.8823999999999991E-2</c:v>
                </c:pt>
                <c:pt idx="509">
                  <c:v>7.9017999999999991E-2</c:v>
                </c:pt>
                <c:pt idx="510">
                  <c:v>7.9214000000000007E-2</c:v>
                </c:pt>
                <c:pt idx="511">
                  <c:v>7.9409999999999994E-2</c:v>
                </c:pt>
                <c:pt idx="512">
                  <c:v>7.9603999999999994E-2</c:v>
                </c:pt>
                <c:pt idx="513">
                  <c:v>7.9797999999999994E-2</c:v>
                </c:pt>
                <c:pt idx="514">
                  <c:v>7.9989999999999992E-2</c:v>
                </c:pt>
                <c:pt idx="515">
                  <c:v>8.0185999999999993E-2</c:v>
                </c:pt>
                <c:pt idx="516">
                  <c:v>8.0380000000000007E-2</c:v>
                </c:pt>
                <c:pt idx="517">
                  <c:v>8.0603999999999995E-2</c:v>
                </c:pt>
                <c:pt idx="518">
                  <c:v>8.0825999999999995E-2</c:v>
                </c:pt>
                <c:pt idx="519">
                  <c:v>8.1047999999999995E-2</c:v>
                </c:pt>
                <c:pt idx="520">
                  <c:v>8.1270000000000009E-2</c:v>
                </c:pt>
                <c:pt idx="521">
                  <c:v>8.1489999999999993E-2</c:v>
                </c:pt>
                <c:pt idx="522">
                  <c:v>8.1712000000000007E-2</c:v>
                </c:pt>
                <c:pt idx="523">
                  <c:v>8.1935999999999995E-2</c:v>
                </c:pt>
                <c:pt idx="524">
                  <c:v>8.2159999999999997E-2</c:v>
                </c:pt>
                <c:pt idx="525">
                  <c:v>8.2379999999999995E-2</c:v>
                </c:pt>
                <c:pt idx="526">
                  <c:v>8.2604000000000011E-2</c:v>
                </c:pt>
                <c:pt idx="527">
                  <c:v>8.2826000000000011E-2</c:v>
                </c:pt>
                <c:pt idx="528">
                  <c:v>8.3046000000000009E-2</c:v>
                </c:pt>
                <c:pt idx="529">
                  <c:v>8.3268000000000009E-2</c:v>
                </c:pt>
                <c:pt idx="530">
                  <c:v>8.3491999999999997E-2</c:v>
                </c:pt>
                <c:pt idx="531">
                  <c:v>8.3713999999999997E-2</c:v>
                </c:pt>
                <c:pt idx="532">
                  <c:v>8.3935999999999997E-2</c:v>
                </c:pt>
                <c:pt idx="533">
                  <c:v>8.4158000000000011E-2</c:v>
                </c:pt>
                <c:pt idx="534">
                  <c:v>8.4381999999999999E-2</c:v>
                </c:pt>
                <c:pt idx="535">
                  <c:v>8.4600000000000009E-2</c:v>
                </c:pt>
                <c:pt idx="536">
                  <c:v>8.4823999999999997E-2</c:v>
                </c:pt>
                <c:pt idx="537">
                  <c:v>8.5047999999999999E-2</c:v>
                </c:pt>
                <c:pt idx="538">
                  <c:v>8.5269999999999999E-2</c:v>
                </c:pt>
                <c:pt idx="539">
                  <c:v>8.5492000000000012E-2</c:v>
                </c:pt>
                <c:pt idx="540">
                  <c:v>8.5714000000000012E-2</c:v>
                </c:pt>
                <c:pt idx="541">
                  <c:v>8.5938000000000001E-2</c:v>
                </c:pt>
                <c:pt idx="542">
                  <c:v>8.615600000000001E-2</c:v>
                </c:pt>
                <c:pt idx="543">
                  <c:v>8.6407999999999999E-2</c:v>
                </c:pt>
                <c:pt idx="544">
                  <c:v>8.6660000000000001E-2</c:v>
                </c:pt>
                <c:pt idx="545">
                  <c:v>8.6907999999999999E-2</c:v>
                </c:pt>
                <c:pt idx="546">
                  <c:v>8.7159999999999987E-2</c:v>
                </c:pt>
                <c:pt idx="547">
                  <c:v>8.7408E-2</c:v>
                </c:pt>
                <c:pt idx="548">
                  <c:v>8.7658E-2</c:v>
                </c:pt>
                <c:pt idx="549">
                  <c:v>8.7908000000000014E-2</c:v>
                </c:pt>
                <c:pt idx="550">
                  <c:v>8.8158E-2</c:v>
                </c:pt>
                <c:pt idx="551">
                  <c:v>8.8408E-2</c:v>
                </c:pt>
                <c:pt idx="552">
                  <c:v>8.8658000000000001E-2</c:v>
                </c:pt>
                <c:pt idx="553">
                  <c:v>8.8910000000000003E-2</c:v>
                </c:pt>
                <c:pt idx="554">
                  <c:v>8.9186000000000001E-2</c:v>
                </c:pt>
                <c:pt idx="555">
                  <c:v>8.9464000000000002E-2</c:v>
                </c:pt>
                <c:pt idx="556">
                  <c:v>8.9713999999999988E-2</c:v>
                </c:pt>
                <c:pt idx="557">
                  <c:v>8.9963999999999988E-2</c:v>
                </c:pt>
                <c:pt idx="558">
                  <c:v>9.0242000000000003E-2</c:v>
                </c:pt>
                <c:pt idx="559">
                  <c:v>9.0519999999999989E-2</c:v>
                </c:pt>
                <c:pt idx="560">
                  <c:v>9.0795999999999988E-2</c:v>
                </c:pt>
                <c:pt idx="561">
                  <c:v>9.107599999999999E-2</c:v>
                </c:pt>
                <c:pt idx="562">
                  <c:v>9.1354000000000005E-2</c:v>
                </c:pt>
                <c:pt idx="563">
                  <c:v>9.1630000000000003E-2</c:v>
                </c:pt>
                <c:pt idx="564">
                  <c:v>9.1910000000000006E-2</c:v>
                </c:pt>
                <c:pt idx="565">
                  <c:v>9.2186000000000004E-2</c:v>
                </c:pt>
                <c:pt idx="566">
                  <c:v>9.2463999999999991E-2</c:v>
                </c:pt>
                <c:pt idx="567">
                  <c:v>9.2743999999999993E-2</c:v>
                </c:pt>
                <c:pt idx="568">
                  <c:v>9.3018000000000003E-2</c:v>
                </c:pt>
                <c:pt idx="569">
                  <c:v>9.329599999999999E-2</c:v>
                </c:pt>
                <c:pt idx="570">
                  <c:v>9.3575999999999993E-2</c:v>
                </c:pt>
                <c:pt idx="571">
                  <c:v>9.3851999999999991E-2</c:v>
                </c:pt>
                <c:pt idx="572">
                  <c:v>9.4131999999999993E-2</c:v>
                </c:pt>
                <c:pt idx="573">
                  <c:v>9.4410000000000008E-2</c:v>
                </c:pt>
                <c:pt idx="574">
                  <c:v>9.4686000000000006E-2</c:v>
                </c:pt>
                <c:pt idx="575">
                  <c:v>9.4963999999999993E-2</c:v>
                </c:pt>
                <c:pt idx="576">
                  <c:v>9.5242000000000007E-2</c:v>
                </c:pt>
                <c:pt idx="577">
                  <c:v>9.5548000000000008E-2</c:v>
                </c:pt>
                <c:pt idx="578">
                  <c:v>9.5825999999999995E-2</c:v>
                </c:pt>
                <c:pt idx="579">
                  <c:v>9.6102000000000007E-2</c:v>
                </c:pt>
                <c:pt idx="580">
                  <c:v>9.6405999999999992E-2</c:v>
                </c:pt>
                <c:pt idx="581">
                  <c:v>9.6685999999999994E-2</c:v>
                </c:pt>
                <c:pt idx="582">
                  <c:v>9.6991999999999995E-2</c:v>
                </c:pt>
                <c:pt idx="583">
                  <c:v>9.7297999999999996E-2</c:v>
                </c:pt>
                <c:pt idx="584">
                  <c:v>9.7601999999999994E-2</c:v>
                </c:pt>
                <c:pt idx="585">
                  <c:v>9.7909999999999997E-2</c:v>
                </c:pt>
                <c:pt idx="586">
                  <c:v>9.821400000000001E-2</c:v>
                </c:pt>
                <c:pt idx="587">
                  <c:v>9.8519999999999996E-2</c:v>
                </c:pt>
                <c:pt idx="588">
                  <c:v>9.8825999999999997E-2</c:v>
                </c:pt>
                <c:pt idx="589">
                  <c:v>9.9129999999999996E-2</c:v>
                </c:pt>
                <c:pt idx="590">
                  <c:v>9.9464000000000011E-2</c:v>
                </c:pt>
                <c:pt idx="591">
                  <c:v>9.9772E-2</c:v>
                </c:pt>
                <c:pt idx="592">
                  <c:v>0.100102</c:v>
                </c:pt>
                <c:pt idx="593">
                  <c:v>0.10040800000000001</c:v>
                </c:pt>
                <c:pt idx="594">
                  <c:v>0.10074</c:v>
                </c:pt>
                <c:pt idx="595">
                  <c:v>0.101074</c:v>
                </c:pt>
                <c:pt idx="596">
                  <c:v>0.10141</c:v>
                </c:pt>
                <c:pt idx="597">
                  <c:v>0.10174200000000001</c:v>
                </c:pt>
                <c:pt idx="598">
                  <c:v>0.102076</c:v>
                </c:pt>
                <c:pt idx="599">
                  <c:v>0.10243600000000001</c:v>
                </c:pt>
                <c:pt idx="600">
                  <c:v>0.10276999999999999</c:v>
                </c:pt>
                <c:pt idx="601">
                  <c:v>0.103102</c:v>
                </c:pt>
                <c:pt idx="602">
                  <c:v>0.103436</c:v>
                </c:pt>
                <c:pt idx="603">
                  <c:v>0.103768</c:v>
                </c:pt>
                <c:pt idx="604">
                  <c:v>0.10410399999999999</c:v>
                </c:pt>
                <c:pt idx="605">
                  <c:v>0.104464</c:v>
                </c:pt>
                <c:pt idx="606">
                  <c:v>0.104826</c:v>
                </c:pt>
                <c:pt idx="607">
                  <c:v>0.105188</c:v>
                </c:pt>
                <c:pt idx="608">
                  <c:v>0.105546</c:v>
                </c:pt>
                <c:pt idx="609">
                  <c:v>0.105908</c:v>
                </c:pt>
                <c:pt idx="610">
                  <c:v>0.10627</c:v>
                </c:pt>
                <c:pt idx="611">
                  <c:v>0.10663</c:v>
                </c:pt>
                <c:pt idx="612">
                  <c:v>0.10699199999999999</c:v>
                </c:pt>
                <c:pt idx="613">
                  <c:v>0.107352</c:v>
                </c:pt>
                <c:pt idx="614">
                  <c:v>0.107742</c:v>
                </c:pt>
                <c:pt idx="615">
                  <c:v>0.10813200000000001</c:v>
                </c:pt>
                <c:pt idx="616">
                  <c:v>0.108518</c:v>
                </c:pt>
                <c:pt idx="617">
                  <c:v>0.10891000000000001</c:v>
                </c:pt>
                <c:pt idx="618">
                  <c:v>0.109296</c:v>
                </c:pt>
                <c:pt idx="619">
                  <c:v>0.10968799999999999</c:v>
                </c:pt>
                <c:pt idx="620">
                  <c:v>0.11007400000000001</c:v>
                </c:pt>
                <c:pt idx="621">
                  <c:v>0.11046400000000001</c:v>
                </c:pt>
                <c:pt idx="622">
                  <c:v>0.11085200000000001</c:v>
                </c:pt>
                <c:pt idx="623">
                  <c:v>0.11127000000000001</c:v>
                </c:pt>
                <c:pt idx="624">
                  <c:v>0.11168599999999999</c:v>
                </c:pt>
                <c:pt idx="625">
                  <c:v>0.112104</c:v>
                </c:pt>
                <c:pt idx="626">
                  <c:v>0.11249199999999999</c:v>
                </c:pt>
                <c:pt idx="627">
                  <c:v>0.11291000000000001</c:v>
                </c:pt>
                <c:pt idx="628">
                  <c:v>0.113326</c:v>
                </c:pt>
                <c:pt idx="629">
                  <c:v>0.113742</c:v>
                </c:pt>
                <c:pt idx="630">
                  <c:v>0.11416</c:v>
                </c:pt>
                <c:pt idx="631">
                  <c:v>0.114574</c:v>
                </c:pt>
                <c:pt idx="632">
                  <c:v>0.114992</c:v>
                </c:pt>
                <c:pt idx="633">
                  <c:v>0.11540800000000001</c:v>
                </c:pt>
                <c:pt idx="634">
                  <c:v>0.115824</c:v>
                </c:pt>
                <c:pt idx="635">
                  <c:v>0.11624000000000001</c:v>
                </c:pt>
                <c:pt idx="636">
                  <c:v>0.116686</c:v>
                </c:pt>
                <c:pt idx="637">
                  <c:v>0.11713</c:v>
                </c:pt>
                <c:pt idx="638">
                  <c:v>0.117576</c:v>
                </c:pt>
                <c:pt idx="639">
                  <c:v>0.11802</c:v>
                </c:pt>
                <c:pt idx="640">
                  <c:v>0.11846399999999999</c:v>
                </c:pt>
                <c:pt idx="641">
                  <c:v>0.11893599999999999</c:v>
                </c:pt>
                <c:pt idx="642">
                  <c:v>0.119408</c:v>
                </c:pt>
                <c:pt idx="643">
                  <c:v>0.119882</c:v>
                </c:pt>
                <c:pt idx="644">
                  <c:v>0.12035399999999999</c:v>
                </c:pt>
                <c:pt idx="645">
                  <c:v>0.120824</c:v>
                </c:pt>
                <c:pt idx="646">
                  <c:v>0.121326</c:v>
                </c:pt>
                <c:pt idx="647">
                  <c:v>0.12182399999999999</c:v>
                </c:pt>
                <c:pt idx="648">
                  <c:v>0.122324</c:v>
                </c:pt>
                <c:pt idx="649">
                  <c:v>0.12285399999999999</c:v>
                </c:pt>
                <c:pt idx="650">
                  <c:v>0.123352</c:v>
                </c:pt>
                <c:pt idx="651">
                  <c:v>0.12385400000000001</c:v>
                </c:pt>
                <c:pt idx="652">
                  <c:v>0.12438200000000001</c:v>
                </c:pt>
                <c:pt idx="653">
                  <c:v>0.12488200000000001</c:v>
                </c:pt>
                <c:pt idx="654">
                  <c:v>0.12540800000000002</c:v>
                </c:pt>
                <c:pt idx="655">
                  <c:v>0.12593799999999999</c:v>
                </c:pt>
                <c:pt idx="656">
                  <c:v>0.12648999999999999</c:v>
                </c:pt>
                <c:pt idx="657">
                  <c:v>0.12704799999999999</c:v>
                </c:pt>
                <c:pt idx="658">
                  <c:v>0.12762999999999999</c:v>
                </c:pt>
                <c:pt idx="659">
                  <c:v>0.12827</c:v>
                </c:pt>
                <c:pt idx="660">
                  <c:v>0.128992</c:v>
                </c:pt>
                <c:pt idx="661">
                  <c:v>0.129826</c:v>
                </c:pt>
              </c:numCache>
            </c:numRef>
          </c:cat>
          <c:val>
            <c:numRef>
              <c:f>'A21-2'!$F$2:$F$663</c:f>
              <c:numCache>
                <c:formatCode>0.00</c:formatCode>
                <c:ptCount val="662"/>
                <c:pt idx="0">
                  <c:v>0</c:v>
                </c:pt>
                <c:pt idx="1">
                  <c:v>4.8797513746115226E-2</c:v>
                </c:pt>
                <c:pt idx="2">
                  <c:v>4.8797513746115226E-2</c:v>
                </c:pt>
                <c:pt idx="3">
                  <c:v>4.8797513746115226E-2</c:v>
                </c:pt>
                <c:pt idx="4">
                  <c:v>4.8797513746115226E-2</c:v>
                </c:pt>
                <c:pt idx="5">
                  <c:v>4.8797513746115226E-2</c:v>
                </c:pt>
                <c:pt idx="6">
                  <c:v>4.8797513746115226E-2</c:v>
                </c:pt>
                <c:pt idx="7">
                  <c:v>4.8797513746115226E-2</c:v>
                </c:pt>
                <c:pt idx="8">
                  <c:v>4.8797513746115226E-2</c:v>
                </c:pt>
                <c:pt idx="9">
                  <c:v>4.8797513746115226E-2</c:v>
                </c:pt>
                <c:pt idx="10">
                  <c:v>4.8797513746115226E-2</c:v>
                </c:pt>
                <c:pt idx="11">
                  <c:v>4.8797513746115226E-2</c:v>
                </c:pt>
                <c:pt idx="12">
                  <c:v>4.8797513746115226E-2</c:v>
                </c:pt>
                <c:pt idx="13">
                  <c:v>4.8797513746115226E-2</c:v>
                </c:pt>
                <c:pt idx="14">
                  <c:v>4.8797513746115226E-2</c:v>
                </c:pt>
                <c:pt idx="15">
                  <c:v>4.8797513746115226E-2</c:v>
                </c:pt>
                <c:pt idx="16">
                  <c:v>4.8797513746115226E-2</c:v>
                </c:pt>
                <c:pt idx="17">
                  <c:v>5.4219459717905809E-2</c:v>
                </c:pt>
                <c:pt idx="18">
                  <c:v>4.8797513746115226E-2</c:v>
                </c:pt>
                <c:pt idx="19">
                  <c:v>4.8797513746115226E-2</c:v>
                </c:pt>
                <c:pt idx="20">
                  <c:v>5.4219459717905809E-2</c:v>
                </c:pt>
                <c:pt idx="21">
                  <c:v>5.4219459717905809E-2</c:v>
                </c:pt>
                <c:pt idx="22">
                  <c:v>5.4219459717905809E-2</c:v>
                </c:pt>
                <c:pt idx="23">
                  <c:v>5.4219459717905809E-2</c:v>
                </c:pt>
                <c:pt idx="24">
                  <c:v>5.4219459717905809E-2</c:v>
                </c:pt>
                <c:pt idx="25">
                  <c:v>5.4219459717905809E-2</c:v>
                </c:pt>
                <c:pt idx="26">
                  <c:v>5.4219459717905809E-2</c:v>
                </c:pt>
                <c:pt idx="27">
                  <c:v>5.4219459717905809E-2</c:v>
                </c:pt>
                <c:pt idx="28">
                  <c:v>5.4219459717905809E-2</c:v>
                </c:pt>
                <c:pt idx="29">
                  <c:v>5.9641405689696399E-2</c:v>
                </c:pt>
                <c:pt idx="30">
                  <c:v>5.9641405689696399E-2</c:v>
                </c:pt>
                <c:pt idx="31">
                  <c:v>5.9641405689696399E-2</c:v>
                </c:pt>
                <c:pt idx="32">
                  <c:v>5.9641405689696399E-2</c:v>
                </c:pt>
                <c:pt idx="33">
                  <c:v>5.9641405689696399E-2</c:v>
                </c:pt>
                <c:pt idx="34">
                  <c:v>5.9641405689696399E-2</c:v>
                </c:pt>
                <c:pt idx="35">
                  <c:v>5.9641405689696399E-2</c:v>
                </c:pt>
                <c:pt idx="36">
                  <c:v>6.5063351661486968E-2</c:v>
                </c:pt>
                <c:pt idx="37">
                  <c:v>6.5063351661486968E-2</c:v>
                </c:pt>
                <c:pt idx="38">
                  <c:v>6.5063351661486968E-2</c:v>
                </c:pt>
                <c:pt idx="39">
                  <c:v>6.5063351661486968E-2</c:v>
                </c:pt>
                <c:pt idx="40">
                  <c:v>7.0485297633277558E-2</c:v>
                </c:pt>
                <c:pt idx="41">
                  <c:v>7.0485297633277558E-2</c:v>
                </c:pt>
                <c:pt idx="42">
                  <c:v>7.0485297633277558E-2</c:v>
                </c:pt>
                <c:pt idx="43">
                  <c:v>7.0485297633277558E-2</c:v>
                </c:pt>
                <c:pt idx="44">
                  <c:v>7.0485297633277558E-2</c:v>
                </c:pt>
                <c:pt idx="45">
                  <c:v>7.0485297633277558E-2</c:v>
                </c:pt>
                <c:pt idx="46">
                  <c:v>7.0485297633277558E-2</c:v>
                </c:pt>
                <c:pt idx="47">
                  <c:v>7.5907243605068148E-2</c:v>
                </c:pt>
                <c:pt idx="48">
                  <c:v>7.5907243605068148E-2</c:v>
                </c:pt>
                <c:pt idx="49">
                  <c:v>8.132918957685871E-2</c:v>
                </c:pt>
                <c:pt idx="50">
                  <c:v>8.132918957685871E-2</c:v>
                </c:pt>
                <c:pt idx="51">
                  <c:v>9.2173081520439876E-2</c:v>
                </c:pt>
                <c:pt idx="52">
                  <c:v>9.7595027492230452E-2</c:v>
                </c:pt>
                <c:pt idx="53">
                  <c:v>0.10843891943581162</c:v>
                </c:pt>
                <c:pt idx="54">
                  <c:v>0.11386086540760221</c:v>
                </c:pt>
                <c:pt idx="55">
                  <c:v>0.1192828113793928</c:v>
                </c:pt>
                <c:pt idx="56">
                  <c:v>0.12470475735118337</c:v>
                </c:pt>
                <c:pt idx="57">
                  <c:v>0.1192828113793928</c:v>
                </c:pt>
                <c:pt idx="58">
                  <c:v>0.10301697346402104</c:v>
                </c:pt>
                <c:pt idx="59">
                  <c:v>9.2173081520439876E-2</c:v>
                </c:pt>
                <c:pt idx="60">
                  <c:v>8.67511355486493E-2</c:v>
                </c:pt>
                <c:pt idx="61">
                  <c:v>8.67511355486493E-2</c:v>
                </c:pt>
                <c:pt idx="62">
                  <c:v>8.67511355486493E-2</c:v>
                </c:pt>
                <c:pt idx="63">
                  <c:v>8.67511355486493E-2</c:v>
                </c:pt>
                <c:pt idx="64">
                  <c:v>8.67511355486493E-2</c:v>
                </c:pt>
                <c:pt idx="65">
                  <c:v>9.2173081520439876E-2</c:v>
                </c:pt>
                <c:pt idx="66">
                  <c:v>0.10301697346402104</c:v>
                </c:pt>
                <c:pt idx="67">
                  <c:v>0.11386086540760221</c:v>
                </c:pt>
                <c:pt idx="68">
                  <c:v>0.12470475735118337</c:v>
                </c:pt>
                <c:pt idx="69">
                  <c:v>0.13012670332297394</c:v>
                </c:pt>
                <c:pt idx="70">
                  <c:v>0.14097059526655512</c:v>
                </c:pt>
                <c:pt idx="71">
                  <c:v>0.1518144872101363</c:v>
                </c:pt>
                <c:pt idx="72">
                  <c:v>0.15723643318192687</c:v>
                </c:pt>
                <c:pt idx="73">
                  <c:v>0.15723643318192687</c:v>
                </c:pt>
                <c:pt idx="74">
                  <c:v>0.15723643318192687</c:v>
                </c:pt>
                <c:pt idx="75">
                  <c:v>0.15723643318192687</c:v>
                </c:pt>
                <c:pt idx="76">
                  <c:v>0.15723643318192687</c:v>
                </c:pt>
                <c:pt idx="77">
                  <c:v>0.15723643318192687</c:v>
                </c:pt>
                <c:pt idx="78">
                  <c:v>0.16265837915371742</c:v>
                </c:pt>
                <c:pt idx="79">
                  <c:v>0.16265837915371742</c:v>
                </c:pt>
                <c:pt idx="80">
                  <c:v>0.16265837915371742</c:v>
                </c:pt>
                <c:pt idx="81">
                  <c:v>0.16265837915371742</c:v>
                </c:pt>
                <c:pt idx="82">
                  <c:v>0.16265837915371742</c:v>
                </c:pt>
                <c:pt idx="83">
                  <c:v>0.16265837915371742</c:v>
                </c:pt>
                <c:pt idx="84">
                  <c:v>0.16265837915371742</c:v>
                </c:pt>
                <c:pt idx="85">
                  <c:v>0.16265837915371742</c:v>
                </c:pt>
                <c:pt idx="86">
                  <c:v>0.16265837915371742</c:v>
                </c:pt>
                <c:pt idx="87">
                  <c:v>0.16265837915371742</c:v>
                </c:pt>
                <c:pt idx="88">
                  <c:v>0.16265837915371742</c:v>
                </c:pt>
                <c:pt idx="89">
                  <c:v>0.16808032512550805</c:v>
                </c:pt>
                <c:pt idx="90">
                  <c:v>0.16808032512550805</c:v>
                </c:pt>
                <c:pt idx="91">
                  <c:v>0.16808032512550805</c:v>
                </c:pt>
                <c:pt idx="92">
                  <c:v>0.16808032512550805</c:v>
                </c:pt>
                <c:pt idx="93">
                  <c:v>0.1735022710972986</c:v>
                </c:pt>
                <c:pt idx="94">
                  <c:v>0.18976810901267036</c:v>
                </c:pt>
                <c:pt idx="95">
                  <c:v>0.20603394692804208</c:v>
                </c:pt>
                <c:pt idx="96">
                  <c:v>0.21687783887162324</c:v>
                </c:pt>
                <c:pt idx="97">
                  <c:v>0.21687783887162324</c:v>
                </c:pt>
                <c:pt idx="98">
                  <c:v>0.22229978484341384</c:v>
                </c:pt>
                <c:pt idx="99">
                  <c:v>0.22229978484341384</c:v>
                </c:pt>
                <c:pt idx="100">
                  <c:v>0.22772173081520442</c:v>
                </c:pt>
                <c:pt idx="101">
                  <c:v>0.22772173081520442</c:v>
                </c:pt>
                <c:pt idx="102">
                  <c:v>0.23314048928201453</c:v>
                </c:pt>
                <c:pt idx="103">
                  <c:v>0.23314048928201453</c:v>
                </c:pt>
                <c:pt idx="104">
                  <c:v>0.23314048928201453</c:v>
                </c:pt>
                <c:pt idx="105">
                  <c:v>0.23314048928201453</c:v>
                </c:pt>
                <c:pt idx="106">
                  <c:v>0.23314048928201453</c:v>
                </c:pt>
                <c:pt idx="107">
                  <c:v>0.23314048928201453</c:v>
                </c:pt>
                <c:pt idx="108">
                  <c:v>0.23314048928201453</c:v>
                </c:pt>
                <c:pt idx="109">
                  <c:v>0.23314048928201453</c:v>
                </c:pt>
                <c:pt idx="110">
                  <c:v>0.23314048928201453</c:v>
                </c:pt>
                <c:pt idx="111">
                  <c:v>0.23856243525380511</c:v>
                </c:pt>
                <c:pt idx="112">
                  <c:v>0.23856243525380511</c:v>
                </c:pt>
                <c:pt idx="113">
                  <c:v>0.23856243525380511</c:v>
                </c:pt>
                <c:pt idx="114">
                  <c:v>0.23856243525380511</c:v>
                </c:pt>
                <c:pt idx="115">
                  <c:v>0.23314048928201453</c:v>
                </c:pt>
                <c:pt idx="116">
                  <c:v>0.23856243525380511</c:v>
                </c:pt>
                <c:pt idx="117">
                  <c:v>0.23856243525380511</c:v>
                </c:pt>
                <c:pt idx="118">
                  <c:v>0.23856243525380511</c:v>
                </c:pt>
                <c:pt idx="119">
                  <c:v>0.23856243525380511</c:v>
                </c:pt>
                <c:pt idx="120">
                  <c:v>0.23856243525380511</c:v>
                </c:pt>
                <c:pt idx="121">
                  <c:v>0.23856243525380511</c:v>
                </c:pt>
                <c:pt idx="122">
                  <c:v>0.23856243525380511</c:v>
                </c:pt>
                <c:pt idx="123">
                  <c:v>0.23856243525380511</c:v>
                </c:pt>
                <c:pt idx="124">
                  <c:v>0.24398438122559568</c:v>
                </c:pt>
                <c:pt idx="125">
                  <c:v>0.24398438122559568</c:v>
                </c:pt>
                <c:pt idx="126">
                  <c:v>0.23856243525380511</c:v>
                </c:pt>
                <c:pt idx="127">
                  <c:v>0.23856243525380511</c:v>
                </c:pt>
                <c:pt idx="128">
                  <c:v>0.23856243525380511</c:v>
                </c:pt>
                <c:pt idx="129">
                  <c:v>0.24398438122559568</c:v>
                </c:pt>
                <c:pt idx="130">
                  <c:v>0.24398438122559568</c:v>
                </c:pt>
                <c:pt idx="131">
                  <c:v>0.24398438122559568</c:v>
                </c:pt>
                <c:pt idx="132">
                  <c:v>0.24398438122559568</c:v>
                </c:pt>
                <c:pt idx="133">
                  <c:v>0.24940632719738623</c:v>
                </c:pt>
                <c:pt idx="134">
                  <c:v>0.24940632719738623</c:v>
                </c:pt>
                <c:pt idx="135">
                  <c:v>0.24940632719738623</c:v>
                </c:pt>
                <c:pt idx="136">
                  <c:v>0.24940632719738623</c:v>
                </c:pt>
                <c:pt idx="137">
                  <c:v>0.25482827316917683</c:v>
                </c:pt>
                <c:pt idx="138">
                  <c:v>0.25482827316917683</c:v>
                </c:pt>
                <c:pt idx="139">
                  <c:v>0.25482827316917683</c:v>
                </c:pt>
                <c:pt idx="140">
                  <c:v>0.26025021914096741</c:v>
                </c:pt>
                <c:pt idx="141">
                  <c:v>0.26025021914096741</c:v>
                </c:pt>
                <c:pt idx="142">
                  <c:v>0.26567216511275799</c:v>
                </c:pt>
                <c:pt idx="143">
                  <c:v>0.27109411108454856</c:v>
                </c:pt>
                <c:pt idx="144">
                  <c:v>0.27109411108454856</c:v>
                </c:pt>
                <c:pt idx="145">
                  <c:v>0.28193800302812977</c:v>
                </c:pt>
                <c:pt idx="146">
                  <c:v>0.30362578691529202</c:v>
                </c:pt>
                <c:pt idx="147">
                  <c:v>0.32531675830743484</c:v>
                </c:pt>
                <c:pt idx="148">
                  <c:v>0.3469917921746753</c:v>
                </c:pt>
                <c:pt idx="149">
                  <c:v>0.36869870109172048</c:v>
                </c:pt>
                <c:pt idx="150">
                  <c:v>0.38495497649215082</c:v>
                </c:pt>
                <c:pt idx="151">
                  <c:v>0.40663001035939123</c:v>
                </c:pt>
                <c:pt idx="152">
                  <c:v>0.42833691927643647</c:v>
                </c:pt>
                <c:pt idx="153">
                  <c:v>0.45001195314367681</c:v>
                </c:pt>
                <c:pt idx="154">
                  <c:v>0.47171886206072194</c:v>
                </c:pt>
                <c:pt idx="155">
                  <c:v>0.4933938959279624</c:v>
                </c:pt>
                <c:pt idx="156">
                  <c:v>0.5150689297952028</c:v>
                </c:pt>
                <c:pt idx="157">
                  <c:v>0.52593832177862776</c:v>
                </c:pt>
                <c:pt idx="158">
                  <c:v>0.54761335564586822</c:v>
                </c:pt>
                <c:pt idx="159">
                  <c:v>0.56928838951310867</c:v>
                </c:pt>
                <c:pt idx="160">
                  <c:v>0.59099529843015386</c:v>
                </c:pt>
                <c:pt idx="161">
                  <c:v>0.61267033229739432</c:v>
                </c:pt>
                <c:pt idx="162">
                  <c:v>0.6343772412144395</c:v>
                </c:pt>
                <c:pt idx="163">
                  <c:v>0.65605227508167996</c:v>
                </c:pt>
                <c:pt idx="164">
                  <c:v>0.6777273089489203</c:v>
                </c:pt>
                <c:pt idx="165">
                  <c:v>0.69943421786596549</c:v>
                </c:pt>
                <c:pt idx="166">
                  <c:v>0.72110925173320584</c:v>
                </c:pt>
                <c:pt idx="167">
                  <c:v>0.74281616065025102</c:v>
                </c:pt>
                <c:pt idx="168">
                  <c:v>0.76449119451749148</c:v>
                </c:pt>
                <c:pt idx="169">
                  <c:v>0.78616622838473194</c:v>
                </c:pt>
                <c:pt idx="170">
                  <c:v>0.80787313730177701</c:v>
                </c:pt>
                <c:pt idx="171">
                  <c:v>0.82954817116901747</c:v>
                </c:pt>
                <c:pt idx="172">
                  <c:v>0.85125508008606265</c:v>
                </c:pt>
                <c:pt idx="173">
                  <c:v>0.87293011395330311</c:v>
                </c:pt>
                <c:pt idx="174">
                  <c:v>0.89460514782054346</c:v>
                </c:pt>
                <c:pt idx="175">
                  <c:v>0.91631205673758875</c:v>
                </c:pt>
                <c:pt idx="176">
                  <c:v>0.9379870906048291</c:v>
                </c:pt>
                <c:pt idx="177">
                  <c:v>0.95966212447206956</c:v>
                </c:pt>
                <c:pt idx="178">
                  <c:v>0.98136903338911474</c:v>
                </c:pt>
                <c:pt idx="179">
                  <c:v>1.0030440672563552</c:v>
                </c:pt>
                <c:pt idx="180">
                  <c:v>1.0247509761734004</c:v>
                </c:pt>
                <c:pt idx="181">
                  <c:v>1.0464260100406406</c:v>
                </c:pt>
                <c:pt idx="182">
                  <c:v>1.0681010439078813</c:v>
                </c:pt>
                <c:pt idx="183">
                  <c:v>1.0898079528249263</c:v>
                </c:pt>
                <c:pt idx="184">
                  <c:v>1.1114829866921667</c:v>
                </c:pt>
                <c:pt idx="185">
                  <c:v>1.1331898956092121</c:v>
                </c:pt>
                <c:pt idx="186">
                  <c:v>1.1548649294764526</c:v>
                </c:pt>
                <c:pt idx="187">
                  <c:v>1.176539963343693</c:v>
                </c:pt>
                <c:pt idx="188">
                  <c:v>1.198246872260738</c:v>
                </c:pt>
                <c:pt idx="189">
                  <c:v>1.2199219061279782</c:v>
                </c:pt>
                <c:pt idx="190">
                  <c:v>1.2416288150450236</c:v>
                </c:pt>
                <c:pt idx="191">
                  <c:v>1.2633038489122639</c:v>
                </c:pt>
                <c:pt idx="192">
                  <c:v>1.2849788827795043</c:v>
                </c:pt>
                <c:pt idx="193">
                  <c:v>1.3066857916965495</c:v>
                </c:pt>
                <c:pt idx="194">
                  <c:v>1.32836082556379</c:v>
                </c:pt>
                <c:pt idx="195">
                  <c:v>1.3500677344808349</c:v>
                </c:pt>
                <c:pt idx="196">
                  <c:v>1.3717427683480754</c:v>
                </c:pt>
                <c:pt idx="197">
                  <c:v>1.3934178022153161</c:v>
                </c:pt>
                <c:pt idx="198">
                  <c:v>1.4151247111323613</c:v>
                </c:pt>
                <c:pt idx="199">
                  <c:v>1.4367997449996017</c:v>
                </c:pt>
                <c:pt idx="200">
                  <c:v>1.4585066539166467</c:v>
                </c:pt>
                <c:pt idx="201">
                  <c:v>1.4801816877838871</c:v>
                </c:pt>
                <c:pt idx="202">
                  <c:v>1.5018567216511276</c:v>
                </c:pt>
                <c:pt idx="203">
                  <c:v>1.523563630568173</c:v>
                </c:pt>
                <c:pt idx="204">
                  <c:v>1.5452386644354135</c:v>
                </c:pt>
                <c:pt idx="205">
                  <c:v>1.5669455733524584</c:v>
                </c:pt>
                <c:pt idx="206">
                  <c:v>1.5886206072196989</c:v>
                </c:pt>
                <c:pt idx="207">
                  <c:v>1.6102956410869393</c:v>
                </c:pt>
                <c:pt idx="208">
                  <c:v>1.6320025500039845</c:v>
                </c:pt>
                <c:pt idx="209">
                  <c:v>1.653677583871225</c:v>
                </c:pt>
                <c:pt idx="210">
                  <c:v>1.6753844927882702</c:v>
                </c:pt>
                <c:pt idx="211">
                  <c:v>1.6970595266555106</c:v>
                </c:pt>
                <c:pt idx="212">
                  <c:v>1.7187345605227509</c:v>
                </c:pt>
                <c:pt idx="213">
                  <c:v>1.7404414694397958</c:v>
                </c:pt>
                <c:pt idx="214">
                  <c:v>1.7621165033070363</c:v>
                </c:pt>
                <c:pt idx="215">
                  <c:v>1.7838234122240819</c:v>
                </c:pt>
                <c:pt idx="216">
                  <c:v>1.8054984460913222</c:v>
                </c:pt>
                <c:pt idx="217">
                  <c:v>1.8271734799585626</c:v>
                </c:pt>
                <c:pt idx="218">
                  <c:v>1.8488803888756076</c:v>
                </c:pt>
                <c:pt idx="219">
                  <c:v>1.870555422742848</c:v>
                </c:pt>
                <c:pt idx="220">
                  <c:v>1.8922304566100885</c:v>
                </c:pt>
                <c:pt idx="221">
                  <c:v>1.9139373655271337</c:v>
                </c:pt>
                <c:pt idx="222">
                  <c:v>1.9356123993943741</c:v>
                </c:pt>
                <c:pt idx="223">
                  <c:v>1.9573193083114193</c:v>
                </c:pt>
                <c:pt idx="224">
                  <c:v>1.9789943421786598</c:v>
                </c:pt>
                <c:pt idx="225">
                  <c:v>2.0006693760459</c:v>
                </c:pt>
                <c:pt idx="226">
                  <c:v>2.0223762849629452</c:v>
                </c:pt>
                <c:pt idx="227">
                  <c:v>2.0440513188301854</c:v>
                </c:pt>
                <c:pt idx="228">
                  <c:v>2.0657582277472311</c:v>
                </c:pt>
                <c:pt idx="229">
                  <c:v>2.0874332616144713</c:v>
                </c:pt>
                <c:pt idx="230">
                  <c:v>2.109108295481712</c:v>
                </c:pt>
                <c:pt idx="231">
                  <c:v>2.1308152043987572</c:v>
                </c:pt>
                <c:pt idx="232">
                  <c:v>2.1524902382659974</c:v>
                </c:pt>
                <c:pt idx="233">
                  <c:v>2.1741971471830426</c:v>
                </c:pt>
                <c:pt idx="234">
                  <c:v>2.1958721810502828</c:v>
                </c:pt>
                <c:pt idx="235">
                  <c:v>2.2175472149175235</c:v>
                </c:pt>
                <c:pt idx="236">
                  <c:v>2.2392541238345687</c:v>
                </c:pt>
                <c:pt idx="237">
                  <c:v>2.2609291577018089</c:v>
                </c:pt>
                <c:pt idx="238">
                  <c:v>2.2826360666188541</c:v>
                </c:pt>
                <c:pt idx="239">
                  <c:v>2.3043111004860948</c:v>
                </c:pt>
                <c:pt idx="240">
                  <c:v>2.325986134353335</c:v>
                </c:pt>
                <c:pt idx="241">
                  <c:v>2.3476930432703802</c:v>
                </c:pt>
                <c:pt idx="242">
                  <c:v>2.3693680771376204</c:v>
                </c:pt>
                <c:pt idx="243">
                  <c:v>2.3910749860546661</c:v>
                </c:pt>
                <c:pt idx="244">
                  <c:v>2.4127500199219063</c:v>
                </c:pt>
                <c:pt idx="245">
                  <c:v>2.4344250537891465</c:v>
                </c:pt>
                <c:pt idx="246">
                  <c:v>2.4561319627061917</c:v>
                </c:pt>
                <c:pt idx="247">
                  <c:v>2.4778069965734324</c:v>
                </c:pt>
                <c:pt idx="248">
                  <c:v>2.4995139054904776</c:v>
                </c:pt>
                <c:pt idx="249">
                  <c:v>2.5211889393577178</c:v>
                </c:pt>
                <c:pt idx="250">
                  <c:v>2.5428639732249585</c:v>
                </c:pt>
                <c:pt idx="251">
                  <c:v>2.5645708821420032</c:v>
                </c:pt>
                <c:pt idx="252">
                  <c:v>2.5862459160092439</c:v>
                </c:pt>
                <c:pt idx="253">
                  <c:v>2.6079528249262887</c:v>
                </c:pt>
                <c:pt idx="254">
                  <c:v>2.6296278587935298</c:v>
                </c:pt>
                <c:pt idx="255">
                  <c:v>2.6513028926607696</c:v>
                </c:pt>
                <c:pt idx="256">
                  <c:v>2.6730098015778148</c:v>
                </c:pt>
                <c:pt idx="257">
                  <c:v>2.6946848354450559</c:v>
                </c:pt>
                <c:pt idx="258">
                  <c:v>2.7163917443621006</c:v>
                </c:pt>
                <c:pt idx="259">
                  <c:v>2.7380667782293413</c:v>
                </c:pt>
                <c:pt idx="260">
                  <c:v>2.7597418120965815</c:v>
                </c:pt>
                <c:pt idx="261">
                  <c:v>2.7814487210136267</c:v>
                </c:pt>
                <c:pt idx="262">
                  <c:v>2.8031237548808674</c:v>
                </c:pt>
                <c:pt idx="263">
                  <c:v>2.8247987887481072</c:v>
                </c:pt>
                <c:pt idx="264">
                  <c:v>2.8465056976651533</c:v>
                </c:pt>
                <c:pt idx="265">
                  <c:v>2.8681807315323931</c:v>
                </c:pt>
                <c:pt idx="266">
                  <c:v>2.8898876404494382</c:v>
                </c:pt>
                <c:pt idx="267">
                  <c:v>2.9115626743166789</c:v>
                </c:pt>
                <c:pt idx="268">
                  <c:v>2.9332377081839192</c:v>
                </c:pt>
                <c:pt idx="269">
                  <c:v>2.9549446171009643</c:v>
                </c:pt>
                <c:pt idx="270">
                  <c:v>2.9766196509682046</c:v>
                </c:pt>
                <c:pt idx="271">
                  <c:v>2.9983265598852498</c:v>
                </c:pt>
                <c:pt idx="272">
                  <c:v>3.0200015937524904</c:v>
                </c:pt>
                <c:pt idx="273">
                  <c:v>3.0416766276197307</c:v>
                </c:pt>
                <c:pt idx="274">
                  <c:v>3.0633835365367759</c:v>
                </c:pt>
                <c:pt idx="275">
                  <c:v>3.0850585704040165</c:v>
                </c:pt>
                <c:pt idx="276">
                  <c:v>3.1067654793210617</c:v>
                </c:pt>
                <c:pt idx="277">
                  <c:v>3.128440513188302</c:v>
                </c:pt>
                <c:pt idx="278">
                  <c:v>3.1501155470555426</c:v>
                </c:pt>
                <c:pt idx="279">
                  <c:v>3.1718224559725878</c:v>
                </c:pt>
                <c:pt idx="280">
                  <c:v>3.1935612399394375</c:v>
                </c:pt>
                <c:pt idx="281">
                  <c:v>3.2152362738066782</c:v>
                </c:pt>
                <c:pt idx="282">
                  <c:v>3.2369113076739184</c:v>
                </c:pt>
                <c:pt idx="283">
                  <c:v>3.2585863415411591</c:v>
                </c:pt>
                <c:pt idx="284">
                  <c:v>3.2802613754083993</c:v>
                </c:pt>
                <c:pt idx="285">
                  <c:v>3.3019364092756396</c:v>
                </c:pt>
                <c:pt idx="286">
                  <c:v>3.3236114431428798</c:v>
                </c:pt>
                <c:pt idx="287">
                  <c:v>3.3452864770101205</c:v>
                </c:pt>
                <c:pt idx="288">
                  <c:v>3.3669615108773607</c:v>
                </c:pt>
                <c:pt idx="289">
                  <c:v>3.3886365447446014</c:v>
                </c:pt>
                <c:pt idx="290">
                  <c:v>3.4103115786118416</c:v>
                </c:pt>
                <c:pt idx="291">
                  <c:v>3.4319866124790823</c:v>
                </c:pt>
                <c:pt idx="292">
                  <c:v>3.4536616463463221</c:v>
                </c:pt>
                <c:pt idx="293">
                  <c:v>3.4753366802135632</c:v>
                </c:pt>
                <c:pt idx="294">
                  <c:v>3.497011714080803</c:v>
                </c:pt>
                <c:pt idx="295">
                  <c:v>3.5186867479480441</c:v>
                </c:pt>
                <c:pt idx="296">
                  <c:v>3.5403617818152839</c:v>
                </c:pt>
                <c:pt idx="297">
                  <c:v>3.5620368156825246</c:v>
                </c:pt>
                <c:pt idx="298">
                  <c:v>3.5840306000478126</c:v>
                </c:pt>
                <c:pt idx="299">
                  <c:v>3.6057056339150533</c:v>
                </c:pt>
                <c:pt idx="300">
                  <c:v>3.6273806677822935</c:v>
                </c:pt>
                <c:pt idx="301">
                  <c:v>3.6490557016495342</c:v>
                </c:pt>
                <c:pt idx="302">
                  <c:v>3.6707307355167744</c:v>
                </c:pt>
                <c:pt idx="303">
                  <c:v>3.6924057693840151</c:v>
                </c:pt>
                <c:pt idx="304">
                  <c:v>3.7140808032512553</c:v>
                </c:pt>
                <c:pt idx="305">
                  <c:v>3.741174595585306</c:v>
                </c:pt>
                <c:pt idx="306">
                  <c:v>3.7682683879193561</c:v>
                </c:pt>
                <c:pt idx="307">
                  <c:v>3.7899434217865968</c:v>
                </c:pt>
                <c:pt idx="308">
                  <c:v>3.8170372141206474</c:v>
                </c:pt>
                <c:pt idx="309">
                  <c:v>3.8441310064546976</c:v>
                </c:pt>
                <c:pt idx="310">
                  <c:v>3.8658060403219383</c:v>
                </c:pt>
                <c:pt idx="311">
                  <c:v>3.8874810741891785</c:v>
                </c:pt>
                <c:pt idx="312">
                  <c:v>3.9091561080564192</c:v>
                </c:pt>
                <c:pt idx="313">
                  <c:v>3.9308311419236595</c:v>
                </c:pt>
                <c:pt idx="314">
                  <c:v>3.9579249342577101</c:v>
                </c:pt>
                <c:pt idx="315">
                  <c:v>3.9795999681249503</c:v>
                </c:pt>
                <c:pt idx="316">
                  <c:v>4.001275001992191</c:v>
                </c:pt>
                <c:pt idx="317">
                  <c:v>4.0229500358594308</c:v>
                </c:pt>
                <c:pt idx="318">
                  <c:v>4.0446250697266715</c:v>
                </c:pt>
                <c:pt idx="319">
                  <c:v>4.0663001035939121</c:v>
                </c:pt>
                <c:pt idx="320">
                  <c:v>4.0879751374611528</c:v>
                </c:pt>
                <c:pt idx="321">
                  <c:v>4.1096501713283935</c:v>
                </c:pt>
                <c:pt idx="322">
                  <c:v>4.131643955693681</c:v>
                </c:pt>
                <c:pt idx="323">
                  <c:v>4.1533189895609217</c:v>
                </c:pt>
                <c:pt idx="324">
                  <c:v>4.1749940234281615</c:v>
                </c:pt>
                <c:pt idx="325">
                  <c:v>4.2075065742290221</c:v>
                </c:pt>
                <c:pt idx="326">
                  <c:v>4.2400191250298835</c:v>
                </c:pt>
                <c:pt idx="327">
                  <c:v>4.2725316758307432</c:v>
                </c:pt>
                <c:pt idx="328">
                  <c:v>4.3050442266316038</c:v>
                </c:pt>
                <c:pt idx="329">
                  <c:v>4.3429755358992752</c:v>
                </c:pt>
                <c:pt idx="330">
                  <c:v>4.3809068451669457</c:v>
                </c:pt>
                <c:pt idx="331">
                  <c:v>4.4134193959678063</c:v>
                </c:pt>
                <c:pt idx="332">
                  <c:v>4.4459319467686669</c:v>
                </c:pt>
                <c:pt idx="333">
                  <c:v>4.4784444975695274</c:v>
                </c:pt>
                <c:pt idx="334">
                  <c:v>4.510957048370388</c:v>
                </c:pt>
                <c:pt idx="335">
                  <c:v>4.5488883576380594</c:v>
                </c:pt>
                <c:pt idx="336">
                  <c:v>4.5814009084389191</c:v>
                </c:pt>
                <c:pt idx="337">
                  <c:v>4.6193322177065896</c:v>
                </c:pt>
                <c:pt idx="338">
                  <c:v>4.6518447685074511</c:v>
                </c:pt>
                <c:pt idx="339">
                  <c:v>4.6846760698063594</c:v>
                </c:pt>
                <c:pt idx="340">
                  <c:v>4.7226073790740299</c:v>
                </c:pt>
                <c:pt idx="341">
                  <c:v>4.7605386883417005</c:v>
                </c:pt>
                <c:pt idx="342">
                  <c:v>4.798469997609371</c:v>
                </c:pt>
                <c:pt idx="343">
                  <c:v>4.8309825484102324</c:v>
                </c:pt>
                <c:pt idx="344">
                  <c:v>4.868913857677903</c:v>
                </c:pt>
                <c:pt idx="345">
                  <c:v>4.9068451669455735</c:v>
                </c:pt>
                <c:pt idx="346">
                  <c:v>4.944776476213244</c:v>
                </c:pt>
                <c:pt idx="347">
                  <c:v>4.9827077854809145</c:v>
                </c:pt>
                <c:pt idx="348">
                  <c:v>5.0152203362817751</c:v>
                </c:pt>
                <c:pt idx="349">
                  <c:v>5.0477328870826366</c:v>
                </c:pt>
                <c:pt idx="350">
                  <c:v>5.0856641963503071</c:v>
                </c:pt>
                <c:pt idx="351">
                  <c:v>5.1235955056179776</c:v>
                </c:pt>
                <c:pt idx="352">
                  <c:v>5.161526814885649</c:v>
                </c:pt>
                <c:pt idx="353">
                  <c:v>5.1994581241533195</c:v>
                </c:pt>
                <c:pt idx="354">
                  <c:v>5.2377081839190378</c:v>
                </c:pt>
                <c:pt idx="355">
                  <c:v>5.2756394931867083</c:v>
                </c:pt>
                <c:pt idx="356">
                  <c:v>5.3135708024543788</c:v>
                </c:pt>
                <c:pt idx="357">
                  <c:v>5.3515021117220494</c:v>
                </c:pt>
                <c:pt idx="358">
                  <c:v>5.3894334209897208</c:v>
                </c:pt>
                <c:pt idx="359">
                  <c:v>5.4219459717905814</c:v>
                </c:pt>
                <c:pt idx="360">
                  <c:v>5.4598772810582519</c:v>
                </c:pt>
                <c:pt idx="361">
                  <c:v>5.4923898318591124</c:v>
                </c:pt>
                <c:pt idx="362">
                  <c:v>5.5249023826599739</c:v>
                </c:pt>
                <c:pt idx="363">
                  <c:v>5.5628336919276444</c:v>
                </c:pt>
                <c:pt idx="364">
                  <c:v>5.606183759662124</c:v>
                </c:pt>
                <c:pt idx="365">
                  <c:v>5.6495338273966063</c:v>
                </c:pt>
                <c:pt idx="366">
                  <c:v>5.6928838951310858</c:v>
                </c:pt>
                <c:pt idx="367">
                  <c:v>5.7416527213323771</c:v>
                </c:pt>
                <c:pt idx="368">
                  <c:v>5.7853215395649054</c:v>
                </c:pt>
                <c:pt idx="369">
                  <c:v>5.8286716072993876</c:v>
                </c:pt>
                <c:pt idx="370">
                  <c:v>5.8720216750338672</c:v>
                </c:pt>
                <c:pt idx="371">
                  <c:v>5.9153717427683494</c:v>
                </c:pt>
                <c:pt idx="372">
                  <c:v>5.958721810502829</c:v>
                </c:pt>
                <c:pt idx="373">
                  <c:v>6.0020718782373104</c:v>
                </c:pt>
                <c:pt idx="374">
                  <c:v>6.0454219459717908</c:v>
                </c:pt>
                <c:pt idx="375">
                  <c:v>6.0887720137062722</c:v>
                </c:pt>
                <c:pt idx="376">
                  <c:v>6.1321220814407527</c:v>
                </c:pt>
                <c:pt idx="377">
                  <c:v>6.175472149175234</c:v>
                </c:pt>
                <c:pt idx="378">
                  <c:v>6.2242409753765253</c:v>
                </c:pt>
                <c:pt idx="379">
                  <c:v>6.2675910431110049</c:v>
                </c:pt>
                <c:pt idx="380">
                  <c:v>6.316678619810344</c:v>
                </c:pt>
                <c:pt idx="381">
                  <c:v>6.3654474460116344</c:v>
                </c:pt>
                <c:pt idx="382">
                  <c:v>6.4087975137461157</c:v>
                </c:pt>
                <c:pt idx="383">
                  <c:v>6.4575663399474061</c:v>
                </c:pt>
                <c:pt idx="384">
                  <c:v>6.5063351661486983</c:v>
                </c:pt>
                <c:pt idx="385">
                  <c:v>6.5551039923499888</c:v>
                </c:pt>
                <c:pt idx="386">
                  <c:v>6.6038728185512792</c:v>
                </c:pt>
                <c:pt idx="387">
                  <c:v>6.6526416447525705</c:v>
                </c:pt>
                <c:pt idx="388">
                  <c:v>6.7014104709538609</c:v>
                </c:pt>
                <c:pt idx="389">
                  <c:v>6.7501792971551522</c:v>
                </c:pt>
                <c:pt idx="390">
                  <c:v>6.7989481233564435</c:v>
                </c:pt>
                <c:pt idx="391">
                  <c:v>6.8477169495577348</c:v>
                </c:pt>
                <c:pt idx="392">
                  <c:v>6.896804526257073</c:v>
                </c:pt>
                <c:pt idx="393">
                  <c:v>6.9455733524583634</c:v>
                </c:pt>
                <c:pt idx="394">
                  <c:v>7.0105984540600854</c:v>
                </c:pt>
                <c:pt idx="395">
                  <c:v>7.0702047971949957</c:v>
                </c:pt>
                <c:pt idx="396">
                  <c:v>7.1352298987967169</c:v>
                </c:pt>
                <c:pt idx="397">
                  <c:v>7.1948362419316281</c:v>
                </c:pt>
                <c:pt idx="398">
                  <c:v>7.2598613435333492</c:v>
                </c:pt>
                <c:pt idx="399">
                  <c:v>7.3194676866682613</c:v>
                </c:pt>
                <c:pt idx="400">
                  <c:v>7.3736552713363626</c:v>
                </c:pt>
                <c:pt idx="401">
                  <c:v>7.4335803649693206</c:v>
                </c:pt>
                <c:pt idx="402">
                  <c:v>7.4986054665710427</c:v>
                </c:pt>
                <c:pt idx="403">
                  <c:v>7.5636305681727629</c:v>
                </c:pt>
                <c:pt idx="404">
                  <c:v>7.6232369113076741</c:v>
                </c:pt>
                <c:pt idx="405">
                  <c:v>7.6774244959757754</c:v>
                </c:pt>
                <c:pt idx="406">
                  <c:v>7.7424495975774965</c:v>
                </c:pt>
                <c:pt idx="407">
                  <c:v>7.8074746991792185</c:v>
                </c:pt>
                <c:pt idx="408">
                  <c:v>7.8724998007809388</c:v>
                </c:pt>
                <c:pt idx="409">
                  <c:v>7.9375249023826608</c:v>
                </c:pt>
                <c:pt idx="410">
                  <c:v>7.992031237548809</c:v>
                </c:pt>
                <c:pt idx="411">
                  <c:v>8.0462188222169111</c:v>
                </c:pt>
                <c:pt idx="412">
                  <c:v>8.1004064068850106</c:v>
                </c:pt>
                <c:pt idx="413">
                  <c:v>8.1545939915531136</c:v>
                </c:pt>
                <c:pt idx="414">
                  <c:v>8.2087815762212131</c:v>
                </c:pt>
                <c:pt idx="415">
                  <c:v>8.2629691608893143</c:v>
                </c:pt>
                <c:pt idx="416">
                  <c:v>8.3171567455574156</c:v>
                </c:pt>
                <c:pt idx="417">
                  <c:v>8.3713443302255168</c:v>
                </c:pt>
                <c:pt idx="418">
                  <c:v>8.4417881902940479</c:v>
                </c:pt>
                <c:pt idx="419">
                  <c:v>8.5125508008606268</c:v>
                </c:pt>
                <c:pt idx="420">
                  <c:v>8.5829946609291579</c:v>
                </c:pt>
                <c:pt idx="421">
                  <c:v>8.6534385209976907</c:v>
                </c:pt>
                <c:pt idx="422">
                  <c:v>8.7238823810662218</c:v>
                </c:pt>
                <c:pt idx="423">
                  <c:v>8.7943262411347511</c:v>
                </c:pt>
                <c:pt idx="424">
                  <c:v>8.870188859670094</c:v>
                </c:pt>
                <c:pt idx="425">
                  <c:v>8.9406327197386251</c:v>
                </c:pt>
                <c:pt idx="426">
                  <c:v>9.0110765798071562</c:v>
                </c:pt>
                <c:pt idx="427">
                  <c:v>9.0872579488405449</c:v>
                </c:pt>
                <c:pt idx="428">
                  <c:v>9.1631205673758878</c:v>
                </c:pt>
                <c:pt idx="429">
                  <c:v>9.2335644274444189</c:v>
                </c:pt>
                <c:pt idx="430">
                  <c:v>9.3094270459797599</c:v>
                </c:pt>
                <c:pt idx="431">
                  <c:v>9.3852896645151009</c:v>
                </c:pt>
                <c:pt idx="432">
                  <c:v>9.461152283050442</c:v>
                </c:pt>
                <c:pt idx="433">
                  <c:v>9.537014901585783</c:v>
                </c:pt>
                <c:pt idx="434">
                  <c:v>9.6131962706191718</c:v>
                </c:pt>
                <c:pt idx="435">
                  <c:v>9.6890588891545164</c:v>
                </c:pt>
                <c:pt idx="436">
                  <c:v>9.7540839907562358</c:v>
                </c:pt>
                <c:pt idx="437">
                  <c:v>9.8299466092915786</c:v>
                </c:pt>
                <c:pt idx="438">
                  <c:v>9.9112279862937296</c:v>
                </c:pt>
                <c:pt idx="439">
                  <c:v>9.9870906048290706</c:v>
                </c:pt>
                <c:pt idx="440">
                  <c:v>10.068371981831223</c:v>
                </c:pt>
                <c:pt idx="441">
                  <c:v>10.144234600366564</c:v>
                </c:pt>
                <c:pt idx="442">
                  <c:v>10.225834727866763</c:v>
                </c:pt>
                <c:pt idx="443">
                  <c:v>10.301697346402104</c:v>
                </c:pt>
                <c:pt idx="444">
                  <c:v>10.382978723404257</c:v>
                </c:pt>
                <c:pt idx="445">
                  <c:v>10.458841341939598</c:v>
                </c:pt>
                <c:pt idx="446">
                  <c:v>10.534703960474937</c:v>
                </c:pt>
                <c:pt idx="447">
                  <c:v>10.615985337477092</c:v>
                </c:pt>
                <c:pt idx="448">
                  <c:v>10.691847956012431</c:v>
                </c:pt>
                <c:pt idx="449">
                  <c:v>10.773448083512632</c:v>
                </c:pt>
                <c:pt idx="450">
                  <c:v>10.854729460514784</c:v>
                </c:pt>
                <c:pt idx="451">
                  <c:v>10.930592079050125</c:v>
                </c:pt>
                <c:pt idx="452">
                  <c:v>11.011873456052276</c:v>
                </c:pt>
                <c:pt idx="453">
                  <c:v>11.093154833054427</c:v>
                </c:pt>
                <c:pt idx="454">
                  <c:v>11.174436210056578</c:v>
                </c:pt>
                <c:pt idx="455">
                  <c:v>11.266873854490399</c:v>
                </c:pt>
                <c:pt idx="456">
                  <c:v>11.36441150689298</c:v>
                </c:pt>
                <c:pt idx="457">
                  <c:v>11.46194915929556</c:v>
                </c:pt>
                <c:pt idx="458">
                  <c:v>11.559486811698143</c:v>
                </c:pt>
                <c:pt idx="459">
                  <c:v>11.657024464100726</c:v>
                </c:pt>
                <c:pt idx="460">
                  <c:v>11.754562116503308</c:v>
                </c:pt>
                <c:pt idx="461">
                  <c:v>11.852418519403937</c:v>
                </c:pt>
                <c:pt idx="462">
                  <c:v>11.949956171806518</c:v>
                </c:pt>
                <c:pt idx="463">
                  <c:v>12.036656307275482</c:v>
                </c:pt>
                <c:pt idx="464">
                  <c:v>12.134193959678063</c:v>
                </c:pt>
                <c:pt idx="465">
                  <c:v>12.231731612080646</c:v>
                </c:pt>
                <c:pt idx="466">
                  <c:v>12.318431747549607</c:v>
                </c:pt>
                <c:pt idx="467">
                  <c:v>12.416288150450235</c:v>
                </c:pt>
                <c:pt idx="468">
                  <c:v>12.513825802852818</c:v>
                </c:pt>
                <c:pt idx="469">
                  <c:v>12.616782213722209</c:v>
                </c:pt>
                <c:pt idx="470">
                  <c:v>12.714319866124791</c:v>
                </c:pt>
                <c:pt idx="471">
                  <c:v>12.811857518527374</c:v>
                </c:pt>
                <c:pt idx="472">
                  <c:v>12.915132679894812</c:v>
                </c:pt>
                <c:pt idx="473">
                  <c:v>13.018089090764207</c:v>
                </c:pt>
                <c:pt idx="474">
                  <c:v>13.126464260100407</c:v>
                </c:pt>
                <c:pt idx="475">
                  <c:v>13.2294206709698</c:v>
                </c:pt>
                <c:pt idx="476">
                  <c:v>13.337795840306001</c:v>
                </c:pt>
                <c:pt idx="477">
                  <c:v>13.440752251175395</c:v>
                </c:pt>
                <c:pt idx="478">
                  <c:v>13.544027412542833</c:v>
                </c:pt>
                <c:pt idx="479">
                  <c:v>13.646983823412224</c:v>
                </c:pt>
                <c:pt idx="480">
                  <c:v>13.749940234281617</c:v>
                </c:pt>
                <c:pt idx="481">
                  <c:v>13.858315403617818</c:v>
                </c:pt>
                <c:pt idx="482">
                  <c:v>13.961271814487212</c:v>
                </c:pt>
                <c:pt idx="483">
                  <c:v>14.069965734321462</c:v>
                </c:pt>
                <c:pt idx="484">
                  <c:v>14.178340903657663</c:v>
                </c:pt>
                <c:pt idx="485">
                  <c:v>14.286716072993864</c:v>
                </c:pt>
                <c:pt idx="486">
                  <c:v>14.395091242330066</c:v>
                </c:pt>
                <c:pt idx="487">
                  <c:v>14.503466411666269</c:v>
                </c:pt>
                <c:pt idx="488">
                  <c:v>14.612160331500519</c:v>
                </c:pt>
                <c:pt idx="489">
                  <c:v>14.731373017770343</c:v>
                </c:pt>
                <c:pt idx="490">
                  <c:v>14.839748187106544</c:v>
                </c:pt>
                <c:pt idx="491">
                  <c:v>14.964379631843176</c:v>
                </c:pt>
                <c:pt idx="492">
                  <c:v>15.083592318112997</c:v>
                </c:pt>
                <c:pt idx="493">
                  <c:v>15.192286237947249</c:v>
                </c:pt>
                <c:pt idx="494">
                  <c:v>15.300661407283449</c:v>
                </c:pt>
                <c:pt idx="495">
                  <c:v>15.425292852020084</c:v>
                </c:pt>
                <c:pt idx="496">
                  <c:v>15.555343055223524</c:v>
                </c:pt>
                <c:pt idx="497">
                  <c:v>15.680293250458206</c:v>
                </c:pt>
                <c:pt idx="498">
                  <c:v>15.804924695194837</c:v>
                </c:pt>
                <c:pt idx="499">
                  <c:v>15.934974898398281</c:v>
                </c:pt>
                <c:pt idx="500">
                  <c:v>16.065025101601723</c:v>
                </c:pt>
                <c:pt idx="501">
                  <c:v>16.189975296836401</c:v>
                </c:pt>
                <c:pt idx="502">
                  <c:v>16.320025500039844</c:v>
                </c:pt>
                <c:pt idx="503">
                  <c:v>16.444656944776476</c:v>
                </c:pt>
                <c:pt idx="504">
                  <c:v>16.574707147979922</c:v>
                </c:pt>
                <c:pt idx="505">
                  <c:v>16.704757351183364</c:v>
                </c:pt>
                <c:pt idx="506">
                  <c:v>16.835126304884852</c:v>
                </c:pt>
                <c:pt idx="507">
                  <c:v>16.965176508088295</c:v>
                </c:pt>
                <c:pt idx="508">
                  <c:v>17.095226711291737</c:v>
                </c:pt>
                <c:pt idx="509">
                  <c:v>17.225276914495179</c:v>
                </c:pt>
                <c:pt idx="510">
                  <c:v>17.355645868196671</c:v>
                </c:pt>
                <c:pt idx="511">
                  <c:v>17.485696071400113</c:v>
                </c:pt>
                <c:pt idx="512">
                  <c:v>17.615746274603552</c:v>
                </c:pt>
                <c:pt idx="513">
                  <c:v>17.751215236273808</c:v>
                </c:pt>
                <c:pt idx="514">
                  <c:v>17.8815841899753</c:v>
                </c:pt>
                <c:pt idx="515">
                  <c:v>18.017053151645552</c:v>
                </c:pt>
                <c:pt idx="516">
                  <c:v>18.152522113315801</c:v>
                </c:pt>
                <c:pt idx="517">
                  <c:v>18.304247350386486</c:v>
                </c:pt>
                <c:pt idx="518">
                  <c:v>18.456291337955218</c:v>
                </c:pt>
                <c:pt idx="519">
                  <c:v>18.608016575025896</c:v>
                </c:pt>
                <c:pt idx="520">
                  <c:v>18.759741812096582</c:v>
                </c:pt>
                <c:pt idx="521">
                  <c:v>18.911467049167264</c:v>
                </c:pt>
                <c:pt idx="522">
                  <c:v>19.063511036735996</c:v>
                </c:pt>
                <c:pt idx="523">
                  <c:v>19.220655032273491</c:v>
                </c:pt>
                <c:pt idx="524">
                  <c:v>19.372380269344173</c:v>
                </c:pt>
                <c:pt idx="525">
                  <c:v>19.529843015379715</c:v>
                </c:pt>
                <c:pt idx="526">
                  <c:v>19.686987010917207</c:v>
                </c:pt>
                <c:pt idx="527">
                  <c:v>19.844131006454699</c:v>
                </c:pt>
                <c:pt idx="528">
                  <c:v>20.006693760459001</c:v>
                </c:pt>
                <c:pt idx="529">
                  <c:v>20.164156506494546</c:v>
                </c:pt>
                <c:pt idx="530">
                  <c:v>20.326719260498848</c:v>
                </c:pt>
                <c:pt idx="531">
                  <c:v>20.483863256036337</c:v>
                </c:pt>
                <c:pt idx="532">
                  <c:v>20.646744760538692</c:v>
                </c:pt>
                <c:pt idx="533">
                  <c:v>20.814726273009803</c:v>
                </c:pt>
                <c:pt idx="534">
                  <c:v>20.977289027014105</c:v>
                </c:pt>
                <c:pt idx="535">
                  <c:v>21.140170531516461</c:v>
                </c:pt>
                <c:pt idx="536">
                  <c:v>21.302733285520763</c:v>
                </c:pt>
                <c:pt idx="537">
                  <c:v>21.470714797991874</c:v>
                </c:pt>
                <c:pt idx="538">
                  <c:v>21.63327755199618</c:v>
                </c:pt>
                <c:pt idx="539">
                  <c:v>21.796159056498524</c:v>
                </c:pt>
                <c:pt idx="540">
                  <c:v>21.96414056896964</c:v>
                </c:pt>
                <c:pt idx="541">
                  <c:v>22.126703322973942</c:v>
                </c:pt>
                <c:pt idx="542">
                  <c:v>22.295003585943107</c:v>
                </c:pt>
                <c:pt idx="543">
                  <c:v>22.479241373814649</c:v>
                </c:pt>
                <c:pt idx="544">
                  <c:v>22.66347916168619</c:v>
                </c:pt>
                <c:pt idx="545">
                  <c:v>22.848035700055782</c:v>
                </c:pt>
                <c:pt idx="546">
                  <c:v>23.037692246394133</c:v>
                </c:pt>
                <c:pt idx="547">
                  <c:v>23.221930034265679</c:v>
                </c:pt>
                <c:pt idx="548">
                  <c:v>23.41190533110208</c:v>
                </c:pt>
                <c:pt idx="549">
                  <c:v>23.601561877440439</c:v>
                </c:pt>
                <c:pt idx="550">
                  <c:v>23.785799665311981</c:v>
                </c:pt>
                <c:pt idx="551">
                  <c:v>23.970356203681568</c:v>
                </c:pt>
                <c:pt idx="552">
                  <c:v>24.154593991553114</c:v>
                </c:pt>
                <c:pt idx="553">
                  <c:v>24.338831779424659</c:v>
                </c:pt>
                <c:pt idx="554">
                  <c:v>24.53422583472787</c:v>
                </c:pt>
                <c:pt idx="555">
                  <c:v>24.734719897999842</c:v>
                </c:pt>
                <c:pt idx="556">
                  <c:v>24.918957685871383</c:v>
                </c:pt>
                <c:pt idx="557">
                  <c:v>25.103514224240975</c:v>
                </c:pt>
                <c:pt idx="558">
                  <c:v>25.30942704597976</c:v>
                </c:pt>
                <c:pt idx="559">
                  <c:v>25.515339867718545</c:v>
                </c:pt>
                <c:pt idx="560">
                  <c:v>25.721571439955376</c:v>
                </c:pt>
                <c:pt idx="561">
                  <c:v>25.927484261694158</c:v>
                </c:pt>
                <c:pt idx="562">
                  <c:v>26.139134592397802</c:v>
                </c:pt>
                <c:pt idx="563">
                  <c:v>26.345047414136584</c:v>
                </c:pt>
                <c:pt idx="564">
                  <c:v>26.550960235875372</c:v>
                </c:pt>
                <c:pt idx="565">
                  <c:v>26.762610566579013</c:v>
                </c:pt>
                <c:pt idx="566">
                  <c:v>26.973942146784609</c:v>
                </c:pt>
                <c:pt idx="567">
                  <c:v>27.185592477488246</c:v>
                </c:pt>
                <c:pt idx="568">
                  <c:v>27.402342816160647</c:v>
                </c:pt>
                <c:pt idx="569">
                  <c:v>27.619093154833056</c:v>
                </c:pt>
                <c:pt idx="570">
                  <c:v>27.841581002470317</c:v>
                </c:pt>
                <c:pt idx="571">
                  <c:v>28.058331341142722</c:v>
                </c:pt>
                <c:pt idx="572">
                  <c:v>28.275400430313177</c:v>
                </c:pt>
                <c:pt idx="573">
                  <c:v>28.492150768985578</c:v>
                </c:pt>
                <c:pt idx="574">
                  <c:v>28.725157383058409</c:v>
                </c:pt>
                <c:pt idx="575">
                  <c:v>28.947645230695674</c:v>
                </c:pt>
                <c:pt idx="576">
                  <c:v>29.175233086301699</c:v>
                </c:pt>
                <c:pt idx="577">
                  <c:v>29.419395967806203</c:v>
                </c:pt>
                <c:pt idx="578">
                  <c:v>29.646983823412224</c:v>
                </c:pt>
                <c:pt idx="579">
                  <c:v>29.874571679018253</c:v>
                </c:pt>
                <c:pt idx="580">
                  <c:v>30.11873456052275</c:v>
                </c:pt>
                <c:pt idx="581">
                  <c:v>30.346322416128778</c:v>
                </c:pt>
                <c:pt idx="582">
                  <c:v>30.595904056100089</c:v>
                </c:pt>
                <c:pt idx="583">
                  <c:v>30.839748187106544</c:v>
                </c:pt>
                <c:pt idx="584">
                  <c:v>31.089329827077858</c:v>
                </c:pt>
                <c:pt idx="585">
                  <c:v>31.333173958084313</c:v>
                </c:pt>
                <c:pt idx="586">
                  <c:v>31.582755598055623</c:v>
                </c:pt>
                <c:pt idx="587">
                  <c:v>31.826599729062082</c:v>
                </c:pt>
                <c:pt idx="588">
                  <c:v>32.075862618535346</c:v>
                </c:pt>
                <c:pt idx="589">
                  <c:v>32.324488007012512</c:v>
                </c:pt>
                <c:pt idx="590">
                  <c:v>32.592238425372543</c:v>
                </c:pt>
                <c:pt idx="591">
                  <c:v>32.840863813849708</c:v>
                </c:pt>
                <c:pt idx="592">
                  <c:v>33.105426727229258</c:v>
                </c:pt>
                <c:pt idx="593">
                  <c:v>33.354052115706438</c:v>
                </c:pt>
                <c:pt idx="594">
                  <c:v>33.628177544027416</c:v>
                </c:pt>
                <c:pt idx="595">
                  <c:v>33.89911546736792</c:v>
                </c:pt>
                <c:pt idx="596">
                  <c:v>34.170053390708425</c:v>
                </c:pt>
                <c:pt idx="597">
                  <c:v>34.434616304087974</c:v>
                </c:pt>
                <c:pt idx="598">
                  <c:v>34.699179217467524</c:v>
                </c:pt>
                <c:pt idx="599">
                  <c:v>34.986054665710412</c:v>
                </c:pt>
                <c:pt idx="600">
                  <c:v>35.260180094031398</c:v>
                </c:pt>
                <c:pt idx="601">
                  <c:v>35.534305522352383</c:v>
                </c:pt>
                <c:pt idx="602">
                  <c:v>35.805243445692881</c:v>
                </c:pt>
                <c:pt idx="603">
                  <c:v>36.082556378994347</c:v>
                </c:pt>
                <c:pt idx="604">
                  <c:v>36.353494302334852</c:v>
                </c:pt>
                <c:pt idx="605">
                  <c:v>36.65311977049965</c:v>
                </c:pt>
                <c:pt idx="606">
                  <c:v>36.955932743644915</c:v>
                </c:pt>
                <c:pt idx="607">
                  <c:v>37.258745716790187</c:v>
                </c:pt>
                <c:pt idx="608">
                  <c:v>37.56155868993546</c:v>
                </c:pt>
                <c:pt idx="609">
                  <c:v>37.867559168061206</c:v>
                </c:pt>
                <c:pt idx="610">
                  <c:v>38.176747151167433</c:v>
                </c:pt>
                <c:pt idx="611">
                  <c:v>38.485935134273653</c:v>
                </c:pt>
                <c:pt idx="612">
                  <c:v>38.788748107418925</c:v>
                </c:pt>
                <c:pt idx="613">
                  <c:v>39.085186070603235</c:v>
                </c:pt>
                <c:pt idx="614">
                  <c:v>39.407124073631365</c:v>
                </c:pt>
                <c:pt idx="615">
                  <c:v>39.71949956171806</c:v>
                </c:pt>
                <c:pt idx="616">
                  <c:v>40.041437564746204</c:v>
                </c:pt>
                <c:pt idx="617">
                  <c:v>40.353813052832891</c:v>
                </c:pt>
                <c:pt idx="618">
                  <c:v>40.675751055861028</c:v>
                </c:pt>
                <c:pt idx="619">
                  <c:v>40.994501553908677</c:v>
                </c:pt>
                <c:pt idx="620">
                  <c:v>41.316439556936807</c:v>
                </c:pt>
                <c:pt idx="621">
                  <c:v>41.635190054984463</c:v>
                </c:pt>
                <c:pt idx="622">
                  <c:v>41.953940553032112</c:v>
                </c:pt>
                <c:pt idx="623">
                  <c:v>42.301378595904055</c:v>
                </c:pt>
                <c:pt idx="624">
                  <c:v>42.64244162881505</c:v>
                </c:pt>
                <c:pt idx="625">
                  <c:v>42.983504661726037</c:v>
                </c:pt>
                <c:pt idx="626">
                  <c:v>43.315005179695596</c:v>
                </c:pt>
                <c:pt idx="627">
                  <c:v>43.662443222567539</c:v>
                </c:pt>
                <c:pt idx="628">
                  <c:v>44.000318750498053</c:v>
                </c:pt>
                <c:pt idx="629">
                  <c:v>44.35094429835047</c:v>
                </c:pt>
                <c:pt idx="630">
                  <c:v>44.707944856163834</c:v>
                </c:pt>
                <c:pt idx="631">
                  <c:v>45.061757908996739</c:v>
                </c:pt>
                <c:pt idx="632">
                  <c:v>45.418758466810104</c:v>
                </c:pt>
                <c:pt idx="633">
                  <c:v>45.772571519643002</c:v>
                </c:pt>
                <c:pt idx="634">
                  <c:v>46.123197067495418</c:v>
                </c:pt>
                <c:pt idx="635">
                  <c:v>46.483385130289264</c:v>
                </c:pt>
                <c:pt idx="636">
                  <c:v>46.85632321300502</c:v>
                </c:pt>
                <c:pt idx="637">
                  <c:v>47.226073790740294</c:v>
                </c:pt>
                <c:pt idx="638">
                  <c:v>47.599011873456057</c:v>
                </c:pt>
                <c:pt idx="639">
                  <c:v>47.971949956171812</c:v>
                </c:pt>
                <c:pt idx="640">
                  <c:v>48.341700533907087</c:v>
                </c:pt>
                <c:pt idx="641">
                  <c:v>48.730576141525226</c:v>
                </c:pt>
                <c:pt idx="642">
                  <c:v>49.12263925412384</c:v>
                </c:pt>
                <c:pt idx="643">
                  <c:v>49.511514861741972</c:v>
                </c:pt>
                <c:pt idx="644">
                  <c:v>49.897202964379638</c:v>
                </c:pt>
                <c:pt idx="645">
                  <c:v>50.282891067017296</c:v>
                </c:pt>
                <c:pt idx="646">
                  <c:v>50.690891704518286</c:v>
                </c:pt>
                <c:pt idx="647">
                  <c:v>51.095704837038809</c:v>
                </c:pt>
                <c:pt idx="648">
                  <c:v>51.490955454617904</c:v>
                </c:pt>
                <c:pt idx="649">
                  <c:v>51.90851860706033</c:v>
                </c:pt>
                <c:pt idx="650">
                  <c:v>52.310144234600365</c:v>
                </c:pt>
                <c:pt idx="651">
                  <c:v>52.711769862140414</c:v>
                </c:pt>
                <c:pt idx="652">
                  <c:v>53.129333014582834</c:v>
                </c:pt>
                <c:pt idx="653">
                  <c:v>53.540521157064312</c:v>
                </c:pt>
                <c:pt idx="654">
                  <c:v>53.964459319467686</c:v>
                </c:pt>
                <c:pt idx="655">
                  <c:v>54.388397481871067</c:v>
                </c:pt>
                <c:pt idx="656">
                  <c:v>54.821898159215884</c:v>
                </c:pt>
                <c:pt idx="657">
                  <c:v>55.255398836560687</c:v>
                </c:pt>
                <c:pt idx="658">
                  <c:v>55.68889951390549</c:v>
                </c:pt>
                <c:pt idx="659">
                  <c:v>56.128775201211262</c:v>
                </c:pt>
                <c:pt idx="660">
                  <c:v>56.565463383536539</c:v>
                </c:pt>
                <c:pt idx="661">
                  <c:v>56.909713921428008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7-45F0-9869-A512D1ADC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984031"/>
        <c:axId val="920986431"/>
      </c:lineChart>
      <c:catAx>
        <c:axId val="92098403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6431"/>
        <c:crosses val="autoZero"/>
        <c:auto val="1"/>
        <c:lblAlgn val="ctr"/>
        <c:lblOffset val="100"/>
        <c:noMultiLvlLbl val="0"/>
      </c:catAx>
      <c:valAx>
        <c:axId val="92098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'A21-3'!$C$2:$C$666</c:f>
              <c:numCache>
                <c:formatCode>0.00</c:formatCode>
                <c:ptCount val="665"/>
                <c:pt idx="0">
                  <c:v>0</c:v>
                </c:pt>
                <c:pt idx="1">
                  <c:v>1.16732E-2</c:v>
                </c:pt>
                <c:pt idx="2">
                  <c:v>1.1782999999999998E-2</c:v>
                </c:pt>
                <c:pt idx="3">
                  <c:v>1.18946E-2</c:v>
                </c:pt>
                <c:pt idx="4">
                  <c:v>1.2006399999999999E-2</c:v>
                </c:pt>
                <c:pt idx="5">
                  <c:v>1.2118E-2</c:v>
                </c:pt>
                <c:pt idx="6">
                  <c:v>1.22278E-2</c:v>
                </c:pt>
                <c:pt idx="7">
                  <c:v>1.23394E-2</c:v>
                </c:pt>
                <c:pt idx="8">
                  <c:v>1.2451200000000001E-2</c:v>
                </c:pt>
                <c:pt idx="9">
                  <c:v>1.2560999999999999E-2</c:v>
                </c:pt>
                <c:pt idx="10">
                  <c:v>1.2670799999999999E-2</c:v>
                </c:pt>
                <c:pt idx="11">
                  <c:v>1.2782400000000001E-2</c:v>
                </c:pt>
                <c:pt idx="12">
                  <c:v>1.28942E-2</c:v>
                </c:pt>
                <c:pt idx="13">
                  <c:v>1.3005800000000001E-2</c:v>
                </c:pt>
                <c:pt idx="14">
                  <c:v>1.31174E-2</c:v>
                </c:pt>
                <c:pt idx="15">
                  <c:v>1.32272E-2</c:v>
                </c:pt>
                <c:pt idx="16">
                  <c:v>1.3339E-2</c:v>
                </c:pt>
                <c:pt idx="17">
                  <c:v>1.34506E-2</c:v>
                </c:pt>
                <c:pt idx="18">
                  <c:v>1.35622E-2</c:v>
                </c:pt>
                <c:pt idx="19">
                  <c:v>1.3672E-2</c:v>
                </c:pt>
                <c:pt idx="20">
                  <c:v>1.3783799999999999E-2</c:v>
                </c:pt>
                <c:pt idx="21">
                  <c:v>1.38954E-2</c:v>
                </c:pt>
                <c:pt idx="22">
                  <c:v>1.4005200000000001E-2</c:v>
                </c:pt>
                <c:pt idx="23">
                  <c:v>1.4116800000000001E-2</c:v>
                </c:pt>
                <c:pt idx="24">
                  <c:v>1.42268E-2</c:v>
                </c:pt>
                <c:pt idx="25">
                  <c:v>1.4338399999999999E-2</c:v>
                </c:pt>
                <c:pt idx="26">
                  <c:v>1.4450000000000001E-2</c:v>
                </c:pt>
                <c:pt idx="27">
                  <c:v>1.4589600000000001E-2</c:v>
                </c:pt>
                <c:pt idx="28">
                  <c:v>1.47292E-2</c:v>
                </c:pt>
                <c:pt idx="29">
                  <c:v>1.4866999999999998E-2</c:v>
                </c:pt>
                <c:pt idx="30">
                  <c:v>1.50046E-2</c:v>
                </c:pt>
                <c:pt idx="31">
                  <c:v>1.5144200000000002E-2</c:v>
                </c:pt>
                <c:pt idx="32">
                  <c:v>1.5282E-2</c:v>
                </c:pt>
                <c:pt idx="33">
                  <c:v>1.54234E-2</c:v>
                </c:pt>
                <c:pt idx="34">
                  <c:v>1.5561199999999999E-2</c:v>
                </c:pt>
                <c:pt idx="35">
                  <c:v>1.5700800000000001E-2</c:v>
                </c:pt>
                <c:pt idx="36">
                  <c:v>1.5838399999999999E-2</c:v>
                </c:pt>
                <c:pt idx="37">
                  <c:v>1.5978000000000003E-2</c:v>
                </c:pt>
                <c:pt idx="38">
                  <c:v>1.61158E-2</c:v>
                </c:pt>
                <c:pt idx="39">
                  <c:v>1.62554E-2</c:v>
                </c:pt>
                <c:pt idx="40">
                  <c:v>1.6393000000000001E-2</c:v>
                </c:pt>
                <c:pt idx="41">
                  <c:v>1.6532599999999998E-2</c:v>
                </c:pt>
                <c:pt idx="42">
                  <c:v>1.6672199999999998E-2</c:v>
                </c:pt>
                <c:pt idx="43">
                  <c:v>1.6810000000000002E-2</c:v>
                </c:pt>
                <c:pt idx="44">
                  <c:v>1.6949599999999999E-2</c:v>
                </c:pt>
                <c:pt idx="45">
                  <c:v>1.7089199999999999E-2</c:v>
                </c:pt>
                <c:pt idx="46">
                  <c:v>1.72268E-2</c:v>
                </c:pt>
                <c:pt idx="47">
                  <c:v>1.7366400000000001E-2</c:v>
                </c:pt>
                <c:pt idx="48">
                  <c:v>1.7506000000000001E-2</c:v>
                </c:pt>
                <c:pt idx="49">
                  <c:v>1.7643800000000001E-2</c:v>
                </c:pt>
                <c:pt idx="50">
                  <c:v>1.7783400000000001E-2</c:v>
                </c:pt>
                <c:pt idx="51">
                  <c:v>1.7923000000000001E-2</c:v>
                </c:pt>
                <c:pt idx="52">
                  <c:v>1.80886E-2</c:v>
                </c:pt>
                <c:pt idx="53">
                  <c:v>1.82282E-2</c:v>
                </c:pt>
                <c:pt idx="54">
                  <c:v>1.83958E-2</c:v>
                </c:pt>
                <c:pt idx="55">
                  <c:v>1.8561399999999999E-2</c:v>
                </c:pt>
                <c:pt idx="56">
                  <c:v>1.8727000000000001E-2</c:v>
                </c:pt>
                <c:pt idx="57">
                  <c:v>1.8892599999999999E-2</c:v>
                </c:pt>
                <c:pt idx="58">
                  <c:v>1.9061999999999999E-2</c:v>
                </c:pt>
                <c:pt idx="59">
                  <c:v>1.9227600000000001E-2</c:v>
                </c:pt>
                <c:pt idx="60">
                  <c:v>1.9395199999999998E-2</c:v>
                </c:pt>
                <c:pt idx="61">
                  <c:v>1.95608E-2</c:v>
                </c:pt>
                <c:pt idx="62">
                  <c:v>1.9728200000000001E-2</c:v>
                </c:pt>
                <c:pt idx="63">
                  <c:v>1.9895799999999998E-2</c:v>
                </c:pt>
                <c:pt idx="64">
                  <c:v>2.0062000000000003E-2</c:v>
                </c:pt>
                <c:pt idx="65">
                  <c:v>2.0228000000000003E-2</c:v>
                </c:pt>
                <c:pt idx="66">
                  <c:v>2.0394000000000002E-2</c:v>
                </c:pt>
                <c:pt idx="67">
                  <c:v>2.0560000000000002E-2</c:v>
                </c:pt>
                <c:pt idx="68">
                  <c:v>2.0728E-2</c:v>
                </c:pt>
                <c:pt idx="69">
                  <c:v>2.0895999999999998E-2</c:v>
                </c:pt>
                <c:pt idx="70">
                  <c:v>2.1059999999999999E-2</c:v>
                </c:pt>
                <c:pt idx="71">
                  <c:v>2.1227999999999997E-2</c:v>
                </c:pt>
                <c:pt idx="72">
                  <c:v>2.1396000000000002E-2</c:v>
                </c:pt>
                <c:pt idx="73">
                  <c:v>2.1589999999999998E-2</c:v>
                </c:pt>
                <c:pt idx="74">
                  <c:v>2.1783999999999998E-2</c:v>
                </c:pt>
                <c:pt idx="75">
                  <c:v>2.1975999999999999E-2</c:v>
                </c:pt>
                <c:pt idx="76">
                  <c:v>2.2173999999999999E-2</c:v>
                </c:pt>
                <c:pt idx="77">
                  <c:v>2.2368000000000002E-2</c:v>
                </c:pt>
                <c:pt idx="78">
                  <c:v>2.2559999999999997E-2</c:v>
                </c:pt>
                <c:pt idx="79">
                  <c:v>2.2755999999999998E-2</c:v>
                </c:pt>
                <c:pt idx="80">
                  <c:v>2.2949999999999998E-2</c:v>
                </c:pt>
                <c:pt idx="81">
                  <c:v>2.3146E-2</c:v>
                </c:pt>
                <c:pt idx="82">
                  <c:v>2.3338000000000001E-2</c:v>
                </c:pt>
                <c:pt idx="83">
                  <c:v>2.3532000000000001E-2</c:v>
                </c:pt>
                <c:pt idx="84">
                  <c:v>2.3727999999999999E-2</c:v>
                </c:pt>
                <c:pt idx="85">
                  <c:v>2.3923999999999997E-2</c:v>
                </c:pt>
                <c:pt idx="86">
                  <c:v>2.4115999999999999E-2</c:v>
                </c:pt>
                <c:pt idx="87">
                  <c:v>2.4310000000000002E-2</c:v>
                </c:pt>
                <c:pt idx="88">
                  <c:v>2.4506E-2</c:v>
                </c:pt>
                <c:pt idx="89">
                  <c:v>2.4700000000000003E-2</c:v>
                </c:pt>
                <c:pt idx="90">
                  <c:v>2.4893999999999999E-2</c:v>
                </c:pt>
                <c:pt idx="91">
                  <c:v>2.5087999999999999E-2</c:v>
                </c:pt>
                <c:pt idx="92">
                  <c:v>2.5312000000000001E-2</c:v>
                </c:pt>
                <c:pt idx="93">
                  <c:v>2.5533999999999998E-2</c:v>
                </c:pt>
                <c:pt idx="94">
                  <c:v>2.5756000000000001E-2</c:v>
                </c:pt>
                <c:pt idx="95">
                  <c:v>2.5977999999999998E-2</c:v>
                </c:pt>
                <c:pt idx="96">
                  <c:v>2.6200000000000001E-2</c:v>
                </c:pt>
                <c:pt idx="97">
                  <c:v>2.6421999999999998E-2</c:v>
                </c:pt>
                <c:pt idx="98">
                  <c:v>2.6642000000000002E-2</c:v>
                </c:pt>
                <c:pt idx="99">
                  <c:v>2.6868E-2</c:v>
                </c:pt>
                <c:pt idx="100">
                  <c:v>2.7089999999999999E-2</c:v>
                </c:pt>
                <c:pt idx="101">
                  <c:v>2.7311999999999999E-2</c:v>
                </c:pt>
                <c:pt idx="102">
                  <c:v>2.7533999999999999E-2</c:v>
                </c:pt>
                <c:pt idx="103">
                  <c:v>2.7755999999999999E-2</c:v>
                </c:pt>
                <c:pt idx="104">
                  <c:v>2.7976000000000001E-2</c:v>
                </c:pt>
                <c:pt idx="105">
                  <c:v>2.8197999999999997E-2</c:v>
                </c:pt>
                <c:pt idx="106">
                  <c:v>2.8421999999999999E-2</c:v>
                </c:pt>
                <c:pt idx="107">
                  <c:v>2.8645999999999998E-2</c:v>
                </c:pt>
                <c:pt idx="108">
                  <c:v>2.8868000000000001E-2</c:v>
                </c:pt>
                <c:pt idx="109">
                  <c:v>2.9116E-2</c:v>
                </c:pt>
                <c:pt idx="110">
                  <c:v>2.9367999999999998E-2</c:v>
                </c:pt>
                <c:pt idx="111">
                  <c:v>2.9618000000000002E-2</c:v>
                </c:pt>
                <c:pt idx="112">
                  <c:v>2.9866E-2</c:v>
                </c:pt>
                <c:pt idx="113">
                  <c:v>3.0117999999999999E-2</c:v>
                </c:pt>
                <c:pt idx="114">
                  <c:v>3.0363999999999999E-2</c:v>
                </c:pt>
                <c:pt idx="115">
                  <c:v>3.0617999999999999E-2</c:v>
                </c:pt>
                <c:pt idx="116">
                  <c:v>3.0868000000000003E-2</c:v>
                </c:pt>
                <c:pt idx="117">
                  <c:v>3.1116000000000001E-2</c:v>
                </c:pt>
                <c:pt idx="118">
                  <c:v>3.1368E-2</c:v>
                </c:pt>
                <c:pt idx="119">
                  <c:v>3.1615999999999998E-2</c:v>
                </c:pt>
                <c:pt idx="120">
                  <c:v>3.1865999999999998E-2</c:v>
                </c:pt>
                <c:pt idx="121">
                  <c:v>3.2115999999999999E-2</c:v>
                </c:pt>
                <c:pt idx="122">
                  <c:v>3.2368000000000001E-2</c:v>
                </c:pt>
                <c:pt idx="123">
                  <c:v>3.2643999999999999E-2</c:v>
                </c:pt>
                <c:pt idx="124">
                  <c:v>3.2922E-2</c:v>
                </c:pt>
                <c:pt idx="125">
                  <c:v>3.3201999999999995E-2</c:v>
                </c:pt>
                <c:pt idx="126">
                  <c:v>3.3475999999999999E-2</c:v>
                </c:pt>
                <c:pt idx="127">
                  <c:v>3.3756000000000001E-2</c:v>
                </c:pt>
                <c:pt idx="128">
                  <c:v>3.4034000000000002E-2</c:v>
                </c:pt>
                <c:pt idx="129">
                  <c:v>3.4312000000000002E-2</c:v>
                </c:pt>
                <c:pt idx="130">
                  <c:v>3.4588000000000001E-2</c:v>
                </c:pt>
                <c:pt idx="131">
                  <c:v>3.4866000000000001E-2</c:v>
                </c:pt>
                <c:pt idx="132">
                  <c:v>3.5144000000000002E-2</c:v>
                </c:pt>
                <c:pt idx="133">
                  <c:v>3.5421999999999995E-2</c:v>
                </c:pt>
                <c:pt idx="134">
                  <c:v>3.5699999999999996E-2</c:v>
                </c:pt>
                <c:pt idx="135">
                  <c:v>3.5977999999999996E-2</c:v>
                </c:pt>
                <c:pt idx="136">
                  <c:v>3.6284000000000004E-2</c:v>
                </c:pt>
                <c:pt idx="137">
                  <c:v>3.6587999999999996E-2</c:v>
                </c:pt>
                <c:pt idx="138">
                  <c:v>3.6894000000000003E-2</c:v>
                </c:pt>
                <c:pt idx="139">
                  <c:v>3.7200000000000004E-2</c:v>
                </c:pt>
                <c:pt idx="140">
                  <c:v>3.7504000000000003E-2</c:v>
                </c:pt>
                <c:pt idx="141">
                  <c:v>3.7810000000000003E-2</c:v>
                </c:pt>
                <c:pt idx="142">
                  <c:v>3.8114000000000002E-2</c:v>
                </c:pt>
                <c:pt idx="143">
                  <c:v>3.8420000000000003E-2</c:v>
                </c:pt>
                <c:pt idx="144">
                  <c:v>3.8727999999999999E-2</c:v>
                </c:pt>
                <c:pt idx="145">
                  <c:v>3.9031999999999997E-2</c:v>
                </c:pt>
                <c:pt idx="146">
                  <c:v>3.934E-2</c:v>
                </c:pt>
                <c:pt idx="147">
                  <c:v>3.9670000000000004E-2</c:v>
                </c:pt>
                <c:pt idx="148">
                  <c:v>4.0006000000000007E-2</c:v>
                </c:pt>
                <c:pt idx="149">
                  <c:v>4.0338000000000006E-2</c:v>
                </c:pt>
                <c:pt idx="150">
                  <c:v>4.0674000000000002E-2</c:v>
                </c:pt>
                <c:pt idx="151">
                  <c:v>4.1006000000000001E-2</c:v>
                </c:pt>
                <c:pt idx="152">
                  <c:v>4.1338E-2</c:v>
                </c:pt>
                <c:pt idx="153">
                  <c:v>4.1672000000000001E-2</c:v>
                </c:pt>
                <c:pt idx="154">
                  <c:v>4.2005999999999995E-2</c:v>
                </c:pt>
                <c:pt idx="155">
                  <c:v>4.2340000000000003E-2</c:v>
                </c:pt>
                <c:pt idx="156">
                  <c:v>4.2644000000000001E-2</c:v>
                </c:pt>
                <c:pt idx="157">
                  <c:v>4.2977999999999995E-2</c:v>
                </c:pt>
                <c:pt idx="158">
                  <c:v>4.3311999999999996E-2</c:v>
                </c:pt>
                <c:pt idx="159">
                  <c:v>4.3643999999999995E-2</c:v>
                </c:pt>
                <c:pt idx="160">
                  <c:v>4.3951999999999998E-2</c:v>
                </c:pt>
                <c:pt idx="161">
                  <c:v>4.4172000000000003E-2</c:v>
                </c:pt>
                <c:pt idx="162">
                  <c:v>4.4421999999999996E-2</c:v>
                </c:pt>
                <c:pt idx="163">
                  <c:v>4.4673999999999998E-2</c:v>
                </c:pt>
                <c:pt idx="164">
                  <c:v>4.4893999999999996E-2</c:v>
                </c:pt>
                <c:pt idx="165">
                  <c:v>4.5171999999999997E-2</c:v>
                </c:pt>
                <c:pt idx="166">
                  <c:v>4.5533999999999998E-2</c:v>
                </c:pt>
                <c:pt idx="167">
                  <c:v>4.5838000000000004E-2</c:v>
                </c:pt>
                <c:pt idx="168">
                  <c:v>4.6062000000000006E-2</c:v>
                </c:pt>
                <c:pt idx="169">
                  <c:v>4.6311999999999999E-2</c:v>
                </c:pt>
                <c:pt idx="170">
                  <c:v>4.6561999999999999E-2</c:v>
                </c:pt>
                <c:pt idx="171">
                  <c:v>4.6809999999999997E-2</c:v>
                </c:pt>
                <c:pt idx="172">
                  <c:v>4.7033999999999999E-2</c:v>
                </c:pt>
                <c:pt idx="173">
                  <c:v>4.7284E-2</c:v>
                </c:pt>
                <c:pt idx="174">
                  <c:v>4.7477999999999999E-2</c:v>
                </c:pt>
                <c:pt idx="175">
                  <c:v>4.7699999999999992E-2</c:v>
                </c:pt>
                <c:pt idx="176">
                  <c:v>4.7923999999999994E-2</c:v>
                </c:pt>
                <c:pt idx="177">
                  <c:v>4.8143999999999999E-2</c:v>
                </c:pt>
                <c:pt idx="178">
                  <c:v>4.8365999999999999E-2</c:v>
                </c:pt>
                <c:pt idx="179">
                  <c:v>4.8590000000000001E-2</c:v>
                </c:pt>
                <c:pt idx="180">
                  <c:v>4.8809999999999999E-2</c:v>
                </c:pt>
                <c:pt idx="181">
                  <c:v>4.9006000000000001E-2</c:v>
                </c:pt>
                <c:pt idx="182">
                  <c:v>4.9200000000000001E-2</c:v>
                </c:pt>
                <c:pt idx="183">
                  <c:v>4.9367999999999995E-2</c:v>
                </c:pt>
                <c:pt idx="184">
                  <c:v>4.9560000000000007E-2</c:v>
                </c:pt>
                <c:pt idx="185">
                  <c:v>4.9728000000000001E-2</c:v>
                </c:pt>
                <c:pt idx="186">
                  <c:v>4.9894000000000001E-2</c:v>
                </c:pt>
                <c:pt idx="187">
                  <c:v>5.0061999999999995E-2</c:v>
                </c:pt>
                <c:pt idx="188">
                  <c:v>5.0228000000000002E-2</c:v>
                </c:pt>
                <c:pt idx="189">
                  <c:v>5.0366000000000001E-2</c:v>
                </c:pt>
                <c:pt idx="190">
                  <c:v>5.0532000000000001E-2</c:v>
                </c:pt>
                <c:pt idx="191">
                  <c:v>5.0700000000000002E-2</c:v>
                </c:pt>
                <c:pt idx="192">
                  <c:v>5.0838000000000001E-2</c:v>
                </c:pt>
                <c:pt idx="193">
                  <c:v>5.1006000000000003E-2</c:v>
                </c:pt>
                <c:pt idx="194">
                  <c:v>5.1142E-2</c:v>
                </c:pt>
                <c:pt idx="195">
                  <c:v>5.1310000000000001E-2</c:v>
                </c:pt>
                <c:pt idx="196">
                  <c:v>5.1478000000000003E-2</c:v>
                </c:pt>
                <c:pt idx="197">
                  <c:v>5.1645999999999997E-2</c:v>
                </c:pt>
                <c:pt idx="198">
                  <c:v>5.1840000000000004E-2</c:v>
                </c:pt>
                <c:pt idx="199">
                  <c:v>5.2005999999999997E-2</c:v>
                </c:pt>
                <c:pt idx="200">
                  <c:v>5.2172000000000003E-2</c:v>
                </c:pt>
                <c:pt idx="201">
                  <c:v>5.2339999999999998E-2</c:v>
                </c:pt>
                <c:pt idx="202">
                  <c:v>5.2506000000000004E-2</c:v>
                </c:pt>
                <c:pt idx="203">
                  <c:v>5.2671999999999997E-2</c:v>
                </c:pt>
                <c:pt idx="204">
                  <c:v>5.2809999999999996E-2</c:v>
                </c:pt>
                <c:pt idx="205">
                  <c:v>5.2949999999999997E-2</c:v>
                </c:pt>
                <c:pt idx="206">
                  <c:v>5.3116000000000003E-2</c:v>
                </c:pt>
                <c:pt idx="207">
                  <c:v>5.3284000000000005E-2</c:v>
                </c:pt>
                <c:pt idx="208">
                  <c:v>5.3419999999999995E-2</c:v>
                </c:pt>
                <c:pt idx="209">
                  <c:v>5.3562000000000005E-2</c:v>
                </c:pt>
                <c:pt idx="210">
                  <c:v>5.3699999999999998E-2</c:v>
                </c:pt>
                <c:pt idx="211">
                  <c:v>5.3840000000000006E-2</c:v>
                </c:pt>
                <c:pt idx="212">
                  <c:v>5.398E-2</c:v>
                </c:pt>
                <c:pt idx="213">
                  <c:v>5.4115999999999997E-2</c:v>
                </c:pt>
                <c:pt idx="214">
                  <c:v>5.4253999999999997E-2</c:v>
                </c:pt>
                <c:pt idx="215">
                  <c:v>5.4393999999999998E-2</c:v>
                </c:pt>
                <c:pt idx="216">
                  <c:v>5.4533999999999999E-2</c:v>
                </c:pt>
                <c:pt idx="217">
                  <c:v>5.4671999999999998E-2</c:v>
                </c:pt>
                <c:pt idx="218">
                  <c:v>5.4783999999999999E-2</c:v>
                </c:pt>
                <c:pt idx="219">
                  <c:v>5.4922000000000006E-2</c:v>
                </c:pt>
                <c:pt idx="220">
                  <c:v>5.5060000000000005E-2</c:v>
                </c:pt>
                <c:pt idx="221">
                  <c:v>5.5170000000000004E-2</c:v>
                </c:pt>
                <c:pt idx="222">
                  <c:v>5.5312E-2</c:v>
                </c:pt>
                <c:pt idx="223">
                  <c:v>5.5424000000000001E-2</c:v>
                </c:pt>
                <c:pt idx="224">
                  <c:v>5.5564000000000002E-2</c:v>
                </c:pt>
                <c:pt idx="225">
                  <c:v>5.5671999999999999E-2</c:v>
                </c:pt>
                <c:pt idx="226">
                  <c:v>5.5781999999999998E-2</c:v>
                </c:pt>
                <c:pt idx="227">
                  <c:v>5.5894000000000006E-2</c:v>
                </c:pt>
                <c:pt idx="228">
                  <c:v>5.6034E-2</c:v>
                </c:pt>
                <c:pt idx="229">
                  <c:v>5.6146000000000001E-2</c:v>
                </c:pt>
                <c:pt idx="230">
                  <c:v>5.6256E-2</c:v>
                </c:pt>
                <c:pt idx="231">
                  <c:v>5.6368000000000001E-2</c:v>
                </c:pt>
                <c:pt idx="232">
                  <c:v>5.6478E-2</c:v>
                </c:pt>
                <c:pt idx="233">
                  <c:v>5.6587999999999999E-2</c:v>
                </c:pt>
                <c:pt idx="234">
                  <c:v>5.67E-2</c:v>
                </c:pt>
                <c:pt idx="235">
                  <c:v>5.6811999999999994E-2</c:v>
                </c:pt>
                <c:pt idx="236">
                  <c:v>5.6922E-2</c:v>
                </c:pt>
                <c:pt idx="237">
                  <c:v>5.7005999999999994E-2</c:v>
                </c:pt>
                <c:pt idx="238">
                  <c:v>5.7118000000000002E-2</c:v>
                </c:pt>
                <c:pt idx="239">
                  <c:v>5.7225999999999999E-2</c:v>
                </c:pt>
                <c:pt idx="240">
                  <c:v>5.7337999999999993E-2</c:v>
                </c:pt>
                <c:pt idx="241">
                  <c:v>5.7450000000000001E-2</c:v>
                </c:pt>
                <c:pt idx="242">
                  <c:v>5.7561999999999995E-2</c:v>
                </c:pt>
                <c:pt idx="243">
                  <c:v>5.7644000000000001E-2</c:v>
                </c:pt>
                <c:pt idx="244">
                  <c:v>5.7756000000000002E-2</c:v>
                </c:pt>
                <c:pt idx="245">
                  <c:v>5.7868000000000003E-2</c:v>
                </c:pt>
                <c:pt idx="246">
                  <c:v>5.7976E-2</c:v>
                </c:pt>
                <c:pt idx="247">
                  <c:v>5.806E-2</c:v>
                </c:pt>
                <c:pt idx="248">
                  <c:v>5.8171999999999995E-2</c:v>
                </c:pt>
                <c:pt idx="249">
                  <c:v>5.8282E-2</c:v>
                </c:pt>
                <c:pt idx="250">
                  <c:v>5.8394000000000001E-2</c:v>
                </c:pt>
                <c:pt idx="251">
                  <c:v>5.8478000000000002E-2</c:v>
                </c:pt>
                <c:pt idx="252">
                  <c:v>5.8587999999999994E-2</c:v>
                </c:pt>
                <c:pt idx="253">
                  <c:v>5.8700000000000002E-2</c:v>
                </c:pt>
                <c:pt idx="254">
                  <c:v>5.8810000000000001E-2</c:v>
                </c:pt>
                <c:pt idx="255">
                  <c:v>5.8922000000000002E-2</c:v>
                </c:pt>
                <c:pt idx="256">
                  <c:v>5.9034000000000003E-2</c:v>
                </c:pt>
                <c:pt idx="257">
                  <c:v>5.9146000000000004E-2</c:v>
                </c:pt>
                <c:pt idx="258">
                  <c:v>5.9256000000000003E-2</c:v>
                </c:pt>
                <c:pt idx="259">
                  <c:v>5.9340000000000004E-2</c:v>
                </c:pt>
                <c:pt idx="260">
                  <c:v>5.9451999999999998E-2</c:v>
                </c:pt>
                <c:pt idx="261">
                  <c:v>5.9561999999999997E-2</c:v>
                </c:pt>
                <c:pt idx="262">
                  <c:v>5.9644000000000003E-2</c:v>
                </c:pt>
                <c:pt idx="263">
                  <c:v>5.9756000000000004E-2</c:v>
                </c:pt>
                <c:pt idx="264">
                  <c:v>5.9837999999999995E-2</c:v>
                </c:pt>
                <c:pt idx="265">
                  <c:v>5.9922000000000003E-2</c:v>
                </c:pt>
                <c:pt idx="266">
                  <c:v>6.0006000000000004E-2</c:v>
                </c:pt>
                <c:pt idx="267">
                  <c:v>6.0090000000000005E-2</c:v>
                </c:pt>
                <c:pt idx="268">
                  <c:v>6.0171999999999996E-2</c:v>
                </c:pt>
                <c:pt idx="269">
                  <c:v>6.0282000000000002E-2</c:v>
                </c:pt>
                <c:pt idx="270">
                  <c:v>6.0366000000000003E-2</c:v>
                </c:pt>
                <c:pt idx="271">
                  <c:v>6.0477999999999997E-2</c:v>
                </c:pt>
                <c:pt idx="272">
                  <c:v>6.0560000000000003E-2</c:v>
                </c:pt>
                <c:pt idx="273">
                  <c:v>6.0644000000000003E-2</c:v>
                </c:pt>
                <c:pt idx="274">
                  <c:v>6.0754000000000002E-2</c:v>
                </c:pt>
                <c:pt idx="275">
                  <c:v>6.0865999999999996E-2</c:v>
                </c:pt>
                <c:pt idx="276">
                  <c:v>6.0978000000000004E-2</c:v>
                </c:pt>
                <c:pt idx="277">
                  <c:v>6.1087999999999996E-2</c:v>
                </c:pt>
                <c:pt idx="278">
                  <c:v>6.1200000000000004E-2</c:v>
                </c:pt>
                <c:pt idx="279">
                  <c:v>6.1311999999999998E-2</c:v>
                </c:pt>
                <c:pt idx="280">
                  <c:v>6.1394000000000004E-2</c:v>
                </c:pt>
                <c:pt idx="281">
                  <c:v>6.1505999999999998E-2</c:v>
                </c:pt>
                <c:pt idx="282">
                  <c:v>6.1588000000000004E-2</c:v>
                </c:pt>
                <c:pt idx="283">
                  <c:v>6.1672000000000005E-2</c:v>
                </c:pt>
                <c:pt idx="284">
                  <c:v>6.1758E-2</c:v>
                </c:pt>
                <c:pt idx="285">
                  <c:v>6.1837999999999997E-2</c:v>
                </c:pt>
                <c:pt idx="286">
                  <c:v>6.1921999999999998E-2</c:v>
                </c:pt>
                <c:pt idx="287">
                  <c:v>6.2004000000000004E-2</c:v>
                </c:pt>
                <c:pt idx="288">
                  <c:v>6.2088000000000004E-2</c:v>
                </c:pt>
                <c:pt idx="289">
                  <c:v>6.2171999999999998E-2</c:v>
                </c:pt>
                <c:pt idx="290">
                  <c:v>6.2255999999999999E-2</c:v>
                </c:pt>
                <c:pt idx="291">
                  <c:v>6.234E-2</c:v>
                </c:pt>
                <c:pt idx="292">
                  <c:v>6.2422000000000005E-2</c:v>
                </c:pt>
                <c:pt idx="293">
                  <c:v>6.2506000000000006E-2</c:v>
                </c:pt>
                <c:pt idx="294">
                  <c:v>6.2588000000000005E-2</c:v>
                </c:pt>
                <c:pt idx="295">
                  <c:v>6.2672000000000005E-2</c:v>
                </c:pt>
                <c:pt idx="296">
                  <c:v>6.2755999999999992E-2</c:v>
                </c:pt>
                <c:pt idx="297">
                  <c:v>6.2838000000000005E-2</c:v>
                </c:pt>
                <c:pt idx="298">
                  <c:v>6.2922000000000006E-2</c:v>
                </c:pt>
                <c:pt idx="299">
                  <c:v>6.3007999999999995E-2</c:v>
                </c:pt>
                <c:pt idx="300">
                  <c:v>6.3090000000000007E-2</c:v>
                </c:pt>
                <c:pt idx="301">
                  <c:v>6.3174000000000008E-2</c:v>
                </c:pt>
                <c:pt idx="302">
                  <c:v>6.3255999999999993E-2</c:v>
                </c:pt>
                <c:pt idx="303">
                  <c:v>6.3338000000000005E-2</c:v>
                </c:pt>
                <c:pt idx="304">
                  <c:v>6.3422000000000006E-2</c:v>
                </c:pt>
                <c:pt idx="305">
                  <c:v>6.3506000000000007E-2</c:v>
                </c:pt>
                <c:pt idx="306">
                  <c:v>6.3587999999999992E-2</c:v>
                </c:pt>
                <c:pt idx="307">
                  <c:v>6.3672000000000006E-2</c:v>
                </c:pt>
                <c:pt idx="308">
                  <c:v>6.3756000000000007E-2</c:v>
                </c:pt>
                <c:pt idx="309">
                  <c:v>6.3840000000000008E-2</c:v>
                </c:pt>
                <c:pt idx="310">
                  <c:v>6.3894000000000006E-2</c:v>
                </c:pt>
                <c:pt idx="311">
                  <c:v>6.3978000000000007E-2</c:v>
                </c:pt>
                <c:pt idx="312">
                  <c:v>6.4062000000000008E-2</c:v>
                </c:pt>
                <c:pt idx="313">
                  <c:v>6.4143999999999993E-2</c:v>
                </c:pt>
                <c:pt idx="314">
                  <c:v>6.4227999999999993E-2</c:v>
                </c:pt>
                <c:pt idx="315">
                  <c:v>6.4310000000000006E-2</c:v>
                </c:pt>
                <c:pt idx="316">
                  <c:v>6.4394000000000007E-2</c:v>
                </c:pt>
                <c:pt idx="317">
                  <c:v>6.4450000000000007E-2</c:v>
                </c:pt>
                <c:pt idx="318">
                  <c:v>6.4534000000000008E-2</c:v>
                </c:pt>
                <c:pt idx="319">
                  <c:v>6.4615999999999993E-2</c:v>
                </c:pt>
                <c:pt idx="320">
                  <c:v>6.4728000000000008E-2</c:v>
                </c:pt>
                <c:pt idx="321">
                  <c:v>6.4839999999999995E-2</c:v>
                </c:pt>
                <c:pt idx="322">
                  <c:v>6.4950000000000008E-2</c:v>
                </c:pt>
                <c:pt idx="323">
                  <c:v>6.5061999999999995E-2</c:v>
                </c:pt>
                <c:pt idx="324">
                  <c:v>6.517400000000001E-2</c:v>
                </c:pt>
                <c:pt idx="325">
                  <c:v>6.5284000000000009E-2</c:v>
                </c:pt>
                <c:pt idx="326">
                  <c:v>6.5393999999999994E-2</c:v>
                </c:pt>
                <c:pt idx="327">
                  <c:v>6.5506000000000009E-2</c:v>
                </c:pt>
                <c:pt idx="328">
                  <c:v>6.5617999999999996E-2</c:v>
                </c:pt>
                <c:pt idx="329">
                  <c:v>6.5726000000000007E-2</c:v>
                </c:pt>
                <c:pt idx="330">
                  <c:v>6.5838000000000008E-2</c:v>
                </c:pt>
                <c:pt idx="331">
                  <c:v>6.5949999999999995E-2</c:v>
                </c:pt>
                <c:pt idx="332">
                  <c:v>6.606200000000001E-2</c:v>
                </c:pt>
                <c:pt idx="333">
                  <c:v>6.6172000000000009E-2</c:v>
                </c:pt>
                <c:pt idx="334">
                  <c:v>6.6283999999999996E-2</c:v>
                </c:pt>
                <c:pt idx="335">
                  <c:v>6.6395999999999997E-2</c:v>
                </c:pt>
                <c:pt idx="336">
                  <c:v>6.6505999999999996E-2</c:v>
                </c:pt>
                <c:pt idx="337">
                  <c:v>6.6615999999999995E-2</c:v>
                </c:pt>
                <c:pt idx="338">
                  <c:v>6.6727999999999996E-2</c:v>
                </c:pt>
                <c:pt idx="339">
                  <c:v>6.6839999999999997E-2</c:v>
                </c:pt>
                <c:pt idx="340">
                  <c:v>6.695000000000001E-2</c:v>
                </c:pt>
                <c:pt idx="341">
                  <c:v>6.7061999999999997E-2</c:v>
                </c:pt>
                <c:pt idx="342">
                  <c:v>6.7171999999999996E-2</c:v>
                </c:pt>
                <c:pt idx="343">
                  <c:v>6.7282000000000008E-2</c:v>
                </c:pt>
                <c:pt idx="344">
                  <c:v>6.7393999999999996E-2</c:v>
                </c:pt>
                <c:pt idx="345">
                  <c:v>6.750600000000001E-2</c:v>
                </c:pt>
                <c:pt idx="346">
                  <c:v>6.7615999999999996E-2</c:v>
                </c:pt>
                <c:pt idx="347">
                  <c:v>6.7727999999999997E-2</c:v>
                </c:pt>
                <c:pt idx="348">
                  <c:v>6.7811999999999997E-2</c:v>
                </c:pt>
                <c:pt idx="349">
                  <c:v>6.7923999999999998E-2</c:v>
                </c:pt>
                <c:pt idx="350">
                  <c:v>6.8032000000000009E-2</c:v>
                </c:pt>
                <c:pt idx="351">
                  <c:v>6.8143999999999996E-2</c:v>
                </c:pt>
                <c:pt idx="352">
                  <c:v>6.8255999999999997E-2</c:v>
                </c:pt>
                <c:pt idx="353">
                  <c:v>6.8337999999999996E-2</c:v>
                </c:pt>
                <c:pt idx="354">
                  <c:v>6.8449999999999997E-2</c:v>
                </c:pt>
                <c:pt idx="355">
                  <c:v>6.8561999999999998E-2</c:v>
                </c:pt>
                <c:pt idx="356">
                  <c:v>6.8643999999999997E-2</c:v>
                </c:pt>
                <c:pt idx="357">
                  <c:v>6.8755999999999998E-2</c:v>
                </c:pt>
                <c:pt idx="358">
                  <c:v>6.8867999999999999E-2</c:v>
                </c:pt>
                <c:pt idx="359">
                  <c:v>6.8977999999999998E-2</c:v>
                </c:pt>
                <c:pt idx="360">
                  <c:v>6.9115999999999997E-2</c:v>
                </c:pt>
                <c:pt idx="361">
                  <c:v>6.9227999999999998E-2</c:v>
                </c:pt>
                <c:pt idx="362">
                  <c:v>6.9367999999999999E-2</c:v>
                </c:pt>
                <c:pt idx="363">
                  <c:v>6.9477999999999998E-2</c:v>
                </c:pt>
                <c:pt idx="364">
                  <c:v>6.9587999999999997E-2</c:v>
                </c:pt>
                <c:pt idx="365">
                  <c:v>6.9727999999999998E-2</c:v>
                </c:pt>
                <c:pt idx="366">
                  <c:v>6.9839999999999999E-2</c:v>
                </c:pt>
                <c:pt idx="367">
                  <c:v>6.9977999999999999E-2</c:v>
                </c:pt>
                <c:pt idx="368">
                  <c:v>7.009E-2</c:v>
                </c:pt>
                <c:pt idx="369">
                  <c:v>7.0227999999999999E-2</c:v>
                </c:pt>
                <c:pt idx="370">
                  <c:v>7.0337999999999998E-2</c:v>
                </c:pt>
                <c:pt idx="371">
                  <c:v>7.0449999999999999E-2</c:v>
                </c:pt>
                <c:pt idx="372">
                  <c:v>7.059E-2</c:v>
                </c:pt>
                <c:pt idx="373">
                  <c:v>7.0699999999999999E-2</c:v>
                </c:pt>
                <c:pt idx="374">
                  <c:v>7.0812E-2</c:v>
                </c:pt>
                <c:pt idx="375">
                  <c:v>7.0924000000000001E-2</c:v>
                </c:pt>
                <c:pt idx="376">
                  <c:v>7.1034E-2</c:v>
                </c:pt>
                <c:pt idx="377">
                  <c:v>7.1143999999999999E-2</c:v>
                </c:pt>
                <c:pt idx="378">
                  <c:v>7.1256E-2</c:v>
                </c:pt>
                <c:pt idx="379">
                  <c:v>7.1368000000000001E-2</c:v>
                </c:pt>
                <c:pt idx="380">
                  <c:v>7.1478E-2</c:v>
                </c:pt>
                <c:pt idx="381">
                  <c:v>7.1590000000000001E-2</c:v>
                </c:pt>
                <c:pt idx="382">
                  <c:v>7.1702000000000002E-2</c:v>
                </c:pt>
                <c:pt idx="383">
                  <c:v>7.1809999999999999E-2</c:v>
                </c:pt>
                <c:pt idx="384">
                  <c:v>7.1919999999999998E-2</c:v>
                </c:pt>
                <c:pt idx="385">
                  <c:v>7.2031999999999999E-2</c:v>
                </c:pt>
                <c:pt idx="386">
                  <c:v>7.2144E-2</c:v>
                </c:pt>
                <c:pt idx="387">
                  <c:v>7.2253999999999999E-2</c:v>
                </c:pt>
                <c:pt idx="388">
                  <c:v>7.2368000000000002E-2</c:v>
                </c:pt>
                <c:pt idx="389">
                  <c:v>7.2508000000000003E-2</c:v>
                </c:pt>
                <c:pt idx="390">
                  <c:v>7.2644E-2</c:v>
                </c:pt>
                <c:pt idx="391">
                  <c:v>7.2784000000000001E-2</c:v>
                </c:pt>
                <c:pt idx="392">
                  <c:v>7.2924000000000003E-2</c:v>
                </c:pt>
                <c:pt idx="393">
                  <c:v>7.306E-2</c:v>
                </c:pt>
                <c:pt idx="394">
                  <c:v>7.3200000000000001E-2</c:v>
                </c:pt>
                <c:pt idx="395">
                  <c:v>7.3340000000000002E-2</c:v>
                </c:pt>
                <c:pt idx="396">
                  <c:v>7.3476E-2</c:v>
                </c:pt>
                <c:pt idx="397">
                  <c:v>7.3616000000000001E-2</c:v>
                </c:pt>
                <c:pt idx="398">
                  <c:v>7.3728000000000002E-2</c:v>
                </c:pt>
                <c:pt idx="399">
                  <c:v>7.3868000000000003E-2</c:v>
                </c:pt>
                <c:pt idx="400">
                  <c:v>7.4006000000000002E-2</c:v>
                </c:pt>
                <c:pt idx="401">
                  <c:v>7.4116000000000001E-2</c:v>
                </c:pt>
                <c:pt idx="402">
                  <c:v>7.4256000000000003E-2</c:v>
                </c:pt>
                <c:pt idx="403">
                  <c:v>7.4394000000000002E-2</c:v>
                </c:pt>
                <c:pt idx="404">
                  <c:v>7.4506000000000003E-2</c:v>
                </c:pt>
                <c:pt idx="405">
                  <c:v>7.4644000000000002E-2</c:v>
                </c:pt>
                <c:pt idx="406">
                  <c:v>7.4786000000000005E-2</c:v>
                </c:pt>
                <c:pt idx="407">
                  <c:v>7.4894000000000002E-2</c:v>
                </c:pt>
                <c:pt idx="408">
                  <c:v>7.5032000000000001E-2</c:v>
                </c:pt>
                <c:pt idx="409">
                  <c:v>7.5144000000000002E-2</c:v>
                </c:pt>
                <c:pt idx="410">
                  <c:v>7.5284000000000004E-2</c:v>
                </c:pt>
                <c:pt idx="411">
                  <c:v>7.5396000000000005E-2</c:v>
                </c:pt>
                <c:pt idx="412">
                  <c:v>7.5534000000000004E-2</c:v>
                </c:pt>
                <c:pt idx="413">
                  <c:v>7.5700000000000003E-2</c:v>
                </c:pt>
                <c:pt idx="414">
                  <c:v>7.5838000000000003E-2</c:v>
                </c:pt>
                <c:pt idx="415">
                  <c:v>7.5976000000000002E-2</c:v>
                </c:pt>
                <c:pt idx="416">
                  <c:v>7.6144000000000003E-2</c:v>
                </c:pt>
                <c:pt idx="417">
                  <c:v>7.6284000000000005E-2</c:v>
                </c:pt>
                <c:pt idx="418">
                  <c:v>7.6422000000000004E-2</c:v>
                </c:pt>
                <c:pt idx="419">
                  <c:v>7.6560000000000003E-2</c:v>
                </c:pt>
                <c:pt idx="420">
                  <c:v>7.6700000000000004E-2</c:v>
                </c:pt>
                <c:pt idx="421">
                  <c:v>7.6840000000000006E-2</c:v>
                </c:pt>
                <c:pt idx="422">
                  <c:v>7.6978000000000005E-2</c:v>
                </c:pt>
                <c:pt idx="423">
                  <c:v>7.7118000000000006E-2</c:v>
                </c:pt>
                <c:pt idx="424">
                  <c:v>7.7256000000000005E-2</c:v>
                </c:pt>
                <c:pt idx="425">
                  <c:v>7.7394000000000004E-2</c:v>
                </c:pt>
                <c:pt idx="426">
                  <c:v>7.753199999999999E-2</c:v>
                </c:pt>
                <c:pt idx="427">
                  <c:v>7.7672000000000005E-2</c:v>
                </c:pt>
                <c:pt idx="428">
                  <c:v>7.780999999999999E-2</c:v>
                </c:pt>
                <c:pt idx="429">
                  <c:v>7.7950000000000005E-2</c:v>
                </c:pt>
                <c:pt idx="430">
                  <c:v>7.8090000000000007E-2</c:v>
                </c:pt>
                <c:pt idx="431">
                  <c:v>7.8228000000000006E-2</c:v>
                </c:pt>
                <c:pt idx="432">
                  <c:v>7.8368000000000007E-2</c:v>
                </c:pt>
                <c:pt idx="433">
                  <c:v>7.8533999999999993E-2</c:v>
                </c:pt>
                <c:pt idx="434">
                  <c:v>7.8701999999999994E-2</c:v>
                </c:pt>
                <c:pt idx="435">
                  <c:v>7.8838000000000005E-2</c:v>
                </c:pt>
                <c:pt idx="436">
                  <c:v>7.9005999999999993E-2</c:v>
                </c:pt>
                <c:pt idx="437">
                  <c:v>7.9143999999999992E-2</c:v>
                </c:pt>
                <c:pt idx="438">
                  <c:v>7.9311999999999994E-2</c:v>
                </c:pt>
                <c:pt idx="439">
                  <c:v>7.9451999999999995E-2</c:v>
                </c:pt>
                <c:pt idx="440">
                  <c:v>7.9615999999999992E-2</c:v>
                </c:pt>
                <c:pt idx="441">
                  <c:v>7.9755999999999994E-2</c:v>
                </c:pt>
                <c:pt idx="442">
                  <c:v>7.9893999999999993E-2</c:v>
                </c:pt>
                <c:pt idx="443">
                  <c:v>8.0061999999999994E-2</c:v>
                </c:pt>
                <c:pt idx="444">
                  <c:v>8.0199999999999994E-2</c:v>
                </c:pt>
                <c:pt idx="445">
                  <c:v>8.0337999999999993E-2</c:v>
                </c:pt>
                <c:pt idx="446">
                  <c:v>8.0478000000000008E-2</c:v>
                </c:pt>
                <c:pt idx="447">
                  <c:v>8.0616000000000007E-2</c:v>
                </c:pt>
                <c:pt idx="448">
                  <c:v>8.0755999999999994E-2</c:v>
                </c:pt>
                <c:pt idx="449">
                  <c:v>8.089600000000001E-2</c:v>
                </c:pt>
                <c:pt idx="450">
                  <c:v>8.1059999999999993E-2</c:v>
                </c:pt>
                <c:pt idx="451">
                  <c:v>8.1226000000000007E-2</c:v>
                </c:pt>
                <c:pt idx="452">
                  <c:v>8.1394000000000008E-2</c:v>
                </c:pt>
                <c:pt idx="453">
                  <c:v>8.1560000000000007E-2</c:v>
                </c:pt>
                <c:pt idx="454">
                  <c:v>8.1729999999999997E-2</c:v>
                </c:pt>
                <c:pt idx="455">
                  <c:v>8.189600000000001E-2</c:v>
                </c:pt>
                <c:pt idx="456">
                  <c:v>8.2059999999999994E-2</c:v>
                </c:pt>
                <c:pt idx="457">
                  <c:v>8.2227999999999996E-2</c:v>
                </c:pt>
                <c:pt idx="458">
                  <c:v>8.2395999999999997E-2</c:v>
                </c:pt>
                <c:pt idx="459">
                  <c:v>8.2533999999999996E-2</c:v>
                </c:pt>
                <c:pt idx="460">
                  <c:v>8.2699999999999996E-2</c:v>
                </c:pt>
                <c:pt idx="461">
                  <c:v>8.2840000000000011E-2</c:v>
                </c:pt>
                <c:pt idx="462">
                  <c:v>8.3005999999999996E-2</c:v>
                </c:pt>
                <c:pt idx="463">
                  <c:v>8.3145999999999998E-2</c:v>
                </c:pt>
                <c:pt idx="464">
                  <c:v>8.3312000000000011E-2</c:v>
                </c:pt>
                <c:pt idx="465">
                  <c:v>8.3477999999999997E-2</c:v>
                </c:pt>
                <c:pt idx="466">
                  <c:v>8.3643999999999996E-2</c:v>
                </c:pt>
                <c:pt idx="467">
                  <c:v>8.3811999999999998E-2</c:v>
                </c:pt>
                <c:pt idx="468">
                  <c:v>8.3977999999999997E-2</c:v>
                </c:pt>
                <c:pt idx="469">
                  <c:v>8.414400000000001E-2</c:v>
                </c:pt>
                <c:pt idx="470">
                  <c:v>8.4309999999999996E-2</c:v>
                </c:pt>
                <c:pt idx="471">
                  <c:v>8.4478000000000011E-2</c:v>
                </c:pt>
                <c:pt idx="472">
                  <c:v>8.4643999999999997E-2</c:v>
                </c:pt>
                <c:pt idx="473">
                  <c:v>8.4811999999999999E-2</c:v>
                </c:pt>
                <c:pt idx="474">
                  <c:v>8.4975999999999996E-2</c:v>
                </c:pt>
                <c:pt idx="475">
                  <c:v>8.5143999999999997E-2</c:v>
                </c:pt>
                <c:pt idx="476">
                  <c:v>8.5311999999999999E-2</c:v>
                </c:pt>
                <c:pt idx="477">
                  <c:v>8.5477999999999998E-2</c:v>
                </c:pt>
                <c:pt idx="478">
                  <c:v>8.5671999999999998E-2</c:v>
                </c:pt>
                <c:pt idx="479">
                  <c:v>8.5866000000000012E-2</c:v>
                </c:pt>
                <c:pt idx="480">
                  <c:v>8.6033999999999999E-2</c:v>
                </c:pt>
                <c:pt idx="481">
                  <c:v>8.6227999999999999E-2</c:v>
                </c:pt>
                <c:pt idx="482">
                  <c:v>8.6396000000000001E-2</c:v>
                </c:pt>
                <c:pt idx="483">
                  <c:v>8.6562E-2</c:v>
                </c:pt>
                <c:pt idx="484">
                  <c:v>8.6728E-2</c:v>
                </c:pt>
                <c:pt idx="485">
                  <c:v>8.6896000000000001E-2</c:v>
                </c:pt>
                <c:pt idx="486">
                  <c:v>8.7062000000000014E-2</c:v>
                </c:pt>
                <c:pt idx="487">
                  <c:v>8.7225999999999998E-2</c:v>
                </c:pt>
                <c:pt idx="488">
                  <c:v>8.7395999999999988E-2</c:v>
                </c:pt>
                <c:pt idx="489">
                  <c:v>8.7559999999999999E-2</c:v>
                </c:pt>
                <c:pt idx="490">
                  <c:v>8.7728E-2</c:v>
                </c:pt>
                <c:pt idx="491">
                  <c:v>8.7924000000000002E-2</c:v>
                </c:pt>
                <c:pt idx="492">
                  <c:v>8.8116E-2</c:v>
                </c:pt>
                <c:pt idx="493">
                  <c:v>8.8312000000000002E-2</c:v>
                </c:pt>
                <c:pt idx="494">
                  <c:v>8.8506000000000001E-2</c:v>
                </c:pt>
                <c:pt idx="495">
                  <c:v>8.8699999999999987E-2</c:v>
                </c:pt>
                <c:pt idx="496">
                  <c:v>8.8894000000000001E-2</c:v>
                </c:pt>
                <c:pt idx="497">
                  <c:v>8.9090000000000003E-2</c:v>
                </c:pt>
                <c:pt idx="498">
                  <c:v>8.9284000000000002E-2</c:v>
                </c:pt>
                <c:pt idx="499">
                  <c:v>8.9478000000000002E-2</c:v>
                </c:pt>
                <c:pt idx="500">
                  <c:v>8.9672000000000002E-2</c:v>
                </c:pt>
                <c:pt idx="501">
                  <c:v>8.9868000000000003E-2</c:v>
                </c:pt>
                <c:pt idx="502">
                  <c:v>9.0062000000000003E-2</c:v>
                </c:pt>
                <c:pt idx="503">
                  <c:v>9.0256000000000003E-2</c:v>
                </c:pt>
                <c:pt idx="504">
                  <c:v>9.0450000000000003E-2</c:v>
                </c:pt>
                <c:pt idx="505">
                  <c:v>9.0643999999999988E-2</c:v>
                </c:pt>
                <c:pt idx="506">
                  <c:v>9.0838000000000002E-2</c:v>
                </c:pt>
                <c:pt idx="507">
                  <c:v>9.1034000000000004E-2</c:v>
                </c:pt>
                <c:pt idx="508">
                  <c:v>9.1228000000000004E-2</c:v>
                </c:pt>
                <c:pt idx="509">
                  <c:v>9.1422000000000003E-2</c:v>
                </c:pt>
                <c:pt idx="510">
                  <c:v>9.1617999999999991E-2</c:v>
                </c:pt>
                <c:pt idx="511">
                  <c:v>9.1812000000000005E-2</c:v>
                </c:pt>
                <c:pt idx="512">
                  <c:v>9.2005999999999991E-2</c:v>
                </c:pt>
                <c:pt idx="513">
                  <c:v>9.2227999999999991E-2</c:v>
                </c:pt>
                <c:pt idx="514">
                  <c:v>9.2452000000000006E-2</c:v>
                </c:pt>
                <c:pt idx="515">
                  <c:v>9.2672000000000004E-2</c:v>
                </c:pt>
                <c:pt idx="516">
                  <c:v>9.2867999999999992E-2</c:v>
                </c:pt>
                <c:pt idx="517">
                  <c:v>9.3089999999999992E-2</c:v>
                </c:pt>
                <c:pt idx="518">
                  <c:v>9.3312000000000006E-2</c:v>
                </c:pt>
                <c:pt idx="519">
                  <c:v>9.3506000000000006E-2</c:v>
                </c:pt>
                <c:pt idx="520">
                  <c:v>9.3699999999999992E-2</c:v>
                </c:pt>
                <c:pt idx="521">
                  <c:v>9.3924000000000007E-2</c:v>
                </c:pt>
                <c:pt idx="522">
                  <c:v>9.4144000000000005E-2</c:v>
                </c:pt>
                <c:pt idx="523">
                  <c:v>9.4366000000000005E-2</c:v>
                </c:pt>
                <c:pt idx="524">
                  <c:v>9.4588000000000005E-2</c:v>
                </c:pt>
                <c:pt idx="525">
                  <c:v>9.4811999999999994E-2</c:v>
                </c:pt>
                <c:pt idx="526">
                  <c:v>9.5031999999999991E-2</c:v>
                </c:pt>
                <c:pt idx="527">
                  <c:v>9.5256000000000007E-2</c:v>
                </c:pt>
                <c:pt idx="528">
                  <c:v>9.5478000000000007E-2</c:v>
                </c:pt>
                <c:pt idx="529">
                  <c:v>9.5698000000000005E-2</c:v>
                </c:pt>
                <c:pt idx="530">
                  <c:v>9.5950000000000008E-2</c:v>
                </c:pt>
                <c:pt idx="531">
                  <c:v>9.620200000000001E-2</c:v>
                </c:pt>
                <c:pt idx="532">
                  <c:v>9.6422000000000008E-2</c:v>
                </c:pt>
                <c:pt idx="533">
                  <c:v>9.667400000000001E-2</c:v>
                </c:pt>
                <c:pt idx="534">
                  <c:v>9.6921999999999994E-2</c:v>
                </c:pt>
                <c:pt idx="535">
                  <c:v>9.714600000000001E-2</c:v>
                </c:pt>
                <c:pt idx="536">
                  <c:v>9.7363999999999992E-2</c:v>
                </c:pt>
                <c:pt idx="537">
                  <c:v>9.759000000000001E-2</c:v>
                </c:pt>
                <c:pt idx="538">
                  <c:v>9.784000000000001E-2</c:v>
                </c:pt>
                <c:pt idx="539">
                  <c:v>9.8087999999999995E-2</c:v>
                </c:pt>
                <c:pt idx="540">
                  <c:v>9.8339999999999997E-2</c:v>
                </c:pt>
                <c:pt idx="541">
                  <c:v>9.8588000000000009E-2</c:v>
                </c:pt>
                <c:pt idx="542">
                  <c:v>9.8838000000000009E-2</c:v>
                </c:pt>
                <c:pt idx="543">
                  <c:v>9.9090000000000011E-2</c:v>
                </c:pt>
                <c:pt idx="544">
                  <c:v>9.9339999999999998E-2</c:v>
                </c:pt>
                <c:pt idx="545">
                  <c:v>9.9589999999999998E-2</c:v>
                </c:pt>
                <c:pt idx="546">
                  <c:v>9.983800000000001E-2</c:v>
                </c:pt>
                <c:pt idx="547">
                  <c:v>0.10009</c:v>
                </c:pt>
                <c:pt idx="548">
                  <c:v>0.10034000000000001</c:v>
                </c:pt>
                <c:pt idx="549">
                  <c:v>0.100588</c:v>
                </c:pt>
                <c:pt idx="550">
                  <c:v>0.10084</c:v>
                </c:pt>
                <c:pt idx="551">
                  <c:v>0.10108800000000001</c:v>
                </c:pt>
                <c:pt idx="552">
                  <c:v>0.10134</c:v>
                </c:pt>
                <c:pt idx="553">
                  <c:v>0.10159000000000001</c:v>
                </c:pt>
                <c:pt idx="554">
                  <c:v>0.101838</c:v>
                </c:pt>
                <c:pt idx="555">
                  <c:v>0.10209</c:v>
                </c:pt>
                <c:pt idx="556">
                  <c:v>0.10234</c:v>
                </c:pt>
                <c:pt idx="557">
                  <c:v>0.10258800000000001</c:v>
                </c:pt>
                <c:pt idx="558">
                  <c:v>0.102838</c:v>
                </c:pt>
                <c:pt idx="559">
                  <c:v>0.10308999999999999</c:v>
                </c:pt>
                <c:pt idx="560">
                  <c:v>0.10336600000000001</c:v>
                </c:pt>
                <c:pt idx="561">
                  <c:v>0.10364599999999999</c:v>
                </c:pt>
                <c:pt idx="562">
                  <c:v>0.103924</c:v>
                </c:pt>
                <c:pt idx="563">
                  <c:v>0.104198</c:v>
                </c:pt>
                <c:pt idx="564">
                  <c:v>0.10447800000000002</c:v>
                </c:pt>
                <c:pt idx="565">
                  <c:v>0.104756</c:v>
                </c:pt>
                <c:pt idx="566">
                  <c:v>0.10503399999999999</c:v>
                </c:pt>
                <c:pt idx="567">
                  <c:v>0.10531</c:v>
                </c:pt>
                <c:pt idx="568">
                  <c:v>0.10558999999999999</c:v>
                </c:pt>
                <c:pt idx="569">
                  <c:v>0.105866</c:v>
                </c:pt>
                <c:pt idx="570">
                  <c:v>0.106144</c:v>
                </c:pt>
                <c:pt idx="571">
                  <c:v>0.106422</c:v>
                </c:pt>
                <c:pt idx="572">
                  <c:v>0.1067</c:v>
                </c:pt>
                <c:pt idx="573">
                  <c:v>0.10700599999999999</c:v>
                </c:pt>
                <c:pt idx="574">
                  <c:v>0.10731</c:v>
                </c:pt>
                <c:pt idx="575">
                  <c:v>0.10761599999999999</c:v>
                </c:pt>
                <c:pt idx="576">
                  <c:v>0.10792199999999999</c:v>
                </c:pt>
                <c:pt idx="577">
                  <c:v>0.10822599999999999</c:v>
                </c:pt>
                <c:pt idx="578">
                  <c:v>0.10853199999999999</c:v>
                </c:pt>
                <c:pt idx="579">
                  <c:v>0.108838</c:v>
                </c:pt>
                <c:pt idx="580">
                  <c:v>0.109144</c:v>
                </c:pt>
                <c:pt idx="581">
                  <c:v>0.10945000000000001</c:v>
                </c:pt>
                <c:pt idx="582">
                  <c:v>0.109754</c:v>
                </c:pt>
                <c:pt idx="583">
                  <c:v>0.11006199999999999</c:v>
                </c:pt>
                <c:pt idx="584">
                  <c:v>0.11039199999999999</c:v>
                </c:pt>
                <c:pt idx="585">
                  <c:v>0.11072800000000001</c:v>
                </c:pt>
                <c:pt idx="586">
                  <c:v>0.11106199999999999</c:v>
                </c:pt>
                <c:pt idx="587">
                  <c:v>0.111396</c:v>
                </c:pt>
                <c:pt idx="588">
                  <c:v>0.111702</c:v>
                </c:pt>
                <c:pt idx="589">
                  <c:v>0.11200599999999999</c:v>
                </c:pt>
                <c:pt idx="590">
                  <c:v>0.112312</c:v>
                </c:pt>
                <c:pt idx="591">
                  <c:v>0.11261599999999999</c:v>
                </c:pt>
                <c:pt idx="592">
                  <c:v>0.11294999999999999</c:v>
                </c:pt>
                <c:pt idx="593">
                  <c:v>0.113258</c:v>
                </c:pt>
                <c:pt idx="594">
                  <c:v>0.113562</c:v>
                </c:pt>
                <c:pt idx="595">
                  <c:v>0.113896</c:v>
                </c:pt>
                <c:pt idx="596">
                  <c:v>0.11422599999999999</c:v>
                </c:pt>
                <c:pt idx="597">
                  <c:v>0.11456200000000001</c:v>
                </c:pt>
                <c:pt idx="598">
                  <c:v>0.114894</c:v>
                </c:pt>
                <c:pt idx="599">
                  <c:v>0.115228</c:v>
                </c:pt>
                <c:pt idx="600">
                  <c:v>0.11559</c:v>
                </c:pt>
                <c:pt idx="601">
                  <c:v>0.11595000000000001</c:v>
                </c:pt>
                <c:pt idx="602">
                  <c:v>0.116312</c:v>
                </c:pt>
                <c:pt idx="603">
                  <c:v>0.116672</c:v>
                </c:pt>
                <c:pt idx="604">
                  <c:v>0.117006</c:v>
                </c:pt>
                <c:pt idx="605">
                  <c:v>0.117366</c:v>
                </c:pt>
                <c:pt idx="606">
                  <c:v>0.117728</c:v>
                </c:pt>
                <c:pt idx="607">
                  <c:v>0.11808999999999999</c:v>
                </c:pt>
                <c:pt idx="608">
                  <c:v>0.118448</c:v>
                </c:pt>
                <c:pt idx="609">
                  <c:v>0.11884</c:v>
                </c:pt>
                <c:pt idx="610">
                  <c:v>0.119228</c:v>
                </c:pt>
                <c:pt idx="611">
                  <c:v>0.119616</c:v>
                </c:pt>
                <c:pt idx="612">
                  <c:v>0.119978</c:v>
                </c:pt>
                <c:pt idx="613">
                  <c:v>0.120338</c:v>
                </c:pt>
                <c:pt idx="614">
                  <c:v>0.120728</c:v>
                </c:pt>
                <c:pt idx="615">
                  <c:v>0.12111599999999999</c:v>
                </c:pt>
                <c:pt idx="616">
                  <c:v>0.121506</c:v>
                </c:pt>
                <c:pt idx="617">
                  <c:v>0.121866</c:v>
                </c:pt>
                <c:pt idx="618">
                  <c:v>0.122256</c:v>
                </c:pt>
                <c:pt idx="619">
                  <c:v>0.122644</c:v>
                </c:pt>
                <c:pt idx="620">
                  <c:v>0.123034</c:v>
                </c:pt>
                <c:pt idx="621">
                  <c:v>0.12342</c:v>
                </c:pt>
                <c:pt idx="622">
                  <c:v>0.12381199999999999</c:v>
                </c:pt>
                <c:pt idx="623">
                  <c:v>0.12422800000000001</c:v>
                </c:pt>
                <c:pt idx="624">
                  <c:v>0.12461800000000001</c:v>
                </c:pt>
                <c:pt idx="625">
                  <c:v>0.12503399999999998</c:v>
                </c:pt>
                <c:pt idx="626">
                  <c:v>0.12545000000000001</c:v>
                </c:pt>
                <c:pt idx="627">
                  <c:v>0.12586600000000001</c:v>
                </c:pt>
                <c:pt idx="628">
                  <c:v>0.12628600000000001</c:v>
                </c:pt>
                <c:pt idx="629">
                  <c:v>0.12670000000000001</c:v>
                </c:pt>
                <c:pt idx="630">
                  <c:v>0.12711800000000001</c:v>
                </c:pt>
                <c:pt idx="631">
                  <c:v>0.12753399999999998</c:v>
                </c:pt>
                <c:pt idx="632">
                  <c:v>0.12795199999999998</c:v>
                </c:pt>
                <c:pt idx="633">
                  <c:v>0.12839400000000001</c:v>
                </c:pt>
                <c:pt idx="634">
                  <c:v>0.12883800000000001</c:v>
                </c:pt>
                <c:pt idx="635">
                  <c:v>0.12928400000000001</c:v>
                </c:pt>
                <c:pt idx="636">
                  <c:v>0.12972600000000001</c:v>
                </c:pt>
                <c:pt idx="637">
                  <c:v>0.13017400000000001</c:v>
                </c:pt>
                <c:pt idx="638">
                  <c:v>0.13061800000000001</c:v>
                </c:pt>
                <c:pt idx="639">
                  <c:v>0.13106199999999998</c:v>
                </c:pt>
                <c:pt idx="640">
                  <c:v>0.13150600000000001</c:v>
                </c:pt>
                <c:pt idx="641">
                  <c:v>0.13195000000000001</c:v>
                </c:pt>
                <c:pt idx="642">
                  <c:v>0.13242200000000001</c:v>
                </c:pt>
                <c:pt idx="643">
                  <c:v>0.13289600000000001</c:v>
                </c:pt>
                <c:pt idx="644">
                  <c:v>0.13336800000000001</c:v>
                </c:pt>
                <c:pt idx="645">
                  <c:v>0.13384000000000001</c:v>
                </c:pt>
                <c:pt idx="646">
                  <c:v>0.13430999999999998</c:v>
                </c:pt>
                <c:pt idx="647">
                  <c:v>0.13478400000000001</c:v>
                </c:pt>
                <c:pt idx="648">
                  <c:v>0.13525600000000002</c:v>
                </c:pt>
                <c:pt idx="649">
                  <c:v>0.13575599999999999</c:v>
                </c:pt>
                <c:pt idx="650">
                  <c:v>0.13625600000000002</c:v>
                </c:pt>
                <c:pt idx="651">
                  <c:v>0.13678399999999999</c:v>
                </c:pt>
                <c:pt idx="652">
                  <c:v>0.13730999999999999</c:v>
                </c:pt>
                <c:pt idx="653">
                  <c:v>0.13784000000000002</c:v>
                </c:pt>
                <c:pt idx="654">
                  <c:v>0.13836799999999999</c:v>
                </c:pt>
                <c:pt idx="655">
                  <c:v>0.13889399999999999</c:v>
                </c:pt>
                <c:pt idx="656">
                  <c:v>0.13944999999999999</c:v>
                </c:pt>
                <c:pt idx="657">
                  <c:v>0.13997799999999999</c:v>
                </c:pt>
                <c:pt idx="658">
                  <c:v>0.14053399999999999</c:v>
                </c:pt>
                <c:pt idx="659">
                  <c:v>0.14108799999999999</c:v>
                </c:pt>
                <c:pt idx="660">
                  <c:v>0.14164599999999999</c:v>
                </c:pt>
                <c:pt idx="661">
                  <c:v>0.14219999999999999</c:v>
                </c:pt>
                <c:pt idx="662">
                  <c:v>0.14275399999999999</c:v>
                </c:pt>
                <c:pt idx="663">
                  <c:v>0.14334</c:v>
                </c:pt>
                <c:pt idx="664">
                  <c:v>0.143952</c:v>
                </c:pt>
              </c:numCache>
            </c:numRef>
          </c:cat>
          <c:val>
            <c:numRef>
              <c:f>'A21-3'!$F$2:$F$666</c:f>
              <c:numCache>
                <c:formatCode>0.00</c:formatCode>
                <c:ptCount val="665"/>
                <c:pt idx="0">
                  <c:v>0</c:v>
                </c:pt>
                <c:pt idx="1">
                  <c:v>0.16584387974945428</c:v>
                </c:pt>
                <c:pt idx="2">
                  <c:v>0.16584387974945428</c:v>
                </c:pt>
                <c:pt idx="3">
                  <c:v>0.16988885242627019</c:v>
                </c:pt>
                <c:pt idx="4">
                  <c:v>0.16988885242627019</c:v>
                </c:pt>
                <c:pt idx="5">
                  <c:v>0.16988885242627019</c:v>
                </c:pt>
                <c:pt idx="6">
                  <c:v>0.17393144710621561</c:v>
                </c:pt>
                <c:pt idx="7">
                  <c:v>0.17393144710621561</c:v>
                </c:pt>
                <c:pt idx="8">
                  <c:v>0.17797641978303161</c:v>
                </c:pt>
                <c:pt idx="9">
                  <c:v>0.17797641978303161</c:v>
                </c:pt>
                <c:pt idx="10">
                  <c:v>0.18202139245984753</c:v>
                </c:pt>
                <c:pt idx="11">
                  <c:v>0.18202139245984753</c:v>
                </c:pt>
                <c:pt idx="12">
                  <c:v>0.1860663651366635</c:v>
                </c:pt>
                <c:pt idx="13">
                  <c:v>0.19011133781347944</c:v>
                </c:pt>
                <c:pt idx="14">
                  <c:v>0.19415631049029541</c:v>
                </c:pt>
                <c:pt idx="15">
                  <c:v>0.19415631049029541</c:v>
                </c:pt>
                <c:pt idx="16">
                  <c:v>0.19820128316711136</c:v>
                </c:pt>
                <c:pt idx="17">
                  <c:v>0.2022462558439273</c:v>
                </c:pt>
                <c:pt idx="18">
                  <c:v>0.20629122852074327</c:v>
                </c:pt>
                <c:pt idx="19">
                  <c:v>0.20629122852074327</c:v>
                </c:pt>
                <c:pt idx="20">
                  <c:v>0.21033620119755925</c:v>
                </c:pt>
                <c:pt idx="21">
                  <c:v>0.21033620119755925</c:v>
                </c:pt>
                <c:pt idx="22">
                  <c:v>0.21438117387437522</c:v>
                </c:pt>
                <c:pt idx="23">
                  <c:v>0.21438117387437522</c:v>
                </c:pt>
                <c:pt idx="24">
                  <c:v>0.21438117387437522</c:v>
                </c:pt>
                <c:pt idx="25">
                  <c:v>0.21438117387437522</c:v>
                </c:pt>
                <c:pt idx="26">
                  <c:v>0.21438117387437522</c:v>
                </c:pt>
                <c:pt idx="27">
                  <c:v>0.21438117387437522</c:v>
                </c:pt>
                <c:pt idx="28">
                  <c:v>0.21438117387437522</c:v>
                </c:pt>
                <c:pt idx="29">
                  <c:v>0.21842614655119114</c:v>
                </c:pt>
                <c:pt idx="30">
                  <c:v>0.21842614655119114</c:v>
                </c:pt>
                <c:pt idx="31">
                  <c:v>0.21842614655119114</c:v>
                </c:pt>
                <c:pt idx="32">
                  <c:v>0.21842614655119114</c:v>
                </c:pt>
                <c:pt idx="33">
                  <c:v>0.21842614655119114</c:v>
                </c:pt>
                <c:pt idx="34">
                  <c:v>0.21842614655119114</c:v>
                </c:pt>
                <c:pt idx="35">
                  <c:v>0.22247111922800711</c:v>
                </c:pt>
                <c:pt idx="36">
                  <c:v>0.22247111922800711</c:v>
                </c:pt>
                <c:pt idx="37">
                  <c:v>0.22247111922800711</c:v>
                </c:pt>
                <c:pt idx="38">
                  <c:v>0.22651609190482305</c:v>
                </c:pt>
                <c:pt idx="39">
                  <c:v>0.22651609190482305</c:v>
                </c:pt>
                <c:pt idx="40">
                  <c:v>0.23056106458163905</c:v>
                </c:pt>
                <c:pt idx="41">
                  <c:v>0.23056106458163905</c:v>
                </c:pt>
                <c:pt idx="42">
                  <c:v>0.23056106458163905</c:v>
                </c:pt>
                <c:pt idx="43">
                  <c:v>0.23056106458163905</c:v>
                </c:pt>
                <c:pt idx="44">
                  <c:v>0.23056106458163905</c:v>
                </c:pt>
                <c:pt idx="45">
                  <c:v>0.23056106458163905</c:v>
                </c:pt>
                <c:pt idx="46">
                  <c:v>0.23056106458163905</c:v>
                </c:pt>
                <c:pt idx="47">
                  <c:v>0.23056106458163905</c:v>
                </c:pt>
                <c:pt idx="48">
                  <c:v>0.23056106458163905</c:v>
                </c:pt>
                <c:pt idx="49">
                  <c:v>0.22651609190482305</c:v>
                </c:pt>
                <c:pt idx="50">
                  <c:v>0.22651609190482305</c:v>
                </c:pt>
                <c:pt idx="51">
                  <c:v>0.22651609190482305</c:v>
                </c:pt>
                <c:pt idx="52">
                  <c:v>0.22651609190482305</c:v>
                </c:pt>
                <c:pt idx="53">
                  <c:v>0.22651609190482305</c:v>
                </c:pt>
                <c:pt idx="54">
                  <c:v>0.22651609190482305</c:v>
                </c:pt>
                <c:pt idx="55">
                  <c:v>0.22651609190482305</c:v>
                </c:pt>
                <c:pt idx="56">
                  <c:v>0.22651609190482305</c:v>
                </c:pt>
                <c:pt idx="57">
                  <c:v>0.23056106458163905</c:v>
                </c:pt>
                <c:pt idx="58">
                  <c:v>0.23056106458163905</c:v>
                </c:pt>
                <c:pt idx="59">
                  <c:v>0.23056106458163905</c:v>
                </c:pt>
                <c:pt idx="60">
                  <c:v>0.23056106458163905</c:v>
                </c:pt>
                <c:pt idx="61">
                  <c:v>0.234606037258455</c:v>
                </c:pt>
                <c:pt idx="62">
                  <c:v>0.234606037258455</c:v>
                </c:pt>
                <c:pt idx="63">
                  <c:v>0.234606037258455</c:v>
                </c:pt>
                <c:pt idx="64">
                  <c:v>0.234606037258455</c:v>
                </c:pt>
                <c:pt idx="65">
                  <c:v>0.234606037258455</c:v>
                </c:pt>
                <c:pt idx="66">
                  <c:v>0.234606037258455</c:v>
                </c:pt>
                <c:pt idx="67">
                  <c:v>0.23865576592901203</c:v>
                </c:pt>
                <c:pt idx="68">
                  <c:v>0.24269836060895744</c:v>
                </c:pt>
                <c:pt idx="69">
                  <c:v>0.24269836060895744</c:v>
                </c:pt>
                <c:pt idx="70">
                  <c:v>0.24674095528890286</c:v>
                </c:pt>
                <c:pt idx="71">
                  <c:v>0.25078354996884822</c:v>
                </c:pt>
                <c:pt idx="72">
                  <c:v>0.25078354996884822</c:v>
                </c:pt>
                <c:pt idx="73">
                  <c:v>0.25482614464879366</c:v>
                </c:pt>
                <c:pt idx="74">
                  <c:v>0.25482614464879366</c:v>
                </c:pt>
                <c:pt idx="75">
                  <c:v>0.25482614464879366</c:v>
                </c:pt>
                <c:pt idx="76">
                  <c:v>0.25078354996884822</c:v>
                </c:pt>
                <c:pt idx="77">
                  <c:v>0.25078354996884822</c:v>
                </c:pt>
                <c:pt idx="78">
                  <c:v>0.25482614464879366</c:v>
                </c:pt>
                <c:pt idx="79">
                  <c:v>0.25482614464879366</c:v>
                </c:pt>
                <c:pt idx="80">
                  <c:v>0.25886873932873905</c:v>
                </c:pt>
                <c:pt idx="81">
                  <c:v>0.25886873932873905</c:v>
                </c:pt>
                <c:pt idx="82">
                  <c:v>0.25886873932873905</c:v>
                </c:pt>
                <c:pt idx="83">
                  <c:v>0.26291133400868444</c:v>
                </c:pt>
                <c:pt idx="84">
                  <c:v>0.26697770865733544</c:v>
                </c:pt>
                <c:pt idx="85">
                  <c:v>0.27102030333728083</c:v>
                </c:pt>
                <c:pt idx="86">
                  <c:v>0.27102030333728083</c:v>
                </c:pt>
                <c:pt idx="87">
                  <c:v>0.27102030333728083</c:v>
                </c:pt>
                <c:pt idx="88">
                  <c:v>0.27506289801722628</c:v>
                </c:pt>
                <c:pt idx="89">
                  <c:v>0.27910549269717161</c:v>
                </c:pt>
                <c:pt idx="90">
                  <c:v>0.27910549269717161</c:v>
                </c:pt>
                <c:pt idx="91">
                  <c:v>0.283148087377117</c:v>
                </c:pt>
                <c:pt idx="92">
                  <c:v>0.28719068205706244</c:v>
                </c:pt>
                <c:pt idx="93">
                  <c:v>0.28719068205706244</c:v>
                </c:pt>
                <c:pt idx="94">
                  <c:v>0.28719068205706244</c:v>
                </c:pt>
                <c:pt idx="95">
                  <c:v>0.28719068205706244</c:v>
                </c:pt>
                <c:pt idx="96">
                  <c:v>0.28719068205706244</c:v>
                </c:pt>
                <c:pt idx="97">
                  <c:v>0.28719068205706244</c:v>
                </c:pt>
                <c:pt idx="98">
                  <c:v>0.29123327673700783</c:v>
                </c:pt>
                <c:pt idx="99">
                  <c:v>0.29527587141695322</c:v>
                </c:pt>
                <c:pt idx="100">
                  <c:v>0.29527587141695322</c:v>
                </c:pt>
                <c:pt idx="101">
                  <c:v>0.29931846609689866</c:v>
                </c:pt>
                <c:pt idx="102">
                  <c:v>0.29931846609689866</c:v>
                </c:pt>
                <c:pt idx="103">
                  <c:v>0.29931846609689866</c:v>
                </c:pt>
                <c:pt idx="104">
                  <c:v>0.29931846609689866</c:v>
                </c:pt>
                <c:pt idx="105">
                  <c:v>0.29931846609689866</c:v>
                </c:pt>
                <c:pt idx="106">
                  <c:v>0.29931846609689866</c:v>
                </c:pt>
                <c:pt idx="107">
                  <c:v>0.29931846609689866</c:v>
                </c:pt>
                <c:pt idx="108">
                  <c:v>0.29931846609689866</c:v>
                </c:pt>
                <c:pt idx="109">
                  <c:v>0.29931846609689866</c:v>
                </c:pt>
                <c:pt idx="110">
                  <c:v>0.29931846609689866</c:v>
                </c:pt>
                <c:pt idx="111">
                  <c:v>0.29931846609689866</c:v>
                </c:pt>
                <c:pt idx="112">
                  <c:v>0.30336106077684405</c:v>
                </c:pt>
                <c:pt idx="113">
                  <c:v>0.30336106077684405</c:v>
                </c:pt>
                <c:pt idx="114">
                  <c:v>0.30336106077684405</c:v>
                </c:pt>
                <c:pt idx="115">
                  <c:v>0.30336106077684405</c:v>
                </c:pt>
                <c:pt idx="116">
                  <c:v>0.30336106077684405</c:v>
                </c:pt>
                <c:pt idx="117">
                  <c:v>0.30336106077684405</c:v>
                </c:pt>
                <c:pt idx="118">
                  <c:v>0.30742743542549505</c:v>
                </c:pt>
                <c:pt idx="119">
                  <c:v>0.31551262478538578</c:v>
                </c:pt>
                <c:pt idx="120">
                  <c:v>0.31551262478538578</c:v>
                </c:pt>
                <c:pt idx="121">
                  <c:v>0.31551262478538578</c:v>
                </c:pt>
                <c:pt idx="122">
                  <c:v>0.31955521946533122</c:v>
                </c:pt>
                <c:pt idx="123">
                  <c:v>0.31955521946533122</c:v>
                </c:pt>
                <c:pt idx="124">
                  <c:v>0.32359781414527661</c:v>
                </c:pt>
                <c:pt idx="125">
                  <c:v>0.327640408825222</c:v>
                </c:pt>
                <c:pt idx="126">
                  <c:v>0.33168300350516744</c:v>
                </c:pt>
                <c:pt idx="127">
                  <c:v>0.33976819286505822</c:v>
                </c:pt>
                <c:pt idx="128">
                  <c:v>0.33976819286505822</c:v>
                </c:pt>
                <c:pt idx="129">
                  <c:v>0.34381078754500366</c:v>
                </c:pt>
                <c:pt idx="130">
                  <c:v>0.34381078754500366</c:v>
                </c:pt>
                <c:pt idx="131">
                  <c:v>0.34381078754500366</c:v>
                </c:pt>
                <c:pt idx="132">
                  <c:v>0.34381078754500366</c:v>
                </c:pt>
                <c:pt idx="133">
                  <c:v>0.34381078754500366</c:v>
                </c:pt>
                <c:pt idx="134">
                  <c:v>0.34785338222494899</c:v>
                </c:pt>
                <c:pt idx="135">
                  <c:v>0.34785338222494899</c:v>
                </c:pt>
                <c:pt idx="136">
                  <c:v>0.34785338222494899</c:v>
                </c:pt>
                <c:pt idx="137">
                  <c:v>0.34785338222494899</c:v>
                </c:pt>
                <c:pt idx="138">
                  <c:v>0.34785338222494899</c:v>
                </c:pt>
                <c:pt idx="139">
                  <c:v>0.35191975687359994</c:v>
                </c:pt>
                <c:pt idx="140">
                  <c:v>0.35191975687359994</c:v>
                </c:pt>
                <c:pt idx="141">
                  <c:v>0.35191975687359994</c:v>
                </c:pt>
                <c:pt idx="142">
                  <c:v>0.35191975687359994</c:v>
                </c:pt>
                <c:pt idx="143">
                  <c:v>0.35191975687359994</c:v>
                </c:pt>
                <c:pt idx="144">
                  <c:v>0.35191975687359994</c:v>
                </c:pt>
                <c:pt idx="145">
                  <c:v>0.35191975687359994</c:v>
                </c:pt>
                <c:pt idx="146">
                  <c:v>0.35191975687359994</c:v>
                </c:pt>
                <c:pt idx="147">
                  <c:v>0.35191975687359994</c:v>
                </c:pt>
                <c:pt idx="148">
                  <c:v>0.35191975687359994</c:v>
                </c:pt>
                <c:pt idx="149">
                  <c:v>0.35191975687359994</c:v>
                </c:pt>
                <c:pt idx="150">
                  <c:v>0.35596235155354539</c:v>
                </c:pt>
                <c:pt idx="151">
                  <c:v>0.36000494623349077</c:v>
                </c:pt>
                <c:pt idx="152">
                  <c:v>0.36404754091343616</c:v>
                </c:pt>
                <c:pt idx="153">
                  <c:v>0.38021791963321777</c:v>
                </c:pt>
                <c:pt idx="154">
                  <c:v>0.3883031089931086</c:v>
                </c:pt>
                <c:pt idx="155">
                  <c:v>0.396412078321705</c:v>
                </c:pt>
                <c:pt idx="156">
                  <c:v>0.41258245704148655</c:v>
                </c:pt>
                <c:pt idx="157">
                  <c:v>0.42471024108132277</c:v>
                </c:pt>
                <c:pt idx="158">
                  <c:v>0.44090439976981</c:v>
                </c:pt>
                <c:pt idx="159">
                  <c:v>0.45707477848959155</c:v>
                </c:pt>
                <c:pt idx="160">
                  <c:v>0.47326893717807877</c:v>
                </c:pt>
                <c:pt idx="161">
                  <c:v>0.48943931589786033</c:v>
                </c:pt>
                <c:pt idx="162">
                  <c:v>0.50560969461764194</c:v>
                </c:pt>
                <c:pt idx="163">
                  <c:v>0.52180385330612911</c:v>
                </c:pt>
                <c:pt idx="164">
                  <c:v>0.53797423202591077</c:v>
                </c:pt>
                <c:pt idx="165">
                  <c:v>0.55416839071439772</c:v>
                </c:pt>
                <c:pt idx="166">
                  <c:v>0.57033876943417949</c:v>
                </c:pt>
                <c:pt idx="167">
                  <c:v>0.58650914815396105</c:v>
                </c:pt>
                <c:pt idx="168">
                  <c:v>0.60270330684244822</c:v>
                </c:pt>
                <c:pt idx="169">
                  <c:v>0.61887368556222988</c:v>
                </c:pt>
                <c:pt idx="170">
                  <c:v>0.63506784425071694</c:v>
                </c:pt>
                <c:pt idx="171">
                  <c:v>0.6512382229704986</c:v>
                </c:pt>
                <c:pt idx="172">
                  <c:v>0.66740860169028027</c:v>
                </c:pt>
                <c:pt idx="173">
                  <c:v>0.68360276037876744</c:v>
                </c:pt>
                <c:pt idx="174">
                  <c:v>0.69977313909854899</c:v>
                </c:pt>
                <c:pt idx="175">
                  <c:v>0.71594351781833054</c:v>
                </c:pt>
                <c:pt idx="176">
                  <c:v>0.73213767650681782</c:v>
                </c:pt>
                <c:pt idx="177">
                  <c:v>0.74830805522659938</c:v>
                </c:pt>
                <c:pt idx="178">
                  <c:v>0.76450221391508655</c:v>
                </c:pt>
                <c:pt idx="179">
                  <c:v>0.7806725926348681</c:v>
                </c:pt>
                <c:pt idx="180">
                  <c:v>0.79684297135464977</c:v>
                </c:pt>
                <c:pt idx="181">
                  <c:v>0.81303713004313694</c:v>
                </c:pt>
                <c:pt idx="182">
                  <c:v>0.82920750876291838</c:v>
                </c:pt>
                <c:pt idx="183">
                  <c:v>0.84540166745140577</c:v>
                </c:pt>
                <c:pt idx="184">
                  <c:v>0.86157204617118732</c:v>
                </c:pt>
                <c:pt idx="185">
                  <c:v>0.87774242489096899</c:v>
                </c:pt>
                <c:pt idx="186">
                  <c:v>0.89393658357945605</c:v>
                </c:pt>
                <c:pt idx="187">
                  <c:v>0.9101069622992376</c:v>
                </c:pt>
                <c:pt idx="188">
                  <c:v>0.92630112098772488</c:v>
                </c:pt>
                <c:pt idx="189">
                  <c:v>0.94247149970750654</c:v>
                </c:pt>
                <c:pt idx="190">
                  <c:v>0.9586418784272881</c:v>
                </c:pt>
                <c:pt idx="191">
                  <c:v>0.97483603711577516</c:v>
                </c:pt>
                <c:pt idx="192">
                  <c:v>0.99100641583555682</c:v>
                </c:pt>
                <c:pt idx="193">
                  <c:v>1.007200574524044</c:v>
                </c:pt>
                <c:pt idx="194">
                  <c:v>1.0233709532438255</c:v>
                </c:pt>
                <c:pt idx="195">
                  <c:v>1.0395413319636073</c:v>
                </c:pt>
                <c:pt idx="196">
                  <c:v>1.0557354906520944</c:v>
                </c:pt>
                <c:pt idx="197">
                  <c:v>1.0719058693718759</c:v>
                </c:pt>
                <c:pt idx="198">
                  <c:v>1.0881000280603632</c:v>
                </c:pt>
                <c:pt idx="199">
                  <c:v>1.1042704067801448</c:v>
                </c:pt>
                <c:pt idx="200">
                  <c:v>1.1204407854999261</c:v>
                </c:pt>
                <c:pt idx="201">
                  <c:v>1.1366349441884136</c:v>
                </c:pt>
                <c:pt idx="202">
                  <c:v>1.1528053229081952</c:v>
                </c:pt>
                <c:pt idx="203">
                  <c:v>1.1689994815966822</c:v>
                </c:pt>
                <c:pt idx="204">
                  <c:v>1.185169860316464</c:v>
                </c:pt>
                <c:pt idx="205">
                  <c:v>1.2013402390362455</c:v>
                </c:pt>
                <c:pt idx="206">
                  <c:v>1.2175343977247328</c:v>
                </c:pt>
                <c:pt idx="207">
                  <c:v>1.2337047764445144</c:v>
                </c:pt>
                <c:pt idx="208">
                  <c:v>1.2498989351330014</c:v>
                </c:pt>
                <c:pt idx="209">
                  <c:v>1.266069313852783</c:v>
                </c:pt>
                <c:pt idx="210">
                  <c:v>1.2822396925725645</c:v>
                </c:pt>
                <c:pt idx="211">
                  <c:v>1.2984338512610518</c:v>
                </c:pt>
                <c:pt idx="212">
                  <c:v>1.3146042299808334</c:v>
                </c:pt>
                <c:pt idx="213">
                  <c:v>1.3307983886693207</c:v>
                </c:pt>
                <c:pt idx="214">
                  <c:v>1.3469687673891022</c:v>
                </c:pt>
                <c:pt idx="215">
                  <c:v>1.363139146108884</c:v>
                </c:pt>
                <c:pt idx="216">
                  <c:v>1.3793333047973708</c:v>
                </c:pt>
                <c:pt idx="217">
                  <c:v>1.3955036835171524</c:v>
                </c:pt>
                <c:pt idx="218">
                  <c:v>1.4116740622369341</c:v>
                </c:pt>
                <c:pt idx="219">
                  <c:v>1.4278682209254214</c:v>
                </c:pt>
                <c:pt idx="220">
                  <c:v>1.444038599645203</c:v>
                </c:pt>
                <c:pt idx="221">
                  <c:v>1.46023275833369</c:v>
                </c:pt>
                <c:pt idx="222">
                  <c:v>1.4764031370534718</c:v>
                </c:pt>
                <c:pt idx="223">
                  <c:v>1.4925735157732534</c:v>
                </c:pt>
                <c:pt idx="224">
                  <c:v>1.5087676744617404</c:v>
                </c:pt>
                <c:pt idx="225">
                  <c:v>1.524938053181522</c:v>
                </c:pt>
                <c:pt idx="226">
                  <c:v>1.5411322118700095</c:v>
                </c:pt>
                <c:pt idx="227">
                  <c:v>1.5573025905897908</c:v>
                </c:pt>
                <c:pt idx="228">
                  <c:v>1.5734729693095726</c:v>
                </c:pt>
                <c:pt idx="229">
                  <c:v>1.5896671279980599</c:v>
                </c:pt>
                <c:pt idx="230">
                  <c:v>1.6058375067178412</c:v>
                </c:pt>
                <c:pt idx="231">
                  <c:v>1.6220316654063285</c:v>
                </c:pt>
                <c:pt idx="232">
                  <c:v>1.6382020441261103</c:v>
                </c:pt>
                <c:pt idx="233">
                  <c:v>1.6543724228458914</c:v>
                </c:pt>
                <c:pt idx="234">
                  <c:v>1.6705665815343789</c:v>
                </c:pt>
                <c:pt idx="235">
                  <c:v>1.6867369602541604</c:v>
                </c:pt>
                <c:pt idx="236">
                  <c:v>1.7029311189426475</c:v>
                </c:pt>
                <c:pt idx="237">
                  <c:v>1.7191014976624293</c:v>
                </c:pt>
                <c:pt idx="238">
                  <c:v>1.7352718763822108</c:v>
                </c:pt>
                <c:pt idx="239">
                  <c:v>1.7514660350706981</c:v>
                </c:pt>
                <c:pt idx="240">
                  <c:v>1.7676364137904796</c:v>
                </c:pt>
                <c:pt idx="241">
                  <c:v>1.7838305724789665</c:v>
                </c:pt>
                <c:pt idx="242">
                  <c:v>1.8000009511987483</c:v>
                </c:pt>
                <c:pt idx="243">
                  <c:v>1.8161713299185298</c:v>
                </c:pt>
                <c:pt idx="244">
                  <c:v>1.8323654886070173</c:v>
                </c:pt>
                <c:pt idx="245">
                  <c:v>1.8485358673267986</c:v>
                </c:pt>
                <c:pt idx="246">
                  <c:v>1.8647300260152859</c:v>
                </c:pt>
                <c:pt idx="247">
                  <c:v>1.8809004047350677</c:v>
                </c:pt>
                <c:pt idx="248">
                  <c:v>1.8970707834548488</c:v>
                </c:pt>
                <c:pt idx="249">
                  <c:v>1.9132649421433361</c:v>
                </c:pt>
                <c:pt idx="250">
                  <c:v>1.9294353208631179</c:v>
                </c:pt>
                <c:pt idx="251">
                  <c:v>1.9456294795516049</c:v>
                </c:pt>
                <c:pt idx="252">
                  <c:v>1.9617998582713867</c:v>
                </c:pt>
                <c:pt idx="253">
                  <c:v>1.9779702369911683</c:v>
                </c:pt>
                <c:pt idx="254">
                  <c:v>1.9982069903596007</c:v>
                </c:pt>
                <c:pt idx="255">
                  <c:v>2.0143773690793827</c:v>
                </c:pt>
                <c:pt idx="256">
                  <c:v>2.0346141224478149</c:v>
                </c:pt>
                <c:pt idx="257">
                  <c:v>2.0507845011675965</c:v>
                </c:pt>
                <c:pt idx="258">
                  <c:v>2.0669548798873785</c:v>
                </c:pt>
                <c:pt idx="259">
                  <c:v>2.0831490385758653</c:v>
                </c:pt>
                <c:pt idx="260">
                  <c:v>2.1033620119755922</c:v>
                </c:pt>
                <c:pt idx="261">
                  <c:v>2.1195561706640795</c:v>
                </c:pt>
                <c:pt idx="262">
                  <c:v>2.1357265493838611</c:v>
                </c:pt>
                <c:pt idx="263">
                  <c:v>2.1519207080723479</c:v>
                </c:pt>
                <c:pt idx="264">
                  <c:v>2.1680910867921299</c:v>
                </c:pt>
                <c:pt idx="265">
                  <c:v>2.1842614655119115</c:v>
                </c:pt>
                <c:pt idx="266">
                  <c:v>2.2004556242003992</c:v>
                </c:pt>
                <c:pt idx="267">
                  <c:v>2.2166260029201803</c:v>
                </c:pt>
                <c:pt idx="268">
                  <c:v>2.2328201616086676</c:v>
                </c:pt>
                <c:pt idx="269">
                  <c:v>2.2489905403284491</c:v>
                </c:pt>
                <c:pt idx="270">
                  <c:v>2.2651609190482307</c:v>
                </c:pt>
                <c:pt idx="271">
                  <c:v>2.281355077736718</c:v>
                </c:pt>
                <c:pt idx="272">
                  <c:v>2.2975254564564995</c:v>
                </c:pt>
                <c:pt idx="273">
                  <c:v>2.3137196151449868</c:v>
                </c:pt>
                <c:pt idx="274">
                  <c:v>2.3339325885447137</c:v>
                </c:pt>
                <c:pt idx="275">
                  <c:v>2.3541693419131464</c:v>
                </c:pt>
                <c:pt idx="276">
                  <c:v>2.3743823153128729</c:v>
                </c:pt>
                <c:pt idx="277">
                  <c:v>2.3946428486500113</c:v>
                </c:pt>
                <c:pt idx="278">
                  <c:v>2.4148558220497383</c:v>
                </c:pt>
                <c:pt idx="279">
                  <c:v>2.4350687954494656</c:v>
                </c:pt>
                <c:pt idx="280">
                  <c:v>2.4512391741692472</c:v>
                </c:pt>
                <c:pt idx="281">
                  <c:v>2.4714521475689741</c:v>
                </c:pt>
                <c:pt idx="282">
                  <c:v>2.4876225262887557</c:v>
                </c:pt>
                <c:pt idx="283">
                  <c:v>2.5037929050085372</c:v>
                </c:pt>
                <c:pt idx="284">
                  <c:v>2.5199632837283188</c:v>
                </c:pt>
                <c:pt idx="285">
                  <c:v>2.5361336624481008</c:v>
                </c:pt>
                <c:pt idx="286">
                  <c:v>2.5523040411678819</c:v>
                </c:pt>
                <c:pt idx="287">
                  <c:v>2.5684744198876639</c:v>
                </c:pt>
                <c:pt idx="288">
                  <c:v>2.5846447986074454</c:v>
                </c:pt>
                <c:pt idx="289">
                  <c:v>2.600815177327227</c:v>
                </c:pt>
                <c:pt idx="290">
                  <c:v>2.6169855560470086</c:v>
                </c:pt>
                <c:pt idx="291">
                  <c:v>2.6331559347667906</c:v>
                </c:pt>
                <c:pt idx="292">
                  <c:v>2.6493263134865712</c:v>
                </c:pt>
                <c:pt idx="293">
                  <c:v>2.6657344918934087</c:v>
                </c:pt>
                <c:pt idx="294">
                  <c:v>2.6819048706131903</c:v>
                </c:pt>
                <c:pt idx="295">
                  <c:v>2.7021178440129177</c:v>
                </c:pt>
                <c:pt idx="296">
                  <c:v>2.7182882227326992</c:v>
                </c:pt>
                <c:pt idx="297">
                  <c:v>2.7344586014524803</c:v>
                </c:pt>
                <c:pt idx="298">
                  <c:v>2.7546715748522077</c:v>
                </c:pt>
                <c:pt idx="299">
                  <c:v>2.7708419535719893</c:v>
                </c:pt>
                <c:pt idx="300">
                  <c:v>2.7870123322917713</c:v>
                </c:pt>
                <c:pt idx="301">
                  <c:v>2.8072253056914978</c:v>
                </c:pt>
                <c:pt idx="302">
                  <c:v>2.8233956844112793</c:v>
                </c:pt>
                <c:pt idx="303">
                  <c:v>2.8436086578110067</c:v>
                </c:pt>
                <c:pt idx="304">
                  <c:v>2.8597790365307882</c:v>
                </c:pt>
                <c:pt idx="305">
                  <c:v>2.8799920099305152</c:v>
                </c:pt>
                <c:pt idx="306">
                  <c:v>2.8961623886502967</c:v>
                </c:pt>
                <c:pt idx="307">
                  <c:v>2.9123327673700783</c:v>
                </c:pt>
                <c:pt idx="308">
                  <c:v>2.9325457407698052</c:v>
                </c:pt>
                <c:pt idx="309">
                  <c:v>2.9487161194895868</c:v>
                </c:pt>
                <c:pt idx="310">
                  <c:v>2.9648864982093688</c:v>
                </c:pt>
                <c:pt idx="311">
                  <c:v>2.9810568769291499</c:v>
                </c:pt>
                <c:pt idx="312">
                  <c:v>2.9972272556489319</c:v>
                </c:pt>
                <c:pt idx="313">
                  <c:v>3.0174402290486588</c:v>
                </c:pt>
                <c:pt idx="314">
                  <c:v>3.0376532024483858</c:v>
                </c:pt>
                <c:pt idx="315">
                  <c:v>3.0538235811681673</c:v>
                </c:pt>
                <c:pt idx="316">
                  <c:v>3.0699939598879489</c:v>
                </c:pt>
                <c:pt idx="317">
                  <c:v>3.0864021382947864</c:v>
                </c:pt>
                <c:pt idx="318">
                  <c:v>3.1025725170145679</c:v>
                </c:pt>
                <c:pt idx="319">
                  <c:v>3.1227854904142949</c:v>
                </c:pt>
                <c:pt idx="320">
                  <c:v>3.1470410584939672</c:v>
                </c:pt>
                <c:pt idx="321">
                  <c:v>3.17129662657364</c:v>
                </c:pt>
                <c:pt idx="322">
                  <c:v>3.1955521946533119</c:v>
                </c:pt>
                <c:pt idx="323">
                  <c:v>3.2198077627329846</c:v>
                </c:pt>
                <c:pt idx="324">
                  <c:v>3.244063330812657</c:v>
                </c:pt>
                <c:pt idx="325">
                  <c:v>3.2683188988923293</c:v>
                </c:pt>
                <c:pt idx="326">
                  <c:v>3.296617061651947</c:v>
                </c:pt>
                <c:pt idx="327">
                  <c:v>3.3208726297316198</c:v>
                </c:pt>
                <c:pt idx="328">
                  <c:v>3.3451281978112917</c:v>
                </c:pt>
                <c:pt idx="329">
                  <c:v>3.3734263605709098</c:v>
                </c:pt>
                <c:pt idx="330">
                  <c:v>3.3976819286505822</c:v>
                </c:pt>
                <c:pt idx="331">
                  <c:v>3.4219374967302545</c:v>
                </c:pt>
                <c:pt idx="332">
                  <c:v>3.4502356594898722</c:v>
                </c:pt>
                <c:pt idx="333">
                  <c:v>3.474491227569545</c:v>
                </c:pt>
                <c:pt idx="334">
                  <c:v>3.5030271900162187</c:v>
                </c:pt>
                <c:pt idx="335">
                  <c:v>3.5272827580958905</c:v>
                </c:pt>
                <c:pt idx="336">
                  <c:v>3.5555809208555087</c:v>
                </c:pt>
                <c:pt idx="337">
                  <c:v>3.5838790836151264</c:v>
                </c:pt>
                <c:pt idx="338">
                  <c:v>3.6121772463747441</c:v>
                </c:pt>
                <c:pt idx="339">
                  <c:v>3.6364328144544165</c:v>
                </c:pt>
                <c:pt idx="340">
                  <c:v>3.6647309772140346</c:v>
                </c:pt>
                <c:pt idx="341">
                  <c:v>3.6930291399736523</c:v>
                </c:pt>
                <c:pt idx="342">
                  <c:v>3.7213273027332701</c:v>
                </c:pt>
                <c:pt idx="343">
                  <c:v>3.7496254654928878</c:v>
                </c:pt>
                <c:pt idx="344">
                  <c:v>3.7779236282525059</c:v>
                </c:pt>
                <c:pt idx="345">
                  <c:v>3.8062217910121232</c:v>
                </c:pt>
                <c:pt idx="346">
                  <c:v>3.8345199537717409</c:v>
                </c:pt>
                <c:pt idx="347">
                  <c:v>3.8628181165313591</c:v>
                </c:pt>
                <c:pt idx="348">
                  <c:v>3.8870736846110314</c:v>
                </c:pt>
                <c:pt idx="349">
                  <c:v>3.9156096470577046</c:v>
                </c:pt>
                <c:pt idx="350">
                  <c:v>3.9439078098173224</c:v>
                </c:pt>
                <c:pt idx="351">
                  <c:v>3.9722059725769401</c:v>
                </c:pt>
                <c:pt idx="352">
                  <c:v>4.0005041353365582</c:v>
                </c:pt>
                <c:pt idx="353">
                  <c:v>4.0247597034162306</c:v>
                </c:pt>
                <c:pt idx="354">
                  <c:v>4.0530578661758483</c:v>
                </c:pt>
                <c:pt idx="355">
                  <c:v>4.081356028935466</c:v>
                </c:pt>
                <c:pt idx="356">
                  <c:v>4.1056115970151383</c:v>
                </c:pt>
                <c:pt idx="357">
                  <c:v>4.1339097597747569</c:v>
                </c:pt>
                <c:pt idx="358">
                  <c:v>4.1622079225343738</c:v>
                </c:pt>
                <c:pt idx="359">
                  <c:v>4.1945486799739378</c:v>
                </c:pt>
                <c:pt idx="360">
                  <c:v>4.2309320320934454</c:v>
                </c:pt>
                <c:pt idx="361">
                  <c:v>4.2632727895330094</c:v>
                </c:pt>
                <c:pt idx="362">
                  <c:v>4.2998939413395725</c:v>
                </c:pt>
                <c:pt idx="363">
                  <c:v>4.3322346987791365</c:v>
                </c:pt>
                <c:pt idx="364">
                  <c:v>4.3645754562186996</c:v>
                </c:pt>
                <c:pt idx="365">
                  <c:v>4.4009588083382081</c:v>
                </c:pt>
                <c:pt idx="366">
                  <c:v>4.4373421604577175</c:v>
                </c:pt>
                <c:pt idx="367">
                  <c:v>4.4737255125772251</c:v>
                </c:pt>
                <c:pt idx="368">
                  <c:v>4.5101088646967344</c:v>
                </c:pt>
                <c:pt idx="369">
                  <c:v>4.5464922168162429</c:v>
                </c:pt>
                <c:pt idx="370">
                  <c:v>4.5788329742558069</c:v>
                </c:pt>
                <c:pt idx="371">
                  <c:v>4.6152163263753145</c:v>
                </c:pt>
                <c:pt idx="372">
                  <c:v>4.6515996784948239</c:v>
                </c:pt>
                <c:pt idx="373">
                  <c:v>4.6839404359343861</c:v>
                </c:pt>
                <c:pt idx="374">
                  <c:v>4.7165189930610047</c:v>
                </c:pt>
                <c:pt idx="375">
                  <c:v>4.7488597505005679</c:v>
                </c:pt>
                <c:pt idx="376">
                  <c:v>4.7812005079401318</c:v>
                </c:pt>
                <c:pt idx="377">
                  <c:v>4.813541265379695</c:v>
                </c:pt>
                <c:pt idx="378">
                  <c:v>4.8499246174992034</c:v>
                </c:pt>
                <c:pt idx="379">
                  <c:v>4.8822653749387674</c:v>
                </c:pt>
                <c:pt idx="380">
                  <c:v>4.9146061323783297</c:v>
                </c:pt>
                <c:pt idx="381">
                  <c:v>4.9469468898178937</c:v>
                </c:pt>
                <c:pt idx="382">
                  <c:v>4.9833302419374013</c:v>
                </c:pt>
                <c:pt idx="383">
                  <c:v>5.0156709993769644</c:v>
                </c:pt>
                <c:pt idx="384">
                  <c:v>5.0480117568165284</c:v>
                </c:pt>
                <c:pt idx="385">
                  <c:v>5.0843951089360369</c:v>
                </c:pt>
                <c:pt idx="386">
                  <c:v>5.1169736660626555</c:v>
                </c:pt>
                <c:pt idx="387">
                  <c:v>5.1533570181821649</c:v>
                </c:pt>
                <c:pt idx="388">
                  <c:v>5.1897403703016733</c:v>
                </c:pt>
                <c:pt idx="389">
                  <c:v>5.2301663171011272</c:v>
                </c:pt>
                <c:pt idx="390">
                  <c:v>5.2746348585805265</c:v>
                </c:pt>
                <c:pt idx="391">
                  <c:v>5.3191034000599267</c:v>
                </c:pt>
                <c:pt idx="392">
                  <c:v>5.3635719415393259</c:v>
                </c:pt>
                <c:pt idx="393">
                  <c:v>5.4080404830187243</c:v>
                </c:pt>
                <c:pt idx="394">
                  <c:v>5.4525090244981236</c:v>
                </c:pt>
                <c:pt idx="395">
                  <c:v>5.5010201606574691</c:v>
                </c:pt>
                <c:pt idx="396">
                  <c:v>5.5457265018239248</c:v>
                </c:pt>
                <c:pt idx="397">
                  <c:v>5.5901950433033241</c:v>
                </c:pt>
                <c:pt idx="398">
                  <c:v>5.6306209901027771</c:v>
                </c:pt>
                <c:pt idx="399">
                  <c:v>5.6750895315821763</c:v>
                </c:pt>
                <c:pt idx="400">
                  <c:v>5.7195580730615765</c:v>
                </c:pt>
                <c:pt idx="401">
                  <c:v>5.7599840198610304</c:v>
                </c:pt>
                <c:pt idx="402">
                  <c:v>5.8044525613404296</c:v>
                </c:pt>
                <c:pt idx="403">
                  <c:v>5.8489211028198289</c:v>
                </c:pt>
                <c:pt idx="404">
                  <c:v>5.8893470496192828</c:v>
                </c:pt>
                <c:pt idx="405">
                  <c:v>5.933815591098683</c:v>
                </c:pt>
                <c:pt idx="406">
                  <c:v>5.9785219322651377</c:v>
                </c:pt>
                <c:pt idx="407">
                  <c:v>6.0189478790645916</c:v>
                </c:pt>
                <c:pt idx="408">
                  <c:v>6.0634164205439909</c:v>
                </c:pt>
                <c:pt idx="409">
                  <c:v>6.1038423673434457</c:v>
                </c:pt>
                <c:pt idx="410">
                  <c:v>6.1483109088228449</c:v>
                </c:pt>
                <c:pt idx="411">
                  <c:v>6.1887368556222979</c:v>
                </c:pt>
                <c:pt idx="412">
                  <c:v>6.2372479917816435</c:v>
                </c:pt>
                <c:pt idx="413">
                  <c:v>6.2938443173008798</c:v>
                </c:pt>
                <c:pt idx="414">
                  <c:v>6.3423554534602227</c:v>
                </c:pt>
                <c:pt idx="415">
                  <c:v>6.3911043893066237</c:v>
                </c:pt>
                <c:pt idx="416">
                  <c:v>6.4477007148258592</c:v>
                </c:pt>
                <c:pt idx="417">
                  <c:v>6.4962118509852047</c:v>
                </c:pt>
                <c:pt idx="418">
                  <c:v>6.5447229871445503</c:v>
                </c:pt>
                <c:pt idx="419">
                  <c:v>6.593234123303894</c:v>
                </c:pt>
                <c:pt idx="420">
                  <c:v>6.6457878541431858</c:v>
                </c:pt>
                <c:pt idx="421">
                  <c:v>6.698341584982475</c:v>
                </c:pt>
                <c:pt idx="422">
                  <c:v>6.7468527211418197</c:v>
                </c:pt>
                <c:pt idx="423">
                  <c:v>6.7996442516681652</c:v>
                </c:pt>
                <c:pt idx="424">
                  <c:v>6.8521979825074553</c:v>
                </c:pt>
                <c:pt idx="425">
                  <c:v>6.9047517133467462</c:v>
                </c:pt>
                <c:pt idx="426">
                  <c:v>6.9573054441860354</c:v>
                </c:pt>
                <c:pt idx="427">
                  <c:v>7.0139017697052717</c:v>
                </c:pt>
                <c:pt idx="428">
                  <c:v>7.0664555005445617</c:v>
                </c:pt>
                <c:pt idx="429">
                  <c:v>7.1190092313838518</c:v>
                </c:pt>
                <c:pt idx="430">
                  <c:v>7.1718007619101973</c:v>
                </c:pt>
                <c:pt idx="431">
                  <c:v>7.2243544927494883</c:v>
                </c:pt>
                <c:pt idx="432">
                  <c:v>7.2769082235887774</c:v>
                </c:pt>
                <c:pt idx="433">
                  <c:v>7.3415897384679045</c:v>
                </c:pt>
                <c:pt idx="434">
                  <c:v>7.4062712533470307</c:v>
                </c:pt>
                <c:pt idx="435">
                  <c:v>7.4628675788662671</c:v>
                </c:pt>
                <c:pt idx="436">
                  <c:v>7.5275490937453933</c:v>
                </c:pt>
                <c:pt idx="437">
                  <c:v>7.5843832189516842</c:v>
                </c:pt>
                <c:pt idx="438">
                  <c:v>7.6490647338308113</c:v>
                </c:pt>
                <c:pt idx="439">
                  <c:v>7.7056610593500476</c:v>
                </c:pt>
                <c:pt idx="440">
                  <c:v>7.7703425742291721</c:v>
                </c:pt>
                <c:pt idx="441">
                  <c:v>7.8269388997484084</c:v>
                </c:pt>
                <c:pt idx="442">
                  <c:v>7.8835352252676438</c:v>
                </c:pt>
                <c:pt idx="443">
                  <c:v>7.9482167401467709</c:v>
                </c:pt>
                <c:pt idx="444">
                  <c:v>8.005050865353061</c:v>
                </c:pt>
                <c:pt idx="445">
                  <c:v>8.0656897855522427</c:v>
                </c:pt>
                <c:pt idx="446">
                  <c:v>8.1263287057514244</c:v>
                </c:pt>
                <c:pt idx="447">
                  <c:v>8.1829250312706598</c:v>
                </c:pt>
                <c:pt idx="448">
                  <c:v>8.2435639514698416</c:v>
                </c:pt>
                <c:pt idx="449">
                  <c:v>8.3042028716690215</c:v>
                </c:pt>
                <c:pt idx="450">
                  <c:v>8.372926981228094</c:v>
                </c:pt>
                <c:pt idx="451">
                  <c:v>8.4459314851541674</c:v>
                </c:pt>
                <c:pt idx="452">
                  <c:v>8.5186981893931826</c:v>
                </c:pt>
                <c:pt idx="453">
                  <c:v>8.5914648936322013</c:v>
                </c:pt>
                <c:pt idx="454">
                  <c:v>8.6642315978712183</c:v>
                </c:pt>
                <c:pt idx="455">
                  <c:v>8.7369983021102353</c:v>
                </c:pt>
                <c:pt idx="456">
                  <c:v>8.8100028060363087</c:v>
                </c:pt>
                <c:pt idx="457">
                  <c:v>8.8827695102753257</c:v>
                </c:pt>
                <c:pt idx="458">
                  <c:v>8.9555362145143427</c:v>
                </c:pt>
                <c:pt idx="459">
                  <c:v>9.0202177293934689</c:v>
                </c:pt>
                <c:pt idx="460">
                  <c:v>9.0929844336324859</c:v>
                </c:pt>
                <c:pt idx="461">
                  <c:v>9.1576659485116139</c:v>
                </c:pt>
                <c:pt idx="462">
                  <c:v>9.2306704524376855</c:v>
                </c:pt>
                <c:pt idx="463">
                  <c:v>9.2953519673168117</c:v>
                </c:pt>
                <c:pt idx="464">
                  <c:v>9.3681186715558287</c:v>
                </c:pt>
                <c:pt idx="465">
                  <c:v>9.4449279704747902</c:v>
                </c:pt>
                <c:pt idx="466">
                  <c:v>9.5217372693937552</c:v>
                </c:pt>
                <c:pt idx="467">
                  <c:v>9.5985465683127149</c:v>
                </c:pt>
                <c:pt idx="468">
                  <c:v>9.6755936669187346</c:v>
                </c:pt>
                <c:pt idx="469">
                  <c:v>9.7524029658376978</c:v>
                </c:pt>
                <c:pt idx="470">
                  <c:v>9.8292122647566593</c:v>
                </c:pt>
                <c:pt idx="471">
                  <c:v>9.9100641583555689</c:v>
                </c:pt>
                <c:pt idx="472">
                  <c:v>9.9909160519544766</c:v>
                </c:pt>
                <c:pt idx="473">
                  <c:v>10.067963150560495</c:v>
                </c:pt>
                <c:pt idx="474">
                  <c:v>10.144772449479458</c:v>
                </c:pt>
                <c:pt idx="475">
                  <c:v>10.221581748398419</c:v>
                </c:pt>
                <c:pt idx="476">
                  <c:v>10.302433641997329</c:v>
                </c:pt>
                <c:pt idx="477">
                  <c:v>10.37924294091629</c:v>
                </c:pt>
                <c:pt idx="478">
                  <c:v>10.468417823562145</c:v>
                </c:pt>
                <c:pt idx="479">
                  <c:v>10.557354906520944</c:v>
                </c:pt>
                <c:pt idx="480">
                  <c:v>10.638206800119853</c:v>
                </c:pt>
                <c:pt idx="481">
                  <c:v>10.727143883078652</c:v>
                </c:pt>
                <c:pt idx="482">
                  <c:v>10.807995776677558</c:v>
                </c:pt>
                <c:pt idx="483">
                  <c:v>10.889085469963522</c:v>
                </c:pt>
                <c:pt idx="484">
                  <c:v>10.969937363562432</c:v>
                </c:pt>
                <c:pt idx="485">
                  <c:v>11.050789257161338</c:v>
                </c:pt>
                <c:pt idx="486">
                  <c:v>11.131641150760247</c:v>
                </c:pt>
                <c:pt idx="487">
                  <c:v>11.212493044359155</c:v>
                </c:pt>
                <c:pt idx="488">
                  <c:v>11.293582737645117</c:v>
                </c:pt>
                <c:pt idx="489">
                  <c:v>11.374434631244027</c:v>
                </c:pt>
                <c:pt idx="490">
                  <c:v>11.455286524842935</c:v>
                </c:pt>
                <c:pt idx="491">
                  <c:v>11.548266202481678</c:v>
                </c:pt>
                <c:pt idx="492">
                  <c:v>11.641245880120422</c:v>
                </c:pt>
                <c:pt idx="493">
                  <c:v>11.734463357446222</c:v>
                </c:pt>
                <c:pt idx="494">
                  <c:v>11.831485629764913</c:v>
                </c:pt>
                <c:pt idx="495">
                  <c:v>11.924465307403656</c:v>
                </c:pt>
                <c:pt idx="496">
                  <c:v>12.021487579722345</c:v>
                </c:pt>
                <c:pt idx="497">
                  <c:v>12.114705057048146</c:v>
                </c:pt>
                <c:pt idx="498">
                  <c:v>12.211727329366834</c:v>
                </c:pt>
                <c:pt idx="499">
                  <c:v>12.304707007005582</c:v>
                </c:pt>
                <c:pt idx="500">
                  <c:v>12.401729279324268</c:v>
                </c:pt>
                <c:pt idx="501">
                  <c:v>12.498989351330016</c:v>
                </c:pt>
                <c:pt idx="502">
                  <c:v>12.596011623648705</c:v>
                </c:pt>
                <c:pt idx="503">
                  <c:v>12.693033895967394</c:v>
                </c:pt>
                <c:pt idx="504">
                  <c:v>12.79409876296603</c:v>
                </c:pt>
                <c:pt idx="505">
                  <c:v>12.891121035284719</c:v>
                </c:pt>
                <c:pt idx="506">
                  <c:v>12.992423701970409</c:v>
                </c:pt>
                <c:pt idx="507">
                  <c:v>13.089445974289101</c:v>
                </c:pt>
                <c:pt idx="508">
                  <c:v>13.190510841287736</c:v>
                </c:pt>
                <c:pt idx="509">
                  <c:v>13.291575708286372</c:v>
                </c:pt>
                <c:pt idx="510">
                  <c:v>13.39287837497206</c:v>
                </c:pt>
                <c:pt idx="511">
                  <c:v>13.493943241970696</c:v>
                </c:pt>
                <c:pt idx="512">
                  <c:v>13.599050703649276</c:v>
                </c:pt>
                <c:pt idx="513">
                  <c:v>13.716523749054748</c:v>
                </c:pt>
                <c:pt idx="514">
                  <c:v>13.833758994773165</c:v>
                </c:pt>
                <c:pt idx="515">
                  <c:v>13.95099424049158</c:v>
                </c:pt>
                <c:pt idx="516">
                  <c:v>14.056101702170162</c:v>
                </c:pt>
                <c:pt idx="517">
                  <c:v>14.173574747575634</c:v>
                </c:pt>
                <c:pt idx="518">
                  <c:v>14.290809993294051</c:v>
                </c:pt>
                <c:pt idx="519">
                  <c:v>14.395917454972631</c:v>
                </c:pt>
                <c:pt idx="520">
                  <c:v>14.501024916651209</c:v>
                </c:pt>
                <c:pt idx="521">
                  <c:v>14.622540556736627</c:v>
                </c:pt>
                <c:pt idx="522">
                  <c:v>14.739775802455044</c:v>
                </c:pt>
                <c:pt idx="523">
                  <c:v>14.86105364285341</c:v>
                </c:pt>
                <c:pt idx="524">
                  <c:v>14.97852668825888</c:v>
                </c:pt>
                <c:pt idx="525">
                  <c:v>15.099804528657243</c:v>
                </c:pt>
                <c:pt idx="526">
                  <c:v>15.221082369055605</c:v>
                </c:pt>
                <c:pt idx="527">
                  <c:v>15.33831761477402</c:v>
                </c:pt>
                <c:pt idx="528">
                  <c:v>15.455790660179494</c:v>
                </c:pt>
                <c:pt idx="529">
                  <c:v>15.577068500577854</c:v>
                </c:pt>
                <c:pt idx="530">
                  <c:v>15.710474125016052</c:v>
                </c:pt>
                <c:pt idx="531">
                  <c:v>15.844117549141306</c:v>
                </c:pt>
                <c:pt idx="532">
                  <c:v>15.965395389539669</c:v>
                </c:pt>
                <c:pt idx="533">
                  <c:v>16.098801013977866</c:v>
                </c:pt>
                <c:pt idx="534">
                  <c:v>16.228401843423178</c:v>
                </c:pt>
                <c:pt idx="535">
                  <c:v>16.349679683821538</c:v>
                </c:pt>
                <c:pt idx="536">
                  <c:v>16.470957524219898</c:v>
                </c:pt>
                <c:pt idx="537">
                  <c:v>16.592473164305318</c:v>
                </c:pt>
                <c:pt idx="538">
                  <c:v>16.729921383423459</c:v>
                </c:pt>
                <c:pt idx="539">
                  <c:v>16.867369602541604</c:v>
                </c:pt>
                <c:pt idx="540">
                  <c:v>17.005055621346806</c:v>
                </c:pt>
                <c:pt idx="541">
                  <c:v>17.142503840464947</c:v>
                </c:pt>
                <c:pt idx="542">
                  <c:v>17.275909464903147</c:v>
                </c:pt>
                <c:pt idx="543">
                  <c:v>17.413595483708345</c:v>
                </c:pt>
                <c:pt idx="544">
                  <c:v>17.55104370282649</c:v>
                </c:pt>
                <c:pt idx="545">
                  <c:v>17.688491921944632</c:v>
                </c:pt>
                <c:pt idx="546">
                  <c:v>17.830220535429774</c:v>
                </c:pt>
                <c:pt idx="547">
                  <c:v>17.971711349227864</c:v>
                </c:pt>
                <c:pt idx="548">
                  <c:v>18.109159568346008</c:v>
                </c:pt>
                <c:pt idx="549">
                  <c:v>18.24684558715121</c:v>
                </c:pt>
                <c:pt idx="550">
                  <c:v>18.384293806269351</c:v>
                </c:pt>
                <c:pt idx="551">
                  <c:v>18.525784620067441</c:v>
                </c:pt>
                <c:pt idx="552">
                  <c:v>18.671555828232531</c:v>
                </c:pt>
                <c:pt idx="553">
                  <c:v>18.82113183139051</c:v>
                </c:pt>
                <c:pt idx="554">
                  <c:v>18.970707834548492</c:v>
                </c:pt>
                <c:pt idx="555">
                  <c:v>19.120521637393527</c:v>
                </c:pt>
                <c:pt idx="556">
                  <c:v>19.270097640551509</c:v>
                </c:pt>
                <c:pt idx="557">
                  <c:v>19.415631049029539</c:v>
                </c:pt>
                <c:pt idx="558">
                  <c:v>19.565444851874574</c:v>
                </c:pt>
                <c:pt idx="559">
                  <c:v>19.715020855032556</c:v>
                </c:pt>
                <c:pt idx="560">
                  <c:v>19.881005036597372</c:v>
                </c:pt>
                <c:pt idx="561">
                  <c:v>20.046751418475136</c:v>
                </c:pt>
                <c:pt idx="562">
                  <c:v>20.212497800352896</c:v>
                </c:pt>
                <c:pt idx="563">
                  <c:v>20.378481981917712</c:v>
                </c:pt>
                <c:pt idx="564">
                  <c:v>20.540185769115531</c:v>
                </c:pt>
                <c:pt idx="565">
                  <c:v>20.706169950680344</c:v>
                </c:pt>
                <c:pt idx="566">
                  <c:v>20.867873737878163</c:v>
                </c:pt>
                <c:pt idx="567">
                  <c:v>21.037662714435868</c:v>
                </c:pt>
                <c:pt idx="568">
                  <c:v>21.203646896000688</c:v>
                </c:pt>
                <c:pt idx="569">
                  <c:v>21.369393277878448</c:v>
                </c:pt>
                <c:pt idx="570">
                  <c:v>21.53133486476332</c:v>
                </c:pt>
                <c:pt idx="571">
                  <c:v>21.69708124664108</c:v>
                </c:pt>
                <c:pt idx="572">
                  <c:v>21.858785033838899</c:v>
                </c:pt>
                <c:pt idx="573">
                  <c:v>22.040939594123497</c:v>
                </c:pt>
                <c:pt idx="574">
                  <c:v>22.218813760041094</c:v>
                </c:pt>
                <c:pt idx="575">
                  <c:v>22.400968320325692</c:v>
                </c:pt>
                <c:pt idx="576">
                  <c:v>22.578842486243289</c:v>
                </c:pt>
                <c:pt idx="577">
                  <c:v>22.760997046527887</c:v>
                </c:pt>
                <c:pt idx="578">
                  <c:v>22.942913807125432</c:v>
                </c:pt>
                <c:pt idx="579">
                  <c:v>23.124830567722977</c:v>
                </c:pt>
                <c:pt idx="580">
                  <c:v>23.302942533327627</c:v>
                </c:pt>
                <c:pt idx="581">
                  <c:v>23.480816699245224</c:v>
                </c:pt>
                <c:pt idx="582">
                  <c:v>23.662971259529826</c:v>
                </c:pt>
                <c:pt idx="583">
                  <c:v>23.844174621066202</c:v>
                </c:pt>
                <c:pt idx="584">
                  <c:v>24.046304355063473</c:v>
                </c:pt>
                <c:pt idx="585">
                  <c:v>24.246056092190184</c:v>
                </c:pt>
                <c:pt idx="586">
                  <c:v>24.448185826187455</c:v>
                </c:pt>
                <c:pt idx="587">
                  <c:v>24.645559566443616</c:v>
                </c:pt>
                <c:pt idx="588">
                  <c:v>24.831043322346989</c:v>
                </c:pt>
                <c:pt idx="589">
                  <c:v>25.02128307199148</c:v>
                </c:pt>
                <c:pt idx="590">
                  <c:v>25.216278815377084</c:v>
                </c:pt>
                <c:pt idx="591">
                  <c:v>25.411274558762681</c:v>
                </c:pt>
                <c:pt idx="592">
                  <c:v>25.615782289630509</c:v>
                </c:pt>
                <c:pt idx="593">
                  <c:v>25.810778033016113</c:v>
                </c:pt>
                <c:pt idx="594">
                  <c:v>26.005773776401711</c:v>
                </c:pt>
                <c:pt idx="595">
                  <c:v>26.215037501010652</c:v>
                </c:pt>
                <c:pt idx="596">
                  <c:v>26.426679222490144</c:v>
                </c:pt>
                <c:pt idx="597">
                  <c:v>26.635942947099082</c:v>
                </c:pt>
                <c:pt idx="598">
                  <c:v>26.842828674837467</c:v>
                </c:pt>
                <c:pt idx="599">
                  <c:v>27.049714402575848</c:v>
                </c:pt>
                <c:pt idx="600">
                  <c:v>27.266112117796453</c:v>
                </c:pt>
                <c:pt idx="601">
                  <c:v>27.489643823628732</c:v>
                </c:pt>
                <c:pt idx="602">
                  <c:v>27.715553526331561</c:v>
                </c:pt>
                <c:pt idx="603">
                  <c:v>27.939085232163841</c:v>
                </c:pt>
                <c:pt idx="604">
                  <c:v>28.148348956772775</c:v>
                </c:pt>
                <c:pt idx="605">
                  <c:v>28.374258659475608</c:v>
                </c:pt>
                <c:pt idx="606">
                  <c:v>28.59779036530788</c:v>
                </c:pt>
                <c:pt idx="607">
                  <c:v>28.823700068010709</c:v>
                </c:pt>
                <c:pt idx="608">
                  <c:v>29.049609770713541</c:v>
                </c:pt>
                <c:pt idx="609">
                  <c:v>29.289787454639715</c:v>
                </c:pt>
                <c:pt idx="610">
                  <c:v>29.527587141695324</c:v>
                </c:pt>
                <c:pt idx="611">
                  <c:v>29.770142822492048</c:v>
                </c:pt>
                <c:pt idx="612">
                  <c:v>30.00080851893599</c:v>
                </c:pt>
                <c:pt idx="613">
                  <c:v>30.23623020912105</c:v>
                </c:pt>
                <c:pt idx="614">
                  <c:v>30.48591988052944</c:v>
                </c:pt>
                <c:pt idx="615">
                  <c:v>30.728475561326164</c:v>
                </c:pt>
                <c:pt idx="616">
                  <c:v>30.980543229605111</c:v>
                </c:pt>
                <c:pt idx="617">
                  <c:v>31.215964919790167</c:v>
                </c:pt>
                <c:pt idx="618">
                  <c:v>31.470410584939675</c:v>
                </c:pt>
                <c:pt idx="619">
                  <c:v>31.720100256348065</c:v>
                </c:pt>
                <c:pt idx="620">
                  <c:v>31.967411930885898</c:v>
                </c:pt>
                <c:pt idx="621">
                  <c:v>32.214723605423735</c:v>
                </c:pt>
                <c:pt idx="622">
                  <c:v>32.464413276832133</c:v>
                </c:pt>
                <c:pt idx="623">
                  <c:v>32.730748926334421</c:v>
                </c:pt>
                <c:pt idx="624">
                  <c:v>32.982816594613361</c:v>
                </c:pt>
                <c:pt idx="625">
                  <c:v>33.244396250374535</c:v>
                </c:pt>
                <c:pt idx="626">
                  <c:v>33.50835390300626</c:v>
                </c:pt>
                <c:pt idx="627">
                  <c:v>33.774689552508548</c:v>
                </c:pt>
                <c:pt idx="628">
                  <c:v>34.043403198881386</c:v>
                </c:pt>
                <c:pt idx="629">
                  <c:v>34.309738848383681</c:v>
                </c:pt>
                <c:pt idx="630">
                  <c:v>34.576074497885962</c:v>
                </c:pt>
                <c:pt idx="631">
                  <c:v>34.84241014738825</c:v>
                </c:pt>
                <c:pt idx="632">
                  <c:v>35.111123793761088</c:v>
                </c:pt>
                <c:pt idx="633">
                  <c:v>35.389349427616153</c:v>
                </c:pt>
                <c:pt idx="634">
                  <c:v>35.667575061471226</c:v>
                </c:pt>
                <c:pt idx="635">
                  <c:v>35.948178692196848</c:v>
                </c:pt>
                <c:pt idx="636">
                  <c:v>36.23116031979302</c:v>
                </c:pt>
                <c:pt idx="637">
                  <c:v>36.518897941130312</c:v>
                </c:pt>
                <c:pt idx="638">
                  <c:v>36.801879568726484</c:v>
                </c:pt>
                <c:pt idx="639">
                  <c:v>37.08723919319322</c:v>
                </c:pt>
                <c:pt idx="640">
                  <c:v>37.370220820789406</c:v>
                </c:pt>
                <c:pt idx="641">
                  <c:v>37.662714435867798</c:v>
                </c:pt>
                <c:pt idx="642">
                  <c:v>37.969476032169545</c:v>
                </c:pt>
                <c:pt idx="643">
                  <c:v>38.276237628471286</c:v>
                </c:pt>
                <c:pt idx="644">
                  <c:v>38.585377221643576</c:v>
                </c:pt>
                <c:pt idx="645">
                  <c:v>38.887382824204209</c:v>
                </c:pt>
                <c:pt idx="646">
                  <c:v>39.196522417376507</c:v>
                </c:pt>
                <c:pt idx="647">
                  <c:v>39.498528019937126</c:v>
                </c:pt>
                <c:pt idx="648">
                  <c:v>39.805289616238866</c:v>
                </c:pt>
                <c:pt idx="649">
                  <c:v>40.121563200022834</c:v>
                </c:pt>
                <c:pt idx="650">
                  <c:v>40.433080790065681</c:v>
                </c:pt>
                <c:pt idx="651">
                  <c:v>40.751732370720205</c:v>
                </c:pt>
                <c:pt idx="652">
                  <c:v>41.084651932598064</c:v>
                </c:pt>
                <c:pt idx="653">
                  <c:v>41.408059506993688</c:v>
                </c:pt>
                <c:pt idx="654">
                  <c:v>41.736223075130432</c:v>
                </c:pt>
                <c:pt idx="655">
                  <c:v>42.059630649526071</c:v>
                </c:pt>
                <c:pt idx="656">
                  <c:v>42.394928208274479</c:v>
                </c:pt>
                <c:pt idx="657">
                  <c:v>42.718335782670117</c:v>
                </c:pt>
                <c:pt idx="658">
                  <c:v>43.063145328900752</c:v>
                </c:pt>
                <c:pt idx="659">
                  <c:v>43.405576878260831</c:v>
                </c:pt>
                <c:pt idx="660">
                  <c:v>43.745630430750353</c:v>
                </c:pt>
                <c:pt idx="661">
                  <c:v>44.097573967592666</c:v>
                </c:pt>
                <c:pt idx="662">
                  <c:v>44.442383513823302</c:v>
                </c:pt>
                <c:pt idx="663">
                  <c:v>44.789571056924494</c:v>
                </c:pt>
                <c:pt idx="664">
                  <c:v>45.146270587507914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3-4762-8F1B-9A2B594B8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983551"/>
        <c:axId val="920985951"/>
      </c:lineChart>
      <c:catAx>
        <c:axId val="92098355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5951"/>
        <c:crosses val="autoZero"/>
        <c:auto val="1"/>
        <c:lblAlgn val="ctr"/>
        <c:lblOffset val="100"/>
        <c:noMultiLvlLbl val="0"/>
      </c:catAx>
      <c:valAx>
        <c:axId val="92098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8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e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'A21-4'!$C$2:$C$595</c:f>
              <c:numCache>
                <c:formatCode>0.00</c:formatCode>
                <c:ptCount val="594"/>
                <c:pt idx="0">
                  <c:v>0</c:v>
                </c:pt>
                <c:pt idx="1">
                  <c:v>5.8218000000000002E-3</c:v>
                </c:pt>
                <c:pt idx="2">
                  <c:v>5.8793999999999999E-3</c:v>
                </c:pt>
                <c:pt idx="3">
                  <c:v>5.9334000000000001E-3</c:v>
                </c:pt>
                <c:pt idx="4">
                  <c:v>5.9909999999999998E-3</c:v>
                </c:pt>
                <c:pt idx="5">
                  <c:v>6.045E-3</c:v>
                </c:pt>
                <c:pt idx="6">
                  <c:v>6.1008E-3</c:v>
                </c:pt>
                <c:pt idx="7">
                  <c:v>6.1568000000000005E-3</c:v>
                </c:pt>
                <c:pt idx="8">
                  <c:v>6.2126000000000004E-3</c:v>
                </c:pt>
                <c:pt idx="9">
                  <c:v>6.2683999999999995E-3</c:v>
                </c:pt>
                <c:pt idx="10">
                  <c:v>6.3224000000000006E-3</c:v>
                </c:pt>
                <c:pt idx="11">
                  <c:v>6.3800000000000003E-3</c:v>
                </c:pt>
                <c:pt idx="12">
                  <c:v>6.4339999999999996E-3</c:v>
                </c:pt>
                <c:pt idx="13">
                  <c:v>6.4898000000000004E-3</c:v>
                </c:pt>
                <c:pt idx="14">
                  <c:v>6.5437999999999998E-3</c:v>
                </c:pt>
                <c:pt idx="15">
                  <c:v>6.6016E-3</c:v>
                </c:pt>
                <c:pt idx="16">
                  <c:v>6.6556000000000002E-3</c:v>
                </c:pt>
                <c:pt idx="17">
                  <c:v>6.7131999999999999E-3</c:v>
                </c:pt>
                <c:pt idx="18">
                  <c:v>6.7672000000000001E-3</c:v>
                </c:pt>
                <c:pt idx="19">
                  <c:v>6.8247999999999998E-3</c:v>
                </c:pt>
                <c:pt idx="20">
                  <c:v>6.8788000000000009E-3</c:v>
                </c:pt>
                <c:pt idx="21">
                  <c:v>6.9346E-3</c:v>
                </c:pt>
                <c:pt idx="22">
                  <c:v>6.9906000000000005E-3</c:v>
                </c:pt>
                <c:pt idx="23">
                  <c:v>7.0443999999999993E-3</c:v>
                </c:pt>
                <c:pt idx="24">
                  <c:v>7.1003999999999998E-3</c:v>
                </c:pt>
                <c:pt idx="25">
                  <c:v>7.1562000000000006E-3</c:v>
                </c:pt>
                <c:pt idx="26">
                  <c:v>7.2119999999999997E-3</c:v>
                </c:pt>
                <c:pt idx="27">
                  <c:v>7.2677999999999996E-3</c:v>
                </c:pt>
                <c:pt idx="28">
                  <c:v>7.3236000000000004E-3</c:v>
                </c:pt>
                <c:pt idx="29">
                  <c:v>7.4073999999999997E-3</c:v>
                </c:pt>
                <c:pt idx="30">
                  <c:v>7.4894000000000002E-3</c:v>
                </c:pt>
                <c:pt idx="31">
                  <c:v>7.5729999999999999E-3</c:v>
                </c:pt>
                <c:pt idx="32">
                  <c:v>7.6568000000000001E-3</c:v>
                </c:pt>
                <c:pt idx="33">
                  <c:v>7.7405999999999994E-3</c:v>
                </c:pt>
                <c:pt idx="34">
                  <c:v>7.8224000000000002E-3</c:v>
                </c:pt>
                <c:pt idx="35">
                  <c:v>7.9062000000000004E-3</c:v>
                </c:pt>
                <c:pt idx="36">
                  <c:v>7.9880000000000003E-3</c:v>
                </c:pt>
                <c:pt idx="37">
                  <c:v>8.073799999999999E-3</c:v>
                </c:pt>
                <c:pt idx="38">
                  <c:v>8.1574000000000004E-3</c:v>
                </c:pt>
                <c:pt idx="39">
                  <c:v>8.2411999999999989E-3</c:v>
                </c:pt>
                <c:pt idx="40">
                  <c:v>8.3231999999999993E-3</c:v>
                </c:pt>
                <c:pt idx="41">
                  <c:v>8.406799999999999E-3</c:v>
                </c:pt>
                <c:pt idx="42">
                  <c:v>8.4887999999999995E-3</c:v>
                </c:pt>
                <c:pt idx="43">
                  <c:v>8.5743999999999994E-3</c:v>
                </c:pt>
                <c:pt idx="44">
                  <c:v>8.6561999999999993E-3</c:v>
                </c:pt>
                <c:pt idx="45">
                  <c:v>8.7399999999999995E-3</c:v>
                </c:pt>
                <c:pt idx="46">
                  <c:v>8.8217999999999994E-3</c:v>
                </c:pt>
                <c:pt idx="47">
                  <c:v>8.9055999999999996E-3</c:v>
                </c:pt>
                <c:pt idx="48">
                  <c:v>8.9911999999999995E-3</c:v>
                </c:pt>
                <c:pt idx="49">
                  <c:v>9.0749999999999997E-3</c:v>
                </c:pt>
                <c:pt idx="50">
                  <c:v>9.1570000000000002E-3</c:v>
                </c:pt>
                <c:pt idx="51">
                  <c:v>9.2388000000000001E-3</c:v>
                </c:pt>
                <c:pt idx="52">
                  <c:v>9.3226000000000003E-3</c:v>
                </c:pt>
                <c:pt idx="53">
                  <c:v>9.4064000000000005E-3</c:v>
                </c:pt>
                <c:pt idx="54">
                  <c:v>9.4900000000000002E-3</c:v>
                </c:pt>
                <c:pt idx="55">
                  <c:v>9.5738000000000004E-3</c:v>
                </c:pt>
                <c:pt idx="56">
                  <c:v>9.6556000000000003E-3</c:v>
                </c:pt>
                <c:pt idx="57">
                  <c:v>9.7394000000000005E-3</c:v>
                </c:pt>
                <c:pt idx="58">
                  <c:v>9.8231999999999989E-3</c:v>
                </c:pt>
                <c:pt idx="59">
                  <c:v>9.9070000000000009E-3</c:v>
                </c:pt>
                <c:pt idx="60">
                  <c:v>9.9887999999999991E-3</c:v>
                </c:pt>
                <c:pt idx="61">
                  <c:v>1.0072600000000001E-2</c:v>
                </c:pt>
                <c:pt idx="62">
                  <c:v>1.0156400000000001E-2</c:v>
                </c:pt>
                <c:pt idx="63">
                  <c:v>1.02402E-2</c:v>
                </c:pt>
                <c:pt idx="64">
                  <c:v>1.0323800000000001E-2</c:v>
                </c:pt>
                <c:pt idx="65">
                  <c:v>1.0407599999999999E-2</c:v>
                </c:pt>
                <c:pt idx="66">
                  <c:v>1.0489399999999999E-2</c:v>
                </c:pt>
                <c:pt idx="67">
                  <c:v>1.05732E-2</c:v>
                </c:pt>
                <c:pt idx="68">
                  <c:v>1.0657000000000002E-2</c:v>
                </c:pt>
                <c:pt idx="69">
                  <c:v>1.07408E-2</c:v>
                </c:pt>
                <c:pt idx="70">
                  <c:v>1.08524E-2</c:v>
                </c:pt>
                <c:pt idx="71">
                  <c:v>1.09622E-2</c:v>
                </c:pt>
                <c:pt idx="72">
                  <c:v>1.1073999999999999E-2</c:v>
                </c:pt>
                <c:pt idx="73">
                  <c:v>1.1183799999999999E-2</c:v>
                </c:pt>
                <c:pt idx="74">
                  <c:v>1.1295400000000001E-2</c:v>
                </c:pt>
                <c:pt idx="75">
                  <c:v>1.1405199999999999E-2</c:v>
                </c:pt>
                <c:pt idx="76">
                  <c:v>1.1516800000000001E-2</c:v>
                </c:pt>
                <c:pt idx="77">
                  <c:v>1.1628599999999999E-2</c:v>
                </c:pt>
                <c:pt idx="78">
                  <c:v>1.1740200000000001E-2</c:v>
                </c:pt>
                <c:pt idx="79">
                  <c:v>1.1850000000000001E-2</c:v>
                </c:pt>
                <c:pt idx="80">
                  <c:v>1.1963600000000001E-2</c:v>
                </c:pt>
                <c:pt idx="81">
                  <c:v>1.2073400000000001E-2</c:v>
                </c:pt>
                <c:pt idx="82">
                  <c:v>1.21832E-2</c:v>
                </c:pt>
                <c:pt idx="83">
                  <c:v>1.22966E-2</c:v>
                </c:pt>
                <c:pt idx="84">
                  <c:v>1.24064E-2</c:v>
                </c:pt>
                <c:pt idx="85">
                  <c:v>1.25182E-2</c:v>
                </c:pt>
                <c:pt idx="86">
                  <c:v>1.2627999999999999E-2</c:v>
                </c:pt>
                <c:pt idx="87">
                  <c:v>1.27396E-2</c:v>
                </c:pt>
                <c:pt idx="88">
                  <c:v>1.2851399999999999E-2</c:v>
                </c:pt>
                <c:pt idx="89">
                  <c:v>1.2961199999999999E-2</c:v>
                </c:pt>
                <c:pt idx="90">
                  <c:v>1.3072800000000001E-2</c:v>
                </c:pt>
                <c:pt idx="91">
                  <c:v>1.3184400000000001E-2</c:v>
                </c:pt>
                <c:pt idx="92">
                  <c:v>1.3296200000000001E-2</c:v>
                </c:pt>
                <c:pt idx="93">
                  <c:v>1.3406E-2</c:v>
                </c:pt>
                <c:pt idx="94">
                  <c:v>1.3517600000000001E-2</c:v>
                </c:pt>
                <c:pt idx="95">
                  <c:v>1.3629199999999999E-2</c:v>
                </c:pt>
                <c:pt idx="96">
                  <c:v>1.3741000000000001E-2</c:v>
                </c:pt>
                <c:pt idx="97">
                  <c:v>1.3850800000000002E-2</c:v>
                </c:pt>
                <c:pt idx="98">
                  <c:v>1.39624E-2</c:v>
                </c:pt>
                <c:pt idx="99">
                  <c:v>1.40722E-2</c:v>
                </c:pt>
                <c:pt idx="100">
                  <c:v>1.4184E-2</c:v>
                </c:pt>
                <c:pt idx="101">
                  <c:v>1.4295599999999999E-2</c:v>
                </c:pt>
                <c:pt idx="102">
                  <c:v>1.4435199999999999E-2</c:v>
                </c:pt>
                <c:pt idx="103">
                  <c:v>1.4572799999999999E-2</c:v>
                </c:pt>
                <c:pt idx="104">
                  <c:v>1.47124E-2</c:v>
                </c:pt>
                <c:pt idx="105">
                  <c:v>1.4852000000000001E-2</c:v>
                </c:pt>
                <c:pt idx="106">
                  <c:v>1.4989799999999999E-2</c:v>
                </c:pt>
                <c:pt idx="107">
                  <c:v>1.5127600000000001E-2</c:v>
                </c:pt>
                <c:pt idx="108">
                  <c:v>1.5266999999999999E-2</c:v>
                </c:pt>
                <c:pt idx="109">
                  <c:v>1.5406599999999999E-2</c:v>
                </c:pt>
                <c:pt idx="110">
                  <c:v>1.55444E-2</c:v>
                </c:pt>
                <c:pt idx="111">
                  <c:v>1.56858E-2</c:v>
                </c:pt>
                <c:pt idx="112">
                  <c:v>1.58236E-2</c:v>
                </c:pt>
                <c:pt idx="113">
                  <c:v>1.5961400000000001E-2</c:v>
                </c:pt>
                <c:pt idx="114">
                  <c:v>1.6100799999999998E-2</c:v>
                </c:pt>
                <c:pt idx="115">
                  <c:v>1.6240399999999999E-2</c:v>
                </c:pt>
                <c:pt idx="116">
                  <c:v>1.6378199999999999E-2</c:v>
                </c:pt>
                <c:pt idx="117">
                  <c:v>1.6517799999999999E-2</c:v>
                </c:pt>
                <c:pt idx="118">
                  <c:v>1.6657399999999999E-2</c:v>
                </c:pt>
                <c:pt idx="119">
                  <c:v>1.67952E-2</c:v>
                </c:pt>
                <c:pt idx="120">
                  <c:v>1.6934600000000001E-2</c:v>
                </c:pt>
                <c:pt idx="121">
                  <c:v>1.7072400000000001E-2</c:v>
                </c:pt>
                <c:pt idx="122">
                  <c:v>1.7212000000000002E-2</c:v>
                </c:pt>
                <c:pt idx="123">
                  <c:v>1.7351600000000002E-2</c:v>
                </c:pt>
                <c:pt idx="124">
                  <c:v>1.7489399999999999E-2</c:v>
                </c:pt>
                <c:pt idx="125">
                  <c:v>1.7628999999999999E-2</c:v>
                </c:pt>
                <c:pt idx="126">
                  <c:v>1.77684E-2</c:v>
                </c:pt>
                <c:pt idx="127">
                  <c:v>1.7878400000000003E-2</c:v>
                </c:pt>
                <c:pt idx="128">
                  <c:v>1.8016000000000001E-2</c:v>
                </c:pt>
                <c:pt idx="129">
                  <c:v>1.8157400000000001E-2</c:v>
                </c:pt>
                <c:pt idx="130">
                  <c:v>1.8267199999999997E-2</c:v>
                </c:pt>
                <c:pt idx="131">
                  <c:v>1.8379E-2</c:v>
                </c:pt>
                <c:pt idx="132">
                  <c:v>1.8490599999999999E-2</c:v>
                </c:pt>
                <c:pt idx="133">
                  <c:v>1.8602199999999999E-2</c:v>
                </c:pt>
                <c:pt idx="134">
                  <c:v>1.8712200000000002E-2</c:v>
                </c:pt>
                <c:pt idx="135">
                  <c:v>1.8823799999999998E-2</c:v>
                </c:pt>
                <c:pt idx="136">
                  <c:v>1.8933599999999998E-2</c:v>
                </c:pt>
                <c:pt idx="137">
                  <c:v>1.9045199999999998E-2</c:v>
                </c:pt>
                <c:pt idx="138">
                  <c:v>1.9154999999999998E-2</c:v>
                </c:pt>
                <c:pt idx="139">
                  <c:v>1.9266800000000001E-2</c:v>
                </c:pt>
                <c:pt idx="140">
                  <c:v>1.93784E-2</c:v>
                </c:pt>
                <c:pt idx="141">
                  <c:v>1.949E-2</c:v>
                </c:pt>
                <c:pt idx="142">
                  <c:v>1.9599800000000001E-2</c:v>
                </c:pt>
                <c:pt idx="143">
                  <c:v>1.9713400000000002E-2</c:v>
                </c:pt>
                <c:pt idx="144">
                  <c:v>1.9823199999999999E-2</c:v>
                </c:pt>
                <c:pt idx="145">
                  <c:v>1.9934799999999999E-2</c:v>
                </c:pt>
                <c:pt idx="146">
                  <c:v>2.0045999999999998E-2</c:v>
                </c:pt>
                <c:pt idx="147">
                  <c:v>2.0157999999999999E-2</c:v>
                </c:pt>
                <c:pt idx="148">
                  <c:v>2.027E-2</c:v>
                </c:pt>
                <c:pt idx="149">
                  <c:v>2.0379999999999999E-2</c:v>
                </c:pt>
                <c:pt idx="150">
                  <c:v>2.0489999999999998E-2</c:v>
                </c:pt>
                <c:pt idx="151">
                  <c:v>2.0601999999999999E-2</c:v>
                </c:pt>
                <c:pt idx="152">
                  <c:v>2.0710000000000003E-2</c:v>
                </c:pt>
                <c:pt idx="153">
                  <c:v>2.0821999999999997E-2</c:v>
                </c:pt>
                <c:pt idx="154">
                  <c:v>2.0933999999999998E-2</c:v>
                </c:pt>
                <c:pt idx="155">
                  <c:v>2.1044E-2</c:v>
                </c:pt>
                <c:pt idx="156">
                  <c:v>2.1128000000000001E-2</c:v>
                </c:pt>
                <c:pt idx="157">
                  <c:v>2.1240000000000002E-2</c:v>
                </c:pt>
                <c:pt idx="158">
                  <c:v>2.1352000000000003E-2</c:v>
                </c:pt>
                <c:pt idx="159">
                  <c:v>2.1434000000000002E-2</c:v>
                </c:pt>
                <c:pt idx="160">
                  <c:v>2.1543999999999997E-2</c:v>
                </c:pt>
                <c:pt idx="161">
                  <c:v>2.1654E-2</c:v>
                </c:pt>
                <c:pt idx="162">
                  <c:v>2.1767999999999999E-2</c:v>
                </c:pt>
                <c:pt idx="163">
                  <c:v>2.188E-2</c:v>
                </c:pt>
                <c:pt idx="164">
                  <c:v>2.1989999999999999E-2</c:v>
                </c:pt>
                <c:pt idx="165">
                  <c:v>2.2102E-2</c:v>
                </c:pt>
                <c:pt idx="166">
                  <c:v>2.2185999999999997E-2</c:v>
                </c:pt>
                <c:pt idx="167">
                  <c:v>2.2296E-2</c:v>
                </c:pt>
                <c:pt idx="168">
                  <c:v>2.2406000000000002E-2</c:v>
                </c:pt>
                <c:pt idx="169">
                  <c:v>2.2517999999999996E-2</c:v>
                </c:pt>
                <c:pt idx="170">
                  <c:v>2.2629999999999997E-2</c:v>
                </c:pt>
                <c:pt idx="171">
                  <c:v>2.2712E-2</c:v>
                </c:pt>
                <c:pt idx="172">
                  <c:v>2.2824000000000001E-2</c:v>
                </c:pt>
                <c:pt idx="173">
                  <c:v>2.2936000000000002E-2</c:v>
                </c:pt>
                <c:pt idx="174">
                  <c:v>2.3016000000000002E-2</c:v>
                </c:pt>
                <c:pt idx="175">
                  <c:v>2.3130000000000001E-2</c:v>
                </c:pt>
                <c:pt idx="176">
                  <c:v>2.3239999999999997E-2</c:v>
                </c:pt>
                <c:pt idx="177">
                  <c:v>2.3323999999999998E-2</c:v>
                </c:pt>
                <c:pt idx="178">
                  <c:v>2.3434E-2</c:v>
                </c:pt>
                <c:pt idx="179">
                  <c:v>2.3517999999999997E-2</c:v>
                </c:pt>
                <c:pt idx="180">
                  <c:v>2.3629999999999998E-2</c:v>
                </c:pt>
                <c:pt idx="181">
                  <c:v>2.3712E-2</c:v>
                </c:pt>
                <c:pt idx="182">
                  <c:v>2.3821999999999999E-2</c:v>
                </c:pt>
                <c:pt idx="183">
                  <c:v>2.3906E-2</c:v>
                </c:pt>
                <c:pt idx="184">
                  <c:v>2.4018000000000001E-2</c:v>
                </c:pt>
                <c:pt idx="185">
                  <c:v>2.4102000000000002E-2</c:v>
                </c:pt>
                <c:pt idx="186">
                  <c:v>2.4211999999999997E-2</c:v>
                </c:pt>
                <c:pt idx="187">
                  <c:v>2.4323999999999998E-2</c:v>
                </c:pt>
                <c:pt idx="188">
                  <c:v>2.4407999999999999E-2</c:v>
                </c:pt>
                <c:pt idx="189">
                  <c:v>2.4517999999999998E-2</c:v>
                </c:pt>
                <c:pt idx="190">
                  <c:v>2.46E-2</c:v>
                </c:pt>
                <c:pt idx="191">
                  <c:v>2.4712000000000001E-2</c:v>
                </c:pt>
                <c:pt idx="192">
                  <c:v>2.4795999999999999E-2</c:v>
                </c:pt>
                <c:pt idx="193">
                  <c:v>2.4906000000000001E-2</c:v>
                </c:pt>
                <c:pt idx="194">
                  <c:v>2.5017999999999999E-2</c:v>
                </c:pt>
                <c:pt idx="195">
                  <c:v>2.5102000000000003E-2</c:v>
                </c:pt>
                <c:pt idx="196">
                  <c:v>2.5184000000000002E-2</c:v>
                </c:pt>
                <c:pt idx="197">
                  <c:v>2.5295999999999999E-2</c:v>
                </c:pt>
                <c:pt idx="198">
                  <c:v>2.5377999999999998E-2</c:v>
                </c:pt>
                <c:pt idx="199">
                  <c:v>2.5459999999999997E-2</c:v>
                </c:pt>
                <c:pt idx="200">
                  <c:v>2.5571999999999998E-2</c:v>
                </c:pt>
                <c:pt idx="201">
                  <c:v>2.5655999999999998E-2</c:v>
                </c:pt>
                <c:pt idx="202">
                  <c:v>2.5739999999999999E-2</c:v>
                </c:pt>
                <c:pt idx="203">
                  <c:v>2.5824E-2</c:v>
                </c:pt>
                <c:pt idx="204">
                  <c:v>2.5936000000000001E-2</c:v>
                </c:pt>
                <c:pt idx="205">
                  <c:v>2.6019999999999998E-2</c:v>
                </c:pt>
                <c:pt idx="206">
                  <c:v>2.6099999999999998E-2</c:v>
                </c:pt>
                <c:pt idx="207">
                  <c:v>2.6181999999999997E-2</c:v>
                </c:pt>
                <c:pt idx="208">
                  <c:v>2.6268E-2</c:v>
                </c:pt>
                <c:pt idx="209">
                  <c:v>2.6352E-2</c:v>
                </c:pt>
                <c:pt idx="210">
                  <c:v>2.6434000000000003E-2</c:v>
                </c:pt>
                <c:pt idx="211">
                  <c:v>2.6546E-2</c:v>
                </c:pt>
                <c:pt idx="212">
                  <c:v>2.6658000000000001E-2</c:v>
                </c:pt>
                <c:pt idx="213">
                  <c:v>2.674E-2</c:v>
                </c:pt>
                <c:pt idx="214">
                  <c:v>2.6824000000000001E-2</c:v>
                </c:pt>
                <c:pt idx="215">
                  <c:v>2.6903999999999997E-2</c:v>
                </c:pt>
                <c:pt idx="216">
                  <c:v>2.699E-2</c:v>
                </c:pt>
                <c:pt idx="217">
                  <c:v>2.7071999999999999E-2</c:v>
                </c:pt>
                <c:pt idx="218">
                  <c:v>2.7156E-2</c:v>
                </c:pt>
                <c:pt idx="219">
                  <c:v>2.724E-2</c:v>
                </c:pt>
                <c:pt idx="220">
                  <c:v>2.7322000000000003E-2</c:v>
                </c:pt>
                <c:pt idx="221">
                  <c:v>2.7408000000000002E-2</c:v>
                </c:pt>
                <c:pt idx="222">
                  <c:v>2.7492000000000003E-2</c:v>
                </c:pt>
                <c:pt idx="223">
                  <c:v>2.7574000000000001E-2</c:v>
                </c:pt>
                <c:pt idx="224">
                  <c:v>2.7656E-2</c:v>
                </c:pt>
                <c:pt idx="225">
                  <c:v>2.7740000000000001E-2</c:v>
                </c:pt>
                <c:pt idx="226">
                  <c:v>2.7824000000000002E-2</c:v>
                </c:pt>
                <c:pt idx="227">
                  <c:v>2.7907999999999999E-2</c:v>
                </c:pt>
                <c:pt idx="228">
                  <c:v>2.7990000000000001E-2</c:v>
                </c:pt>
                <c:pt idx="229">
                  <c:v>2.8073999999999998E-2</c:v>
                </c:pt>
                <c:pt idx="230">
                  <c:v>2.8156E-2</c:v>
                </c:pt>
                <c:pt idx="231">
                  <c:v>2.8239999999999998E-2</c:v>
                </c:pt>
                <c:pt idx="232">
                  <c:v>2.8323999999999998E-2</c:v>
                </c:pt>
                <c:pt idx="233">
                  <c:v>2.8405999999999997E-2</c:v>
                </c:pt>
                <c:pt idx="234">
                  <c:v>2.8488000000000003E-2</c:v>
                </c:pt>
                <c:pt idx="235">
                  <c:v>2.8572E-2</c:v>
                </c:pt>
                <c:pt idx="236">
                  <c:v>2.8656000000000001E-2</c:v>
                </c:pt>
                <c:pt idx="237">
                  <c:v>2.8740000000000002E-2</c:v>
                </c:pt>
                <c:pt idx="238">
                  <c:v>2.8824000000000002E-2</c:v>
                </c:pt>
                <c:pt idx="239">
                  <c:v>2.8906000000000001E-2</c:v>
                </c:pt>
                <c:pt idx="240">
                  <c:v>2.8990000000000002E-2</c:v>
                </c:pt>
                <c:pt idx="241">
                  <c:v>2.9072000000000001E-2</c:v>
                </c:pt>
                <c:pt idx="242">
                  <c:v>2.9156000000000001E-2</c:v>
                </c:pt>
                <c:pt idx="243">
                  <c:v>2.9239999999999999E-2</c:v>
                </c:pt>
                <c:pt idx="244">
                  <c:v>2.9293999999999997E-2</c:v>
                </c:pt>
                <c:pt idx="245">
                  <c:v>2.9378000000000001E-2</c:v>
                </c:pt>
                <c:pt idx="246">
                  <c:v>2.9462000000000002E-2</c:v>
                </c:pt>
                <c:pt idx="247">
                  <c:v>2.9546000000000003E-2</c:v>
                </c:pt>
                <c:pt idx="248">
                  <c:v>2.963E-2</c:v>
                </c:pt>
                <c:pt idx="249">
                  <c:v>2.9742000000000001E-2</c:v>
                </c:pt>
                <c:pt idx="250">
                  <c:v>2.9852E-2</c:v>
                </c:pt>
                <c:pt idx="251">
                  <c:v>2.9961999999999999E-2</c:v>
                </c:pt>
                <c:pt idx="252">
                  <c:v>3.0074E-2</c:v>
                </c:pt>
                <c:pt idx="253">
                  <c:v>3.0184000000000002E-2</c:v>
                </c:pt>
                <c:pt idx="254">
                  <c:v>3.0296E-2</c:v>
                </c:pt>
                <c:pt idx="255">
                  <c:v>3.0408000000000001E-2</c:v>
                </c:pt>
                <c:pt idx="256">
                  <c:v>3.0518E-2</c:v>
                </c:pt>
                <c:pt idx="257">
                  <c:v>3.0628000000000002E-2</c:v>
                </c:pt>
                <c:pt idx="258">
                  <c:v>3.0737999999999998E-2</c:v>
                </c:pt>
                <c:pt idx="259">
                  <c:v>3.0849999999999999E-2</c:v>
                </c:pt>
                <c:pt idx="260">
                  <c:v>3.0962E-2</c:v>
                </c:pt>
                <c:pt idx="261">
                  <c:v>3.1074000000000001E-2</c:v>
                </c:pt>
                <c:pt idx="262">
                  <c:v>3.1185999999999998E-2</c:v>
                </c:pt>
                <c:pt idx="263">
                  <c:v>3.1295999999999997E-2</c:v>
                </c:pt>
                <c:pt idx="264">
                  <c:v>3.1407999999999998E-2</c:v>
                </c:pt>
                <c:pt idx="265">
                  <c:v>3.1518000000000004E-2</c:v>
                </c:pt>
                <c:pt idx="266">
                  <c:v>3.1629999999999998E-2</c:v>
                </c:pt>
                <c:pt idx="267">
                  <c:v>3.1739999999999997E-2</c:v>
                </c:pt>
                <c:pt idx="268">
                  <c:v>3.1851999999999998E-2</c:v>
                </c:pt>
                <c:pt idx="269">
                  <c:v>3.1935999999999999E-2</c:v>
                </c:pt>
                <c:pt idx="270">
                  <c:v>3.2017999999999998E-2</c:v>
                </c:pt>
                <c:pt idx="271">
                  <c:v>3.2129999999999999E-2</c:v>
                </c:pt>
                <c:pt idx="272">
                  <c:v>3.2211999999999998E-2</c:v>
                </c:pt>
                <c:pt idx="273">
                  <c:v>3.2294000000000003E-2</c:v>
                </c:pt>
                <c:pt idx="274">
                  <c:v>3.2406000000000004E-2</c:v>
                </c:pt>
                <c:pt idx="275">
                  <c:v>3.2488000000000003E-2</c:v>
                </c:pt>
                <c:pt idx="276">
                  <c:v>3.2599999999999997E-2</c:v>
                </c:pt>
                <c:pt idx="277">
                  <c:v>3.2684000000000005E-2</c:v>
                </c:pt>
                <c:pt idx="278">
                  <c:v>3.2767999999999999E-2</c:v>
                </c:pt>
                <c:pt idx="279">
                  <c:v>3.2851999999999999E-2</c:v>
                </c:pt>
                <c:pt idx="280">
                  <c:v>3.2933999999999998E-2</c:v>
                </c:pt>
                <c:pt idx="281">
                  <c:v>3.3016000000000004E-2</c:v>
                </c:pt>
                <c:pt idx="282">
                  <c:v>3.3126000000000003E-2</c:v>
                </c:pt>
                <c:pt idx="283">
                  <c:v>3.3211999999999998E-2</c:v>
                </c:pt>
                <c:pt idx="284">
                  <c:v>3.3295999999999999E-2</c:v>
                </c:pt>
                <c:pt idx="285">
                  <c:v>3.338E-2</c:v>
                </c:pt>
                <c:pt idx="286">
                  <c:v>3.3464000000000001E-2</c:v>
                </c:pt>
                <c:pt idx="287">
                  <c:v>3.3545999999999999E-2</c:v>
                </c:pt>
                <c:pt idx="288">
                  <c:v>3.3627999999999998E-2</c:v>
                </c:pt>
                <c:pt idx="289">
                  <c:v>3.3739999999999999E-2</c:v>
                </c:pt>
                <c:pt idx="290">
                  <c:v>3.3849999999999998E-2</c:v>
                </c:pt>
                <c:pt idx="291">
                  <c:v>3.3961999999999999E-2</c:v>
                </c:pt>
                <c:pt idx="292">
                  <c:v>3.4071999999999998E-2</c:v>
                </c:pt>
                <c:pt idx="293">
                  <c:v>3.4183999999999999E-2</c:v>
                </c:pt>
                <c:pt idx="294">
                  <c:v>3.4298000000000002E-2</c:v>
                </c:pt>
                <c:pt idx="295">
                  <c:v>3.4408000000000001E-2</c:v>
                </c:pt>
                <c:pt idx="296">
                  <c:v>3.4518E-2</c:v>
                </c:pt>
                <c:pt idx="297">
                  <c:v>3.4627999999999999E-2</c:v>
                </c:pt>
                <c:pt idx="298">
                  <c:v>3.474E-2</c:v>
                </c:pt>
                <c:pt idx="299">
                  <c:v>3.4852000000000001E-2</c:v>
                </c:pt>
                <c:pt idx="300">
                  <c:v>3.4962E-2</c:v>
                </c:pt>
                <c:pt idx="301">
                  <c:v>3.5074000000000001E-2</c:v>
                </c:pt>
                <c:pt idx="302">
                  <c:v>3.5186000000000002E-2</c:v>
                </c:pt>
                <c:pt idx="303">
                  <c:v>3.5296000000000001E-2</c:v>
                </c:pt>
                <c:pt idx="304">
                  <c:v>3.5406E-2</c:v>
                </c:pt>
                <c:pt idx="305">
                  <c:v>3.5518000000000001E-2</c:v>
                </c:pt>
                <c:pt idx="306">
                  <c:v>3.56E-2</c:v>
                </c:pt>
                <c:pt idx="307">
                  <c:v>3.5712000000000001E-2</c:v>
                </c:pt>
                <c:pt idx="308">
                  <c:v>3.5796000000000001E-2</c:v>
                </c:pt>
                <c:pt idx="309">
                  <c:v>3.5906E-2</c:v>
                </c:pt>
                <c:pt idx="310">
                  <c:v>3.6018000000000001E-2</c:v>
                </c:pt>
                <c:pt idx="311">
                  <c:v>3.6128E-2</c:v>
                </c:pt>
                <c:pt idx="312">
                  <c:v>3.6240000000000001E-2</c:v>
                </c:pt>
                <c:pt idx="313">
                  <c:v>3.635E-2</c:v>
                </c:pt>
                <c:pt idx="314">
                  <c:v>3.6434000000000001E-2</c:v>
                </c:pt>
                <c:pt idx="315">
                  <c:v>3.6516E-2</c:v>
                </c:pt>
                <c:pt idx="316">
                  <c:v>3.6628000000000001E-2</c:v>
                </c:pt>
                <c:pt idx="317">
                  <c:v>3.6714000000000004E-2</c:v>
                </c:pt>
                <c:pt idx="318">
                  <c:v>3.6823999999999996E-2</c:v>
                </c:pt>
                <c:pt idx="319">
                  <c:v>3.6932E-2</c:v>
                </c:pt>
                <c:pt idx="320">
                  <c:v>3.7044000000000001E-2</c:v>
                </c:pt>
                <c:pt idx="321">
                  <c:v>3.7155999999999995E-2</c:v>
                </c:pt>
                <c:pt idx="322">
                  <c:v>3.7267999999999996E-2</c:v>
                </c:pt>
                <c:pt idx="323">
                  <c:v>3.7379999999999997E-2</c:v>
                </c:pt>
                <c:pt idx="324">
                  <c:v>3.7490000000000002E-2</c:v>
                </c:pt>
                <c:pt idx="325">
                  <c:v>3.7602000000000003E-2</c:v>
                </c:pt>
                <c:pt idx="326">
                  <c:v>3.7711999999999996E-2</c:v>
                </c:pt>
                <c:pt idx="327">
                  <c:v>3.7823999999999997E-2</c:v>
                </c:pt>
                <c:pt idx="328">
                  <c:v>3.7934000000000002E-2</c:v>
                </c:pt>
                <c:pt idx="329">
                  <c:v>3.8046000000000003E-2</c:v>
                </c:pt>
                <c:pt idx="330">
                  <c:v>3.8157999999999997E-2</c:v>
                </c:pt>
                <c:pt idx="331">
                  <c:v>3.8267999999999996E-2</c:v>
                </c:pt>
                <c:pt idx="332">
                  <c:v>3.8378000000000002E-2</c:v>
                </c:pt>
                <c:pt idx="333">
                  <c:v>3.8488000000000001E-2</c:v>
                </c:pt>
                <c:pt idx="334">
                  <c:v>3.8599999999999995E-2</c:v>
                </c:pt>
                <c:pt idx="335">
                  <c:v>3.8711999999999996E-2</c:v>
                </c:pt>
                <c:pt idx="336">
                  <c:v>3.8823999999999997E-2</c:v>
                </c:pt>
                <c:pt idx="337">
                  <c:v>3.8935999999999998E-2</c:v>
                </c:pt>
                <c:pt idx="338">
                  <c:v>3.9047999999999999E-2</c:v>
                </c:pt>
                <c:pt idx="339">
                  <c:v>3.9155999999999996E-2</c:v>
                </c:pt>
                <c:pt idx="340">
                  <c:v>3.9267999999999997E-2</c:v>
                </c:pt>
                <c:pt idx="341">
                  <c:v>3.9379999999999998E-2</c:v>
                </c:pt>
                <c:pt idx="342">
                  <c:v>3.9489999999999997E-2</c:v>
                </c:pt>
                <c:pt idx="343">
                  <c:v>3.9601999999999998E-2</c:v>
                </c:pt>
                <c:pt idx="344">
                  <c:v>3.9740000000000004E-2</c:v>
                </c:pt>
                <c:pt idx="345">
                  <c:v>3.9851999999999999E-2</c:v>
                </c:pt>
                <c:pt idx="346">
                  <c:v>3.9961999999999998E-2</c:v>
                </c:pt>
                <c:pt idx="347">
                  <c:v>4.0072000000000003E-2</c:v>
                </c:pt>
                <c:pt idx="348">
                  <c:v>4.0183999999999997E-2</c:v>
                </c:pt>
                <c:pt idx="349">
                  <c:v>4.0323999999999999E-2</c:v>
                </c:pt>
                <c:pt idx="350">
                  <c:v>4.0433999999999998E-2</c:v>
                </c:pt>
                <c:pt idx="351">
                  <c:v>4.0545999999999999E-2</c:v>
                </c:pt>
                <c:pt idx="352">
                  <c:v>4.0655999999999998E-2</c:v>
                </c:pt>
                <c:pt idx="353">
                  <c:v>4.0795999999999999E-2</c:v>
                </c:pt>
                <c:pt idx="354">
                  <c:v>4.0933999999999998E-2</c:v>
                </c:pt>
                <c:pt idx="355">
                  <c:v>4.1045999999999999E-2</c:v>
                </c:pt>
                <c:pt idx="356">
                  <c:v>4.1155999999999998E-2</c:v>
                </c:pt>
                <c:pt idx="357">
                  <c:v>4.1267999999999999E-2</c:v>
                </c:pt>
                <c:pt idx="358">
                  <c:v>4.138E-2</c:v>
                </c:pt>
                <c:pt idx="359">
                  <c:v>4.1487999999999997E-2</c:v>
                </c:pt>
                <c:pt idx="360">
                  <c:v>4.1599999999999998E-2</c:v>
                </c:pt>
                <c:pt idx="361">
                  <c:v>4.1711999999999999E-2</c:v>
                </c:pt>
                <c:pt idx="362">
                  <c:v>4.1852E-2</c:v>
                </c:pt>
                <c:pt idx="363">
                  <c:v>4.199E-2</c:v>
                </c:pt>
                <c:pt idx="364">
                  <c:v>4.2127999999999999E-2</c:v>
                </c:pt>
                <c:pt idx="365">
                  <c:v>4.2266000000000005E-2</c:v>
                </c:pt>
                <c:pt idx="366">
                  <c:v>4.2404000000000004E-2</c:v>
                </c:pt>
                <c:pt idx="367">
                  <c:v>4.2546E-2</c:v>
                </c:pt>
                <c:pt idx="368">
                  <c:v>4.2686000000000002E-2</c:v>
                </c:pt>
                <c:pt idx="369">
                  <c:v>4.2824000000000001E-2</c:v>
                </c:pt>
                <c:pt idx="370">
                  <c:v>4.2964000000000002E-2</c:v>
                </c:pt>
                <c:pt idx="371">
                  <c:v>4.3102000000000001E-2</c:v>
                </c:pt>
                <c:pt idx="372">
                  <c:v>4.3240000000000001E-2</c:v>
                </c:pt>
                <c:pt idx="373">
                  <c:v>4.3378E-2</c:v>
                </c:pt>
                <c:pt idx="374">
                  <c:v>4.3518000000000001E-2</c:v>
                </c:pt>
                <c:pt idx="375">
                  <c:v>4.3656E-2</c:v>
                </c:pt>
                <c:pt idx="376">
                  <c:v>4.3794000000000007E-2</c:v>
                </c:pt>
                <c:pt idx="377">
                  <c:v>4.3934000000000001E-2</c:v>
                </c:pt>
                <c:pt idx="378">
                  <c:v>4.4071999999999993E-2</c:v>
                </c:pt>
                <c:pt idx="379">
                  <c:v>4.4268000000000002E-2</c:v>
                </c:pt>
                <c:pt idx="380">
                  <c:v>4.4436000000000003E-2</c:v>
                </c:pt>
                <c:pt idx="381">
                  <c:v>4.4600000000000001E-2</c:v>
                </c:pt>
                <c:pt idx="382">
                  <c:v>4.4740000000000002E-2</c:v>
                </c:pt>
                <c:pt idx="383">
                  <c:v>4.4878000000000001E-2</c:v>
                </c:pt>
                <c:pt idx="384">
                  <c:v>4.5018000000000002E-2</c:v>
                </c:pt>
                <c:pt idx="385">
                  <c:v>4.5157999999999997E-2</c:v>
                </c:pt>
                <c:pt idx="386">
                  <c:v>4.5296000000000003E-2</c:v>
                </c:pt>
                <c:pt idx="387">
                  <c:v>4.5434000000000002E-2</c:v>
                </c:pt>
                <c:pt idx="388">
                  <c:v>4.5574000000000003E-2</c:v>
                </c:pt>
                <c:pt idx="389">
                  <c:v>4.5712000000000003E-2</c:v>
                </c:pt>
                <c:pt idx="390">
                  <c:v>4.5850000000000002E-2</c:v>
                </c:pt>
                <c:pt idx="391">
                  <c:v>4.5990000000000003E-2</c:v>
                </c:pt>
                <c:pt idx="392">
                  <c:v>4.6125999999999993E-2</c:v>
                </c:pt>
                <c:pt idx="393">
                  <c:v>4.6268000000000004E-2</c:v>
                </c:pt>
                <c:pt idx="394">
                  <c:v>4.6407999999999998E-2</c:v>
                </c:pt>
                <c:pt idx="395">
                  <c:v>4.6573999999999997E-2</c:v>
                </c:pt>
                <c:pt idx="396">
                  <c:v>4.6740000000000004E-2</c:v>
                </c:pt>
                <c:pt idx="397">
                  <c:v>4.6905999999999996E-2</c:v>
                </c:pt>
                <c:pt idx="398">
                  <c:v>4.7070000000000001E-2</c:v>
                </c:pt>
                <c:pt idx="399">
                  <c:v>4.7240000000000004E-2</c:v>
                </c:pt>
                <c:pt idx="400">
                  <c:v>4.7405999999999997E-2</c:v>
                </c:pt>
                <c:pt idx="401">
                  <c:v>4.7573999999999998E-2</c:v>
                </c:pt>
                <c:pt idx="402">
                  <c:v>4.7739999999999998E-2</c:v>
                </c:pt>
                <c:pt idx="403">
                  <c:v>4.7906000000000004E-2</c:v>
                </c:pt>
                <c:pt idx="404">
                  <c:v>4.8074000000000006E-2</c:v>
                </c:pt>
                <c:pt idx="405">
                  <c:v>4.8242E-2</c:v>
                </c:pt>
                <c:pt idx="406">
                  <c:v>4.8406000000000005E-2</c:v>
                </c:pt>
                <c:pt idx="407">
                  <c:v>4.8545999999999999E-2</c:v>
                </c:pt>
                <c:pt idx="408">
                  <c:v>4.8711999999999998E-2</c:v>
                </c:pt>
                <c:pt idx="409">
                  <c:v>4.888E-2</c:v>
                </c:pt>
                <c:pt idx="410">
                  <c:v>4.9046000000000006E-2</c:v>
                </c:pt>
                <c:pt idx="411">
                  <c:v>4.9211999999999999E-2</c:v>
                </c:pt>
                <c:pt idx="412">
                  <c:v>4.9378000000000005E-2</c:v>
                </c:pt>
                <c:pt idx="413">
                  <c:v>4.9543999999999998E-2</c:v>
                </c:pt>
                <c:pt idx="414">
                  <c:v>4.9711999999999999E-2</c:v>
                </c:pt>
                <c:pt idx="415">
                  <c:v>4.9877999999999999E-2</c:v>
                </c:pt>
                <c:pt idx="416">
                  <c:v>5.0046E-2</c:v>
                </c:pt>
                <c:pt idx="417">
                  <c:v>5.0212000000000007E-2</c:v>
                </c:pt>
                <c:pt idx="418">
                  <c:v>5.0377999999999999E-2</c:v>
                </c:pt>
                <c:pt idx="419">
                  <c:v>5.0546000000000001E-2</c:v>
                </c:pt>
                <c:pt idx="420">
                  <c:v>5.0712E-2</c:v>
                </c:pt>
                <c:pt idx="421">
                  <c:v>5.0906E-2</c:v>
                </c:pt>
                <c:pt idx="422">
                  <c:v>5.1100000000000007E-2</c:v>
                </c:pt>
                <c:pt idx="423">
                  <c:v>5.1296000000000001E-2</c:v>
                </c:pt>
                <c:pt idx="424">
                  <c:v>5.1490000000000001E-2</c:v>
                </c:pt>
                <c:pt idx="425">
                  <c:v>5.1684000000000001E-2</c:v>
                </c:pt>
                <c:pt idx="426">
                  <c:v>5.1849999999999993E-2</c:v>
                </c:pt>
                <c:pt idx="427">
                  <c:v>5.2044E-2</c:v>
                </c:pt>
                <c:pt idx="428">
                  <c:v>5.2240000000000002E-2</c:v>
                </c:pt>
                <c:pt idx="429">
                  <c:v>5.2434000000000001E-2</c:v>
                </c:pt>
                <c:pt idx="430">
                  <c:v>5.2628000000000001E-2</c:v>
                </c:pt>
                <c:pt idx="431">
                  <c:v>5.2824000000000003E-2</c:v>
                </c:pt>
                <c:pt idx="432">
                  <c:v>5.3018000000000003E-2</c:v>
                </c:pt>
                <c:pt idx="433">
                  <c:v>5.3212000000000002E-2</c:v>
                </c:pt>
                <c:pt idx="434">
                  <c:v>5.3406000000000002E-2</c:v>
                </c:pt>
                <c:pt idx="435">
                  <c:v>5.3600000000000002E-2</c:v>
                </c:pt>
                <c:pt idx="436">
                  <c:v>5.3795999999999997E-2</c:v>
                </c:pt>
                <c:pt idx="437">
                  <c:v>5.3990000000000003E-2</c:v>
                </c:pt>
                <c:pt idx="438">
                  <c:v>5.4184000000000003E-2</c:v>
                </c:pt>
                <c:pt idx="439">
                  <c:v>5.4379999999999998E-2</c:v>
                </c:pt>
                <c:pt idx="440">
                  <c:v>5.4572000000000002E-2</c:v>
                </c:pt>
                <c:pt idx="441">
                  <c:v>5.4767999999999997E-2</c:v>
                </c:pt>
                <c:pt idx="442">
                  <c:v>5.4989999999999997E-2</c:v>
                </c:pt>
                <c:pt idx="443">
                  <c:v>5.5213999999999999E-2</c:v>
                </c:pt>
                <c:pt idx="444">
                  <c:v>5.5406000000000004E-2</c:v>
                </c:pt>
                <c:pt idx="445">
                  <c:v>5.5629999999999999E-2</c:v>
                </c:pt>
                <c:pt idx="446">
                  <c:v>5.5823999999999999E-2</c:v>
                </c:pt>
                <c:pt idx="447">
                  <c:v>5.6017999999999998E-2</c:v>
                </c:pt>
                <c:pt idx="448">
                  <c:v>5.6211999999999998E-2</c:v>
                </c:pt>
                <c:pt idx="449">
                  <c:v>5.6405999999999998E-2</c:v>
                </c:pt>
                <c:pt idx="450">
                  <c:v>5.6602E-2</c:v>
                </c:pt>
                <c:pt idx="451">
                  <c:v>5.6824000000000006E-2</c:v>
                </c:pt>
                <c:pt idx="452">
                  <c:v>5.7045999999999999E-2</c:v>
                </c:pt>
                <c:pt idx="453">
                  <c:v>5.7267999999999999E-2</c:v>
                </c:pt>
                <c:pt idx="454">
                  <c:v>5.7492000000000001E-2</c:v>
                </c:pt>
                <c:pt idx="455">
                  <c:v>5.7712000000000006E-2</c:v>
                </c:pt>
                <c:pt idx="456">
                  <c:v>5.7931999999999997E-2</c:v>
                </c:pt>
                <c:pt idx="457">
                  <c:v>5.8155999999999999E-2</c:v>
                </c:pt>
                <c:pt idx="458">
                  <c:v>5.8380000000000001E-2</c:v>
                </c:pt>
                <c:pt idx="459">
                  <c:v>5.8602000000000001E-2</c:v>
                </c:pt>
                <c:pt idx="460">
                  <c:v>5.8823999999999994E-2</c:v>
                </c:pt>
                <c:pt idx="461">
                  <c:v>5.9046000000000001E-2</c:v>
                </c:pt>
                <c:pt idx="462">
                  <c:v>5.9265999999999999E-2</c:v>
                </c:pt>
                <c:pt idx="463">
                  <c:v>5.9488000000000006E-2</c:v>
                </c:pt>
                <c:pt idx="464">
                  <c:v>5.9711999999999994E-2</c:v>
                </c:pt>
                <c:pt idx="465">
                  <c:v>5.9934000000000001E-2</c:v>
                </c:pt>
                <c:pt idx="466">
                  <c:v>6.0156000000000001E-2</c:v>
                </c:pt>
                <c:pt idx="467">
                  <c:v>6.0380000000000003E-2</c:v>
                </c:pt>
                <c:pt idx="468">
                  <c:v>6.0602000000000003E-2</c:v>
                </c:pt>
                <c:pt idx="469">
                  <c:v>6.0822000000000001E-2</c:v>
                </c:pt>
                <c:pt idx="470">
                  <c:v>6.1044000000000001E-2</c:v>
                </c:pt>
                <c:pt idx="471">
                  <c:v>6.1269999999999998E-2</c:v>
                </c:pt>
                <c:pt idx="472">
                  <c:v>6.1490000000000003E-2</c:v>
                </c:pt>
                <c:pt idx="473">
                  <c:v>6.1711999999999996E-2</c:v>
                </c:pt>
                <c:pt idx="474">
                  <c:v>6.1933999999999996E-2</c:v>
                </c:pt>
                <c:pt idx="475">
                  <c:v>6.2157999999999998E-2</c:v>
                </c:pt>
                <c:pt idx="476">
                  <c:v>6.2405999999999996E-2</c:v>
                </c:pt>
                <c:pt idx="477">
                  <c:v>6.2657999999999991E-2</c:v>
                </c:pt>
                <c:pt idx="478">
                  <c:v>6.2906000000000004E-2</c:v>
                </c:pt>
                <c:pt idx="479">
                  <c:v>6.3156000000000004E-2</c:v>
                </c:pt>
                <c:pt idx="480">
                  <c:v>6.3406000000000004E-2</c:v>
                </c:pt>
                <c:pt idx="481">
                  <c:v>6.3658000000000006E-2</c:v>
                </c:pt>
                <c:pt idx="482">
                  <c:v>6.3906000000000004E-2</c:v>
                </c:pt>
                <c:pt idx="483">
                  <c:v>6.4156000000000005E-2</c:v>
                </c:pt>
                <c:pt idx="484">
                  <c:v>6.4408000000000007E-2</c:v>
                </c:pt>
                <c:pt idx="485">
                  <c:v>6.4656000000000005E-2</c:v>
                </c:pt>
                <c:pt idx="486">
                  <c:v>6.4908000000000007E-2</c:v>
                </c:pt>
                <c:pt idx="487">
                  <c:v>6.5183999999999992E-2</c:v>
                </c:pt>
                <c:pt idx="488">
                  <c:v>6.5434000000000006E-2</c:v>
                </c:pt>
                <c:pt idx="489">
                  <c:v>6.5682000000000004E-2</c:v>
                </c:pt>
                <c:pt idx="490">
                  <c:v>6.5963999999999995E-2</c:v>
                </c:pt>
                <c:pt idx="491">
                  <c:v>6.6239999999999993E-2</c:v>
                </c:pt>
                <c:pt idx="492">
                  <c:v>6.6517999999999994E-2</c:v>
                </c:pt>
                <c:pt idx="493">
                  <c:v>6.6795999999999994E-2</c:v>
                </c:pt>
                <c:pt idx="494">
                  <c:v>6.7072000000000007E-2</c:v>
                </c:pt>
                <c:pt idx="495">
                  <c:v>6.7323999999999995E-2</c:v>
                </c:pt>
                <c:pt idx="496">
                  <c:v>6.7601999999999995E-2</c:v>
                </c:pt>
                <c:pt idx="497">
                  <c:v>6.7877999999999994E-2</c:v>
                </c:pt>
                <c:pt idx="498">
                  <c:v>6.8155999999999994E-2</c:v>
                </c:pt>
                <c:pt idx="499">
                  <c:v>6.8433999999999995E-2</c:v>
                </c:pt>
                <c:pt idx="500">
                  <c:v>6.8713999999999997E-2</c:v>
                </c:pt>
                <c:pt idx="501">
                  <c:v>6.8989999999999996E-2</c:v>
                </c:pt>
                <c:pt idx="502">
                  <c:v>6.9267999999999996E-2</c:v>
                </c:pt>
                <c:pt idx="503">
                  <c:v>6.9545999999999997E-2</c:v>
                </c:pt>
                <c:pt idx="504">
                  <c:v>6.9823999999999997E-2</c:v>
                </c:pt>
                <c:pt idx="505">
                  <c:v>7.0101999999999998E-2</c:v>
                </c:pt>
                <c:pt idx="506">
                  <c:v>7.0377999999999996E-2</c:v>
                </c:pt>
                <c:pt idx="507">
                  <c:v>7.0655999999999997E-2</c:v>
                </c:pt>
                <c:pt idx="508">
                  <c:v>7.0959999999999995E-2</c:v>
                </c:pt>
                <c:pt idx="509">
                  <c:v>7.1265999999999996E-2</c:v>
                </c:pt>
                <c:pt idx="510">
                  <c:v>7.1571999999999997E-2</c:v>
                </c:pt>
                <c:pt idx="511">
                  <c:v>7.1877999999999997E-2</c:v>
                </c:pt>
                <c:pt idx="512">
                  <c:v>7.2183999999999998E-2</c:v>
                </c:pt>
                <c:pt idx="513">
                  <c:v>7.2489999999999999E-2</c:v>
                </c:pt>
                <c:pt idx="514">
                  <c:v>7.2796E-2</c:v>
                </c:pt>
                <c:pt idx="515">
                  <c:v>7.3099999999999998E-2</c:v>
                </c:pt>
                <c:pt idx="516">
                  <c:v>7.3408000000000001E-2</c:v>
                </c:pt>
                <c:pt idx="517">
                  <c:v>7.3714000000000002E-2</c:v>
                </c:pt>
                <c:pt idx="518">
                  <c:v>7.4018E-2</c:v>
                </c:pt>
                <c:pt idx="519">
                  <c:v>7.4324000000000001E-2</c:v>
                </c:pt>
                <c:pt idx="520">
                  <c:v>7.4628E-2</c:v>
                </c:pt>
                <c:pt idx="521">
                  <c:v>7.4962000000000001E-2</c:v>
                </c:pt>
                <c:pt idx="522">
                  <c:v>7.5270000000000004E-2</c:v>
                </c:pt>
                <c:pt idx="523">
                  <c:v>7.5574000000000002E-2</c:v>
                </c:pt>
                <c:pt idx="524">
                  <c:v>7.5906000000000001E-2</c:v>
                </c:pt>
                <c:pt idx="525">
                  <c:v>7.6238E-2</c:v>
                </c:pt>
                <c:pt idx="526">
                  <c:v>7.6574000000000003E-2</c:v>
                </c:pt>
                <c:pt idx="527">
                  <c:v>7.6906000000000002E-2</c:v>
                </c:pt>
                <c:pt idx="528">
                  <c:v>7.7240000000000003E-2</c:v>
                </c:pt>
                <c:pt idx="529">
                  <c:v>7.757399999999999E-2</c:v>
                </c:pt>
                <c:pt idx="530">
                  <c:v>7.7906000000000003E-2</c:v>
                </c:pt>
                <c:pt idx="531">
                  <c:v>7.8240000000000004E-2</c:v>
                </c:pt>
                <c:pt idx="532">
                  <c:v>7.8574000000000005E-2</c:v>
                </c:pt>
                <c:pt idx="533">
                  <c:v>7.8907999999999992E-2</c:v>
                </c:pt>
                <c:pt idx="534">
                  <c:v>7.9268000000000005E-2</c:v>
                </c:pt>
                <c:pt idx="535">
                  <c:v>7.962799999999999E-2</c:v>
                </c:pt>
                <c:pt idx="536">
                  <c:v>7.9989999999999992E-2</c:v>
                </c:pt>
                <c:pt idx="537">
                  <c:v>8.0324000000000007E-2</c:v>
                </c:pt>
                <c:pt idx="538">
                  <c:v>8.0657999999999994E-2</c:v>
                </c:pt>
                <c:pt idx="539">
                  <c:v>8.1018000000000007E-2</c:v>
                </c:pt>
                <c:pt idx="540">
                  <c:v>8.1379999999999994E-2</c:v>
                </c:pt>
                <c:pt idx="541">
                  <c:v>8.1739999999999993E-2</c:v>
                </c:pt>
                <c:pt idx="542">
                  <c:v>8.2102000000000008E-2</c:v>
                </c:pt>
                <c:pt idx="543">
                  <c:v>8.2460000000000006E-2</c:v>
                </c:pt>
                <c:pt idx="544">
                  <c:v>8.2850000000000007E-2</c:v>
                </c:pt>
                <c:pt idx="545">
                  <c:v>8.3211999999999994E-2</c:v>
                </c:pt>
                <c:pt idx="546">
                  <c:v>8.360200000000001E-2</c:v>
                </c:pt>
                <c:pt idx="547">
                  <c:v>8.4016000000000007E-2</c:v>
                </c:pt>
                <c:pt idx="548">
                  <c:v>8.4405999999999995E-2</c:v>
                </c:pt>
                <c:pt idx="549">
                  <c:v>8.4793999999999994E-2</c:v>
                </c:pt>
                <c:pt idx="550">
                  <c:v>8.5185999999999998E-2</c:v>
                </c:pt>
                <c:pt idx="551">
                  <c:v>8.5573999999999997E-2</c:v>
                </c:pt>
                <c:pt idx="552">
                  <c:v>8.5989999999999997E-2</c:v>
                </c:pt>
                <c:pt idx="553">
                  <c:v>8.6407999999999999E-2</c:v>
                </c:pt>
                <c:pt idx="554">
                  <c:v>8.6823999999999998E-2</c:v>
                </c:pt>
                <c:pt idx="555">
                  <c:v>8.7242E-2</c:v>
                </c:pt>
                <c:pt idx="556">
                  <c:v>8.7655999999999998E-2</c:v>
                </c:pt>
                <c:pt idx="557">
                  <c:v>8.8074E-2</c:v>
                </c:pt>
                <c:pt idx="558">
                  <c:v>8.8488000000000011E-2</c:v>
                </c:pt>
                <c:pt idx="559">
                  <c:v>8.8908000000000001E-2</c:v>
                </c:pt>
                <c:pt idx="560">
                  <c:v>8.9324000000000001E-2</c:v>
                </c:pt>
                <c:pt idx="561">
                  <c:v>8.974E-2</c:v>
                </c:pt>
                <c:pt idx="562">
                  <c:v>9.0155999999999986E-2</c:v>
                </c:pt>
                <c:pt idx="563">
                  <c:v>9.0573999999999988E-2</c:v>
                </c:pt>
                <c:pt idx="564">
                  <c:v>9.0990000000000001E-2</c:v>
                </c:pt>
                <c:pt idx="565">
                  <c:v>9.1434000000000001E-2</c:v>
                </c:pt>
                <c:pt idx="566">
                  <c:v>9.1850000000000001E-2</c:v>
                </c:pt>
                <c:pt idx="567">
                  <c:v>9.2294000000000001E-2</c:v>
                </c:pt>
                <c:pt idx="568">
                  <c:v>9.2739999999999989E-2</c:v>
                </c:pt>
                <c:pt idx="569">
                  <c:v>9.3184000000000003E-2</c:v>
                </c:pt>
                <c:pt idx="570">
                  <c:v>9.3628000000000003E-2</c:v>
                </c:pt>
                <c:pt idx="571">
                  <c:v>9.4100000000000003E-2</c:v>
                </c:pt>
                <c:pt idx="572">
                  <c:v>9.4572000000000003E-2</c:v>
                </c:pt>
                <c:pt idx="573">
                  <c:v>9.5044000000000003E-2</c:v>
                </c:pt>
                <c:pt idx="574">
                  <c:v>9.5518000000000006E-2</c:v>
                </c:pt>
                <c:pt idx="575">
                  <c:v>9.5990000000000006E-2</c:v>
                </c:pt>
                <c:pt idx="576">
                  <c:v>9.6462000000000006E-2</c:v>
                </c:pt>
                <c:pt idx="577">
                  <c:v>9.6934000000000006E-2</c:v>
                </c:pt>
                <c:pt idx="578">
                  <c:v>9.7433999999999993E-2</c:v>
                </c:pt>
                <c:pt idx="579">
                  <c:v>9.7932000000000005E-2</c:v>
                </c:pt>
                <c:pt idx="580">
                  <c:v>9.8434000000000008E-2</c:v>
                </c:pt>
                <c:pt idx="581">
                  <c:v>9.8935999999999996E-2</c:v>
                </c:pt>
                <c:pt idx="582">
                  <c:v>9.9435999999999997E-2</c:v>
                </c:pt>
                <c:pt idx="583">
                  <c:v>9.9933999999999995E-2</c:v>
                </c:pt>
                <c:pt idx="584">
                  <c:v>0.100434</c:v>
                </c:pt>
                <c:pt idx="585">
                  <c:v>0.100962</c:v>
                </c:pt>
                <c:pt idx="586">
                  <c:v>0.10149</c:v>
                </c:pt>
                <c:pt idx="587">
                  <c:v>0.102018</c:v>
                </c:pt>
                <c:pt idx="588">
                  <c:v>0.102574</c:v>
                </c:pt>
                <c:pt idx="589">
                  <c:v>0.103128</c:v>
                </c:pt>
                <c:pt idx="590">
                  <c:v>0.103714</c:v>
                </c:pt>
                <c:pt idx="591">
                  <c:v>0.104296</c:v>
                </c:pt>
                <c:pt idx="592">
                  <c:v>0.104906</c:v>
                </c:pt>
                <c:pt idx="593">
                  <c:v>0.105684</c:v>
                </c:pt>
              </c:numCache>
            </c:numRef>
          </c:cat>
          <c:val>
            <c:numRef>
              <c:f>'A21-4'!$F$2:$F$595</c:f>
              <c:numCache>
                <c:formatCode>0.00</c:formatCode>
                <c:ptCount val="594"/>
                <c:pt idx="0">
                  <c:v>0</c:v>
                </c:pt>
                <c:pt idx="1">
                  <c:v>7.5235700817096157E-2</c:v>
                </c:pt>
                <c:pt idx="2">
                  <c:v>7.5235700817096157E-2</c:v>
                </c:pt>
                <c:pt idx="3">
                  <c:v>7.5235700817096157E-2</c:v>
                </c:pt>
                <c:pt idx="4">
                  <c:v>7.5235700817096157E-2</c:v>
                </c:pt>
                <c:pt idx="5">
                  <c:v>7.5235700817096157E-2</c:v>
                </c:pt>
                <c:pt idx="6">
                  <c:v>7.5235700817096157E-2</c:v>
                </c:pt>
                <c:pt idx="7">
                  <c:v>7.5235700817096157E-2</c:v>
                </c:pt>
                <c:pt idx="8">
                  <c:v>7.5235700817096157E-2</c:v>
                </c:pt>
                <c:pt idx="9">
                  <c:v>7.5235700817096157E-2</c:v>
                </c:pt>
                <c:pt idx="10">
                  <c:v>7.5235700817096157E-2</c:v>
                </c:pt>
                <c:pt idx="11">
                  <c:v>7.5235700817096157E-2</c:v>
                </c:pt>
                <c:pt idx="12">
                  <c:v>7.5235700817096157E-2</c:v>
                </c:pt>
                <c:pt idx="13">
                  <c:v>7.5235700817096157E-2</c:v>
                </c:pt>
                <c:pt idx="14">
                  <c:v>7.1275927089880564E-2</c:v>
                </c:pt>
                <c:pt idx="15">
                  <c:v>7.1275927089880564E-2</c:v>
                </c:pt>
                <c:pt idx="16">
                  <c:v>7.1275927089880564E-2</c:v>
                </c:pt>
                <c:pt idx="17">
                  <c:v>7.1275927089880564E-2</c:v>
                </c:pt>
                <c:pt idx="18">
                  <c:v>7.1275927089880564E-2</c:v>
                </c:pt>
                <c:pt idx="19">
                  <c:v>7.1275927089880564E-2</c:v>
                </c:pt>
                <c:pt idx="20">
                  <c:v>7.1275927089880564E-2</c:v>
                </c:pt>
                <c:pt idx="21">
                  <c:v>7.5235700817096157E-2</c:v>
                </c:pt>
                <c:pt idx="22">
                  <c:v>7.5235700817096157E-2</c:v>
                </c:pt>
                <c:pt idx="23">
                  <c:v>7.5235700817096157E-2</c:v>
                </c:pt>
                <c:pt idx="24">
                  <c:v>7.5235700817096157E-2</c:v>
                </c:pt>
                <c:pt idx="25">
                  <c:v>7.5235700817096157E-2</c:v>
                </c:pt>
                <c:pt idx="26">
                  <c:v>7.5235700817096157E-2</c:v>
                </c:pt>
                <c:pt idx="27">
                  <c:v>7.5235700817096157E-2</c:v>
                </c:pt>
                <c:pt idx="28">
                  <c:v>7.5235700817096157E-2</c:v>
                </c:pt>
                <c:pt idx="29">
                  <c:v>7.5235700817096157E-2</c:v>
                </c:pt>
                <c:pt idx="30">
                  <c:v>7.919547454431175E-2</c:v>
                </c:pt>
                <c:pt idx="31">
                  <c:v>7.919547454431175E-2</c:v>
                </c:pt>
                <c:pt idx="32">
                  <c:v>7.919547454431175E-2</c:v>
                </c:pt>
                <c:pt idx="33">
                  <c:v>7.919547454431175E-2</c:v>
                </c:pt>
                <c:pt idx="34">
                  <c:v>7.919547454431175E-2</c:v>
                </c:pt>
                <c:pt idx="35">
                  <c:v>7.919547454431175E-2</c:v>
                </c:pt>
                <c:pt idx="36">
                  <c:v>7.919547454431175E-2</c:v>
                </c:pt>
                <c:pt idx="37">
                  <c:v>8.7115021998742936E-2</c:v>
                </c:pt>
                <c:pt idx="38">
                  <c:v>9.1074795725958516E-2</c:v>
                </c:pt>
                <c:pt idx="39">
                  <c:v>9.5034569453174095E-2</c:v>
                </c:pt>
                <c:pt idx="40">
                  <c:v>9.8994343180389702E-2</c:v>
                </c:pt>
                <c:pt idx="41">
                  <c:v>9.8994343180389702E-2</c:v>
                </c:pt>
                <c:pt idx="42">
                  <c:v>0.10295411690760528</c:v>
                </c:pt>
                <c:pt idx="43">
                  <c:v>0.10691389063482086</c:v>
                </c:pt>
                <c:pt idx="44">
                  <c:v>0.11087366436203647</c:v>
                </c:pt>
                <c:pt idx="45">
                  <c:v>0.11879321181646763</c:v>
                </c:pt>
                <c:pt idx="46">
                  <c:v>0.12275298554368322</c:v>
                </c:pt>
                <c:pt idx="47">
                  <c:v>0.13463230672532997</c:v>
                </c:pt>
                <c:pt idx="48">
                  <c:v>0.14255185417976113</c:v>
                </c:pt>
                <c:pt idx="49">
                  <c:v>0.15047140163419231</c:v>
                </c:pt>
                <c:pt idx="50">
                  <c:v>0.1583909490886235</c:v>
                </c:pt>
                <c:pt idx="51">
                  <c:v>0.1702679423609656</c:v>
                </c:pt>
                <c:pt idx="52">
                  <c:v>0.17818748981539678</c:v>
                </c:pt>
                <c:pt idx="53">
                  <c:v>0.19006681099704353</c:v>
                </c:pt>
                <c:pt idx="54">
                  <c:v>0.20194613217869031</c:v>
                </c:pt>
                <c:pt idx="55">
                  <c:v>0.20986567963312147</c:v>
                </c:pt>
                <c:pt idx="56">
                  <c:v>0.22570477454198384</c:v>
                </c:pt>
                <c:pt idx="57">
                  <c:v>0.22966454826919944</c:v>
                </c:pt>
                <c:pt idx="58">
                  <c:v>0.24154386945084616</c:v>
                </c:pt>
                <c:pt idx="59">
                  <c:v>0.25341620690457894</c:v>
                </c:pt>
                <c:pt idx="60">
                  <c:v>0.26135437763344738</c:v>
                </c:pt>
                <c:pt idx="61">
                  <c:v>0.26531182345135829</c:v>
                </c:pt>
                <c:pt idx="62">
                  <c:v>0.27322671508718022</c:v>
                </c:pt>
                <c:pt idx="63">
                  <c:v>0.285099052540913</c:v>
                </c:pt>
                <c:pt idx="64">
                  <c:v>0.29301394417673482</c:v>
                </c:pt>
                <c:pt idx="65">
                  <c:v>0.30095211490560331</c:v>
                </c:pt>
                <c:pt idx="66">
                  <c:v>0.30886700654142513</c:v>
                </c:pt>
                <c:pt idx="67">
                  <c:v>0.32073934399515791</c:v>
                </c:pt>
                <c:pt idx="68">
                  <c:v>0.32865423563097984</c:v>
                </c:pt>
                <c:pt idx="69">
                  <c:v>0.34052657308471262</c:v>
                </c:pt>
                <c:pt idx="70">
                  <c:v>0.35242218963149191</c:v>
                </c:pt>
                <c:pt idx="71">
                  <c:v>0.36429452708522475</c:v>
                </c:pt>
                <c:pt idx="72">
                  <c:v>0.37616686453895753</c:v>
                </c:pt>
                <c:pt idx="73">
                  <c:v>0.38806248108573693</c:v>
                </c:pt>
                <c:pt idx="74">
                  <c:v>0.40389226435738063</c:v>
                </c:pt>
                <c:pt idx="75">
                  <c:v>0.41576460181111341</c:v>
                </c:pt>
                <c:pt idx="76">
                  <c:v>0.4276602183578927</c:v>
                </c:pt>
                <c:pt idx="77">
                  <c:v>0.43953255581162554</c:v>
                </c:pt>
                <c:pt idx="78">
                  <c:v>0.45536233908326929</c:v>
                </c:pt>
                <c:pt idx="79">
                  <c:v>0.46725795563004857</c:v>
                </c:pt>
                <c:pt idx="80">
                  <c:v>0.47913029308378141</c:v>
                </c:pt>
                <c:pt idx="81">
                  <c:v>0.49496007635542516</c:v>
                </c:pt>
                <c:pt idx="82">
                  <c:v>0.50685569290220456</c:v>
                </c:pt>
                <c:pt idx="83">
                  <c:v>0.51872803035593729</c:v>
                </c:pt>
                <c:pt idx="84">
                  <c:v>0.53455781362758115</c:v>
                </c:pt>
                <c:pt idx="85">
                  <c:v>0.54645343017436043</c:v>
                </c:pt>
                <c:pt idx="86">
                  <c:v>0.55832576762809327</c:v>
                </c:pt>
                <c:pt idx="87">
                  <c:v>0.570198105081826</c:v>
                </c:pt>
                <c:pt idx="88">
                  <c:v>0.58209372162860529</c:v>
                </c:pt>
                <c:pt idx="89">
                  <c:v>0.59396605908233813</c:v>
                </c:pt>
                <c:pt idx="90">
                  <c:v>0.60583839653607086</c:v>
                </c:pt>
                <c:pt idx="91">
                  <c:v>0.6177107339898037</c:v>
                </c:pt>
                <c:pt idx="92">
                  <c:v>0.62960635053658298</c:v>
                </c:pt>
                <c:pt idx="93">
                  <c:v>0.64147868799031582</c:v>
                </c:pt>
                <c:pt idx="94">
                  <c:v>0.65335102544404866</c:v>
                </c:pt>
                <c:pt idx="95">
                  <c:v>0.66524664199082806</c:v>
                </c:pt>
                <c:pt idx="96">
                  <c:v>0.67711897944456079</c:v>
                </c:pt>
                <c:pt idx="97">
                  <c:v>0.68899131689829363</c:v>
                </c:pt>
                <c:pt idx="98">
                  <c:v>0.70086365435202636</c:v>
                </c:pt>
                <c:pt idx="99">
                  <c:v>0.71275927089880575</c:v>
                </c:pt>
                <c:pt idx="100">
                  <c:v>0.72463160835253859</c:v>
                </c:pt>
                <c:pt idx="101">
                  <c:v>0.73254649998836041</c:v>
                </c:pt>
                <c:pt idx="102">
                  <c:v>0.74839956235305072</c:v>
                </c:pt>
                <c:pt idx="103">
                  <c:v>0.76027189980678345</c:v>
                </c:pt>
                <c:pt idx="104">
                  <c:v>0.7761016830784272</c:v>
                </c:pt>
                <c:pt idx="105">
                  <c:v>0.78799729962520659</c:v>
                </c:pt>
                <c:pt idx="106">
                  <c:v>0.79986963707893932</c:v>
                </c:pt>
                <c:pt idx="107">
                  <c:v>0.81569942035058307</c:v>
                </c:pt>
                <c:pt idx="108">
                  <c:v>0.83155248271527327</c:v>
                </c:pt>
                <c:pt idx="109">
                  <c:v>0.84342482016900622</c:v>
                </c:pt>
                <c:pt idx="110">
                  <c:v>0.85529715762273895</c:v>
                </c:pt>
                <c:pt idx="111">
                  <c:v>0.87115021998742925</c:v>
                </c:pt>
                <c:pt idx="112">
                  <c:v>0.88302255744116209</c:v>
                </c:pt>
                <c:pt idx="113">
                  <c:v>0.89489489489489482</c:v>
                </c:pt>
                <c:pt idx="114">
                  <c:v>0.90679051144167422</c:v>
                </c:pt>
                <c:pt idx="115">
                  <c:v>0.91866284889540706</c:v>
                </c:pt>
                <c:pt idx="116">
                  <c:v>0.9344926321670507</c:v>
                </c:pt>
                <c:pt idx="117">
                  <c:v>0.94243080289591918</c:v>
                </c:pt>
                <c:pt idx="118">
                  <c:v>0.95430314034965191</c:v>
                </c:pt>
                <c:pt idx="119">
                  <c:v>0.97013292362129555</c:v>
                </c:pt>
                <c:pt idx="120">
                  <c:v>0.98202854016807506</c:v>
                </c:pt>
                <c:pt idx="121">
                  <c:v>0.9939008776218079</c:v>
                </c:pt>
                <c:pt idx="122">
                  <c:v>1.0057732150755405</c:v>
                </c:pt>
                <c:pt idx="123">
                  <c:v>1.0216029983471844</c:v>
                </c:pt>
                <c:pt idx="124">
                  <c:v>1.0374560607118746</c:v>
                </c:pt>
                <c:pt idx="125">
                  <c:v>1.0493283981656074</c:v>
                </c:pt>
                <c:pt idx="126">
                  <c:v>1.0651814605302976</c:v>
                </c:pt>
                <c:pt idx="127">
                  <c:v>1.0810112438019415</c:v>
                </c:pt>
                <c:pt idx="128">
                  <c:v>1.1007984728914961</c:v>
                </c:pt>
                <c:pt idx="129">
                  <c:v>1.1166515352561865</c:v>
                </c:pt>
                <c:pt idx="130">
                  <c:v>1.13248131852783</c:v>
                </c:pt>
                <c:pt idx="131">
                  <c:v>1.1483343808925204</c:v>
                </c:pt>
                <c:pt idx="132">
                  <c:v>1.164164164164164</c:v>
                </c:pt>
                <c:pt idx="133">
                  <c:v>1.1799939474358079</c:v>
                </c:pt>
                <c:pt idx="134">
                  <c:v>1.1958470098004981</c:v>
                </c:pt>
                <c:pt idx="135">
                  <c:v>1.2116767930721417</c:v>
                </c:pt>
                <c:pt idx="136">
                  <c:v>1.2275298554368321</c:v>
                </c:pt>
                <c:pt idx="137">
                  <c:v>1.243359638708476</c:v>
                </c:pt>
                <c:pt idx="138">
                  <c:v>1.2591894219801196</c:v>
                </c:pt>
                <c:pt idx="139">
                  <c:v>1.2750424843448098</c:v>
                </c:pt>
                <c:pt idx="140">
                  <c:v>1.2908722676164537</c:v>
                </c:pt>
                <c:pt idx="141">
                  <c:v>1.3067253299811439</c:v>
                </c:pt>
                <c:pt idx="142">
                  <c:v>1.3225551132527875</c:v>
                </c:pt>
                <c:pt idx="143">
                  <c:v>1.3383848965244314</c:v>
                </c:pt>
                <c:pt idx="144">
                  <c:v>1.3542379588891216</c:v>
                </c:pt>
                <c:pt idx="145">
                  <c:v>1.3700677421607652</c:v>
                </c:pt>
                <c:pt idx="146">
                  <c:v>1.3859208045254554</c:v>
                </c:pt>
                <c:pt idx="147">
                  <c:v>1.4017505877970995</c:v>
                </c:pt>
                <c:pt idx="148">
                  <c:v>1.4175803710687431</c:v>
                </c:pt>
                <c:pt idx="149">
                  <c:v>1.4334334334334333</c:v>
                </c:pt>
                <c:pt idx="150">
                  <c:v>1.4492632167050772</c:v>
                </c:pt>
                <c:pt idx="151">
                  <c:v>1.4651162790697674</c:v>
                </c:pt>
                <c:pt idx="152">
                  <c:v>1.4809460623414112</c:v>
                </c:pt>
                <c:pt idx="153">
                  <c:v>1.4967758456130547</c:v>
                </c:pt>
                <c:pt idx="154">
                  <c:v>1.5126289079777449</c:v>
                </c:pt>
                <c:pt idx="155">
                  <c:v>1.5284586912493889</c:v>
                </c:pt>
                <c:pt idx="156">
                  <c:v>1.5443117536140789</c:v>
                </c:pt>
                <c:pt idx="157">
                  <c:v>1.560141536885723</c:v>
                </c:pt>
                <c:pt idx="158">
                  <c:v>1.5759713201573666</c:v>
                </c:pt>
                <c:pt idx="159">
                  <c:v>1.5918243825220568</c:v>
                </c:pt>
                <c:pt idx="160">
                  <c:v>1.6076541657937007</c:v>
                </c:pt>
                <c:pt idx="161">
                  <c:v>1.6235072281583909</c:v>
                </c:pt>
                <c:pt idx="162">
                  <c:v>1.6393370114300347</c:v>
                </c:pt>
                <c:pt idx="163">
                  <c:v>1.6551667947016782</c:v>
                </c:pt>
                <c:pt idx="164">
                  <c:v>1.6710198570663684</c:v>
                </c:pt>
                <c:pt idx="165">
                  <c:v>1.6868496403380124</c:v>
                </c:pt>
                <c:pt idx="166">
                  <c:v>1.7026794236096561</c:v>
                </c:pt>
                <c:pt idx="167">
                  <c:v>1.7185324859743463</c:v>
                </c:pt>
                <c:pt idx="168">
                  <c:v>1.7343622692459901</c:v>
                </c:pt>
                <c:pt idx="169">
                  <c:v>1.7502153316106803</c:v>
                </c:pt>
                <c:pt idx="170">
                  <c:v>1.7660451148823242</c:v>
                </c:pt>
                <c:pt idx="171">
                  <c:v>1.7818748981539676</c:v>
                </c:pt>
                <c:pt idx="172">
                  <c:v>1.797727960518658</c:v>
                </c:pt>
                <c:pt idx="173">
                  <c:v>1.8135577437903019</c:v>
                </c:pt>
                <c:pt idx="174">
                  <c:v>1.8294108061549921</c:v>
                </c:pt>
                <c:pt idx="175">
                  <c:v>1.8452405894266359</c:v>
                </c:pt>
                <c:pt idx="176">
                  <c:v>1.8610703726982796</c:v>
                </c:pt>
                <c:pt idx="177">
                  <c:v>1.8769234350629698</c:v>
                </c:pt>
                <c:pt idx="178">
                  <c:v>1.8927532183346136</c:v>
                </c:pt>
                <c:pt idx="179">
                  <c:v>1.9086062806993038</c:v>
                </c:pt>
                <c:pt idx="180">
                  <c:v>1.9244360639709477</c:v>
                </c:pt>
                <c:pt idx="181">
                  <c:v>1.9402658472425911</c:v>
                </c:pt>
                <c:pt idx="182">
                  <c:v>1.9561189096072815</c:v>
                </c:pt>
                <c:pt idx="183">
                  <c:v>1.9719486928789254</c:v>
                </c:pt>
                <c:pt idx="184">
                  <c:v>1.9878017552436158</c:v>
                </c:pt>
                <c:pt idx="185">
                  <c:v>2.0036315385152594</c:v>
                </c:pt>
                <c:pt idx="186">
                  <c:v>2.0194613217869031</c:v>
                </c:pt>
                <c:pt idx="187">
                  <c:v>2.0353143841515933</c:v>
                </c:pt>
                <c:pt idx="188">
                  <c:v>2.0511441674232369</c:v>
                </c:pt>
                <c:pt idx="189">
                  <c:v>2.0669972297879275</c:v>
                </c:pt>
                <c:pt idx="190">
                  <c:v>2.0828270130595707</c:v>
                </c:pt>
                <c:pt idx="191">
                  <c:v>2.0986567963312148</c:v>
                </c:pt>
                <c:pt idx="192">
                  <c:v>2.114509858695905</c:v>
                </c:pt>
                <c:pt idx="193">
                  <c:v>2.1342970877854599</c:v>
                </c:pt>
                <c:pt idx="194">
                  <c:v>2.1501501501501501</c:v>
                </c:pt>
                <c:pt idx="195">
                  <c:v>2.1659799334217937</c:v>
                </c:pt>
                <c:pt idx="196">
                  <c:v>2.1818097166934378</c:v>
                </c:pt>
                <c:pt idx="197">
                  <c:v>2.1976627790581276</c:v>
                </c:pt>
                <c:pt idx="198">
                  <c:v>2.2134925623297717</c:v>
                </c:pt>
                <c:pt idx="199">
                  <c:v>2.2293456246944618</c:v>
                </c:pt>
                <c:pt idx="200">
                  <c:v>2.2451754079661055</c:v>
                </c:pt>
                <c:pt idx="201">
                  <c:v>2.2610051912377496</c:v>
                </c:pt>
                <c:pt idx="202">
                  <c:v>2.2768582536024393</c:v>
                </c:pt>
                <c:pt idx="203">
                  <c:v>2.2926880368740834</c:v>
                </c:pt>
                <c:pt idx="204">
                  <c:v>2.3085410992387736</c:v>
                </c:pt>
                <c:pt idx="205">
                  <c:v>2.3243708825104172</c:v>
                </c:pt>
                <c:pt idx="206">
                  <c:v>2.3402472239681544</c:v>
                </c:pt>
                <c:pt idx="207">
                  <c:v>2.3560770072397976</c:v>
                </c:pt>
                <c:pt idx="208">
                  <c:v>2.3719067905114413</c:v>
                </c:pt>
                <c:pt idx="209">
                  <c:v>2.3877365737830853</c:v>
                </c:pt>
                <c:pt idx="210">
                  <c:v>2.403566357054729</c:v>
                </c:pt>
                <c:pt idx="211">
                  <c:v>2.4233535861442834</c:v>
                </c:pt>
                <c:pt idx="212">
                  <c:v>2.4431408152338383</c:v>
                </c:pt>
                <c:pt idx="213">
                  <c:v>2.4589705985054819</c:v>
                </c:pt>
                <c:pt idx="214">
                  <c:v>2.474800381777126</c:v>
                </c:pt>
                <c:pt idx="215">
                  <c:v>2.4906301650487697</c:v>
                </c:pt>
                <c:pt idx="216">
                  <c:v>2.5064599483204133</c:v>
                </c:pt>
                <c:pt idx="217">
                  <c:v>2.5222897315920569</c:v>
                </c:pt>
                <c:pt idx="218">
                  <c:v>2.5381195148637006</c:v>
                </c:pt>
                <c:pt idx="219">
                  <c:v>2.5539492981353442</c:v>
                </c:pt>
                <c:pt idx="220">
                  <c:v>2.5697790814069883</c:v>
                </c:pt>
                <c:pt idx="221">
                  <c:v>2.5856088646786319</c:v>
                </c:pt>
                <c:pt idx="222">
                  <c:v>2.601438647950276</c:v>
                </c:pt>
                <c:pt idx="223">
                  <c:v>2.6214586679702956</c:v>
                </c:pt>
                <c:pt idx="224">
                  <c:v>2.6372884512419397</c:v>
                </c:pt>
                <c:pt idx="225">
                  <c:v>2.6531182345135833</c:v>
                </c:pt>
                <c:pt idx="226">
                  <c:v>2.6729054636031377</c:v>
                </c:pt>
                <c:pt idx="227">
                  <c:v>2.6887352468747818</c:v>
                </c:pt>
                <c:pt idx="228">
                  <c:v>2.7045650301464255</c:v>
                </c:pt>
                <c:pt idx="229">
                  <c:v>2.7243522592359799</c:v>
                </c:pt>
                <c:pt idx="230">
                  <c:v>2.740182042507624</c:v>
                </c:pt>
                <c:pt idx="231">
                  <c:v>2.7560118257792676</c:v>
                </c:pt>
                <c:pt idx="232">
                  <c:v>2.7718416090509108</c:v>
                </c:pt>
                <c:pt idx="233">
                  <c:v>2.7916288381404657</c:v>
                </c:pt>
                <c:pt idx="234">
                  <c:v>2.8074586214121098</c:v>
                </c:pt>
                <c:pt idx="235">
                  <c:v>2.8272458505016647</c:v>
                </c:pt>
                <c:pt idx="236">
                  <c:v>2.8430756337733079</c:v>
                </c:pt>
                <c:pt idx="237">
                  <c:v>2.8628628628628627</c:v>
                </c:pt>
                <c:pt idx="238">
                  <c:v>2.8786926461345064</c:v>
                </c:pt>
                <c:pt idx="239">
                  <c:v>2.8984798752240613</c:v>
                </c:pt>
                <c:pt idx="240">
                  <c:v>2.9143096584957044</c:v>
                </c:pt>
                <c:pt idx="241">
                  <c:v>2.9340968875852593</c:v>
                </c:pt>
                <c:pt idx="242">
                  <c:v>2.9499266708569034</c:v>
                </c:pt>
                <c:pt idx="243">
                  <c:v>2.965756454128547</c:v>
                </c:pt>
                <c:pt idx="244">
                  <c:v>2.9815862374001907</c:v>
                </c:pt>
                <c:pt idx="245">
                  <c:v>2.9974160206718343</c:v>
                </c:pt>
                <c:pt idx="246">
                  <c:v>3.0134785948739435</c:v>
                </c:pt>
                <c:pt idx="247">
                  <c:v>3.0332658239634989</c:v>
                </c:pt>
                <c:pt idx="248">
                  <c:v>3.0490956072351416</c:v>
                </c:pt>
                <c:pt idx="249">
                  <c:v>3.0728402821426073</c:v>
                </c:pt>
                <c:pt idx="250">
                  <c:v>3.0965849570500734</c:v>
                </c:pt>
                <c:pt idx="251">
                  <c:v>3.1203296319575382</c:v>
                </c:pt>
                <c:pt idx="252">
                  <c:v>3.1440743068650043</c:v>
                </c:pt>
                <c:pt idx="253">
                  <c:v>3.1678189817724705</c:v>
                </c:pt>
                <c:pt idx="254">
                  <c:v>3.1915636566799352</c:v>
                </c:pt>
                <c:pt idx="255">
                  <c:v>3.2153083315874014</c:v>
                </c:pt>
                <c:pt idx="256">
                  <c:v>3.2430104523127778</c:v>
                </c:pt>
                <c:pt idx="257">
                  <c:v>3.2667551272202435</c:v>
                </c:pt>
                <c:pt idx="258">
                  <c:v>3.29445724794562</c:v>
                </c:pt>
                <c:pt idx="259">
                  <c:v>3.3221593686709969</c:v>
                </c:pt>
                <c:pt idx="260">
                  <c:v>3.3459040435784617</c:v>
                </c:pt>
                <c:pt idx="261">
                  <c:v>3.3736061643038382</c:v>
                </c:pt>
                <c:pt idx="262">
                  <c:v>3.4013082850292151</c:v>
                </c:pt>
                <c:pt idx="263">
                  <c:v>3.4292431966850572</c:v>
                </c:pt>
                <c:pt idx="264">
                  <c:v>3.4569453174104336</c:v>
                </c:pt>
                <c:pt idx="265">
                  <c:v>3.4846474381358101</c:v>
                </c:pt>
                <c:pt idx="266">
                  <c:v>3.5123495588611862</c:v>
                </c:pt>
                <c:pt idx="267">
                  <c:v>3.5400516795865626</c:v>
                </c:pt>
                <c:pt idx="268">
                  <c:v>3.5677538003119391</c:v>
                </c:pt>
                <c:pt idx="269">
                  <c:v>3.5914984752194052</c:v>
                </c:pt>
                <c:pt idx="270">
                  <c:v>3.6152431501268714</c:v>
                </c:pt>
                <c:pt idx="271">
                  <c:v>3.6429452708522478</c:v>
                </c:pt>
                <c:pt idx="272">
                  <c:v>3.6666899457597126</c:v>
                </c:pt>
                <c:pt idx="273">
                  <c:v>3.6904346206671788</c:v>
                </c:pt>
                <c:pt idx="274">
                  <c:v>3.7220941872104656</c:v>
                </c:pt>
                <c:pt idx="275">
                  <c:v>3.7458388621179317</c:v>
                </c:pt>
                <c:pt idx="276">
                  <c:v>3.7735409828433082</c:v>
                </c:pt>
                <c:pt idx="277">
                  <c:v>3.7972856577507739</c:v>
                </c:pt>
                <c:pt idx="278">
                  <c:v>3.8212631235887051</c:v>
                </c:pt>
                <c:pt idx="279">
                  <c:v>3.8450077984961699</c:v>
                </c:pt>
                <c:pt idx="280">
                  <c:v>3.868752473403636</c:v>
                </c:pt>
                <c:pt idx="281">
                  <c:v>3.8964545941290125</c:v>
                </c:pt>
                <c:pt idx="282">
                  <c:v>3.924156714854389</c:v>
                </c:pt>
                <c:pt idx="283">
                  <c:v>3.9479013897618547</c:v>
                </c:pt>
                <c:pt idx="284">
                  <c:v>3.9756035104872316</c:v>
                </c:pt>
                <c:pt idx="285">
                  <c:v>3.9993481853946968</c:v>
                </c:pt>
                <c:pt idx="286">
                  <c:v>4.0230928603021621</c:v>
                </c:pt>
                <c:pt idx="287">
                  <c:v>4.0468375352096286</c:v>
                </c:pt>
                <c:pt idx="288">
                  <c:v>4.0745396559350047</c:v>
                </c:pt>
                <c:pt idx="289">
                  <c:v>4.1061992224782911</c:v>
                </c:pt>
                <c:pt idx="290">
                  <c:v>4.1378587890215792</c:v>
                </c:pt>
                <c:pt idx="291">
                  <c:v>4.1734758013827777</c:v>
                </c:pt>
                <c:pt idx="292">
                  <c:v>4.205135367926065</c:v>
                </c:pt>
                <c:pt idx="293">
                  <c:v>4.2409851712177291</c:v>
                </c:pt>
                <c:pt idx="294">
                  <c:v>4.2766021835789276</c:v>
                </c:pt>
                <c:pt idx="295">
                  <c:v>4.3122191959401261</c:v>
                </c:pt>
                <c:pt idx="296">
                  <c:v>4.3438787624834134</c:v>
                </c:pt>
                <c:pt idx="297">
                  <c:v>4.3794957748446119</c:v>
                </c:pt>
                <c:pt idx="298">
                  <c:v>4.4151127872058096</c:v>
                </c:pt>
                <c:pt idx="299">
                  <c:v>4.4507297995670081</c:v>
                </c:pt>
                <c:pt idx="300">
                  <c:v>4.4903042577461179</c:v>
                </c:pt>
                <c:pt idx="301">
                  <c:v>4.5259212701073155</c:v>
                </c:pt>
                <c:pt idx="302">
                  <c:v>4.5615382824685149</c:v>
                </c:pt>
                <c:pt idx="303">
                  <c:v>4.5971552948297134</c:v>
                </c:pt>
                <c:pt idx="304">
                  <c:v>4.6330050981213775</c:v>
                </c:pt>
                <c:pt idx="305">
                  <c:v>4.6686221104825751</c:v>
                </c:pt>
                <c:pt idx="306">
                  <c:v>4.7002816770258633</c:v>
                </c:pt>
                <c:pt idx="307">
                  <c:v>4.7358986893870618</c:v>
                </c:pt>
                <c:pt idx="308">
                  <c:v>4.7675582559303491</c:v>
                </c:pt>
                <c:pt idx="309">
                  <c:v>4.8031752682915467</c:v>
                </c:pt>
                <c:pt idx="310">
                  <c:v>4.8427497264706565</c:v>
                </c:pt>
                <c:pt idx="311">
                  <c:v>4.8823241846497654</c:v>
                </c:pt>
                <c:pt idx="312">
                  <c:v>4.9218986428288751</c:v>
                </c:pt>
                <c:pt idx="313">
                  <c:v>4.9575156551900736</c:v>
                </c:pt>
                <c:pt idx="314">
                  <c:v>4.9891752217333609</c:v>
                </c:pt>
                <c:pt idx="315">
                  <c:v>5.0210675792071138</c:v>
                </c:pt>
                <c:pt idx="316">
                  <c:v>5.0606420373862226</c:v>
                </c:pt>
                <c:pt idx="317">
                  <c:v>5.0923016039295099</c:v>
                </c:pt>
                <c:pt idx="318">
                  <c:v>5.1318760621086197</c:v>
                </c:pt>
                <c:pt idx="319">
                  <c:v>5.1714505202877294</c:v>
                </c:pt>
                <c:pt idx="320">
                  <c:v>5.2110249784668383</c:v>
                </c:pt>
                <c:pt idx="321">
                  <c:v>5.2545568824638584</c:v>
                </c:pt>
                <c:pt idx="322">
                  <c:v>5.2941313406429682</c:v>
                </c:pt>
                <c:pt idx="323">
                  <c:v>5.3376632446399883</c:v>
                </c:pt>
                <c:pt idx="324">
                  <c:v>5.3772377028190981</c:v>
                </c:pt>
                <c:pt idx="325">
                  <c:v>5.4210023977465838</c:v>
                </c:pt>
                <c:pt idx="326">
                  <c:v>5.4605768559256926</c:v>
                </c:pt>
                <c:pt idx="327">
                  <c:v>5.5041087599227128</c:v>
                </c:pt>
                <c:pt idx="328">
                  <c:v>5.5476406639197338</c:v>
                </c:pt>
                <c:pt idx="329">
                  <c:v>5.5911725679167539</c:v>
                </c:pt>
                <c:pt idx="330">
                  <c:v>5.6347044719137749</c:v>
                </c:pt>
                <c:pt idx="331">
                  <c:v>5.6782363759107941</c:v>
                </c:pt>
                <c:pt idx="332">
                  <c:v>5.7178108340899039</c:v>
                </c:pt>
                <c:pt idx="333">
                  <c:v>5.761342738086924</c:v>
                </c:pt>
                <c:pt idx="334">
                  <c:v>5.804874642083945</c:v>
                </c:pt>
                <c:pt idx="335">
                  <c:v>5.8486393370114298</c:v>
                </c:pt>
                <c:pt idx="336">
                  <c:v>5.8921712410084499</c:v>
                </c:pt>
                <c:pt idx="337">
                  <c:v>5.9396605908233813</c:v>
                </c:pt>
                <c:pt idx="338">
                  <c:v>5.9831924948204014</c:v>
                </c:pt>
                <c:pt idx="339">
                  <c:v>6.0306818446353327</c:v>
                </c:pt>
                <c:pt idx="340">
                  <c:v>6.0742137486323529</c:v>
                </c:pt>
                <c:pt idx="341">
                  <c:v>6.1177456526293739</c:v>
                </c:pt>
                <c:pt idx="342">
                  <c:v>6.1652350024443034</c:v>
                </c:pt>
                <c:pt idx="343">
                  <c:v>6.2129571431897004</c:v>
                </c:pt>
                <c:pt idx="344">
                  <c:v>6.2683613846404533</c:v>
                </c:pt>
                <c:pt idx="345">
                  <c:v>6.3158507344553856</c:v>
                </c:pt>
                <c:pt idx="346">
                  <c:v>6.3633400842703169</c:v>
                </c:pt>
                <c:pt idx="347">
                  <c:v>6.4108294340852474</c:v>
                </c:pt>
                <c:pt idx="348">
                  <c:v>6.4583187839001788</c:v>
                </c:pt>
                <c:pt idx="349">
                  <c:v>6.5137230253509317</c:v>
                </c:pt>
                <c:pt idx="350">
                  <c:v>6.561212375165864</c:v>
                </c:pt>
                <c:pt idx="351">
                  <c:v>6.6087017249807936</c:v>
                </c:pt>
                <c:pt idx="352">
                  <c:v>6.6564238657261905</c:v>
                </c:pt>
                <c:pt idx="353">
                  <c:v>6.7157855529948547</c:v>
                </c:pt>
                <c:pt idx="354">
                  <c:v>6.7711897944456076</c:v>
                </c:pt>
                <c:pt idx="355">
                  <c:v>6.8186791442605399</c:v>
                </c:pt>
                <c:pt idx="356">
                  <c:v>6.8661684940754704</c:v>
                </c:pt>
                <c:pt idx="357">
                  <c:v>6.9136578438904017</c:v>
                </c:pt>
                <c:pt idx="358">
                  <c:v>6.9611471937053322</c:v>
                </c:pt>
                <c:pt idx="359">
                  <c:v>7.0086365435202644</c:v>
                </c:pt>
                <c:pt idx="360">
                  <c:v>7.0563586842656614</c:v>
                </c:pt>
                <c:pt idx="361">
                  <c:v>7.1038480340805918</c:v>
                </c:pt>
                <c:pt idx="362">
                  <c:v>7.1632097213492552</c:v>
                </c:pt>
                <c:pt idx="363">
                  <c:v>7.2265288544358315</c:v>
                </c:pt>
                <c:pt idx="364">
                  <c:v>7.2858905417044957</c:v>
                </c:pt>
                <c:pt idx="365">
                  <c:v>7.345252228973159</c:v>
                </c:pt>
                <c:pt idx="366">
                  <c:v>7.4046139162418232</c:v>
                </c:pt>
                <c:pt idx="367">
                  <c:v>7.4642083944409521</c:v>
                </c:pt>
                <c:pt idx="368">
                  <c:v>7.5235700817096163</c:v>
                </c:pt>
                <c:pt idx="369">
                  <c:v>7.5829317689782796</c:v>
                </c:pt>
                <c:pt idx="370">
                  <c:v>7.6422934562469447</c:v>
                </c:pt>
                <c:pt idx="371">
                  <c:v>7.7016551435156071</c:v>
                </c:pt>
                <c:pt idx="372">
                  <c:v>7.7610168307842713</c:v>
                </c:pt>
                <c:pt idx="373">
                  <c:v>7.8206113089834011</c:v>
                </c:pt>
                <c:pt idx="374">
                  <c:v>7.8839304420699765</c:v>
                </c:pt>
                <c:pt idx="375">
                  <c:v>7.9472495751565511</c:v>
                </c:pt>
                <c:pt idx="376">
                  <c:v>8.0105687082431274</c:v>
                </c:pt>
                <c:pt idx="377">
                  <c:v>8.0699303955117916</c:v>
                </c:pt>
                <c:pt idx="378">
                  <c:v>8.129292082780454</c:v>
                </c:pt>
                <c:pt idx="379">
                  <c:v>8.1926112158670303</c:v>
                </c:pt>
                <c:pt idx="380">
                  <c:v>8.2601205857019799</c:v>
                </c:pt>
                <c:pt idx="381">
                  <c:v>8.331354610424377</c:v>
                </c:pt>
                <c:pt idx="382">
                  <c:v>8.3946737435109515</c:v>
                </c:pt>
                <c:pt idx="383">
                  <c:v>8.4579928765975279</c:v>
                </c:pt>
                <c:pt idx="384">
                  <c:v>8.5213120096841024</c:v>
                </c:pt>
                <c:pt idx="385">
                  <c:v>8.5846311427706752</c:v>
                </c:pt>
                <c:pt idx="386">
                  <c:v>8.648183066787718</c:v>
                </c:pt>
                <c:pt idx="387">
                  <c:v>8.7115021998742925</c:v>
                </c:pt>
                <c:pt idx="388">
                  <c:v>8.7787787787787792</c:v>
                </c:pt>
                <c:pt idx="389">
                  <c:v>8.8420979118653538</c:v>
                </c:pt>
                <c:pt idx="390">
                  <c:v>8.9054170449519283</c:v>
                </c:pt>
                <c:pt idx="391">
                  <c:v>8.9687361780385029</c:v>
                </c:pt>
                <c:pt idx="392">
                  <c:v>9.0322881020555439</c:v>
                </c:pt>
                <c:pt idx="393">
                  <c:v>9.0956072351421184</c:v>
                </c:pt>
                <c:pt idx="394">
                  <c:v>9.158926368228693</c:v>
                </c:pt>
                <c:pt idx="395">
                  <c:v>9.2341178387690022</c:v>
                </c:pt>
                <c:pt idx="396">
                  <c:v>9.3093093093093078</c:v>
                </c:pt>
                <c:pt idx="397">
                  <c:v>9.3845007798496169</c:v>
                </c:pt>
                <c:pt idx="398">
                  <c:v>9.4638824871383012</c:v>
                </c:pt>
                <c:pt idx="399">
                  <c:v>9.5390739576786086</c:v>
                </c:pt>
                <c:pt idx="400">
                  <c:v>9.6182228740368281</c:v>
                </c:pt>
                <c:pt idx="401">
                  <c:v>9.6934143445771337</c:v>
                </c:pt>
                <c:pt idx="402">
                  <c:v>9.7725632609353532</c:v>
                </c:pt>
                <c:pt idx="403">
                  <c:v>9.8479875224061271</c:v>
                </c:pt>
                <c:pt idx="404">
                  <c:v>9.9231789929464345</c:v>
                </c:pt>
                <c:pt idx="405">
                  <c:v>10.002327909304654</c:v>
                </c:pt>
                <c:pt idx="406">
                  <c:v>10.081476825662872</c:v>
                </c:pt>
                <c:pt idx="407">
                  <c:v>10.156668296203179</c:v>
                </c:pt>
                <c:pt idx="408">
                  <c:v>10.240007449309774</c:v>
                </c:pt>
                <c:pt idx="409">
                  <c:v>10.323113811485904</c:v>
                </c:pt>
                <c:pt idx="410">
                  <c:v>10.402262727844123</c:v>
                </c:pt>
                <c:pt idx="411">
                  <c:v>10.485369090020253</c:v>
                </c:pt>
                <c:pt idx="412">
                  <c:v>10.568475452196383</c:v>
                </c:pt>
                <c:pt idx="413">
                  <c:v>10.651814605302976</c:v>
                </c:pt>
                <c:pt idx="414">
                  <c:v>10.734920967479106</c:v>
                </c:pt>
                <c:pt idx="415">
                  <c:v>10.818027329655235</c:v>
                </c:pt>
                <c:pt idx="416">
                  <c:v>10.901133691831365</c:v>
                </c:pt>
                <c:pt idx="417">
                  <c:v>10.984240054007497</c:v>
                </c:pt>
                <c:pt idx="418">
                  <c:v>11.063621761296179</c:v>
                </c:pt>
                <c:pt idx="419">
                  <c:v>11.146728123472309</c:v>
                </c:pt>
                <c:pt idx="420">
                  <c:v>11.229834485648439</c:v>
                </c:pt>
                <c:pt idx="421">
                  <c:v>11.328770631096212</c:v>
                </c:pt>
                <c:pt idx="422">
                  <c:v>11.427939567474452</c:v>
                </c:pt>
                <c:pt idx="423">
                  <c:v>11.526875712922225</c:v>
                </c:pt>
                <c:pt idx="424">
                  <c:v>11.625811858369998</c:v>
                </c:pt>
                <c:pt idx="425">
                  <c:v>11.720790557999861</c:v>
                </c:pt>
                <c:pt idx="426">
                  <c:v>11.807854365993901</c:v>
                </c:pt>
                <c:pt idx="427">
                  <c:v>11.903065856554226</c:v>
                </c:pt>
                <c:pt idx="428">
                  <c:v>12.002002002002003</c:v>
                </c:pt>
                <c:pt idx="429">
                  <c:v>12.100938147449776</c:v>
                </c:pt>
                <c:pt idx="430">
                  <c:v>12.195916847079637</c:v>
                </c:pt>
                <c:pt idx="431">
                  <c:v>12.295085783457875</c:v>
                </c:pt>
                <c:pt idx="432">
                  <c:v>12.39402192890565</c:v>
                </c:pt>
                <c:pt idx="433">
                  <c:v>12.492958074353421</c:v>
                </c:pt>
                <c:pt idx="434">
                  <c:v>12.591894219801196</c:v>
                </c:pt>
                <c:pt idx="435">
                  <c:v>12.691063156179434</c:v>
                </c:pt>
                <c:pt idx="436">
                  <c:v>12.786041855809298</c:v>
                </c:pt>
                <c:pt idx="437">
                  <c:v>12.884978001257071</c:v>
                </c:pt>
                <c:pt idx="438">
                  <c:v>12.983914146704842</c:v>
                </c:pt>
                <c:pt idx="439">
                  <c:v>13.083083083083082</c:v>
                </c:pt>
                <c:pt idx="440">
                  <c:v>13.182019228530855</c:v>
                </c:pt>
                <c:pt idx="441">
                  <c:v>13.284912819796538</c:v>
                </c:pt>
                <c:pt idx="442">
                  <c:v>13.399678748515958</c:v>
                </c:pt>
                <c:pt idx="443">
                  <c:v>13.514677468165839</c:v>
                </c:pt>
                <c:pt idx="444">
                  <c:v>13.617571059431524</c:v>
                </c:pt>
                <c:pt idx="445">
                  <c:v>13.732336988150941</c:v>
                </c:pt>
                <c:pt idx="446">
                  <c:v>13.835463370347092</c:v>
                </c:pt>
                <c:pt idx="447">
                  <c:v>13.938356961612774</c:v>
                </c:pt>
                <c:pt idx="448">
                  <c:v>14.041250552878457</c:v>
                </c:pt>
                <c:pt idx="449">
                  <c:v>14.144144144144144</c:v>
                </c:pt>
                <c:pt idx="450">
                  <c:v>14.247270526340293</c:v>
                </c:pt>
                <c:pt idx="451">
                  <c:v>14.365993900877621</c:v>
                </c:pt>
                <c:pt idx="452">
                  <c:v>14.484717275414949</c:v>
                </c:pt>
                <c:pt idx="453">
                  <c:v>14.603440649952278</c:v>
                </c:pt>
                <c:pt idx="454">
                  <c:v>14.722396815420069</c:v>
                </c:pt>
                <c:pt idx="455">
                  <c:v>14.841120189957397</c:v>
                </c:pt>
                <c:pt idx="456">
                  <c:v>14.959843564494728</c:v>
                </c:pt>
                <c:pt idx="457">
                  <c:v>15.082757175780431</c:v>
                </c:pt>
                <c:pt idx="458">
                  <c:v>15.205437996135668</c:v>
                </c:pt>
                <c:pt idx="459">
                  <c:v>15.328118816490909</c:v>
                </c:pt>
                <c:pt idx="460">
                  <c:v>15.451032427776614</c:v>
                </c:pt>
                <c:pt idx="461">
                  <c:v>15.577670693949763</c:v>
                </c:pt>
                <c:pt idx="462">
                  <c:v>15.700351514305003</c:v>
                </c:pt>
                <c:pt idx="463">
                  <c:v>15.826989780478151</c:v>
                </c:pt>
                <c:pt idx="464">
                  <c:v>15.953860837581768</c:v>
                </c:pt>
                <c:pt idx="465">
                  <c:v>16.076541657937007</c:v>
                </c:pt>
                <c:pt idx="466">
                  <c:v>16.207137369928066</c:v>
                </c:pt>
                <c:pt idx="467">
                  <c:v>16.33400842703168</c:v>
                </c:pt>
                <c:pt idx="468">
                  <c:v>16.460646693204833</c:v>
                </c:pt>
                <c:pt idx="469">
                  <c:v>16.591242405195892</c:v>
                </c:pt>
                <c:pt idx="470">
                  <c:v>16.718113462299506</c:v>
                </c:pt>
                <c:pt idx="471">
                  <c:v>16.848709174290569</c:v>
                </c:pt>
                <c:pt idx="472">
                  <c:v>16.975347440463718</c:v>
                </c:pt>
                <c:pt idx="473">
                  <c:v>17.102218497567332</c:v>
                </c:pt>
                <c:pt idx="474">
                  <c:v>17.228856763740485</c:v>
                </c:pt>
                <c:pt idx="475">
                  <c:v>17.355495029913634</c:v>
                </c:pt>
                <c:pt idx="476">
                  <c:v>17.502153316106803</c:v>
                </c:pt>
                <c:pt idx="477">
                  <c:v>17.644621365551597</c:v>
                </c:pt>
                <c:pt idx="478">
                  <c:v>17.787089414996395</c:v>
                </c:pt>
                <c:pt idx="479">
                  <c:v>17.92979025537165</c:v>
                </c:pt>
                <c:pt idx="480">
                  <c:v>18.068300858998533</c:v>
                </c:pt>
                <c:pt idx="481">
                  <c:v>18.202854016807503</c:v>
                </c:pt>
                <c:pt idx="482">
                  <c:v>18.341597411364852</c:v>
                </c:pt>
                <c:pt idx="483">
                  <c:v>18.484065460809646</c:v>
                </c:pt>
                <c:pt idx="484">
                  <c:v>18.62653351025444</c:v>
                </c:pt>
                <c:pt idx="485">
                  <c:v>18.769234350629699</c:v>
                </c:pt>
                <c:pt idx="486">
                  <c:v>18.915659845892403</c:v>
                </c:pt>
                <c:pt idx="487">
                  <c:v>19.070233023721396</c:v>
                </c:pt>
                <c:pt idx="488">
                  <c:v>19.212701073166187</c:v>
                </c:pt>
                <c:pt idx="489">
                  <c:v>19.359126568428891</c:v>
                </c:pt>
                <c:pt idx="490">
                  <c:v>19.517657192075795</c:v>
                </c:pt>
                <c:pt idx="491">
                  <c:v>19.675955024792234</c:v>
                </c:pt>
                <c:pt idx="492">
                  <c:v>19.838443094257048</c:v>
                </c:pt>
                <c:pt idx="493">
                  <c:v>19.996740926973484</c:v>
                </c:pt>
                <c:pt idx="494">
                  <c:v>20.158996205507833</c:v>
                </c:pt>
                <c:pt idx="495">
                  <c:v>20.309611937518913</c:v>
                </c:pt>
                <c:pt idx="496">
                  <c:v>20.471867216053262</c:v>
                </c:pt>
                <c:pt idx="497">
                  <c:v>20.634122494587611</c:v>
                </c:pt>
                <c:pt idx="498">
                  <c:v>20.796610564052425</c:v>
                </c:pt>
                <c:pt idx="499">
                  <c:v>20.958865842586775</c:v>
                </c:pt>
                <c:pt idx="500">
                  <c:v>21.125311357869499</c:v>
                </c:pt>
                <c:pt idx="501">
                  <c:v>21.291524082221756</c:v>
                </c:pt>
                <c:pt idx="502">
                  <c:v>21.457969597504476</c:v>
                </c:pt>
                <c:pt idx="503">
                  <c:v>21.62813976767465</c:v>
                </c:pt>
                <c:pt idx="504">
                  <c:v>21.79830993784482</c:v>
                </c:pt>
                <c:pt idx="505">
                  <c:v>21.968712898945459</c:v>
                </c:pt>
                <c:pt idx="506">
                  <c:v>22.134925623297718</c:v>
                </c:pt>
                <c:pt idx="507">
                  <c:v>22.301371138580443</c:v>
                </c:pt>
                <c:pt idx="508">
                  <c:v>22.487371092022254</c:v>
                </c:pt>
                <c:pt idx="509">
                  <c:v>22.673603836394534</c:v>
                </c:pt>
                <c:pt idx="510">
                  <c:v>22.859603789836346</c:v>
                </c:pt>
                <c:pt idx="511">
                  <c:v>23.049793980026536</c:v>
                </c:pt>
                <c:pt idx="512">
                  <c:v>23.235793933468351</c:v>
                </c:pt>
                <c:pt idx="513">
                  <c:v>23.421095514118768</c:v>
                </c:pt>
                <c:pt idx="514">
                  <c:v>23.607328258491048</c:v>
                </c:pt>
                <c:pt idx="515">
                  <c:v>23.793561002863328</c:v>
                </c:pt>
                <c:pt idx="516">
                  <c:v>23.979793747235604</c:v>
                </c:pt>
                <c:pt idx="517">
                  <c:v>24.166026491607884</c:v>
                </c:pt>
                <c:pt idx="518">
                  <c:v>24.356915054589471</c:v>
                </c:pt>
                <c:pt idx="519">
                  <c:v>24.545475708266409</c:v>
                </c:pt>
                <c:pt idx="520">
                  <c:v>24.736364271247989</c:v>
                </c:pt>
                <c:pt idx="521">
                  <c:v>24.938892380752844</c:v>
                </c:pt>
                <c:pt idx="522">
                  <c:v>25.127453034429781</c:v>
                </c:pt>
                <c:pt idx="523">
                  <c:v>25.318341597411361</c:v>
                </c:pt>
                <c:pt idx="524">
                  <c:v>25.520869706916216</c:v>
                </c:pt>
                <c:pt idx="525">
                  <c:v>25.72339781642107</c:v>
                </c:pt>
                <c:pt idx="526">
                  <c:v>25.92359801662127</c:v>
                </c:pt>
                <c:pt idx="527">
                  <c:v>26.126126126126124</c:v>
                </c:pt>
                <c:pt idx="528">
                  <c:v>26.333310054240286</c:v>
                </c:pt>
                <c:pt idx="529">
                  <c:v>26.538166073049791</c:v>
                </c:pt>
                <c:pt idx="530">
                  <c:v>26.743022091859299</c:v>
                </c:pt>
                <c:pt idx="531">
                  <c:v>26.950206019973461</c:v>
                </c:pt>
                <c:pt idx="532">
                  <c:v>27.159717857392273</c:v>
                </c:pt>
                <c:pt idx="533">
                  <c:v>27.369229694811089</c:v>
                </c:pt>
                <c:pt idx="534">
                  <c:v>27.59503689736248</c:v>
                </c:pt>
                <c:pt idx="535">
                  <c:v>27.825499918523171</c:v>
                </c:pt>
                <c:pt idx="536">
                  <c:v>28.051307121074561</c:v>
                </c:pt>
                <c:pt idx="537">
                  <c:v>28.265474777102682</c:v>
                </c:pt>
                <c:pt idx="538">
                  <c:v>28.479642433130806</c:v>
                </c:pt>
                <c:pt idx="539">
                  <c:v>28.707777544986847</c:v>
                </c:pt>
                <c:pt idx="540">
                  <c:v>28.94289638475685</c:v>
                </c:pt>
                <c:pt idx="541">
                  <c:v>29.171031496612887</c:v>
                </c:pt>
                <c:pt idx="542">
                  <c:v>29.401494517773589</c:v>
                </c:pt>
                <c:pt idx="543">
                  <c:v>29.629629629629626</c:v>
                </c:pt>
                <c:pt idx="544">
                  <c:v>29.871732197313591</c:v>
                </c:pt>
                <c:pt idx="545">
                  <c:v>30.102195218474282</c:v>
                </c:pt>
                <c:pt idx="546">
                  <c:v>30.344297786158247</c:v>
                </c:pt>
                <c:pt idx="547">
                  <c:v>30.584072444537558</c:v>
                </c:pt>
                <c:pt idx="548">
                  <c:v>30.830830830830831</c:v>
                </c:pt>
                <c:pt idx="549">
                  <c:v>31.072933398514792</c:v>
                </c:pt>
                <c:pt idx="550">
                  <c:v>31.310380147589449</c:v>
                </c:pt>
                <c:pt idx="551">
                  <c:v>31.550154805968759</c:v>
                </c:pt>
                <c:pt idx="552">
                  <c:v>31.808552738785298</c:v>
                </c:pt>
                <c:pt idx="553">
                  <c:v>32.06695067160183</c:v>
                </c:pt>
                <c:pt idx="554">
                  <c:v>32.323020695113719</c:v>
                </c:pt>
                <c:pt idx="555">
                  <c:v>32.583746537234909</c:v>
                </c:pt>
                <c:pt idx="556">
                  <c:v>32.846800288660752</c:v>
                </c:pt>
                <c:pt idx="557">
                  <c:v>33.112181949391257</c:v>
                </c:pt>
                <c:pt idx="558">
                  <c:v>33.368251972903138</c:v>
                </c:pt>
                <c:pt idx="559">
                  <c:v>33.633633633633629</c:v>
                </c:pt>
                <c:pt idx="560">
                  <c:v>33.903671112973434</c:v>
                </c:pt>
                <c:pt idx="561">
                  <c:v>34.169052773703932</c:v>
                </c:pt>
                <c:pt idx="562">
                  <c:v>34.434434434434436</c:v>
                </c:pt>
                <c:pt idx="563">
                  <c:v>34.702144004469588</c:v>
                </c:pt>
                <c:pt idx="564">
                  <c:v>34.972181483809386</c:v>
                </c:pt>
                <c:pt idx="565">
                  <c:v>35.25851432828177</c:v>
                </c:pt>
                <c:pt idx="566">
                  <c:v>35.526223898316921</c:v>
                </c:pt>
                <c:pt idx="567">
                  <c:v>35.807900924179997</c:v>
                </c:pt>
                <c:pt idx="568">
                  <c:v>36.089577950043058</c:v>
                </c:pt>
                <c:pt idx="569">
                  <c:v>36.37125497590614</c:v>
                </c:pt>
                <c:pt idx="570">
                  <c:v>36.648276183159901</c:v>
                </c:pt>
                <c:pt idx="571">
                  <c:v>36.9439206648509</c:v>
                </c:pt>
                <c:pt idx="572">
                  <c:v>37.2442209651512</c:v>
                </c:pt>
                <c:pt idx="573">
                  <c:v>37.537537537537538</c:v>
                </c:pt>
                <c:pt idx="574">
                  <c:v>37.830854109923877</c:v>
                </c:pt>
                <c:pt idx="575">
                  <c:v>38.128826500919523</c:v>
                </c:pt>
                <c:pt idx="576">
                  <c:v>38.422143073305861</c:v>
                </c:pt>
                <c:pt idx="577">
                  <c:v>38.715459645692199</c:v>
                </c:pt>
                <c:pt idx="578">
                  <c:v>39.022743673906461</c:v>
                </c:pt>
                <c:pt idx="579">
                  <c:v>39.332355611425378</c:v>
                </c:pt>
                <c:pt idx="580">
                  <c:v>39.641967548944294</c:v>
                </c:pt>
                <c:pt idx="581">
                  <c:v>39.949251577158549</c:v>
                </c:pt>
                <c:pt idx="582">
                  <c:v>40.263519333286773</c:v>
                </c:pt>
                <c:pt idx="583">
                  <c:v>40.580114998719651</c:v>
                </c:pt>
                <c:pt idx="584">
                  <c:v>40.896710664152515</c:v>
                </c:pt>
                <c:pt idx="585">
                  <c:v>41.22494587610867</c:v>
                </c:pt>
                <c:pt idx="586">
                  <c:v>41.553181088064804</c:v>
                </c:pt>
                <c:pt idx="587">
                  <c:v>41.879088390716291</c:v>
                </c:pt>
                <c:pt idx="588">
                  <c:v>42.21197942128174</c:v>
                </c:pt>
                <c:pt idx="589">
                  <c:v>42.542542542542542</c:v>
                </c:pt>
                <c:pt idx="590">
                  <c:v>42.880089391717298</c:v>
                </c:pt>
                <c:pt idx="591">
                  <c:v>43.217636240892055</c:v>
                </c:pt>
                <c:pt idx="592">
                  <c:v>43.54819936215285</c:v>
                </c:pt>
                <c:pt idx="593">
                  <c:v>43.885746211327607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9-4E4C-864D-86A1C419D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460063"/>
        <c:axId val="532464863"/>
      </c:lineChart>
      <c:catAx>
        <c:axId val="53246006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464863"/>
        <c:crosses val="autoZero"/>
        <c:auto val="1"/>
        <c:lblAlgn val="ctr"/>
        <c:lblOffset val="100"/>
        <c:noMultiLvlLbl val="0"/>
      </c:catAx>
      <c:valAx>
        <c:axId val="5324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46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Tensão x Deformação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'A21-5'!$C$2:$C$596</c:f>
              <c:numCache>
                <c:formatCode>0.00</c:formatCode>
                <c:ptCount val="595"/>
                <c:pt idx="0">
                  <c:v>0</c:v>
                </c:pt>
                <c:pt idx="1">
                  <c:v>5.3136000000000008E-3</c:v>
                </c:pt>
                <c:pt idx="2">
                  <c:v>5.3693999999999999E-3</c:v>
                </c:pt>
                <c:pt idx="3">
                  <c:v>5.4234000000000001E-3</c:v>
                </c:pt>
                <c:pt idx="4">
                  <c:v>5.4792E-3</c:v>
                </c:pt>
                <c:pt idx="5">
                  <c:v>5.535E-3</c:v>
                </c:pt>
                <c:pt idx="6">
                  <c:v>5.5889999999999994E-3</c:v>
                </c:pt>
                <c:pt idx="7">
                  <c:v>5.6467999999999996E-3</c:v>
                </c:pt>
                <c:pt idx="8">
                  <c:v>5.7025999999999995E-3</c:v>
                </c:pt>
                <c:pt idx="9">
                  <c:v>5.7584000000000003E-3</c:v>
                </c:pt>
                <c:pt idx="10">
                  <c:v>5.8142000000000003E-3</c:v>
                </c:pt>
                <c:pt idx="11">
                  <c:v>5.8699999999999994E-3</c:v>
                </c:pt>
                <c:pt idx="12">
                  <c:v>5.9240000000000004E-3</c:v>
                </c:pt>
                <c:pt idx="13">
                  <c:v>5.9800000000000001E-3</c:v>
                </c:pt>
                <c:pt idx="14">
                  <c:v>6.0358E-3</c:v>
                </c:pt>
                <c:pt idx="15">
                  <c:v>6.0897999999999994E-3</c:v>
                </c:pt>
                <c:pt idx="16">
                  <c:v>6.1473999999999999E-3</c:v>
                </c:pt>
                <c:pt idx="17">
                  <c:v>6.2014000000000001E-3</c:v>
                </c:pt>
                <c:pt idx="18">
                  <c:v>6.257200000000001E-3</c:v>
                </c:pt>
                <c:pt idx="19">
                  <c:v>6.313E-3</c:v>
                </c:pt>
                <c:pt idx="20">
                  <c:v>6.3688E-3</c:v>
                </c:pt>
                <c:pt idx="21">
                  <c:v>6.4227999999999993E-3</c:v>
                </c:pt>
                <c:pt idx="22">
                  <c:v>6.4805999999999996E-3</c:v>
                </c:pt>
                <c:pt idx="23">
                  <c:v>6.5346000000000007E-3</c:v>
                </c:pt>
                <c:pt idx="24">
                  <c:v>6.5922000000000003E-3</c:v>
                </c:pt>
                <c:pt idx="25">
                  <c:v>6.6461999999999997E-3</c:v>
                </c:pt>
                <c:pt idx="26">
                  <c:v>6.7020000000000005E-3</c:v>
                </c:pt>
                <c:pt idx="27">
                  <c:v>6.7578000000000004E-3</c:v>
                </c:pt>
                <c:pt idx="28">
                  <c:v>6.8138000000000001E-3</c:v>
                </c:pt>
                <c:pt idx="29">
                  <c:v>6.8696E-3</c:v>
                </c:pt>
                <c:pt idx="30">
                  <c:v>6.9235999999999994E-3</c:v>
                </c:pt>
                <c:pt idx="31">
                  <c:v>6.9794000000000002E-3</c:v>
                </c:pt>
                <c:pt idx="32">
                  <c:v>7.0352000000000001E-3</c:v>
                </c:pt>
                <c:pt idx="33">
                  <c:v>7.0909999999999992E-3</c:v>
                </c:pt>
                <c:pt idx="34">
                  <c:v>7.1450000000000003E-3</c:v>
                </c:pt>
                <c:pt idx="35">
                  <c:v>7.2026E-3</c:v>
                </c:pt>
                <c:pt idx="36">
                  <c:v>7.2845999999999996E-3</c:v>
                </c:pt>
                <c:pt idx="37">
                  <c:v>7.3404000000000004E-3</c:v>
                </c:pt>
                <c:pt idx="38">
                  <c:v>7.3962000000000003E-3</c:v>
                </c:pt>
                <c:pt idx="39">
                  <c:v>7.4799999999999997E-3</c:v>
                </c:pt>
                <c:pt idx="40">
                  <c:v>7.5617999999999996E-3</c:v>
                </c:pt>
                <c:pt idx="41">
                  <c:v>7.6195999999999998E-3</c:v>
                </c:pt>
                <c:pt idx="42">
                  <c:v>7.7034E-3</c:v>
                </c:pt>
                <c:pt idx="43">
                  <c:v>7.7851999999999999E-3</c:v>
                </c:pt>
                <c:pt idx="44">
                  <c:v>7.8671999999999995E-3</c:v>
                </c:pt>
                <c:pt idx="45">
                  <c:v>7.9508000000000009E-3</c:v>
                </c:pt>
                <c:pt idx="46">
                  <c:v>8.0345999999999994E-3</c:v>
                </c:pt>
                <c:pt idx="47">
                  <c:v>8.1183999999999996E-3</c:v>
                </c:pt>
                <c:pt idx="48">
                  <c:v>8.2021999999999998E-3</c:v>
                </c:pt>
                <c:pt idx="49">
                  <c:v>8.2839999999999997E-3</c:v>
                </c:pt>
                <c:pt idx="50">
                  <c:v>8.3677999999999999E-3</c:v>
                </c:pt>
                <c:pt idx="51">
                  <c:v>8.4533999999999998E-3</c:v>
                </c:pt>
                <c:pt idx="52">
                  <c:v>8.5351999999999997E-3</c:v>
                </c:pt>
                <c:pt idx="53">
                  <c:v>8.6189999999999999E-3</c:v>
                </c:pt>
                <c:pt idx="54">
                  <c:v>8.7010000000000004E-3</c:v>
                </c:pt>
                <c:pt idx="55">
                  <c:v>8.7846E-3</c:v>
                </c:pt>
                <c:pt idx="56">
                  <c:v>8.8684000000000002E-3</c:v>
                </c:pt>
                <c:pt idx="57">
                  <c:v>8.9522000000000004E-3</c:v>
                </c:pt>
                <c:pt idx="58">
                  <c:v>9.0359999999999989E-3</c:v>
                </c:pt>
                <c:pt idx="59">
                  <c:v>9.1178000000000006E-3</c:v>
                </c:pt>
                <c:pt idx="60">
                  <c:v>9.201599999999999E-3</c:v>
                </c:pt>
                <c:pt idx="61">
                  <c:v>9.2854000000000009E-3</c:v>
                </c:pt>
                <c:pt idx="62">
                  <c:v>9.3689999999999989E-3</c:v>
                </c:pt>
                <c:pt idx="63">
                  <c:v>9.4528000000000008E-3</c:v>
                </c:pt>
                <c:pt idx="64">
                  <c:v>9.5365999999999992E-3</c:v>
                </c:pt>
                <c:pt idx="65">
                  <c:v>9.6184000000000009E-3</c:v>
                </c:pt>
                <c:pt idx="66">
                  <c:v>9.7021999999999994E-3</c:v>
                </c:pt>
                <c:pt idx="67">
                  <c:v>9.7841999999999998E-3</c:v>
                </c:pt>
                <c:pt idx="68">
                  <c:v>9.8677999999999995E-3</c:v>
                </c:pt>
                <c:pt idx="69">
                  <c:v>9.9515999999999997E-3</c:v>
                </c:pt>
                <c:pt idx="70">
                  <c:v>1.0035400000000002E-2</c:v>
                </c:pt>
                <c:pt idx="71">
                  <c:v>1.01192E-2</c:v>
                </c:pt>
                <c:pt idx="72">
                  <c:v>1.0202800000000001E-2</c:v>
                </c:pt>
                <c:pt idx="73">
                  <c:v>1.02848E-2</c:v>
                </c:pt>
                <c:pt idx="74">
                  <c:v>1.0368599999999999E-2</c:v>
                </c:pt>
                <c:pt idx="75">
                  <c:v>1.04522E-2</c:v>
                </c:pt>
                <c:pt idx="76">
                  <c:v>1.0536E-2</c:v>
                </c:pt>
                <c:pt idx="77">
                  <c:v>1.0619799999999999E-2</c:v>
                </c:pt>
                <c:pt idx="78">
                  <c:v>1.07016E-2</c:v>
                </c:pt>
                <c:pt idx="79">
                  <c:v>1.0785400000000001E-2</c:v>
                </c:pt>
                <c:pt idx="80">
                  <c:v>1.0896999999999999E-2</c:v>
                </c:pt>
                <c:pt idx="81">
                  <c:v>1.1006999999999999E-2</c:v>
                </c:pt>
                <c:pt idx="82">
                  <c:v>1.1118600000000001E-2</c:v>
                </c:pt>
                <c:pt idx="83">
                  <c:v>1.1230199999999999E-2</c:v>
                </c:pt>
                <c:pt idx="84">
                  <c:v>1.1339999999999999E-2</c:v>
                </c:pt>
                <c:pt idx="85">
                  <c:v>1.1451800000000002E-2</c:v>
                </c:pt>
                <c:pt idx="86">
                  <c:v>1.15634E-2</c:v>
                </c:pt>
                <c:pt idx="87">
                  <c:v>1.16732E-2</c:v>
                </c:pt>
                <c:pt idx="88">
                  <c:v>1.17848E-2</c:v>
                </c:pt>
                <c:pt idx="89">
                  <c:v>1.18966E-2</c:v>
                </c:pt>
                <c:pt idx="90">
                  <c:v>1.2006399999999999E-2</c:v>
                </c:pt>
                <c:pt idx="91">
                  <c:v>1.2118E-2</c:v>
                </c:pt>
                <c:pt idx="92">
                  <c:v>1.22296E-2</c:v>
                </c:pt>
                <c:pt idx="93">
                  <c:v>1.2341400000000001E-2</c:v>
                </c:pt>
                <c:pt idx="94">
                  <c:v>1.2453000000000001E-2</c:v>
                </c:pt>
                <c:pt idx="95">
                  <c:v>1.2562800000000001E-2</c:v>
                </c:pt>
                <c:pt idx="96">
                  <c:v>1.2674399999999999E-2</c:v>
                </c:pt>
                <c:pt idx="97">
                  <c:v>1.2786200000000001E-2</c:v>
                </c:pt>
                <c:pt idx="98">
                  <c:v>1.2896000000000001E-2</c:v>
                </c:pt>
                <c:pt idx="99">
                  <c:v>1.3007599999999999E-2</c:v>
                </c:pt>
                <c:pt idx="100">
                  <c:v>1.3119400000000002E-2</c:v>
                </c:pt>
                <c:pt idx="101">
                  <c:v>1.3231E-2</c:v>
                </c:pt>
                <c:pt idx="102">
                  <c:v>1.33408E-2</c:v>
                </c:pt>
                <c:pt idx="103">
                  <c:v>1.34506E-2</c:v>
                </c:pt>
                <c:pt idx="104">
                  <c:v>1.35622E-2</c:v>
                </c:pt>
                <c:pt idx="105">
                  <c:v>1.3673999999999999E-2</c:v>
                </c:pt>
                <c:pt idx="106">
                  <c:v>1.37856E-2</c:v>
                </c:pt>
                <c:pt idx="107">
                  <c:v>1.38972E-2</c:v>
                </c:pt>
                <c:pt idx="108">
                  <c:v>1.4007E-2</c:v>
                </c:pt>
                <c:pt idx="109">
                  <c:v>1.4118800000000001E-2</c:v>
                </c:pt>
                <c:pt idx="110">
                  <c:v>1.4230400000000001E-2</c:v>
                </c:pt>
                <c:pt idx="111">
                  <c:v>1.4341999999999999E-2</c:v>
                </c:pt>
                <c:pt idx="112">
                  <c:v>1.4452E-2</c:v>
                </c:pt>
                <c:pt idx="113">
                  <c:v>1.4563600000000001E-2</c:v>
                </c:pt>
                <c:pt idx="114">
                  <c:v>1.4673400000000001E-2</c:v>
                </c:pt>
                <c:pt idx="115">
                  <c:v>1.4785E-2</c:v>
                </c:pt>
                <c:pt idx="116">
                  <c:v>1.49246E-2</c:v>
                </c:pt>
                <c:pt idx="117">
                  <c:v>1.5034400000000002E-2</c:v>
                </c:pt>
                <c:pt idx="118">
                  <c:v>1.5174E-2</c:v>
                </c:pt>
                <c:pt idx="119">
                  <c:v>1.52858E-2</c:v>
                </c:pt>
                <c:pt idx="120">
                  <c:v>1.5395600000000001E-2</c:v>
                </c:pt>
                <c:pt idx="121">
                  <c:v>1.55072E-2</c:v>
                </c:pt>
                <c:pt idx="122">
                  <c:v>1.5617000000000001E-2</c:v>
                </c:pt>
                <c:pt idx="123">
                  <c:v>1.5758399999999999E-2</c:v>
                </c:pt>
                <c:pt idx="124">
                  <c:v>1.5868199999999999E-2</c:v>
                </c:pt>
                <c:pt idx="125">
                  <c:v>1.5980000000000001E-2</c:v>
                </c:pt>
                <c:pt idx="126">
                  <c:v>1.6091599999999998E-2</c:v>
                </c:pt>
                <c:pt idx="127">
                  <c:v>1.6203200000000001E-2</c:v>
                </c:pt>
                <c:pt idx="128">
                  <c:v>1.6313000000000001E-2</c:v>
                </c:pt>
                <c:pt idx="129">
                  <c:v>1.64248E-2</c:v>
                </c:pt>
                <c:pt idx="130">
                  <c:v>1.65364E-2</c:v>
                </c:pt>
                <c:pt idx="131">
                  <c:v>1.66182E-2</c:v>
                </c:pt>
                <c:pt idx="132">
                  <c:v>1.6730000000000002E-2</c:v>
                </c:pt>
                <c:pt idx="133">
                  <c:v>1.6841600000000002E-2</c:v>
                </c:pt>
                <c:pt idx="134">
                  <c:v>1.6951400000000002E-2</c:v>
                </c:pt>
                <c:pt idx="135">
                  <c:v>1.7063200000000001E-2</c:v>
                </c:pt>
                <c:pt idx="136">
                  <c:v>1.71468E-2</c:v>
                </c:pt>
                <c:pt idx="137">
                  <c:v>1.72566E-2</c:v>
                </c:pt>
                <c:pt idx="138">
                  <c:v>1.7368399999999999E-2</c:v>
                </c:pt>
                <c:pt idx="139">
                  <c:v>1.7452000000000002E-2</c:v>
                </c:pt>
                <c:pt idx="140">
                  <c:v>1.7563800000000001E-2</c:v>
                </c:pt>
                <c:pt idx="141">
                  <c:v>1.7647599999999999E-2</c:v>
                </c:pt>
                <c:pt idx="142">
                  <c:v>1.77574E-2</c:v>
                </c:pt>
                <c:pt idx="143">
                  <c:v>1.7840999999999999E-2</c:v>
                </c:pt>
                <c:pt idx="144">
                  <c:v>1.7952800000000001E-2</c:v>
                </c:pt>
                <c:pt idx="145">
                  <c:v>1.8062599999999998E-2</c:v>
                </c:pt>
                <c:pt idx="146">
                  <c:v>1.81464E-2</c:v>
                </c:pt>
                <c:pt idx="147">
                  <c:v>1.823E-2</c:v>
                </c:pt>
                <c:pt idx="148">
                  <c:v>1.83398E-2</c:v>
                </c:pt>
                <c:pt idx="149">
                  <c:v>1.8451599999999999E-2</c:v>
                </c:pt>
                <c:pt idx="150">
                  <c:v>1.8535200000000002E-2</c:v>
                </c:pt>
                <c:pt idx="151">
                  <c:v>1.86172E-2</c:v>
                </c:pt>
                <c:pt idx="152">
                  <c:v>1.87288E-2</c:v>
                </c:pt>
                <c:pt idx="153">
                  <c:v>1.8840599999999999E-2</c:v>
                </c:pt>
                <c:pt idx="154">
                  <c:v>1.8952199999999999E-2</c:v>
                </c:pt>
                <c:pt idx="155">
                  <c:v>1.9061999999999999E-2</c:v>
                </c:pt>
                <c:pt idx="156">
                  <c:v>1.9173599999999999E-2</c:v>
                </c:pt>
                <c:pt idx="157">
                  <c:v>1.9285399999999998E-2</c:v>
                </c:pt>
                <c:pt idx="158">
                  <c:v>1.9369000000000001E-2</c:v>
                </c:pt>
                <c:pt idx="159">
                  <c:v>1.9451E-2</c:v>
                </c:pt>
                <c:pt idx="160">
                  <c:v>1.9534800000000001E-2</c:v>
                </c:pt>
                <c:pt idx="161">
                  <c:v>1.9618400000000001E-2</c:v>
                </c:pt>
                <c:pt idx="162">
                  <c:v>1.97022E-2</c:v>
                </c:pt>
                <c:pt idx="163">
                  <c:v>1.9785999999999998E-2</c:v>
                </c:pt>
                <c:pt idx="164">
                  <c:v>1.9867800000000001E-2</c:v>
                </c:pt>
                <c:pt idx="165">
                  <c:v>1.99516E-2</c:v>
                </c:pt>
                <c:pt idx="166">
                  <c:v>2.0036000000000002E-2</c:v>
                </c:pt>
                <c:pt idx="167">
                  <c:v>2.0119999999999999E-2</c:v>
                </c:pt>
                <c:pt idx="168">
                  <c:v>2.0202000000000001E-2</c:v>
                </c:pt>
                <c:pt idx="169">
                  <c:v>2.0284E-2</c:v>
                </c:pt>
                <c:pt idx="170">
                  <c:v>2.0368000000000001E-2</c:v>
                </c:pt>
                <c:pt idx="171">
                  <c:v>2.0451999999999998E-2</c:v>
                </c:pt>
                <c:pt idx="172">
                  <c:v>2.0535999999999999E-2</c:v>
                </c:pt>
                <c:pt idx="173">
                  <c:v>2.0619999999999999E-2</c:v>
                </c:pt>
                <c:pt idx="174">
                  <c:v>2.0701999999999998E-2</c:v>
                </c:pt>
                <c:pt idx="175">
                  <c:v>2.0785999999999999E-2</c:v>
                </c:pt>
                <c:pt idx="176">
                  <c:v>2.0870000000000003E-2</c:v>
                </c:pt>
                <c:pt idx="177">
                  <c:v>2.0952000000000002E-2</c:v>
                </c:pt>
                <c:pt idx="178">
                  <c:v>2.1034000000000001E-2</c:v>
                </c:pt>
                <c:pt idx="179">
                  <c:v>2.1118000000000001E-2</c:v>
                </c:pt>
                <c:pt idx="180">
                  <c:v>2.12E-2</c:v>
                </c:pt>
                <c:pt idx="181">
                  <c:v>2.1285999999999999E-2</c:v>
                </c:pt>
                <c:pt idx="182">
                  <c:v>2.1368000000000002E-2</c:v>
                </c:pt>
                <c:pt idx="183">
                  <c:v>2.1451999999999999E-2</c:v>
                </c:pt>
                <c:pt idx="184">
                  <c:v>2.1536E-2</c:v>
                </c:pt>
                <c:pt idx="185">
                  <c:v>2.1617999999999998E-2</c:v>
                </c:pt>
                <c:pt idx="186">
                  <c:v>2.1701999999999999E-2</c:v>
                </c:pt>
                <c:pt idx="187">
                  <c:v>2.1786E-2</c:v>
                </c:pt>
                <c:pt idx="188">
                  <c:v>2.1867999999999999E-2</c:v>
                </c:pt>
                <c:pt idx="189">
                  <c:v>2.1951999999999999E-2</c:v>
                </c:pt>
                <c:pt idx="190">
                  <c:v>2.2033999999999998E-2</c:v>
                </c:pt>
                <c:pt idx="191">
                  <c:v>2.2118000000000002E-2</c:v>
                </c:pt>
                <c:pt idx="192">
                  <c:v>2.2202000000000003E-2</c:v>
                </c:pt>
                <c:pt idx="193">
                  <c:v>2.2286E-2</c:v>
                </c:pt>
                <c:pt idx="194">
                  <c:v>2.2368000000000002E-2</c:v>
                </c:pt>
                <c:pt idx="195">
                  <c:v>2.2452E-2</c:v>
                </c:pt>
                <c:pt idx="196">
                  <c:v>2.2534000000000002E-2</c:v>
                </c:pt>
                <c:pt idx="197">
                  <c:v>2.2617999999999999E-2</c:v>
                </c:pt>
                <c:pt idx="198">
                  <c:v>2.2702E-2</c:v>
                </c:pt>
                <c:pt idx="199">
                  <c:v>2.2783999999999999E-2</c:v>
                </c:pt>
                <c:pt idx="200">
                  <c:v>2.2867999999999999E-2</c:v>
                </c:pt>
                <c:pt idx="201">
                  <c:v>2.2949999999999998E-2</c:v>
                </c:pt>
                <c:pt idx="202">
                  <c:v>2.3035999999999997E-2</c:v>
                </c:pt>
                <c:pt idx="203">
                  <c:v>2.3119999999999998E-2</c:v>
                </c:pt>
                <c:pt idx="204">
                  <c:v>2.3203999999999999E-2</c:v>
                </c:pt>
                <c:pt idx="205">
                  <c:v>2.3283999999999999E-2</c:v>
                </c:pt>
                <c:pt idx="206">
                  <c:v>2.3368000000000003E-2</c:v>
                </c:pt>
                <c:pt idx="207">
                  <c:v>2.3452000000000001E-2</c:v>
                </c:pt>
                <c:pt idx="208">
                  <c:v>2.3536000000000001E-2</c:v>
                </c:pt>
                <c:pt idx="209">
                  <c:v>2.359E-2</c:v>
                </c:pt>
                <c:pt idx="210">
                  <c:v>2.3674000000000001E-2</c:v>
                </c:pt>
                <c:pt idx="211">
                  <c:v>2.3730000000000001E-2</c:v>
                </c:pt>
                <c:pt idx="212">
                  <c:v>2.3814000000000002E-2</c:v>
                </c:pt>
                <c:pt idx="213">
                  <c:v>2.3896000000000001E-2</c:v>
                </c:pt>
                <c:pt idx="214">
                  <c:v>2.3954E-2</c:v>
                </c:pt>
                <c:pt idx="215">
                  <c:v>2.4035999999999998E-2</c:v>
                </c:pt>
                <c:pt idx="216">
                  <c:v>2.4118000000000001E-2</c:v>
                </c:pt>
                <c:pt idx="217">
                  <c:v>2.4199999999999999E-2</c:v>
                </c:pt>
                <c:pt idx="218">
                  <c:v>2.4285999999999999E-2</c:v>
                </c:pt>
                <c:pt idx="219">
                  <c:v>2.4369999999999999E-2</c:v>
                </c:pt>
                <c:pt idx="220">
                  <c:v>2.4453999999999997E-2</c:v>
                </c:pt>
                <c:pt idx="221">
                  <c:v>2.4535999999999999E-2</c:v>
                </c:pt>
                <c:pt idx="222">
                  <c:v>2.4591999999999999E-2</c:v>
                </c:pt>
                <c:pt idx="223">
                  <c:v>2.4674000000000001E-2</c:v>
                </c:pt>
                <c:pt idx="224">
                  <c:v>2.4757999999999999E-2</c:v>
                </c:pt>
                <c:pt idx="225">
                  <c:v>2.4840000000000001E-2</c:v>
                </c:pt>
                <c:pt idx="226">
                  <c:v>2.4895999999999998E-2</c:v>
                </c:pt>
                <c:pt idx="227">
                  <c:v>2.4980000000000002E-2</c:v>
                </c:pt>
                <c:pt idx="228">
                  <c:v>2.5064000000000003E-2</c:v>
                </c:pt>
                <c:pt idx="229">
                  <c:v>2.5118000000000001E-2</c:v>
                </c:pt>
                <c:pt idx="230">
                  <c:v>2.5173999999999998E-2</c:v>
                </c:pt>
                <c:pt idx="231">
                  <c:v>2.5257999999999999E-2</c:v>
                </c:pt>
                <c:pt idx="232">
                  <c:v>2.5314E-2</c:v>
                </c:pt>
                <c:pt idx="233">
                  <c:v>2.5398E-2</c:v>
                </c:pt>
                <c:pt idx="234">
                  <c:v>2.5451999999999999E-2</c:v>
                </c:pt>
                <c:pt idx="235">
                  <c:v>2.5536E-2</c:v>
                </c:pt>
                <c:pt idx="236">
                  <c:v>2.5590000000000002E-2</c:v>
                </c:pt>
                <c:pt idx="237">
                  <c:v>2.5644E-2</c:v>
                </c:pt>
                <c:pt idx="238">
                  <c:v>2.5728000000000001E-2</c:v>
                </c:pt>
                <c:pt idx="239">
                  <c:v>2.5783999999999998E-2</c:v>
                </c:pt>
                <c:pt idx="240">
                  <c:v>2.5840000000000002E-2</c:v>
                </c:pt>
                <c:pt idx="241">
                  <c:v>2.5923999999999999E-2</c:v>
                </c:pt>
                <c:pt idx="242">
                  <c:v>2.598E-2</c:v>
                </c:pt>
                <c:pt idx="243">
                  <c:v>2.6061999999999998E-2</c:v>
                </c:pt>
                <c:pt idx="244">
                  <c:v>2.6120000000000001E-2</c:v>
                </c:pt>
                <c:pt idx="245">
                  <c:v>2.6173999999999999E-2</c:v>
                </c:pt>
                <c:pt idx="246">
                  <c:v>2.6258E-2</c:v>
                </c:pt>
                <c:pt idx="247">
                  <c:v>2.6314000000000001E-2</c:v>
                </c:pt>
                <c:pt idx="248">
                  <c:v>2.6367999999999999E-2</c:v>
                </c:pt>
                <c:pt idx="249">
                  <c:v>2.6478000000000002E-2</c:v>
                </c:pt>
                <c:pt idx="250">
                  <c:v>2.6562000000000002E-2</c:v>
                </c:pt>
                <c:pt idx="251">
                  <c:v>2.6646E-2</c:v>
                </c:pt>
                <c:pt idx="252">
                  <c:v>2.6758000000000001E-2</c:v>
                </c:pt>
                <c:pt idx="253">
                  <c:v>2.6842000000000001E-2</c:v>
                </c:pt>
                <c:pt idx="254">
                  <c:v>2.6926000000000002E-2</c:v>
                </c:pt>
                <c:pt idx="255">
                  <c:v>2.7008000000000001E-2</c:v>
                </c:pt>
                <c:pt idx="256">
                  <c:v>2.7118000000000003E-2</c:v>
                </c:pt>
                <c:pt idx="257">
                  <c:v>2.7200000000000002E-2</c:v>
                </c:pt>
                <c:pt idx="258">
                  <c:v>2.7284000000000003E-2</c:v>
                </c:pt>
                <c:pt idx="259">
                  <c:v>2.7368E-2</c:v>
                </c:pt>
                <c:pt idx="260">
                  <c:v>2.7452000000000001E-2</c:v>
                </c:pt>
                <c:pt idx="261">
                  <c:v>2.7536000000000001E-2</c:v>
                </c:pt>
                <c:pt idx="262">
                  <c:v>2.7618E-2</c:v>
                </c:pt>
                <c:pt idx="263">
                  <c:v>2.7702000000000001E-2</c:v>
                </c:pt>
                <c:pt idx="264">
                  <c:v>2.7785999999999998E-2</c:v>
                </c:pt>
                <c:pt idx="265">
                  <c:v>2.7869999999999999E-2</c:v>
                </c:pt>
                <c:pt idx="266">
                  <c:v>2.7949999999999999E-2</c:v>
                </c:pt>
                <c:pt idx="267">
                  <c:v>2.8035999999999998E-2</c:v>
                </c:pt>
                <c:pt idx="268">
                  <c:v>2.8117999999999997E-2</c:v>
                </c:pt>
                <c:pt idx="269">
                  <c:v>2.8201999999999998E-2</c:v>
                </c:pt>
                <c:pt idx="270">
                  <c:v>2.8285999999999999E-2</c:v>
                </c:pt>
                <c:pt idx="271">
                  <c:v>2.8368000000000001E-2</c:v>
                </c:pt>
                <c:pt idx="272">
                  <c:v>2.8452000000000002E-2</c:v>
                </c:pt>
                <c:pt idx="273">
                  <c:v>2.8534E-2</c:v>
                </c:pt>
                <c:pt idx="274">
                  <c:v>2.862E-2</c:v>
                </c:pt>
                <c:pt idx="275">
                  <c:v>2.87E-2</c:v>
                </c:pt>
                <c:pt idx="276">
                  <c:v>2.8784000000000001E-2</c:v>
                </c:pt>
                <c:pt idx="277">
                  <c:v>2.8865999999999999E-2</c:v>
                </c:pt>
                <c:pt idx="278">
                  <c:v>2.8951999999999999E-2</c:v>
                </c:pt>
                <c:pt idx="279">
                  <c:v>2.9035999999999999E-2</c:v>
                </c:pt>
                <c:pt idx="280">
                  <c:v>2.912E-2</c:v>
                </c:pt>
                <c:pt idx="281">
                  <c:v>2.9203999999999997E-2</c:v>
                </c:pt>
                <c:pt idx="282">
                  <c:v>2.9286E-2</c:v>
                </c:pt>
                <c:pt idx="283">
                  <c:v>2.9367999999999998E-2</c:v>
                </c:pt>
                <c:pt idx="284">
                  <c:v>2.9449999999999997E-2</c:v>
                </c:pt>
                <c:pt idx="285">
                  <c:v>2.9535999999999996E-2</c:v>
                </c:pt>
                <c:pt idx="286">
                  <c:v>2.9618000000000002E-2</c:v>
                </c:pt>
                <c:pt idx="287">
                  <c:v>2.9702000000000003E-2</c:v>
                </c:pt>
                <c:pt idx="288">
                  <c:v>2.9784000000000001E-2</c:v>
                </c:pt>
                <c:pt idx="289">
                  <c:v>2.9870000000000001E-2</c:v>
                </c:pt>
                <c:pt idx="290">
                  <c:v>2.9980000000000003E-2</c:v>
                </c:pt>
                <c:pt idx="291">
                  <c:v>3.0089999999999999E-2</c:v>
                </c:pt>
                <c:pt idx="292">
                  <c:v>3.0202E-2</c:v>
                </c:pt>
                <c:pt idx="293">
                  <c:v>3.0312000000000002E-2</c:v>
                </c:pt>
                <c:pt idx="294">
                  <c:v>3.0421999999999998E-2</c:v>
                </c:pt>
                <c:pt idx="295">
                  <c:v>3.0535999999999997E-2</c:v>
                </c:pt>
                <c:pt idx="296">
                  <c:v>3.0646E-2</c:v>
                </c:pt>
                <c:pt idx="297">
                  <c:v>3.0758000000000001E-2</c:v>
                </c:pt>
                <c:pt idx="298">
                  <c:v>3.0870000000000002E-2</c:v>
                </c:pt>
                <c:pt idx="299">
                  <c:v>3.0979999999999997E-2</c:v>
                </c:pt>
                <c:pt idx="300">
                  <c:v>3.1091999999999998E-2</c:v>
                </c:pt>
                <c:pt idx="301">
                  <c:v>3.1202000000000001E-2</c:v>
                </c:pt>
                <c:pt idx="302">
                  <c:v>3.1312E-2</c:v>
                </c:pt>
                <c:pt idx="303">
                  <c:v>3.1424000000000001E-2</c:v>
                </c:pt>
                <c:pt idx="304">
                  <c:v>3.1536000000000002E-2</c:v>
                </c:pt>
                <c:pt idx="305">
                  <c:v>3.1646000000000001E-2</c:v>
                </c:pt>
                <c:pt idx="306">
                  <c:v>3.1758000000000002E-2</c:v>
                </c:pt>
                <c:pt idx="307">
                  <c:v>3.1868E-2</c:v>
                </c:pt>
                <c:pt idx="308">
                  <c:v>3.1980000000000001E-2</c:v>
                </c:pt>
                <c:pt idx="309">
                  <c:v>3.209E-2</c:v>
                </c:pt>
                <c:pt idx="310">
                  <c:v>3.2202000000000001E-2</c:v>
                </c:pt>
                <c:pt idx="311">
                  <c:v>3.2313999999999996E-2</c:v>
                </c:pt>
                <c:pt idx="312">
                  <c:v>3.2424000000000001E-2</c:v>
                </c:pt>
                <c:pt idx="313">
                  <c:v>3.2534E-2</c:v>
                </c:pt>
                <c:pt idx="314">
                  <c:v>3.2646000000000001E-2</c:v>
                </c:pt>
                <c:pt idx="315">
                  <c:v>3.2757999999999995E-2</c:v>
                </c:pt>
                <c:pt idx="316">
                  <c:v>3.2868000000000001E-2</c:v>
                </c:pt>
                <c:pt idx="317">
                  <c:v>3.2980000000000002E-2</c:v>
                </c:pt>
                <c:pt idx="318">
                  <c:v>3.3090000000000001E-2</c:v>
                </c:pt>
                <c:pt idx="319">
                  <c:v>3.3230000000000003E-2</c:v>
                </c:pt>
                <c:pt idx="320">
                  <c:v>3.3368000000000002E-2</c:v>
                </c:pt>
                <c:pt idx="321">
                  <c:v>3.3506000000000001E-2</c:v>
                </c:pt>
                <c:pt idx="322">
                  <c:v>3.3645999999999995E-2</c:v>
                </c:pt>
                <c:pt idx="323">
                  <c:v>3.3757999999999996E-2</c:v>
                </c:pt>
                <c:pt idx="324">
                  <c:v>3.3898000000000005E-2</c:v>
                </c:pt>
                <c:pt idx="325">
                  <c:v>3.4035999999999997E-2</c:v>
                </c:pt>
                <c:pt idx="326">
                  <c:v>3.4174000000000003E-2</c:v>
                </c:pt>
                <c:pt idx="327">
                  <c:v>3.4313999999999997E-2</c:v>
                </c:pt>
                <c:pt idx="328">
                  <c:v>3.4450000000000001E-2</c:v>
                </c:pt>
                <c:pt idx="329">
                  <c:v>3.4591999999999998E-2</c:v>
                </c:pt>
                <c:pt idx="330">
                  <c:v>3.4703999999999999E-2</c:v>
                </c:pt>
                <c:pt idx="331">
                  <c:v>3.4840000000000003E-2</c:v>
                </c:pt>
                <c:pt idx="332">
                  <c:v>3.4950000000000002E-2</c:v>
                </c:pt>
                <c:pt idx="333">
                  <c:v>3.5062000000000003E-2</c:v>
                </c:pt>
                <c:pt idx="334">
                  <c:v>3.5173999999999997E-2</c:v>
                </c:pt>
                <c:pt idx="335">
                  <c:v>3.5285999999999998E-2</c:v>
                </c:pt>
                <c:pt idx="336">
                  <c:v>3.5425999999999999E-2</c:v>
                </c:pt>
                <c:pt idx="337">
                  <c:v>3.5535999999999998E-2</c:v>
                </c:pt>
                <c:pt idx="338">
                  <c:v>3.5672000000000002E-2</c:v>
                </c:pt>
                <c:pt idx="339">
                  <c:v>3.5783999999999996E-2</c:v>
                </c:pt>
                <c:pt idx="340">
                  <c:v>3.5895999999999997E-2</c:v>
                </c:pt>
                <c:pt idx="341">
                  <c:v>3.6035999999999999E-2</c:v>
                </c:pt>
                <c:pt idx="342">
                  <c:v>3.6173999999999998E-2</c:v>
                </c:pt>
                <c:pt idx="343">
                  <c:v>3.6312000000000004E-2</c:v>
                </c:pt>
                <c:pt idx="344">
                  <c:v>3.6451999999999998E-2</c:v>
                </c:pt>
                <c:pt idx="345">
                  <c:v>3.6563999999999999E-2</c:v>
                </c:pt>
                <c:pt idx="346">
                  <c:v>3.6674000000000005E-2</c:v>
                </c:pt>
                <c:pt idx="347">
                  <c:v>3.6785999999999999E-2</c:v>
                </c:pt>
                <c:pt idx="348">
                  <c:v>3.6922000000000003E-2</c:v>
                </c:pt>
                <c:pt idx="349">
                  <c:v>3.7035999999999999E-2</c:v>
                </c:pt>
                <c:pt idx="350">
                  <c:v>3.7145999999999998E-2</c:v>
                </c:pt>
                <c:pt idx="351">
                  <c:v>3.7255999999999997E-2</c:v>
                </c:pt>
                <c:pt idx="352">
                  <c:v>3.7367999999999998E-2</c:v>
                </c:pt>
                <c:pt idx="353">
                  <c:v>3.7508E-2</c:v>
                </c:pt>
                <c:pt idx="354">
                  <c:v>3.7620000000000001E-2</c:v>
                </c:pt>
                <c:pt idx="355">
                  <c:v>3.773E-2</c:v>
                </c:pt>
                <c:pt idx="356">
                  <c:v>3.7839999999999999E-2</c:v>
                </c:pt>
                <c:pt idx="357">
                  <c:v>3.7949999999999998E-2</c:v>
                </c:pt>
                <c:pt idx="358">
                  <c:v>3.8061999999999999E-2</c:v>
                </c:pt>
                <c:pt idx="359">
                  <c:v>3.8172000000000005E-2</c:v>
                </c:pt>
                <c:pt idx="360">
                  <c:v>3.8286000000000001E-2</c:v>
                </c:pt>
                <c:pt idx="361">
                  <c:v>3.8398000000000002E-2</c:v>
                </c:pt>
                <c:pt idx="362">
                  <c:v>3.8536000000000001E-2</c:v>
                </c:pt>
                <c:pt idx="363">
                  <c:v>3.8674E-2</c:v>
                </c:pt>
                <c:pt idx="364">
                  <c:v>3.8811999999999999E-2</c:v>
                </c:pt>
                <c:pt idx="365">
                  <c:v>3.8952000000000001E-2</c:v>
                </c:pt>
                <c:pt idx="366">
                  <c:v>3.909E-2</c:v>
                </c:pt>
                <c:pt idx="367">
                  <c:v>3.9232000000000003E-2</c:v>
                </c:pt>
                <c:pt idx="368">
                  <c:v>3.9369999999999995E-2</c:v>
                </c:pt>
                <c:pt idx="369">
                  <c:v>3.9505999999999999E-2</c:v>
                </c:pt>
                <c:pt idx="370">
                  <c:v>3.9646000000000001E-2</c:v>
                </c:pt>
                <c:pt idx="371">
                  <c:v>3.9786000000000002E-2</c:v>
                </c:pt>
                <c:pt idx="372">
                  <c:v>3.9924000000000001E-2</c:v>
                </c:pt>
                <c:pt idx="373">
                  <c:v>4.0064000000000002E-2</c:v>
                </c:pt>
                <c:pt idx="374">
                  <c:v>4.0202000000000002E-2</c:v>
                </c:pt>
                <c:pt idx="375">
                  <c:v>4.0338000000000006E-2</c:v>
                </c:pt>
                <c:pt idx="376">
                  <c:v>4.0480000000000002E-2</c:v>
                </c:pt>
                <c:pt idx="377">
                  <c:v>4.0618000000000001E-2</c:v>
                </c:pt>
                <c:pt idx="378">
                  <c:v>4.0758000000000003E-2</c:v>
                </c:pt>
                <c:pt idx="379">
                  <c:v>4.0898000000000004E-2</c:v>
                </c:pt>
                <c:pt idx="380">
                  <c:v>4.1033999999999994E-2</c:v>
                </c:pt>
                <c:pt idx="381">
                  <c:v>4.1174000000000002E-2</c:v>
                </c:pt>
                <c:pt idx="382">
                  <c:v>4.1314000000000003E-2</c:v>
                </c:pt>
                <c:pt idx="383">
                  <c:v>4.1452000000000003E-2</c:v>
                </c:pt>
                <c:pt idx="384">
                  <c:v>4.1589999999999995E-2</c:v>
                </c:pt>
                <c:pt idx="385">
                  <c:v>4.1730000000000003E-2</c:v>
                </c:pt>
                <c:pt idx="386">
                  <c:v>4.1867999999999995E-2</c:v>
                </c:pt>
                <c:pt idx="387">
                  <c:v>4.2008000000000004E-2</c:v>
                </c:pt>
                <c:pt idx="388">
                  <c:v>4.2145999999999996E-2</c:v>
                </c:pt>
                <c:pt idx="389">
                  <c:v>4.2286000000000004E-2</c:v>
                </c:pt>
                <c:pt idx="390">
                  <c:v>4.2423999999999996E-2</c:v>
                </c:pt>
                <c:pt idx="391">
                  <c:v>4.2564000000000005E-2</c:v>
                </c:pt>
                <c:pt idx="392">
                  <c:v>4.2699999999999995E-2</c:v>
                </c:pt>
                <c:pt idx="393">
                  <c:v>4.2839999999999996E-2</c:v>
                </c:pt>
                <c:pt idx="394">
                  <c:v>4.3007999999999998E-2</c:v>
                </c:pt>
                <c:pt idx="395">
                  <c:v>4.3175999999999999E-2</c:v>
                </c:pt>
                <c:pt idx="396">
                  <c:v>4.3339999999999997E-2</c:v>
                </c:pt>
                <c:pt idx="397">
                  <c:v>4.3507999999999998E-2</c:v>
                </c:pt>
                <c:pt idx="398">
                  <c:v>4.3673999999999998E-2</c:v>
                </c:pt>
                <c:pt idx="399">
                  <c:v>4.3840000000000004E-2</c:v>
                </c:pt>
                <c:pt idx="400">
                  <c:v>4.4008000000000005E-2</c:v>
                </c:pt>
                <c:pt idx="401">
                  <c:v>4.4172000000000003E-2</c:v>
                </c:pt>
                <c:pt idx="402">
                  <c:v>4.4340000000000004E-2</c:v>
                </c:pt>
                <c:pt idx="403">
                  <c:v>4.4507999999999999E-2</c:v>
                </c:pt>
                <c:pt idx="404">
                  <c:v>4.4673999999999998E-2</c:v>
                </c:pt>
                <c:pt idx="405">
                  <c:v>4.4839999999999998E-2</c:v>
                </c:pt>
                <c:pt idx="406">
                  <c:v>4.5007999999999999E-2</c:v>
                </c:pt>
                <c:pt idx="407">
                  <c:v>4.5174000000000006E-2</c:v>
                </c:pt>
                <c:pt idx="408">
                  <c:v>4.5342E-2</c:v>
                </c:pt>
                <c:pt idx="409">
                  <c:v>4.5508E-2</c:v>
                </c:pt>
                <c:pt idx="410">
                  <c:v>4.5673999999999999E-2</c:v>
                </c:pt>
                <c:pt idx="411">
                  <c:v>4.5839999999999999E-2</c:v>
                </c:pt>
                <c:pt idx="412">
                  <c:v>4.6007999999999993E-2</c:v>
                </c:pt>
                <c:pt idx="413">
                  <c:v>4.6174E-2</c:v>
                </c:pt>
                <c:pt idx="414">
                  <c:v>4.6342000000000001E-2</c:v>
                </c:pt>
                <c:pt idx="415">
                  <c:v>4.6508000000000001E-2</c:v>
                </c:pt>
                <c:pt idx="416">
                  <c:v>4.6674E-2</c:v>
                </c:pt>
                <c:pt idx="417">
                  <c:v>4.684E-2</c:v>
                </c:pt>
                <c:pt idx="418">
                  <c:v>4.7008000000000001E-2</c:v>
                </c:pt>
                <c:pt idx="419">
                  <c:v>4.7171999999999999E-2</c:v>
                </c:pt>
                <c:pt idx="420">
                  <c:v>4.7367999999999993E-2</c:v>
                </c:pt>
                <c:pt idx="421">
                  <c:v>4.7535999999999995E-2</c:v>
                </c:pt>
                <c:pt idx="422">
                  <c:v>4.7702000000000001E-2</c:v>
                </c:pt>
                <c:pt idx="423">
                  <c:v>4.7869999999999996E-2</c:v>
                </c:pt>
                <c:pt idx="424">
                  <c:v>4.8034E-2</c:v>
                </c:pt>
                <c:pt idx="425">
                  <c:v>4.82E-2</c:v>
                </c:pt>
                <c:pt idx="426">
                  <c:v>4.8368000000000001E-2</c:v>
                </c:pt>
                <c:pt idx="427">
                  <c:v>4.8536000000000003E-2</c:v>
                </c:pt>
                <c:pt idx="428">
                  <c:v>4.87E-2</c:v>
                </c:pt>
                <c:pt idx="429">
                  <c:v>4.8868000000000002E-2</c:v>
                </c:pt>
                <c:pt idx="430">
                  <c:v>4.9034000000000001E-2</c:v>
                </c:pt>
                <c:pt idx="431">
                  <c:v>4.9230000000000003E-2</c:v>
                </c:pt>
                <c:pt idx="432">
                  <c:v>4.9424000000000003E-2</c:v>
                </c:pt>
                <c:pt idx="433">
                  <c:v>4.9618000000000002E-2</c:v>
                </c:pt>
                <c:pt idx="434">
                  <c:v>4.9812000000000002E-2</c:v>
                </c:pt>
                <c:pt idx="435">
                  <c:v>5.0010000000000006E-2</c:v>
                </c:pt>
                <c:pt idx="436">
                  <c:v>5.0201999999999997E-2</c:v>
                </c:pt>
                <c:pt idx="437">
                  <c:v>5.0396000000000003E-2</c:v>
                </c:pt>
                <c:pt idx="438">
                  <c:v>5.0591999999999998E-2</c:v>
                </c:pt>
                <c:pt idx="439">
                  <c:v>5.0784000000000003E-2</c:v>
                </c:pt>
                <c:pt idx="440">
                  <c:v>5.0979999999999998E-2</c:v>
                </c:pt>
                <c:pt idx="441">
                  <c:v>5.1172000000000002E-2</c:v>
                </c:pt>
                <c:pt idx="442">
                  <c:v>5.1367999999999997E-2</c:v>
                </c:pt>
                <c:pt idx="443">
                  <c:v>5.1563999999999999E-2</c:v>
                </c:pt>
                <c:pt idx="444">
                  <c:v>5.1756000000000003E-2</c:v>
                </c:pt>
                <c:pt idx="445">
                  <c:v>5.1951999999999998E-2</c:v>
                </c:pt>
                <c:pt idx="446">
                  <c:v>5.2145999999999998E-2</c:v>
                </c:pt>
                <c:pt idx="447">
                  <c:v>5.2342000000000007E-2</c:v>
                </c:pt>
                <c:pt idx="448">
                  <c:v>5.2533999999999997E-2</c:v>
                </c:pt>
                <c:pt idx="449">
                  <c:v>5.2728000000000004E-2</c:v>
                </c:pt>
                <c:pt idx="450">
                  <c:v>5.2923999999999999E-2</c:v>
                </c:pt>
                <c:pt idx="451">
                  <c:v>5.3146000000000006E-2</c:v>
                </c:pt>
                <c:pt idx="452">
                  <c:v>5.3365999999999997E-2</c:v>
                </c:pt>
                <c:pt idx="453">
                  <c:v>5.3589999999999999E-2</c:v>
                </c:pt>
                <c:pt idx="454">
                  <c:v>5.3814000000000001E-2</c:v>
                </c:pt>
                <c:pt idx="455">
                  <c:v>5.4036000000000001E-2</c:v>
                </c:pt>
                <c:pt idx="456">
                  <c:v>5.4258000000000001E-2</c:v>
                </c:pt>
                <c:pt idx="457">
                  <c:v>5.4480000000000001E-2</c:v>
                </c:pt>
                <c:pt idx="458">
                  <c:v>5.4702000000000001E-2</c:v>
                </c:pt>
                <c:pt idx="459">
                  <c:v>5.4922000000000006E-2</c:v>
                </c:pt>
                <c:pt idx="460">
                  <c:v>5.5146000000000001E-2</c:v>
                </c:pt>
                <c:pt idx="461">
                  <c:v>5.5368000000000001E-2</c:v>
                </c:pt>
                <c:pt idx="462">
                  <c:v>5.5590000000000001E-2</c:v>
                </c:pt>
                <c:pt idx="463">
                  <c:v>5.5812E-2</c:v>
                </c:pt>
                <c:pt idx="464">
                  <c:v>5.6036000000000002E-2</c:v>
                </c:pt>
                <c:pt idx="465">
                  <c:v>5.6258000000000002E-2</c:v>
                </c:pt>
                <c:pt idx="466">
                  <c:v>5.6478E-2</c:v>
                </c:pt>
                <c:pt idx="467">
                  <c:v>5.6702000000000002E-2</c:v>
                </c:pt>
                <c:pt idx="468">
                  <c:v>5.6924000000000002E-2</c:v>
                </c:pt>
                <c:pt idx="469">
                  <c:v>5.7146000000000002E-2</c:v>
                </c:pt>
                <c:pt idx="470">
                  <c:v>5.7367999999999995E-2</c:v>
                </c:pt>
                <c:pt idx="471">
                  <c:v>5.7590000000000002E-2</c:v>
                </c:pt>
                <c:pt idx="472">
                  <c:v>5.7813999999999997E-2</c:v>
                </c:pt>
                <c:pt idx="473">
                  <c:v>5.8034000000000002E-2</c:v>
                </c:pt>
                <c:pt idx="474">
                  <c:v>5.8258000000000004E-2</c:v>
                </c:pt>
                <c:pt idx="475">
                  <c:v>5.8507999999999998E-2</c:v>
                </c:pt>
                <c:pt idx="476">
                  <c:v>5.8756000000000003E-2</c:v>
                </c:pt>
                <c:pt idx="477">
                  <c:v>5.9008000000000005E-2</c:v>
                </c:pt>
                <c:pt idx="478">
                  <c:v>5.9256000000000003E-2</c:v>
                </c:pt>
                <c:pt idx="479">
                  <c:v>5.9507999999999998E-2</c:v>
                </c:pt>
                <c:pt idx="480">
                  <c:v>5.9757999999999999E-2</c:v>
                </c:pt>
                <c:pt idx="481">
                  <c:v>6.0007999999999999E-2</c:v>
                </c:pt>
                <c:pt idx="482">
                  <c:v>6.0258000000000006E-2</c:v>
                </c:pt>
                <c:pt idx="483">
                  <c:v>6.0506000000000004E-2</c:v>
                </c:pt>
                <c:pt idx="484">
                  <c:v>6.0758E-2</c:v>
                </c:pt>
                <c:pt idx="485">
                  <c:v>6.1005999999999998E-2</c:v>
                </c:pt>
                <c:pt idx="486">
                  <c:v>6.1258E-2</c:v>
                </c:pt>
                <c:pt idx="487">
                  <c:v>6.1509999999999995E-2</c:v>
                </c:pt>
                <c:pt idx="488">
                  <c:v>6.1758E-2</c:v>
                </c:pt>
                <c:pt idx="489">
                  <c:v>6.2034000000000006E-2</c:v>
                </c:pt>
                <c:pt idx="490">
                  <c:v>6.2314000000000001E-2</c:v>
                </c:pt>
                <c:pt idx="491">
                  <c:v>6.2561999999999993E-2</c:v>
                </c:pt>
                <c:pt idx="492">
                  <c:v>6.2839999999999993E-2</c:v>
                </c:pt>
                <c:pt idx="493">
                  <c:v>6.3117999999999994E-2</c:v>
                </c:pt>
                <c:pt idx="494">
                  <c:v>6.3394000000000006E-2</c:v>
                </c:pt>
                <c:pt idx="495">
                  <c:v>6.3673999999999994E-2</c:v>
                </c:pt>
                <c:pt idx="496">
                  <c:v>6.3954000000000011E-2</c:v>
                </c:pt>
                <c:pt idx="497">
                  <c:v>6.4227999999999993E-2</c:v>
                </c:pt>
                <c:pt idx="498">
                  <c:v>6.4507999999999996E-2</c:v>
                </c:pt>
                <c:pt idx="499">
                  <c:v>6.4785999999999996E-2</c:v>
                </c:pt>
                <c:pt idx="500">
                  <c:v>6.5061999999999995E-2</c:v>
                </c:pt>
                <c:pt idx="501">
                  <c:v>6.5341999999999997E-2</c:v>
                </c:pt>
                <c:pt idx="502">
                  <c:v>6.5617999999999996E-2</c:v>
                </c:pt>
                <c:pt idx="503">
                  <c:v>6.5895999999999996E-2</c:v>
                </c:pt>
                <c:pt idx="504">
                  <c:v>6.6173999999999997E-2</c:v>
                </c:pt>
                <c:pt idx="505">
                  <c:v>6.6451999999999997E-2</c:v>
                </c:pt>
                <c:pt idx="506">
                  <c:v>6.6729999999999998E-2</c:v>
                </c:pt>
                <c:pt idx="507">
                  <c:v>6.7005999999999996E-2</c:v>
                </c:pt>
                <c:pt idx="508">
                  <c:v>6.7311999999999997E-2</c:v>
                </c:pt>
                <c:pt idx="509">
                  <c:v>6.7591999999999999E-2</c:v>
                </c:pt>
                <c:pt idx="510">
                  <c:v>6.7895999999999998E-2</c:v>
                </c:pt>
                <c:pt idx="511">
                  <c:v>6.8173999999999998E-2</c:v>
                </c:pt>
                <c:pt idx="512">
                  <c:v>6.8451999999999999E-2</c:v>
                </c:pt>
                <c:pt idx="513">
                  <c:v>6.8729999999999999E-2</c:v>
                </c:pt>
                <c:pt idx="514">
                  <c:v>6.9036E-2</c:v>
                </c:pt>
                <c:pt idx="515">
                  <c:v>6.9342000000000001E-2</c:v>
                </c:pt>
                <c:pt idx="516">
                  <c:v>6.9646E-2</c:v>
                </c:pt>
                <c:pt idx="517">
                  <c:v>6.9952E-2</c:v>
                </c:pt>
                <c:pt idx="518">
                  <c:v>7.0255999999999999E-2</c:v>
                </c:pt>
                <c:pt idx="519">
                  <c:v>7.0562E-2</c:v>
                </c:pt>
                <c:pt idx="520">
                  <c:v>7.0898000000000003E-2</c:v>
                </c:pt>
                <c:pt idx="521">
                  <c:v>7.1230000000000002E-2</c:v>
                </c:pt>
                <c:pt idx="522">
                  <c:v>7.1562000000000001E-2</c:v>
                </c:pt>
                <c:pt idx="523">
                  <c:v>7.1896000000000002E-2</c:v>
                </c:pt>
                <c:pt idx="524">
                  <c:v>7.2230000000000003E-2</c:v>
                </c:pt>
                <c:pt idx="525">
                  <c:v>7.2562000000000001E-2</c:v>
                </c:pt>
                <c:pt idx="526">
                  <c:v>7.2896000000000002E-2</c:v>
                </c:pt>
                <c:pt idx="527">
                  <c:v>7.3230000000000003E-2</c:v>
                </c:pt>
                <c:pt idx="528">
                  <c:v>7.3562000000000002E-2</c:v>
                </c:pt>
                <c:pt idx="529">
                  <c:v>7.3924000000000004E-2</c:v>
                </c:pt>
                <c:pt idx="530">
                  <c:v>7.4256000000000003E-2</c:v>
                </c:pt>
                <c:pt idx="531">
                  <c:v>7.4619999999999992E-2</c:v>
                </c:pt>
                <c:pt idx="532">
                  <c:v>7.4950000000000003E-2</c:v>
                </c:pt>
                <c:pt idx="533">
                  <c:v>7.5284000000000004E-2</c:v>
                </c:pt>
                <c:pt idx="534">
                  <c:v>7.5646000000000005E-2</c:v>
                </c:pt>
                <c:pt idx="535">
                  <c:v>7.6006000000000004E-2</c:v>
                </c:pt>
                <c:pt idx="536">
                  <c:v>7.6368000000000005E-2</c:v>
                </c:pt>
                <c:pt idx="537">
                  <c:v>7.6727999999999991E-2</c:v>
                </c:pt>
                <c:pt idx="538">
                  <c:v>7.7091999999999994E-2</c:v>
                </c:pt>
                <c:pt idx="539">
                  <c:v>7.7451999999999993E-2</c:v>
                </c:pt>
                <c:pt idx="540">
                  <c:v>7.7785999999999994E-2</c:v>
                </c:pt>
                <c:pt idx="541">
                  <c:v>7.8146000000000007E-2</c:v>
                </c:pt>
                <c:pt idx="542">
                  <c:v>7.8507999999999994E-2</c:v>
                </c:pt>
                <c:pt idx="543">
                  <c:v>7.8867999999999994E-2</c:v>
                </c:pt>
                <c:pt idx="544">
                  <c:v>7.9229999999999995E-2</c:v>
                </c:pt>
                <c:pt idx="545">
                  <c:v>7.9589999999999994E-2</c:v>
                </c:pt>
                <c:pt idx="546">
                  <c:v>7.9951999999999995E-2</c:v>
                </c:pt>
                <c:pt idx="547">
                  <c:v>8.0340000000000009E-2</c:v>
                </c:pt>
                <c:pt idx="548">
                  <c:v>8.073000000000001E-2</c:v>
                </c:pt>
                <c:pt idx="549">
                  <c:v>8.111800000000001E-2</c:v>
                </c:pt>
                <c:pt idx="550">
                  <c:v>8.1507999999999997E-2</c:v>
                </c:pt>
                <c:pt idx="551">
                  <c:v>8.1893999999999995E-2</c:v>
                </c:pt>
                <c:pt idx="552">
                  <c:v>8.2285999999999998E-2</c:v>
                </c:pt>
                <c:pt idx="553">
                  <c:v>8.2673999999999997E-2</c:v>
                </c:pt>
                <c:pt idx="554">
                  <c:v>8.3063999999999999E-2</c:v>
                </c:pt>
                <c:pt idx="555">
                  <c:v>8.3480000000000013E-2</c:v>
                </c:pt>
                <c:pt idx="556">
                  <c:v>8.3897999999999986E-2</c:v>
                </c:pt>
                <c:pt idx="557">
                  <c:v>8.4311999999999998E-2</c:v>
                </c:pt>
                <c:pt idx="558">
                  <c:v>8.4730000000000014E-2</c:v>
                </c:pt>
                <c:pt idx="559">
                  <c:v>8.5145999999999999E-2</c:v>
                </c:pt>
                <c:pt idx="560">
                  <c:v>8.5564000000000001E-2</c:v>
                </c:pt>
                <c:pt idx="561">
                  <c:v>8.5980000000000001E-2</c:v>
                </c:pt>
                <c:pt idx="562">
                  <c:v>8.6396000000000001E-2</c:v>
                </c:pt>
                <c:pt idx="563">
                  <c:v>8.6814000000000002E-2</c:v>
                </c:pt>
                <c:pt idx="564">
                  <c:v>8.7230000000000002E-2</c:v>
                </c:pt>
                <c:pt idx="565">
                  <c:v>8.764799999999999E-2</c:v>
                </c:pt>
                <c:pt idx="566">
                  <c:v>8.8062000000000001E-2</c:v>
                </c:pt>
                <c:pt idx="567">
                  <c:v>8.8480000000000003E-2</c:v>
                </c:pt>
                <c:pt idx="568">
                  <c:v>8.8922000000000001E-2</c:v>
                </c:pt>
                <c:pt idx="569">
                  <c:v>8.9368000000000003E-2</c:v>
                </c:pt>
                <c:pt idx="570">
                  <c:v>8.9811999999999989E-2</c:v>
                </c:pt>
                <c:pt idx="571">
                  <c:v>9.0283999999999989E-2</c:v>
                </c:pt>
                <c:pt idx="572">
                  <c:v>9.0757999999999991E-2</c:v>
                </c:pt>
                <c:pt idx="573">
                  <c:v>9.1228000000000004E-2</c:v>
                </c:pt>
                <c:pt idx="574">
                  <c:v>9.1701999999999992E-2</c:v>
                </c:pt>
                <c:pt idx="575">
                  <c:v>9.2173999999999992E-2</c:v>
                </c:pt>
                <c:pt idx="576">
                  <c:v>9.2644000000000004E-2</c:v>
                </c:pt>
                <c:pt idx="577">
                  <c:v>9.3147999999999995E-2</c:v>
                </c:pt>
                <c:pt idx="578">
                  <c:v>9.3645999999999993E-2</c:v>
                </c:pt>
                <c:pt idx="579">
                  <c:v>9.4146000000000007E-2</c:v>
                </c:pt>
                <c:pt idx="580">
                  <c:v>9.4646000000000008E-2</c:v>
                </c:pt>
                <c:pt idx="581">
                  <c:v>9.5145999999999994E-2</c:v>
                </c:pt>
                <c:pt idx="582">
                  <c:v>9.5671999999999993E-2</c:v>
                </c:pt>
                <c:pt idx="583">
                  <c:v>9.6173999999999996E-2</c:v>
                </c:pt>
                <c:pt idx="584">
                  <c:v>9.667400000000001E-2</c:v>
                </c:pt>
                <c:pt idx="585">
                  <c:v>9.7173999999999996E-2</c:v>
                </c:pt>
                <c:pt idx="586">
                  <c:v>9.7702000000000011E-2</c:v>
                </c:pt>
                <c:pt idx="587">
                  <c:v>9.822800000000001E-2</c:v>
                </c:pt>
                <c:pt idx="588">
                  <c:v>9.8757999999999999E-2</c:v>
                </c:pt>
                <c:pt idx="589">
                  <c:v>9.9283999999999997E-2</c:v>
                </c:pt>
                <c:pt idx="590">
                  <c:v>9.9842E-2</c:v>
                </c:pt>
                <c:pt idx="591">
                  <c:v>0.100396</c:v>
                </c:pt>
                <c:pt idx="592">
                  <c:v>0.10098000000000001</c:v>
                </c:pt>
                <c:pt idx="593">
                  <c:v>0.101564</c:v>
                </c:pt>
                <c:pt idx="594">
                  <c:v>0.102174</c:v>
                </c:pt>
              </c:numCache>
            </c:numRef>
          </c:cat>
          <c:val>
            <c:numRef>
              <c:f>'A21-5'!$F$2:$F$596</c:f>
              <c:numCache>
                <c:formatCode>0.00</c:formatCode>
                <c:ptCount val="595"/>
                <c:pt idx="0">
                  <c:v>0</c:v>
                </c:pt>
                <c:pt idx="1">
                  <c:v>1.6055652042588537E-2</c:v>
                </c:pt>
                <c:pt idx="2">
                  <c:v>1.6055652042588537E-2</c:v>
                </c:pt>
                <c:pt idx="3">
                  <c:v>1.6055652042588537E-2</c:v>
                </c:pt>
                <c:pt idx="4">
                  <c:v>2.0069329079513705E-2</c:v>
                </c:pt>
                <c:pt idx="5">
                  <c:v>2.0069329079513705E-2</c:v>
                </c:pt>
                <c:pt idx="6">
                  <c:v>2.0069329079513705E-2</c:v>
                </c:pt>
                <c:pt idx="7">
                  <c:v>2.0069329079513705E-2</c:v>
                </c:pt>
                <c:pt idx="8">
                  <c:v>2.0069329079513705E-2</c:v>
                </c:pt>
                <c:pt idx="9">
                  <c:v>2.0069329079513705E-2</c:v>
                </c:pt>
                <c:pt idx="10">
                  <c:v>2.0069329079513705E-2</c:v>
                </c:pt>
                <c:pt idx="11">
                  <c:v>2.0069329079513705E-2</c:v>
                </c:pt>
                <c:pt idx="12">
                  <c:v>2.0069329079513705E-2</c:v>
                </c:pt>
                <c:pt idx="13">
                  <c:v>2.0069329079513705E-2</c:v>
                </c:pt>
                <c:pt idx="14">
                  <c:v>2.0069329079513705E-2</c:v>
                </c:pt>
                <c:pt idx="15">
                  <c:v>2.0069329079513705E-2</c:v>
                </c:pt>
                <c:pt idx="16">
                  <c:v>2.4083478063882804E-2</c:v>
                </c:pt>
                <c:pt idx="17">
                  <c:v>2.0069329079513705E-2</c:v>
                </c:pt>
                <c:pt idx="18">
                  <c:v>2.4083478063882804E-2</c:v>
                </c:pt>
                <c:pt idx="19">
                  <c:v>2.4083478063882804E-2</c:v>
                </c:pt>
                <c:pt idx="20">
                  <c:v>2.0069329079513705E-2</c:v>
                </c:pt>
                <c:pt idx="21">
                  <c:v>2.4083478063882804E-2</c:v>
                </c:pt>
                <c:pt idx="22">
                  <c:v>2.4083478063882804E-2</c:v>
                </c:pt>
                <c:pt idx="23">
                  <c:v>2.4083478063882804E-2</c:v>
                </c:pt>
                <c:pt idx="24">
                  <c:v>2.8097391074529944E-2</c:v>
                </c:pt>
                <c:pt idx="25">
                  <c:v>3.2111304085177074E-2</c:v>
                </c:pt>
                <c:pt idx="26">
                  <c:v>3.2111304085177074E-2</c:v>
                </c:pt>
                <c:pt idx="27">
                  <c:v>3.6125217095824204E-2</c:v>
                </c:pt>
                <c:pt idx="28">
                  <c:v>3.6125217095824204E-2</c:v>
                </c:pt>
                <c:pt idx="29">
                  <c:v>4.0139130106471348E-2</c:v>
                </c:pt>
                <c:pt idx="30">
                  <c:v>4.0139130106471348E-2</c:v>
                </c:pt>
                <c:pt idx="31">
                  <c:v>4.0139130106471348E-2</c:v>
                </c:pt>
                <c:pt idx="32">
                  <c:v>4.4153043117118478E-2</c:v>
                </c:pt>
                <c:pt idx="33">
                  <c:v>4.4153043117118478E-2</c:v>
                </c:pt>
                <c:pt idx="34">
                  <c:v>4.4153043117118478E-2</c:v>
                </c:pt>
                <c:pt idx="35">
                  <c:v>4.4153043117118478E-2</c:v>
                </c:pt>
                <c:pt idx="36">
                  <c:v>4.8166956127765607E-2</c:v>
                </c:pt>
                <c:pt idx="37">
                  <c:v>4.8166956127765607E-2</c:v>
                </c:pt>
                <c:pt idx="38">
                  <c:v>5.2180869138412744E-2</c:v>
                </c:pt>
                <c:pt idx="39">
                  <c:v>6.0208695159707018E-2</c:v>
                </c:pt>
                <c:pt idx="40">
                  <c:v>6.8236521181001278E-2</c:v>
                </c:pt>
                <c:pt idx="41">
                  <c:v>7.6264347202295552E-2</c:v>
                </c:pt>
                <c:pt idx="42">
                  <c:v>8.4292173223589825E-2</c:v>
                </c:pt>
                <c:pt idx="43">
                  <c:v>9.6333912255531215E-2</c:v>
                </c:pt>
                <c:pt idx="44">
                  <c:v>0.10436173827682549</c:v>
                </c:pt>
                <c:pt idx="45">
                  <c:v>0.11238956429811978</c:v>
                </c:pt>
                <c:pt idx="46">
                  <c:v>0.12443130333006117</c:v>
                </c:pt>
                <c:pt idx="47">
                  <c:v>0.1284452163407083</c:v>
                </c:pt>
                <c:pt idx="48">
                  <c:v>0.14048695537264971</c:v>
                </c:pt>
                <c:pt idx="49">
                  <c:v>0.148514781393944</c:v>
                </c:pt>
                <c:pt idx="50">
                  <c:v>0.15654260741523826</c:v>
                </c:pt>
                <c:pt idx="51">
                  <c:v>0.16457043343653249</c:v>
                </c:pt>
                <c:pt idx="52">
                  <c:v>0.16858434644717965</c:v>
                </c:pt>
                <c:pt idx="53">
                  <c:v>0.16858434644717965</c:v>
                </c:pt>
                <c:pt idx="54">
                  <c:v>0.18062372574190139</c:v>
                </c:pt>
                <c:pt idx="55">
                  <c:v>0.18062372574190139</c:v>
                </c:pt>
                <c:pt idx="56">
                  <c:v>0.18865155176319567</c:v>
                </c:pt>
                <c:pt idx="57">
                  <c:v>0.19266546477384278</c:v>
                </c:pt>
                <c:pt idx="58">
                  <c:v>0.19667937778448991</c:v>
                </c:pt>
                <c:pt idx="59">
                  <c:v>0.20069329079513704</c:v>
                </c:pt>
                <c:pt idx="60">
                  <c:v>0.20872111681643135</c:v>
                </c:pt>
                <c:pt idx="61">
                  <c:v>0.21273502982707845</c:v>
                </c:pt>
                <c:pt idx="62">
                  <c:v>0.21674894283772558</c:v>
                </c:pt>
                <c:pt idx="63">
                  <c:v>0.22879068186966703</c:v>
                </c:pt>
                <c:pt idx="64">
                  <c:v>0.23280459488031413</c:v>
                </c:pt>
                <c:pt idx="65">
                  <c:v>0.2368232273654006</c:v>
                </c:pt>
                <c:pt idx="66">
                  <c:v>0.24083478063882807</c:v>
                </c:pt>
                <c:pt idx="67">
                  <c:v>0.25286944045911047</c:v>
                </c:pt>
                <c:pt idx="68">
                  <c:v>0.26089254700596543</c:v>
                </c:pt>
                <c:pt idx="69">
                  <c:v>0.26893925092501697</c:v>
                </c:pt>
                <c:pt idx="70">
                  <c:v>0.27295080419844447</c:v>
                </c:pt>
                <c:pt idx="71">
                  <c:v>0.28097391074529943</c:v>
                </c:pt>
                <c:pt idx="72">
                  <c:v>0.28498546401872688</c:v>
                </c:pt>
                <c:pt idx="73">
                  <c:v>0.29702012383900928</c:v>
                </c:pt>
                <c:pt idx="74">
                  <c:v>0.30103167711243672</c:v>
                </c:pt>
                <c:pt idx="75">
                  <c:v>0.30907838103148838</c:v>
                </c:pt>
                <c:pt idx="76">
                  <c:v>0.31710148757834333</c:v>
                </c:pt>
                <c:pt idx="77">
                  <c:v>0.32512459412519829</c:v>
                </c:pt>
                <c:pt idx="78">
                  <c:v>0.33314770067205313</c:v>
                </c:pt>
                <c:pt idx="79">
                  <c:v>0.34117080721890808</c:v>
                </c:pt>
                <c:pt idx="80">
                  <c:v>0.34921751113795968</c:v>
                </c:pt>
                <c:pt idx="81">
                  <c:v>0.36125217095824208</c:v>
                </c:pt>
                <c:pt idx="82">
                  <c:v>0.37328683077852454</c:v>
                </c:pt>
                <c:pt idx="83">
                  <c:v>0.38532149059880694</c:v>
                </c:pt>
                <c:pt idx="84">
                  <c:v>0.39737974779128599</c:v>
                </c:pt>
                <c:pt idx="85">
                  <c:v>0.40540285433814094</c:v>
                </c:pt>
                <c:pt idx="86">
                  <c:v>0.41743751415842334</c:v>
                </c:pt>
                <c:pt idx="87">
                  <c:v>0.42949577135090239</c:v>
                </c:pt>
                <c:pt idx="88">
                  <c:v>0.44153043117118473</c:v>
                </c:pt>
                <c:pt idx="89">
                  <c:v>0.45356509099146719</c:v>
                </c:pt>
                <c:pt idx="90">
                  <c:v>0.46559975081174965</c:v>
                </c:pt>
                <c:pt idx="91">
                  <c:v>0.4776580080042287</c:v>
                </c:pt>
                <c:pt idx="92">
                  <c:v>0.48969266782451104</c:v>
                </c:pt>
                <c:pt idx="93">
                  <c:v>0.50172732764479344</c:v>
                </c:pt>
                <c:pt idx="94">
                  <c:v>0.51378558483727255</c:v>
                </c:pt>
                <c:pt idx="95">
                  <c:v>0.52582024465755506</c:v>
                </c:pt>
                <c:pt idx="96">
                  <c:v>0.54186645775126496</c:v>
                </c:pt>
                <c:pt idx="97">
                  <c:v>0.55392471494374385</c:v>
                </c:pt>
                <c:pt idx="98">
                  <c:v>0.56595937476402636</c:v>
                </c:pt>
                <c:pt idx="99">
                  <c:v>0.57799403458430876</c:v>
                </c:pt>
                <c:pt idx="100">
                  <c:v>0.59005229177678775</c:v>
                </c:pt>
                <c:pt idx="101">
                  <c:v>0.60609850487049766</c:v>
                </c:pt>
                <c:pt idx="102">
                  <c:v>0.61813316469078006</c:v>
                </c:pt>
                <c:pt idx="103">
                  <c:v>0.63019142188325905</c:v>
                </c:pt>
                <c:pt idx="104">
                  <c:v>0.64222608170354156</c:v>
                </c:pt>
                <c:pt idx="105">
                  <c:v>0.65827229479725147</c:v>
                </c:pt>
                <c:pt idx="106">
                  <c:v>0.67033055198973046</c:v>
                </c:pt>
                <c:pt idx="107">
                  <c:v>0.68236521181001297</c:v>
                </c:pt>
                <c:pt idx="108">
                  <c:v>0.69439987163029526</c:v>
                </c:pt>
                <c:pt idx="109">
                  <c:v>0.71044608472400506</c:v>
                </c:pt>
                <c:pt idx="110">
                  <c:v>0.72250434191648416</c:v>
                </c:pt>
                <c:pt idx="111">
                  <c:v>0.73453900173676667</c:v>
                </c:pt>
                <c:pt idx="112">
                  <c:v>0.75058521483047647</c:v>
                </c:pt>
                <c:pt idx="113">
                  <c:v>0.76264347202295568</c:v>
                </c:pt>
                <c:pt idx="114">
                  <c:v>0.77868968511666548</c:v>
                </c:pt>
                <c:pt idx="115">
                  <c:v>0.79475949558257197</c:v>
                </c:pt>
                <c:pt idx="116">
                  <c:v>0.81080570867628188</c:v>
                </c:pt>
                <c:pt idx="117">
                  <c:v>0.82685192176999178</c:v>
                </c:pt>
                <c:pt idx="118">
                  <c:v>0.84292173223589817</c:v>
                </c:pt>
                <c:pt idx="119">
                  <c:v>0.85896794532960818</c:v>
                </c:pt>
                <c:pt idx="120">
                  <c:v>0.87503775579551468</c:v>
                </c:pt>
                <c:pt idx="121">
                  <c:v>0.89108396888922459</c:v>
                </c:pt>
                <c:pt idx="122">
                  <c:v>0.90713018198293438</c:v>
                </c:pt>
                <c:pt idx="123">
                  <c:v>0.92319999244884088</c:v>
                </c:pt>
                <c:pt idx="124">
                  <c:v>0.93924620554255078</c:v>
                </c:pt>
                <c:pt idx="125">
                  <c:v>0.95531601600845739</c:v>
                </c:pt>
                <c:pt idx="126">
                  <c:v>0.97136222910216719</c:v>
                </c:pt>
                <c:pt idx="127">
                  <c:v>0.98740844219587709</c:v>
                </c:pt>
                <c:pt idx="128">
                  <c:v>1.0034782526617836</c:v>
                </c:pt>
                <c:pt idx="129">
                  <c:v>1.0195244657554936</c:v>
                </c:pt>
                <c:pt idx="130">
                  <c:v>1.0355706788492032</c:v>
                </c:pt>
                <c:pt idx="131">
                  <c:v>1.0516404893151101</c:v>
                </c:pt>
                <c:pt idx="132">
                  <c:v>1.0676867024088199</c:v>
                </c:pt>
                <c:pt idx="133">
                  <c:v>1.0837565128747262</c:v>
                </c:pt>
                <c:pt idx="134">
                  <c:v>1.0998027259684362</c:v>
                </c:pt>
                <c:pt idx="135">
                  <c:v>1.115848939062146</c:v>
                </c:pt>
                <c:pt idx="136">
                  <c:v>1.1319187495280527</c:v>
                </c:pt>
                <c:pt idx="137">
                  <c:v>1.1479649626217627</c:v>
                </c:pt>
                <c:pt idx="138">
                  <c:v>1.164034773087669</c:v>
                </c:pt>
                <c:pt idx="139">
                  <c:v>1.1800809861813788</c:v>
                </c:pt>
                <c:pt idx="140">
                  <c:v>1.1961271992750888</c:v>
                </c:pt>
                <c:pt idx="141">
                  <c:v>1.2121970097409953</c:v>
                </c:pt>
                <c:pt idx="142">
                  <c:v>1.2282432228347051</c:v>
                </c:pt>
                <c:pt idx="143">
                  <c:v>1.2443130333006116</c:v>
                </c:pt>
                <c:pt idx="144">
                  <c:v>1.2643707996677491</c:v>
                </c:pt>
                <c:pt idx="145">
                  <c:v>1.2804406101336556</c:v>
                </c:pt>
                <c:pt idx="146">
                  <c:v>1.2964868232273654</c:v>
                </c:pt>
                <c:pt idx="147">
                  <c:v>1.3125330363210754</c:v>
                </c:pt>
                <c:pt idx="148">
                  <c:v>1.3326144000604092</c:v>
                </c:pt>
                <c:pt idx="149">
                  <c:v>1.348660613154119</c:v>
                </c:pt>
                <c:pt idx="150">
                  <c:v>1.3647304236200259</c:v>
                </c:pt>
                <c:pt idx="151">
                  <c:v>1.3807766367137357</c:v>
                </c:pt>
                <c:pt idx="152">
                  <c:v>1.400834403080873</c:v>
                </c:pt>
                <c:pt idx="153">
                  <c:v>1.420915766820207</c:v>
                </c:pt>
                <c:pt idx="154">
                  <c:v>1.4409735331873441</c:v>
                </c:pt>
                <c:pt idx="155">
                  <c:v>1.4610548969266783</c:v>
                </c:pt>
                <c:pt idx="156">
                  <c:v>1.4811126632938156</c:v>
                </c:pt>
                <c:pt idx="157">
                  <c:v>1.5011940270331494</c:v>
                </c:pt>
                <c:pt idx="158">
                  <c:v>1.5172402401268594</c:v>
                </c:pt>
                <c:pt idx="159">
                  <c:v>1.5333100505927659</c:v>
                </c:pt>
                <c:pt idx="160">
                  <c:v>1.5493562636864759</c:v>
                </c:pt>
                <c:pt idx="161">
                  <c:v>1.5654260741523822</c:v>
                </c:pt>
                <c:pt idx="162">
                  <c:v>1.5814722872460925</c:v>
                </c:pt>
                <c:pt idx="163">
                  <c:v>1.597518500339802</c:v>
                </c:pt>
                <c:pt idx="164">
                  <c:v>1.6135883108057085</c:v>
                </c:pt>
                <c:pt idx="165">
                  <c:v>1.6296345238994188</c:v>
                </c:pt>
                <c:pt idx="166">
                  <c:v>1.645704334365325</c:v>
                </c:pt>
                <c:pt idx="167">
                  <c:v>1.6617505474590353</c:v>
                </c:pt>
                <c:pt idx="168">
                  <c:v>1.6777967605527448</c:v>
                </c:pt>
                <c:pt idx="169">
                  <c:v>1.6938665710186513</c:v>
                </c:pt>
                <c:pt idx="170">
                  <c:v>1.7099127841123614</c:v>
                </c:pt>
                <c:pt idx="171">
                  <c:v>1.7259589972060712</c:v>
                </c:pt>
                <c:pt idx="172">
                  <c:v>1.7420288076719774</c:v>
                </c:pt>
                <c:pt idx="173">
                  <c:v>1.7580750207656877</c:v>
                </c:pt>
                <c:pt idx="174">
                  <c:v>1.7741448312315942</c:v>
                </c:pt>
                <c:pt idx="175">
                  <c:v>1.7942025975987315</c:v>
                </c:pt>
                <c:pt idx="176">
                  <c:v>1.810272408064638</c:v>
                </c:pt>
                <c:pt idx="177">
                  <c:v>1.8263186211583478</c:v>
                </c:pt>
                <c:pt idx="178">
                  <c:v>1.8423648342520578</c:v>
                </c:pt>
                <c:pt idx="179">
                  <c:v>1.8584346447179643</c:v>
                </c:pt>
                <c:pt idx="180">
                  <c:v>1.8744808578116743</c:v>
                </c:pt>
                <c:pt idx="181">
                  <c:v>1.8945622215510083</c:v>
                </c:pt>
                <c:pt idx="182">
                  <c:v>1.9106084346447179</c:v>
                </c:pt>
                <c:pt idx="183">
                  <c:v>1.9266546477384281</c:v>
                </c:pt>
                <c:pt idx="184">
                  <c:v>1.9467360114777619</c:v>
                </c:pt>
                <c:pt idx="185">
                  <c:v>1.9627822245714719</c:v>
                </c:pt>
                <c:pt idx="186">
                  <c:v>1.9788520350373782</c:v>
                </c:pt>
                <c:pt idx="187">
                  <c:v>1.9989098014045157</c:v>
                </c:pt>
                <c:pt idx="188">
                  <c:v>2.0149796118704222</c:v>
                </c:pt>
                <c:pt idx="189">
                  <c:v>2.0310258249641318</c:v>
                </c:pt>
                <c:pt idx="190">
                  <c:v>2.0510835913312695</c:v>
                </c:pt>
                <c:pt idx="191">
                  <c:v>2.0671534017971758</c:v>
                </c:pt>
                <c:pt idx="192">
                  <c:v>2.0831996148908858</c:v>
                </c:pt>
                <c:pt idx="193">
                  <c:v>2.1032809786302202</c:v>
                </c:pt>
                <c:pt idx="194">
                  <c:v>2.1193271917239298</c:v>
                </c:pt>
                <c:pt idx="195">
                  <c:v>2.1353970021898361</c:v>
                </c:pt>
                <c:pt idx="196">
                  <c:v>2.1514432152835461</c:v>
                </c:pt>
                <c:pt idx="197">
                  <c:v>2.1715009816506834</c:v>
                </c:pt>
                <c:pt idx="198">
                  <c:v>2.1875707921165897</c:v>
                </c:pt>
                <c:pt idx="199">
                  <c:v>2.2036170052103001</c:v>
                </c:pt>
                <c:pt idx="200">
                  <c:v>2.2236983689496341</c:v>
                </c:pt>
                <c:pt idx="201">
                  <c:v>2.2397445820433437</c:v>
                </c:pt>
                <c:pt idx="202">
                  <c:v>2.2598259457826777</c:v>
                </c:pt>
                <c:pt idx="203">
                  <c:v>2.2758721588763873</c:v>
                </c:pt>
                <c:pt idx="204">
                  <c:v>2.2959535226157213</c:v>
                </c:pt>
                <c:pt idx="205">
                  <c:v>2.3119997357094317</c:v>
                </c:pt>
                <c:pt idx="206">
                  <c:v>2.3320575020765686</c:v>
                </c:pt>
                <c:pt idx="207">
                  <c:v>2.3521388658159026</c:v>
                </c:pt>
                <c:pt idx="208">
                  <c:v>2.368232273654006</c:v>
                </c:pt>
                <c:pt idx="209">
                  <c:v>2.384278486747716</c:v>
                </c:pt>
                <c:pt idx="210">
                  <c:v>2.4003246998414256</c:v>
                </c:pt>
                <c:pt idx="211">
                  <c:v>2.4163709129351361</c:v>
                </c:pt>
                <c:pt idx="212">
                  <c:v>2.4364286793022729</c:v>
                </c:pt>
                <c:pt idx="213">
                  <c:v>2.4524748923959829</c:v>
                </c:pt>
                <c:pt idx="214">
                  <c:v>2.4685211054896925</c:v>
                </c:pt>
                <c:pt idx="215">
                  <c:v>2.4885788718568302</c:v>
                </c:pt>
                <c:pt idx="216">
                  <c:v>2.5086366382239675</c:v>
                </c:pt>
                <c:pt idx="217">
                  <c:v>2.5286944045911048</c:v>
                </c:pt>
                <c:pt idx="218">
                  <c:v>2.5487521709582426</c:v>
                </c:pt>
                <c:pt idx="219">
                  <c:v>2.5688099373253794</c:v>
                </c:pt>
                <c:pt idx="220">
                  <c:v>2.5888677036925167</c:v>
                </c:pt>
                <c:pt idx="221">
                  <c:v>2.608925470059654</c:v>
                </c:pt>
                <c:pt idx="222">
                  <c:v>2.624971683153364</c:v>
                </c:pt>
                <c:pt idx="223">
                  <c:v>2.6452654232424675</c:v>
                </c:pt>
                <c:pt idx="224">
                  <c:v>2.6653231896096052</c:v>
                </c:pt>
                <c:pt idx="225">
                  <c:v>2.6853809559767425</c:v>
                </c:pt>
                <c:pt idx="226">
                  <c:v>2.7014271690704525</c:v>
                </c:pt>
                <c:pt idx="227">
                  <c:v>2.7214849354375898</c:v>
                </c:pt>
                <c:pt idx="228">
                  <c:v>2.7415427018047271</c:v>
                </c:pt>
                <c:pt idx="229">
                  <c:v>2.7575889148984372</c:v>
                </c:pt>
                <c:pt idx="230">
                  <c:v>2.7736351279921472</c:v>
                </c:pt>
                <c:pt idx="231">
                  <c:v>2.793692894359284</c:v>
                </c:pt>
                <c:pt idx="232">
                  <c:v>2.8097391074529936</c:v>
                </c:pt>
                <c:pt idx="233">
                  <c:v>2.8297968738201318</c:v>
                </c:pt>
                <c:pt idx="234">
                  <c:v>2.8458430869138414</c:v>
                </c:pt>
                <c:pt idx="235">
                  <c:v>2.8659008532809787</c:v>
                </c:pt>
                <c:pt idx="236">
                  <c:v>2.8819470663746882</c:v>
                </c:pt>
                <c:pt idx="237">
                  <c:v>2.8979932794683987</c:v>
                </c:pt>
                <c:pt idx="238">
                  <c:v>2.918051045835536</c:v>
                </c:pt>
                <c:pt idx="239">
                  <c:v>2.9340972589292456</c:v>
                </c:pt>
                <c:pt idx="240">
                  <c:v>2.9501434720229551</c:v>
                </c:pt>
                <c:pt idx="241">
                  <c:v>2.9702012383900933</c:v>
                </c:pt>
                <c:pt idx="242">
                  <c:v>2.9862474514838029</c:v>
                </c:pt>
                <c:pt idx="243">
                  <c:v>3.0063052178509402</c:v>
                </c:pt>
                <c:pt idx="244">
                  <c:v>3.0223514309446506</c:v>
                </c:pt>
                <c:pt idx="245">
                  <c:v>3.0383976440383598</c:v>
                </c:pt>
                <c:pt idx="246">
                  <c:v>3.0586913841274637</c:v>
                </c:pt>
                <c:pt idx="247">
                  <c:v>3.0747375972211737</c:v>
                </c:pt>
                <c:pt idx="248">
                  <c:v>3.0907838103148828</c:v>
                </c:pt>
                <c:pt idx="249">
                  <c:v>3.1188646832288756</c:v>
                </c:pt>
                <c:pt idx="250">
                  <c:v>3.1429340028694406</c:v>
                </c:pt>
                <c:pt idx="251">
                  <c:v>3.1670033225100056</c:v>
                </c:pt>
                <c:pt idx="252">
                  <c:v>3.1950841954239979</c:v>
                </c:pt>
                <c:pt idx="253">
                  <c:v>3.219153515064562</c:v>
                </c:pt>
                <c:pt idx="254">
                  <c:v>3.2432228347051275</c:v>
                </c:pt>
                <c:pt idx="255">
                  <c:v>3.2672921543456921</c:v>
                </c:pt>
                <c:pt idx="256">
                  <c:v>3.2953730272596848</c:v>
                </c:pt>
                <c:pt idx="257">
                  <c:v>3.319442346900249</c:v>
                </c:pt>
                <c:pt idx="258">
                  <c:v>3.343511666540814</c:v>
                </c:pt>
                <c:pt idx="259">
                  <c:v>3.3675809861813795</c:v>
                </c:pt>
                <c:pt idx="260">
                  <c:v>3.3916503058219436</c:v>
                </c:pt>
                <c:pt idx="261">
                  <c:v>3.4157196254625086</c:v>
                </c:pt>
                <c:pt idx="262">
                  <c:v>3.4397889451030736</c:v>
                </c:pt>
                <c:pt idx="263">
                  <c:v>3.4640942384656048</c:v>
                </c:pt>
                <c:pt idx="264">
                  <c:v>3.488163558106169</c:v>
                </c:pt>
                <c:pt idx="265">
                  <c:v>3.5122328777467344</c:v>
                </c:pt>
                <c:pt idx="266">
                  <c:v>3.5363021973872995</c:v>
                </c:pt>
                <c:pt idx="267">
                  <c:v>3.5603715170278636</c:v>
                </c:pt>
                <c:pt idx="268">
                  <c:v>3.5884523899418559</c:v>
                </c:pt>
                <c:pt idx="269">
                  <c:v>3.6125217095824209</c:v>
                </c:pt>
                <c:pt idx="270">
                  <c:v>3.6365910292229864</c:v>
                </c:pt>
                <c:pt idx="271">
                  <c:v>3.6646719021369782</c:v>
                </c:pt>
                <c:pt idx="272">
                  <c:v>3.6887412217775428</c:v>
                </c:pt>
                <c:pt idx="273">
                  <c:v>3.7128105414181078</c:v>
                </c:pt>
                <c:pt idx="274">
                  <c:v>3.7408914143321002</c:v>
                </c:pt>
                <c:pt idx="275">
                  <c:v>3.7649607339726652</c:v>
                </c:pt>
                <c:pt idx="276">
                  <c:v>3.7890300536132298</c:v>
                </c:pt>
                <c:pt idx="277">
                  <c:v>3.8171109265272216</c:v>
                </c:pt>
                <c:pt idx="278">
                  <c:v>3.8411802461677871</c:v>
                </c:pt>
                <c:pt idx="279">
                  <c:v>3.8694970928037451</c:v>
                </c:pt>
                <c:pt idx="280">
                  <c:v>3.8935664124443101</c:v>
                </c:pt>
                <c:pt idx="281">
                  <c:v>3.9176357320848756</c:v>
                </c:pt>
                <c:pt idx="282">
                  <c:v>3.9457166049988674</c:v>
                </c:pt>
                <c:pt idx="283">
                  <c:v>3.9737974779128602</c:v>
                </c:pt>
                <c:pt idx="284">
                  <c:v>3.9978667975534243</c:v>
                </c:pt>
                <c:pt idx="285">
                  <c:v>4.0259476704674171</c:v>
                </c:pt>
                <c:pt idx="286">
                  <c:v>4.0500169901079817</c:v>
                </c:pt>
                <c:pt idx="287">
                  <c:v>4.0780978630219744</c:v>
                </c:pt>
                <c:pt idx="288">
                  <c:v>4.1061787359359663</c:v>
                </c:pt>
                <c:pt idx="289">
                  <c:v>4.1302480555765309</c:v>
                </c:pt>
                <c:pt idx="290">
                  <c:v>4.1663520350373782</c:v>
                </c:pt>
                <c:pt idx="291">
                  <c:v>4.2024560144982255</c:v>
                </c:pt>
                <c:pt idx="292">
                  <c:v>4.2385599939590728</c:v>
                </c:pt>
                <c:pt idx="293">
                  <c:v>4.2748999471418863</c:v>
                </c:pt>
                <c:pt idx="294">
                  <c:v>4.3110039266027336</c:v>
                </c:pt>
                <c:pt idx="295">
                  <c:v>4.3471079060635809</c:v>
                </c:pt>
                <c:pt idx="296">
                  <c:v>4.3832118855244282</c:v>
                </c:pt>
                <c:pt idx="297">
                  <c:v>4.4193158649852755</c:v>
                </c:pt>
                <c:pt idx="298">
                  <c:v>4.4554198444461228</c:v>
                </c:pt>
                <c:pt idx="299">
                  <c:v>4.4915238239069701</c:v>
                </c:pt>
                <c:pt idx="300">
                  <c:v>4.5276278033678166</c:v>
                </c:pt>
                <c:pt idx="301">
                  <c:v>4.5637317828286648</c:v>
                </c:pt>
                <c:pt idx="302">
                  <c:v>4.5998357622895121</c:v>
                </c:pt>
                <c:pt idx="303">
                  <c:v>4.6359397417503585</c:v>
                </c:pt>
                <c:pt idx="304">
                  <c:v>4.672279694933172</c:v>
                </c:pt>
                <c:pt idx="305">
                  <c:v>4.7083836743940202</c:v>
                </c:pt>
                <c:pt idx="306">
                  <c:v>4.7444876538548666</c:v>
                </c:pt>
                <c:pt idx="307">
                  <c:v>4.7805916333157139</c:v>
                </c:pt>
                <c:pt idx="308">
                  <c:v>4.8166956127765612</c:v>
                </c:pt>
                <c:pt idx="309">
                  <c:v>4.8527995922374085</c:v>
                </c:pt>
                <c:pt idx="310">
                  <c:v>4.8889035716982558</c:v>
                </c:pt>
                <c:pt idx="311">
                  <c:v>4.9290191044325304</c:v>
                </c:pt>
                <c:pt idx="312">
                  <c:v>4.9651230838933778</c:v>
                </c:pt>
                <c:pt idx="313">
                  <c:v>5.0012270633542251</c:v>
                </c:pt>
                <c:pt idx="314">
                  <c:v>5.0373310428150724</c:v>
                </c:pt>
                <c:pt idx="315">
                  <c:v>5.0776825492713131</c:v>
                </c:pt>
                <c:pt idx="316">
                  <c:v>5.1137865287321613</c:v>
                </c:pt>
                <c:pt idx="317">
                  <c:v>5.1498905081930078</c:v>
                </c:pt>
                <c:pt idx="318">
                  <c:v>5.1900060409272823</c:v>
                </c:pt>
                <c:pt idx="319">
                  <c:v>5.2381446802084124</c:v>
                </c:pt>
                <c:pt idx="320">
                  <c:v>5.2862833194895424</c:v>
                </c:pt>
                <c:pt idx="321">
                  <c:v>5.3344219587706716</c:v>
                </c:pt>
                <c:pt idx="322">
                  <c:v>5.3785490447783744</c:v>
                </c:pt>
                <c:pt idx="323">
                  <c:v>5.4186645775126481</c:v>
                </c:pt>
                <c:pt idx="324">
                  <c:v>5.4668032167937772</c:v>
                </c:pt>
                <c:pt idx="325">
                  <c:v>5.5151778297968743</c:v>
                </c:pt>
                <c:pt idx="326">
                  <c:v>5.5633164690780035</c:v>
                </c:pt>
                <c:pt idx="327">
                  <c:v>5.6114551083591335</c:v>
                </c:pt>
                <c:pt idx="328">
                  <c:v>5.6595937476402636</c:v>
                </c:pt>
                <c:pt idx="329">
                  <c:v>5.7077323869213927</c:v>
                </c:pt>
                <c:pt idx="330">
                  <c:v>5.7478479196556673</c:v>
                </c:pt>
                <c:pt idx="331">
                  <c:v>5.7959865589367974</c:v>
                </c:pt>
                <c:pt idx="332">
                  <c:v>5.836102091671072</c:v>
                </c:pt>
                <c:pt idx="333">
                  <c:v>5.8762176244053466</c:v>
                </c:pt>
                <c:pt idx="334">
                  <c:v>5.9165691308615873</c:v>
                </c:pt>
                <c:pt idx="335">
                  <c:v>5.9606962168692892</c:v>
                </c:pt>
                <c:pt idx="336">
                  <c:v>6.0088348561504183</c:v>
                </c:pt>
                <c:pt idx="337">
                  <c:v>6.0489503888846929</c:v>
                </c:pt>
                <c:pt idx="338">
                  <c:v>6.0970890281658239</c:v>
                </c:pt>
                <c:pt idx="339">
                  <c:v>6.1372045609000976</c:v>
                </c:pt>
                <c:pt idx="340">
                  <c:v>6.1773200936343722</c:v>
                </c:pt>
                <c:pt idx="341">
                  <c:v>6.2294702861889304</c:v>
                </c:pt>
                <c:pt idx="342">
                  <c:v>6.2816204787434868</c:v>
                </c:pt>
                <c:pt idx="343">
                  <c:v>6.3340066450200112</c:v>
                </c:pt>
                <c:pt idx="344">
                  <c:v>6.3861568375745676</c:v>
                </c:pt>
                <c:pt idx="345">
                  <c:v>6.4342954768556977</c:v>
                </c:pt>
                <c:pt idx="346">
                  <c:v>6.4824341161368269</c:v>
                </c:pt>
                <c:pt idx="347">
                  <c:v>6.5305727554179569</c:v>
                </c:pt>
                <c:pt idx="348">
                  <c:v>6.5867345012459406</c:v>
                </c:pt>
                <c:pt idx="349">
                  <c:v>6.6348731405270716</c:v>
                </c:pt>
                <c:pt idx="350">
                  <c:v>6.6830117798081998</c:v>
                </c:pt>
                <c:pt idx="351">
                  <c:v>6.7313863928112969</c:v>
                </c:pt>
                <c:pt idx="352">
                  <c:v>6.779525032092427</c:v>
                </c:pt>
                <c:pt idx="353">
                  <c:v>6.8356867779204107</c:v>
                </c:pt>
                <c:pt idx="354">
                  <c:v>6.8838254172015416</c:v>
                </c:pt>
                <c:pt idx="355">
                  <c:v>6.9319640564826699</c:v>
                </c:pt>
                <c:pt idx="356">
                  <c:v>6.9801026957637999</c:v>
                </c:pt>
                <c:pt idx="357">
                  <c:v>7.0282413350449291</c:v>
                </c:pt>
                <c:pt idx="358">
                  <c:v>7.0763799743260591</c:v>
                </c:pt>
                <c:pt idx="359">
                  <c:v>7.1247545873291553</c:v>
                </c:pt>
                <c:pt idx="360">
                  <c:v>7.1769047798837118</c:v>
                </c:pt>
                <c:pt idx="361">
                  <c:v>7.2250434191648418</c:v>
                </c:pt>
                <c:pt idx="362">
                  <c:v>7.2852167182662546</c:v>
                </c:pt>
                <c:pt idx="363">
                  <c:v>7.3494015706410929</c:v>
                </c:pt>
                <c:pt idx="364">
                  <c:v>7.4095748697425057</c:v>
                </c:pt>
                <c:pt idx="365">
                  <c:v>7.4697481688439176</c:v>
                </c:pt>
                <c:pt idx="366">
                  <c:v>7.5341689949407229</c:v>
                </c:pt>
                <c:pt idx="367">
                  <c:v>7.598353847315563</c:v>
                </c:pt>
                <c:pt idx="368">
                  <c:v>7.6585271464169749</c:v>
                </c:pt>
                <c:pt idx="369">
                  <c:v>7.7187004455183876</c:v>
                </c:pt>
                <c:pt idx="370">
                  <c:v>7.7828852978932268</c:v>
                </c:pt>
                <c:pt idx="371">
                  <c:v>7.8430585969946396</c:v>
                </c:pt>
                <c:pt idx="372">
                  <c:v>7.9072434493694779</c:v>
                </c:pt>
                <c:pt idx="373">
                  <c:v>7.9716642754662841</c:v>
                </c:pt>
                <c:pt idx="374">
                  <c:v>8.035849127841125</c:v>
                </c:pt>
                <c:pt idx="375">
                  <c:v>8.1000339802159633</c:v>
                </c:pt>
                <c:pt idx="376">
                  <c:v>8.1642188325908034</c:v>
                </c:pt>
                <c:pt idx="377">
                  <c:v>8.2284036849656417</c:v>
                </c:pt>
                <c:pt idx="378">
                  <c:v>8.2925885373404835</c:v>
                </c:pt>
                <c:pt idx="379">
                  <c:v>8.3570093634372871</c:v>
                </c:pt>
                <c:pt idx="380">
                  <c:v>8.4211942158121289</c:v>
                </c:pt>
                <c:pt idx="381">
                  <c:v>8.4853790681869672</c:v>
                </c:pt>
                <c:pt idx="382">
                  <c:v>8.5495639205618073</c:v>
                </c:pt>
                <c:pt idx="383">
                  <c:v>8.6137487729366455</c:v>
                </c:pt>
                <c:pt idx="384">
                  <c:v>8.6779336253114856</c:v>
                </c:pt>
                <c:pt idx="385">
                  <c:v>8.7423544514082909</c:v>
                </c:pt>
                <c:pt idx="386">
                  <c:v>8.8065393037831292</c:v>
                </c:pt>
                <c:pt idx="387">
                  <c:v>8.8747357094313966</c:v>
                </c:pt>
                <c:pt idx="388">
                  <c:v>8.9389205618062366</c:v>
                </c:pt>
                <c:pt idx="389">
                  <c:v>9.0031054141810767</c:v>
                </c:pt>
                <c:pt idx="390">
                  <c:v>9.0672902665559167</c:v>
                </c:pt>
                <c:pt idx="391">
                  <c:v>9.1354866722041841</c:v>
                </c:pt>
                <c:pt idx="392">
                  <c:v>9.1999074983009894</c:v>
                </c:pt>
                <c:pt idx="393">
                  <c:v>9.2640923506758295</c:v>
                </c:pt>
                <c:pt idx="394">
                  <c:v>9.3443234161443787</c:v>
                </c:pt>
                <c:pt idx="395">
                  <c:v>9.4245544816129279</c:v>
                </c:pt>
                <c:pt idx="396">
                  <c:v>9.5047855470814788</c:v>
                </c:pt>
                <c:pt idx="397">
                  <c:v>9.5852525862719915</c:v>
                </c:pt>
                <c:pt idx="398">
                  <c:v>9.6654836517405442</c:v>
                </c:pt>
                <c:pt idx="399">
                  <c:v>9.7457147172090917</c:v>
                </c:pt>
                <c:pt idx="400">
                  <c:v>9.8259457826776408</c:v>
                </c:pt>
                <c:pt idx="401">
                  <c:v>9.90617684814619</c:v>
                </c:pt>
                <c:pt idx="402">
                  <c:v>9.9906554406101336</c:v>
                </c:pt>
                <c:pt idx="403">
                  <c:v>10.070886506078683</c:v>
                </c:pt>
                <c:pt idx="404">
                  <c:v>10.151117571547232</c:v>
                </c:pt>
                <c:pt idx="405">
                  <c:v>10.231348637015783</c:v>
                </c:pt>
                <c:pt idx="406">
                  <c:v>10.311579702484332</c:v>
                </c:pt>
                <c:pt idx="407">
                  <c:v>10.396058294948274</c:v>
                </c:pt>
                <c:pt idx="408">
                  <c:v>10.476289360416825</c:v>
                </c:pt>
                <c:pt idx="409">
                  <c:v>10.560531979158799</c:v>
                </c:pt>
                <c:pt idx="410">
                  <c:v>10.644774597900778</c:v>
                </c:pt>
                <c:pt idx="411">
                  <c:v>10.725005663369327</c:v>
                </c:pt>
                <c:pt idx="412">
                  <c:v>10.80948425583327</c:v>
                </c:pt>
                <c:pt idx="413">
                  <c:v>10.893726874575247</c:v>
                </c:pt>
                <c:pt idx="414">
                  <c:v>10.977969493317225</c:v>
                </c:pt>
                <c:pt idx="415">
                  <c:v>11.062212112059202</c:v>
                </c:pt>
                <c:pt idx="416">
                  <c:v>11.146454730801178</c:v>
                </c:pt>
                <c:pt idx="417">
                  <c:v>11.234944876538549</c:v>
                </c:pt>
                <c:pt idx="418">
                  <c:v>11.319187495280527</c:v>
                </c:pt>
                <c:pt idx="419">
                  <c:v>11.407441667295931</c:v>
                </c:pt>
                <c:pt idx="420">
                  <c:v>11.507730499131618</c:v>
                </c:pt>
                <c:pt idx="421">
                  <c:v>11.596220644868989</c:v>
                </c:pt>
                <c:pt idx="422">
                  <c:v>11.684474816884393</c:v>
                </c:pt>
                <c:pt idx="423">
                  <c:v>11.772728988899795</c:v>
                </c:pt>
                <c:pt idx="424">
                  <c:v>11.8609831609152</c:v>
                </c:pt>
                <c:pt idx="425">
                  <c:v>11.949237332930606</c:v>
                </c:pt>
                <c:pt idx="426">
                  <c:v>12.037727478667977</c:v>
                </c:pt>
                <c:pt idx="427">
                  <c:v>12.12598165068338</c:v>
                </c:pt>
                <c:pt idx="428">
                  <c:v>12.218247375972211</c:v>
                </c:pt>
                <c:pt idx="429">
                  <c:v>12.306501547987615</c:v>
                </c:pt>
                <c:pt idx="430">
                  <c:v>12.394991693724986</c:v>
                </c:pt>
                <c:pt idx="431">
                  <c:v>12.50330363210753</c:v>
                </c:pt>
                <c:pt idx="432">
                  <c:v>12.607604017216643</c:v>
                </c:pt>
                <c:pt idx="433">
                  <c:v>12.711904402325759</c:v>
                </c:pt>
                <c:pt idx="434">
                  <c:v>12.816440761156839</c:v>
                </c:pt>
                <c:pt idx="435">
                  <c:v>12.920741146265952</c:v>
                </c:pt>
                <c:pt idx="436">
                  <c:v>13.021029978101637</c:v>
                </c:pt>
                <c:pt idx="437">
                  <c:v>13.125330363210754</c:v>
                </c:pt>
                <c:pt idx="438">
                  <c:v>13.229866722041834</c:v>
                </c:pt>
                <c:pt idx="439">
                  <c:v>13.330155553877519</c:v>
                </c:pt>
                <c:pt idx="440">
                  <c:v>13.430444385713207</c:v>
                </c:pt>
                <c:pt idx="441">
                  <c:v>13.534744770822321</c:v>
                </c:pt>
                <c:pt idx="442">
                  <c:v>13.639281129653401</c:v>
                </c:pt>
                <c:pt idx="443">
                  <c:v>13.743581514762516</c:v>
                </c:pt>
                <c:pt idx="444">
                  <c:v>13.847881899871631</c:v>
                </c:pt>
                <c:pt idx="445">
                  <c:v>13.956193838254171</c:v>
                </c:pt>
                <c:pt idx="446">
                  <c:v>14.060730197085254</c:v>
                </c:pt>
                <c:pt idx="447">
                  <c:v>14.169042135467796</c:v>
                </c:pt>
                <c:pt idx="448">
                  <c:v>14.273342520576909</c:v>
                </c:pt>
                <c:pt idx="449">
                  <c:v>14.381654458959451</c:v>
                </c:pt>
                <c:pt idx="450">
                  <c:v>14.486190817790531</c:v>
                </c:pt>
                <c:pt idx="451">
                  <c:v>14.610548969266782</c:v>
                </c:pt>
                <c:pt idx="452">
                  <c:v>14.734907120743033</c:v>
                </c:pt>
                <c:pt idx="453">
                  <c:v>14.855489692667824</c:v>
                </c:pt>
                <c:pt idx="454">
                  <c:v>14.979847844144077</c:v>
                </c:pt>
                <c:pt idx="455">
                  <c:v>15.100194442346901</c:v>
                </c:pt>
                <c:pt idx="456">
                  <c:v>15.220541040549726</c:v>
                </c:pt>
                <c:pt idx="457">
                  <c:v>15.341123612474515</c:v>
                </c:pt>
                <c:pt idx="458">
                  <c:v>15.461470210677341</c:v>
                </c:pt>
                <c:pt idx="459">
                  <c:v>15.585828362153592</c:v>
                </c:pt>
                <c:pt idx="460">
                  <c:v>15.710422487351808</c:v>
                </c:pt>
                <c:pt idx="461">
                  <c:v>15.83879219210149</c:v>
                </c:pt>
                <c:pt idx="462">
                  <c:v>15.971173450124596</c:v>
                </c:pt>
                <c:pt idx="463">
                  <c:v>16.099779128596239</c:v>
                </c:pt>
                <c:pt idx="464">
                  <c:v>16.22413728007249</c:v>
                </c:pt>
                <c:pt idx="465">
                  <c:v>16.348495431548741</c:v>
                </c:pt>
                <c:pt idx="466">
                  <c:v>16.477101110020389</c:v>
                </c:pt>
                <c:pt idx="467">
                  <c:v>16.609482368043494</c:v>
                </c:pt>
                <c:pt idx="468">
                  <c:v>16.737852072793174</c:v>
                </c:pt>
                <c:pt idx="469">
                  <c:v>16.866457751264818</c:v>
                </c:pt>
                <c:pt idx="470">
                  <c:v>16.998839009287927</c:v>
                </c:pt>
                <c:pt idx="471">
                  <c:v>17.127208714037604</c:v>
                </c:pt>
                <c:pt idx="472">
                  <c:v>17.255578418787287</c:v>
                </c:pt>
                <c:pt idx="473">
                  <c:v>17.384184097258927</c:v>
                </c:pt>
                <c:pt idx="474">
                  <c:v>17.512553802008611</c:v>
                </c:pt>
                <c:pt idx="475">
                  <c:v>17.656969719851997</c:v>
                </c:pt>
                <c:pt idx="476">
                  <c:v>17.805633164690779</c:v>
                </c:pt>
                <c:pt idx="477">
                  <c:v>17.950049082534168</c:v>
                </c:pt>
                <c:pt idx="478">
                  <c:v>18.098712527372953</c:v>
                </c:pt>
                <c:pt idx="479">
                  <c:v>18.243128445216342</c:v>
                </c:pt>
                <c:pt idx="480">
                  <c:v>18.391555916333157</c:v>
                </c:pt>
                <c:pt idx="481">
                  <c:v>18.536207807898514</c:v>
                </c:pt>
                <c:pt idx="482">
                  <c:v>18.680623725741899</c:v>
                </c:pt>
                <c:pt idx="483">
                  <c:v>18.829051196858714</c:v>
                </c:pt>
                <c:pt idx="484">
                  <c:v>18.97370308842407</c:v>
                </c:pt>
                <c:pt idx="485">
                  <c:v>19.122130559540889</c:v>
                </c:pt>
                <c:pt idx="486">
                  <c:v>19.270558030657703</c:v>
                </c:pt>
                <c:pt idx="487">
                  <c:v>19.41520992222306</c:v>
                </c:pt>
                <c:pt idx="488">
                  <c:v>19.563637393339874</c:v>
                </c:pt>
                <c:pt idx="489">
                  <c:v>19.724335497998943</c:v>
                </c:pt>
                <c:pt idx="490">
                  <c:v>19.884797628936042</c:v>
                </c:pt>
                <c:pt idx="491">
                  <c:v>20.037236653326286</c:v>
                </c:pt>
                <c:pt idx="492">
                  <c:v>20.201946311258776</c:v>
                </c:pt>
                <c:pt idx="493">
                  <c:v>20.366419995469304</c:v>
                </c:pt>
                <c:pt idx="494">
                  <c:v>20.531129653401795</c:v>
                </c:pt>
                <c:pt idx="495">
                  <c:v>20.691591784338897</c:v>
                </c:pt>
                <c:pt idx="496">
                  <c:v>20.856065468549424</c:v>
                </c:pt>
                <c:pt idx="497">
                  <c:v>21.020775126481912</c:v>
                </c:pt>
                <c:pt idx="498">
                  <c:v>21.185248810692439</c:v>
                </c:pt>
                <c:pt idx="499">
                  <c:v>21.349958468624934</c:v>
                </c:pt>
                <c:pt idx="500">
                  <c:v>21.518443706108886</c:v>
                </c:pt>
                <c:pt idx="501">
                  <c:v>21.690940496866272</c:v>
                </c:pt>
                <c:pt idx="502">
                  <c:v>21.859661708072188</c:v>
                </c:pt>
                <c:pt idx="503">
                  <c:v>22.028146945556145</c:v>
                </c:pt>
                <c:pt idx="504">
                  <c:v>22.196868156762065</c:v>
                </c:pt>
                <c:pt idx="505">
                  <c:v>22.369364947519443</c:v>
                </c:pt>
                <c:pt idx="506">
                  <c:v>22.541861738276825</c:v>
                </c:pt>
                <c:pt idx="507">
                  <c:v>22.710582949482745</c:v>
                </c:pt>
                <c:pt idx="508">
                  <c:v>22.899125953333836</c:v>
                </c:pt>
                <c:pt idx="509">
                  <c:v>23.075870271086611</c:v>
                </c:pt>
                <c:pt idx="510">
                  <c:v>23.268424828211128</c:v>
                </c:pt>
                <c:pt idx="511">
                  <c:v>23.445169145963902</c:v>
                </c:pt>
                <c:pt idx="512">
                  <c:v>23.620969568828816</c:v>
                </c:pt>
                <c:pt idx="513">
                  <c:v>23.797949860303557</c:v>
                </c:pt>
                <c:pt idx="514">
                  <c:v>23.986728837876615</c:v>
                </c:pt>
                <c:pt idx="515">
                  <c:v>24.180227289889</c:v>
                </c:pt>
                <c:pt idx="516">
                  <c:v>24.371366004681718</c:v>
                </c:pt>
                <c:pt idx="517">
                  <c:v>24.564864456694103</c:v>
                </c:pt>
                <c:pt idx="518">
                  <c:v>24.758362908706491</c:v>
                </c:pt>
                <c:pt idx="519">
                  <c:v>24.949501623499206</c:v>
                </c:pt>
                <c:pt idx="520">
                  <c:v>25.159518236049234</c:v>
                </c:pt>
                <c:pt idx="521">
                  <c:v>25.364815374159935</c:v>
                </c:pt>
                <c:pt idx="522">
                  <c:v>25.567752775050973</c:v>
                </c:pt>
                <c:pt idx="523">
                  <c:v>25.768330438722344</c:v>
                </c:pt>
                <c:pt idx="524">
                  <c:v>25.973627576833046</c:v>
                </c:pt>
                <c:pt idx="525">
                  <c:v>26.183644189383067</c:v>
                </c:pt>
                <c:pt idx="526">
                  <c:v>26.386581590274112</c:v>
                </c:pt>
                <c:pt idx="527">
                  <c:v>26.596598202824129</c:v>
                </c:pt>
                <c:pt idx="528">
                  <c:v>26.799535603715171</c:v>
                </c:pt>
                <c:pt idx="529">
                  <c:v>27.021350902363512</c:v>
                </c:pt>
                <c:pt idx="530">
                  <c:v>27.23136751491354</c:v>
                </c:pt>
                <c:pt idx="531">
                  <c:v>27.450823076342218</c:v>
                </c:pt>
                <c:pt idx="532">
                  <c:v>27.660839688892246</c:v>
                </c:pt>
                <c:pt idx="533">
                  <c:v>27.868496564222607</c:v>
                </c:pt>
                <c:pt idx="534">
                  <c:v>28.102110548969268</c:v>
                </c:pt>
                <c:pt idx="535">
                  <c:v>28.333364796496266</c:v>
                </c:pt>
                <c:pt idx="536">
                  <c:v>28.5622593068036</c:v>
                </c:pt>
                <c:pt idx="537">
                  <c:v>28.795873291550251</c:v>
                </c:pt>
                <c:pt idx="538">
                  <c:v>29.031847013516575</c:v>
                </c:pt>
                <c:pt idx="539">
                  <c:v>29.270180472702563</c:v>
                </c:pt>
                <c:pt idx="540">
                  <c:v>29.494355508570568</c:v>
                </c:pt>
                <c:pt idx="541">
                  <c:v>29.730329230536888</c:v>
                </c:pt>
                <c:pt idx="542">
                  <c:v>29.968662689722873</c:v>
                </c:pt>
                <c:pt idx="543">
                  <c:v>30.204636411689197</c:v>
                </c:pt>
                <c:pt idx="544">
                  <c:v>30.440610133655518</c:v>
                </c:pt>
                <c:pt idx="545">
                  <c:v>30.678943592841499</c:v>
                </c:pt>
                <c:pt idx="546">
                  <c:v>30.910197840368497</c:v>
                </c:pt>
                <c:pt idx="547">
                  <c:v>31.162689722872457</c:v>
                </c:pt>
                <c:pt idx="548">
                  <c:v>31.412821868156765</c:v>
                </c:pt>
                <c:pt idx="549">
                  <c:v>31.665313750660729</c:v>
                </c:pt>
                <c:pt idx="550">
                  <c:v>31.91780563316469</c:v>
                </c:pt>
                <c:pt idx="551">
                  <c:v>32.170297515668658</c:v>
                </c:pt>
                <c:pt idx="552">
                  <c:v>32.425149135392282</c:v>
                </c:pt>
                <c:pt idx="553">
                  <c:v>32.677641017896249</c:v>
                </c:pt>
                <c:pt idx="554">
                  <c:v>32.930132900400217</c:v>
                </c:pt>
                <c:pt idx="555">
                  <c:v>33.199142943441821</c:v>
                </c:pt>
                <c:pt idx="556">
                  <c:v>33.468152986483425</c:v>
                </c:pt>
                <c:pt idx="557">
                  <c:v>33.732443555085702</c:v>
                </c:pt>
                <c:pt idx="558">
                  <c:v>33.996734123687993</c:v>
                </c:pt>
                <c:pt idx="559">
                  <c:v>34.26574416672959</c:v>
                </c:pt>
                <c:pt idx="560">
                  <c:v>34.539473684210535</c:v>
                </c:pt>
                <c:pt idx="561">
                  <c:v>34.813203201691458</c:v>
                </c:pt>
                <c:pt idx="562">
                  <c:v>35.082213244733069</c:v>
                </c:pt>
                <c:pt idx="563">
                  <c:v>35.353583024994336</c:v>
                </c:pt>
                <c:pt idx="564">
                  <c:v>35.6320320169146</c:v>
                </c:pt>
                <c:pt idx="565">
                  <c:v>35.903401797175867</c:v>
                </c:pt>
                <c:pt idx="566">
                  <c:v>36.181850789096124</c:v>
                </c:pt>
                <c:pt idx="567">
                  <c:v>36.462659518236052</c:v>
                </c:pt>
                <c:pt idx="568">
                  <c:v>36.759986407913615</c:v>
                </c:pt>
                <c:pt idx="569">
                  <c:v>37.052593823151859</c:v>
                </c:pt>
                <c:pt idx="570">
                  <c:v>37.34048176395077</c:v>
                </c:pt>
                <c:pt idx="571">
                  <c:v>37.64252812806766</c:v>
                </c:pt>
                <c:pt idx="572">
                  <c:v>37.939855017745224</c:v>
                </c:pt>
                <c:pt idx="573">
                  <c:v>38.237181907422794</c:v>
                </c:pt>
                <c:pt idx="574">
                  <c:v>38.532149059880695</c:v>
                </c:pt>
                <c:pt idx="575">
                  <c:v>38.834195423997592</c:v>
                </c:pt>
                <c:pt idx="576">
                  <c:v>39.136241788114475</c:v>
                </c:pt>
                <c:pt idx="577">
                  <c:v>39.452446575549352</c:v>
                </c:pt>
                <c:pt idx="578">
                  <c:v>39.766291625764559</c:v>
                </c:pt>
                <c:pt idx="579">
                  <c:v>40.077776938760103</c:v>
                </c:pt>
                <c:pt idx="580">
                  <c:v>40.391621988975309</c:v>
                </c:pt>
                <c:pt idx="581">
                  <c:v>40.712546250849506</c:v>
                </c:pt>
                <c:pt idx="582">
                  <c:v>41.03818998716303</c:v>
                </c:pt>
                <c:pt idx="583">
                  <c:v>41.3543947745979</c:v>
                </c:pt>
                <c:pt idx="584">
                  <c:v>41.68003851091143</c:v>
                </c:pt>
                <c:pt idx="585">
                  <c:v>42.005682247224946</c:v>
                </c:pt>
                <c:pt idx="586">
                  <c:v>42.343124669636794</c:v>
                </c:pt>
                <c:pt idx="587">
                  <c:v>42.675847617609307</c:v>
                </c:pt>
                <c:pt idx="588">
                  <c:v>43.008570565581813</c:v>
                </c:pt>
                <c:pt idx="589">
                  <c:v>43.338933776334663</c:v>
                </c:pt>
                <c:pt idx="590">
                  <c:v>43.6834554104055</c:v>
                </c:pt>
                <c:pt idx="591">
                  <c:v>44.02089783281734</c:v>
                </c:pt>
                <c:pt idx="592">
                  <c:v>44.370138941327497</c:v>
                </c:pt>
                <c:pt idx="593">
                  <c:v>44.714660575398327</c:v>
                </c:pt>
                <c:pt idx="594">
                  <c:v>45.063901683908483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D-4F53-B233-B522D9974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338159"/>
        <c:axId val="669343919"/>
      </c:lineChart>
      <c:catAx>
        <c:axId val="6693381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343919"/>
        <c:crosses val="autoZero"/>
        <c:auto val="1"/>
        <c:lblAlgn val="ctr"/>
        <c:lblOffset val="100"/>
        <c:noMultiLvlLbl val="0"/>
      </c:catAx>
      <c:valAx>
        <c:axId val="6693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933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Tensão X Deformação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A21-1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'A21-3'!$C$2:$C$666</c:f>
              <c:numCache>
                <c:formatCode>0.00</c:formatCode>
                <c:ptCount val="665"/>
                <c:pt idx="0">
                  <c:v>0</c:v>
                </c:pt>
                <c:pt idx="1">
                  <c:v>1.16732E-2</c:v>
                </c:pt>
                <c:pt idx="2">
                  <c:v>1.1782999999999998E-2</c:v>
                </c:pt>
                <c:pt idx="3">
                  <c:v>1.18946E-2</c:v>
                </c:pt>
                <c:pt idx="4">
                  <c:v>1.2006399999999999E-2</c:v>
                </c:pt>
                <c:pt idx="5">
                  <c:v>1.2118E-2</c:v>
                </c:pt>
                <c:pt idx="6">
                  <c:v>1.22278E-2</c:v>
                </c:pt>
                <c:pt idx="7">
                  <c:v>1.23394E-2</c:v>
                </c:pt>
                <c:pt idx="8">
                  <c:v>1.2451200000000001E-2</c:v>
                </c:pt>
                <c:pt idx="9">
                  <c:v>1.2560999999999999E-2</c:v>
                </c:pt>
                <c:pt idx="10">
                  <c:v>1.2670799999999999E-2</c:v>
                </c:pt>
                <c:pt idx="11">
                  <c:v>1.2782400000000001E-2</c:v>
                </c:pt>
                <c:pt idx="12">
                  <c:v>1.28942E-2</c:v>
                </c:pt>
                <c:pt idx="13">
                  <c:v>1.3005800000000001E-2</c:v>
                </c:pt>
                <c:pt idx="14">
                  <c:v>1.31174E-2</c:v>
                </c:pt>
                <c:pt idx="15">
                  <c:v>1.32272E-2</c:v>
                </c:pt>
                <c:pt idx="16">
                  <c:v>1.3339E-2</c:v>
                </c:pt>
                <c:pt idx="17">
                  <c:v>1.34506E-2</c:v>
                </c:pt>
                <c:pt idx="18">
                  <c:v>1.35622E-2</c:v>
                </c:pt>
                <c:pt idx="19">
                  <c:v>1.3672E-2</c:v>
                </c:pt>
                <c:pt idx="20">
                  <c:v>1.3783799999999999E-2</c:v>
                </c:pt>
                <c:pt idx="21">
                  <c:v>1.38954E-2</c:v>
                </c:pt>
                <c:pt idx="22">
                  <c:v>1.4005200000000001E-2</c:v>
                </c:pt>
                <c:pt idx="23">
                  <c:v>1.4116800000000001E-2</c:v>
                </c:pt>
                <c:pt idx="24">
                  <c:v>1.42268E-2</c:v>
                </c:pt>
                <c:pt idx="25">
                  <c:v>1.4338399999999999E-2</c:v>
                </c:pt>
                <c:pt idx="26">
                  <c:v>1.4450000000000001E-2</c:v>
                </c:pt>
                <c:pt idx="27">
                  <c:v>1.4589600000000001E-2</c:v>
                </c:pt>
                <c:pt idx="28">
                  <c:v>1.47292E-2</c:v>
                </c:pt>
                <c:pt idx="29">
                  <c:v>1.4866999999999998E-2</c:v>
                </c:pt>
                <c:pt idx="30">
                  <c:v>1.50046E-2</c:v>
                </c:pt>
                <c:pt idx="31">
                  <c:v>1.5144200000000002E-2</c:v>
                </c:pt>
                <c:pt idx="32">
                  <c:v>1.5282E-2</c:v>
                </c:pt>
                <c:pt idx="33">
                  <c:v>1.54234E-2</c:v>
                </c:pt>
                <c:pt idx="34">
                  <c:v>1.5561199999999999E-2</c:v>
                </c:pt>
                <c:pt idx="35">
                  <c:v>1.5700800000000001E-2</c:v>
                </c:pt>
                <c:pt idx="36">
                  <c:v>1.5838399999999999E-2</c:v>
                </c:pt>
                <c:pt idx="37">
                  <c:v>1.5978000000000003E-2</c:v>
                </c:pt>
                <c:pt idx="38">
                  <c:v>1.61158E-2</c:v>
                </c:pt>
                <c:pt idx="39">
                  <c:v>1.62554E-2</c:v>
                </c:pt>
                <c:pt idx="40">
                  <c:v>1.6393000000000001E-2</c:v>
                </c:pt>
                <c:pt idx="41">
                  <c:v>1.6532599999999998E-2</c:v>
                </c:pt>
                <c:pt idx="42">
                  <c:v>1.6672199999999998E-2</c:v>
                </c:pt>
                <c:pt idx="43">
                  <c:v>1.6810000000000002E-2</c:v>
                </c:pt>
                <c:pt idx="44">
                  <c:v>1.6949599999999999E-2</c:v>
                </c:pt>
                <c:pt idx="45">
                  <c:v>1.7089199999999999E-2</c:v>
                </c:pt>
                <c:pt idx="46">
                  <c:v>1.72268E-2</c:v>
                </c:pt>
                <c:pt idx="47">
                  <c:v>1.7366400000000001E-2</c:v>
                </c:pt>
                <c:pt idx="48">
                  <c:v>1.7506000000000001E-2</c:v>
                </c:pt>
                <c:pt idx="49">
                  <c:v>1.7643800000000001E-2</c:v>
                </c:pt>
                <c:pt idx="50">
                  <c:v>1.7783400000000001E-2</c:v>
                </c:pt>
                <c:pt idx="51">
                  <c:v>1.7923000000000001E-2</c:v>
                </c:pt>
                <c:pt idx="52">
                  <c:v>1.80886E-2</c:v>
                </c:pt>
                <c:pt idx="53">
                  <c:v>1.82282E-2</c:v>
                </c:pt>
                <c:pt idx="54">
                  <c:v>1.83958E-2</c:v>
                </c:pt>
                <c:pt idx="55">
                  <c:v>1.8561399999999999E-2</c:v>
                </c:pt>
                <c:pt idx="56">
                  <c:v>1.8727000000000001E-2</c:v>
                </c:pt>
                <c:pt idx="57">
                  <c:v>1.8892599999999999E-2</c:v>
                </c:pt>
                <c:pt idx="58">
                  <c:v>1.9061999999999999E-2</c:v>
                </c:pt>
                <c:pt idx="59">
                  <c:v>1.9227600000000001E-2</c:v>
                </c:pt>
                <c:pt idx="60">
                  <c:v>1.9395199999999998E-2</c:v>
                </c:pt>
                <c:pt idx="61">
                  <c:v>1.95608E-2</c:v>
                </c:pt>
                <c:pt idx="62">
                  <c:v>1.9728200000000001E-2</c:v>
                </c:pt>
                <c:pt idx="63">
                  <c:v>1.9895799999999998E-2</c:v>
                </c:pt>
                <c:pt idx="64">
                  <c:v>2.0062000000000003E-2</c:v>
                </c:pt>
                <c:pt idx="65">
                  <c:v>2.0228000000000003E-2</c:v>
                </c:pt>
                <c:pt idx="66">
                  <c:v>2.0394000000000002E-2</c:v>
                </c:pt>
                <c:pt idx="67">
                  <c:v>2.0560000000000002E-2</c:v>
                </c:pt>
                <c:pt idx="68">
                  <c:v>2.0728E-2</c:v>
                </c:pt>
                <c:pt idx="69">
                  <c:v>2.0895999999999998E-2</c:v>
                </c:pt>
                <c:pt idx="70">
                  <c:v>2.1059999999999999E-2</c:v>
                </c:pt>
                <c:pt idx="71">
                  <c:v>2.1227999999999997E-2</c:v>
                </c:pt>
                <c:pt idx="72">
                  <c:v>2.1396000000000002E-2</c:v>
                </c:pt>
                <c:pt idx="73">
                  <c:v>2.1589999999999998E-2</c:v>
                </c:pt>
                <c:pt idx="74">
                  <c:v>2.1783999999999998E-2</c:v>
                </c:pt>
                <c:pt idx="75">
                  <c:v>2.1975999999999999E-2</c:v>
                </c:pt>
                <c:pt idx="76">
                  <c:v>2.2173999999999999E-2</c:v>
                </c:pt>
                <c:pt idx="77">
                  <c:v>2.2368000000000002E-2</c:v>
                </c:pt>
                <c:pt idx="78">
                  <c:v>2.2559999999999997E-2</c:v>
                </c:pt>
                <c:pt idx="79">
                  <c:v>2.2755999999999998E-2</c:v>
                </c:pt>
                <c:pt idx="80">
                  <c:v>2.2949999999999998E-2</c:v>
                </c:pt>
                <c:pt idx="81">
                  <c:v>2.3146E-2</c:v>
                </c:pt>
                <c:pt idx="82">
                  <c:v>2.3338000000000001E-2</c:v>
                </c:pt>
                <c:pt idx="83">
                  <c:v>2.3532000000000001E-2</c:v>
                </c:pt>
                <c:pt idx="84">
                  <c:v>2.3727999999999999E-2</c:v>
                </c:pt>
                <c:pt idx="85">
                  <c:v>2.3923999999999997E-2</c:v>
                </c:pt>
                <c:pt idx="86">
                  <c:v>2.4115999999999999E-2</c:v>
                </c:pt>
                <c:pt idx="87">
                  <c:v>2.4310000000000002E-2</c:v>
                </c:pt>
                <c:pt idx="88">
                  <c:v>2.4506E-2</c:v>
                </c:pt>
                <c:pt idx="89">
                  <c:v>2.4700000000000003E-2</c:v>
                </c:pt>
                <c:pt idx="90">
                  <c:v>2.4893999999999999E-2</c:v>
                </c:pt>
                <c:pt idx="91">
                  <c:v>2.5087999999999999E-2</c:v>
                </c:pt>
                <c:pt idx="92">
                  <c:v>2.5312000000000001E-2</c:v>
                </c:pt>
                <c:pt idx="93">
                  <c:v>2.5533999999999998E-2</c:v>
                </c:pt>
                <c:pt idx="94">
                  <c:v>2.5756000000000001E-2</c:v>
                </c:pt>
                <c:pt idx="95">
                  <c:v>2.5977999999999998E-2</c:v>
                </c:pt>
                <c:pt idx="96">
                  <c:v>2.6200000000000001E-2</c:v>
                </c:pt>
                <c:pt idx="97">
                  <c:v>2.6421999999999998E-2</c:v>
                </c:pt>
                <c:pt idx="98">
                  <c:v>2.6642000000000002E-2</c:v>
                </c:pt>
                <c:pt idx="99">
                  <c:v>2.6868E-2</c:v>
                </c:pt>
                <c:pt idx="100">
                  <c:v>2.7089999999999999E-2</c:v>
                </c:pt>
                <c:pt idx="101">
                  <c:v>2.7311999999999999E-2</c:v>
                </c:pt>
                <c:pt idx="102">
                  <c:v>2.7533999999999999E-2</c:v>
                </c:pt>
                <c:pt idx="103">
                  <c:v>2.7755999999999999E-2</c:v>
                </c:pt>
                <c:pt idx="104">
                  <c:v>2.7976000000000001E-2</c:v>
                </c:pt>
                <c:pt idx="105">
                  <c:v>2.8197999999999997E-2</c:v>
                </c:pt>
                <c:pt idx="106">
                  <c:v>2.8421999999999999E-2</c:v>
                </c:pt>
                <c:pt idx="107">
                  <c:v>2.8645999999999998E-2</c:v>
                </c:pt>
                <c:pt idx="108">
                  <c:v>2.8868000000000001E-2</c:v>
                </c:pt>
                <c:pt idx="109">
                  <c:v>2.9116E-2</c:v>
                </c:pt>
                <c:pt idx="110">
                  <c:v>2.9367999999999998E-2</c:v>
                </c:pt>
                <c:pt idx="111">
                  <c:v>2.9618000000000002E-2</c:v>
                </c:pt>
                <c:pt idx="112">
                  <c:v>2.9866E-2</c:v>
                </c:pt>
                <c:pt idx="113">
                  <c:v>3.0117999999999999E-2</c:v>
                </c:pt>
                <c:pt idx="114">
                  <c:v>3.0363999999999999E-2</c:v>
                </c:pt>
                <c:pt idx="115">
                  <c:v>3.0617999999999999E-2</c:v>
                </c:pt>
                <c:pt idx="116">
                  <c:v>3.0868000000000003E-2</c:v>
                </c:pt>
                <c:pt idx="117">
                  <c:v>3.1116000000000001E-2</c:v>
                </c:pt>
                <c:pt idx="118">
                  <c:v>3.1368E-2</c:v>
                </c:pt>
                <c:pt idx="119">
                  <c:v>3.1615999999999998E-2</c:v>
                </c:pt>
                <c:pt idx="120">
                  <c:v>3.1865999999999998E-2</c:v>
                </c:pt>
                <c:pt idx="121">
                  <c:v>3.2115999999999999E-2</c:v>
                </c:pt>
                <c:pt idx="122">
                  <c:v>3.2368000000000001E-2</c:v>
                </c:pt>
                <c:pt idx="123">
                  <c:v>3.2643999999999999E-2</c:v>
                </c:pt>
                <c:pt idx="124">
                  <c:v>3.2922E-2</c:v>
                </c:pt>
                <c:pt idx="125">
                  <c:v>3.3201999999999995E-2</c:v>
                </c:pt>
                <c:pt idx="126">
                  <c:v>3.3475999999999999E-2</c:v>
                </c:pt>
                <c:pt idx="127">
                  <c:v>3.3756000000000001E-2</c:v>
                </c:pt>
                <c:pt idx="128">
                  <c:v>3.4034000000000002E-2</c:v>
                </c:pt>
                <c:pt idx="129">
                  <c:v>3.4312000000000002E-2</c:v>
                </c:pt>
                <c:pt idx="130">
                  <c:v>3.4588000000000001E-2</c:v>
                </c:pt>
                <c:pt idx="131">
                  <c:v>3.4866000000000001E-2</c:v>
                </c:pt>
                <c:pt idx="132">
                  <c:v>3.5144000000000002E-2</c:v>
                </c:pt>
                <c:pt idx="133">
                  <c:v>3.5421999999999995E-2</c:v>
                </c:pt>
                <c:pt idx="134">
                  <c:v>3.5699999999999996E-2</c:v>
                </c:pt>
                <c:pt idx="135">
                  <c:v>3.5977999999999996E-2</c:v>
                </c:pt>
                <c:pt idx="136">
                  <c:v>3.6284000000000004E-2</c:v>
                </c:pt>
                <c:pt idx="137">
                  <c:v>3.6587999999999996E-2</c:v>
                </c:pt>
                <c:pt idx="138">
                  <c:v>3.6894000000000003E-2</c:v>
                </c:pt>
                <c:pt idx="139">
                  <c:v>3.7200000000000004E-2</c:v>
                </c:pt>
                <c:pt idx="140">
                  <c:v>3.7504000000000003E-2</c:v>
                </c:pt>
                <c:pt idx="141">
                  <c:v>3.7810000000000003E-2</c:v>
                </c:pt>
                <c:pt idx="142">
                  <c:v>3.8114000000000002E-2</c:v>
                </c:pt>
                <c:pt idx="143">
                  <c:v>3.8420000000000003E-2</c:v>
                </c:pt>
                <c:pt idx="144">
                  <c:v>3.8727999999999999E-2</c:v>
                </c:pt>
                <c:pt idx="145">
                  <c:v>3.9031999999999997E-2</c:v>
                </c:pt>
                <c:pt idx="146">
                  <c:v>3.934E-2</c:v>
                </c:pt>
                <c:pt idx="147">
                  <c:v>3.9670000000000004E-2</c:v>
                </c:pt>
                <c:pt idx="148">
                  <c:v>4.0006000000000007E-2</c:v>
                </c:pt>
                <c:pt idx="149">
                  <c:v>4.0338000000000006E-2</c:v>
                </c:pt>
                <c:pt idx="150">
                  <c:v>4.0674000000000002E-2</c:v>
                </c:pt>
                <c:pt idx="151">
                  <c:v>4.1006000000000001E-2</c:v>
                </c:pt>
                <c:pt idx="152">
                  <c:v>4.1338E-2</c:v>
                </c:pt>
                <c:pt idx="153">
                  <c:v>4.1672000000000001E-2</c:v>
                </c:pt>
                <c:pt idx="154">
                  <c:v>4.2005999999999995E-2</c:v>
                </c:pt>
                <c:pt idx="155">
                  <c:v>4.2340000000000003E-2</c:v>
                </c:pt>
                <c:pt idx="156">
                  <c:v>4.2644000000000001E-2</c:v>
                </c:pt>
                <c:pt idx="157">
                  <c:v>4.2977999999999995E-2</c:v>
                </c:pt>
                <c:pt idx="158">
                  <c:v>4.3311999999999996E-2</c:v>
                </c:pt>
                <c:pt idx="159">
                  <c:v>4.3643999999999995E-2</c:v>
                </c:pt>
                <c:pt idx="160">
                  <c:v>4.3951999999999998E-2</c:v>
                </c:pt>
                <c:pt idx="161">
                  <c:v>4.4172000000000003E-2</c:v>
                </c:pt>
                <c:pt idx="162">
                  <c:v>4.4421999999999996E-2</c:v>
                </c:pt>
                <c:pt idx="163">
                  <c:v>4.4673999999999998E-2</c:v>
                </c:pt>
                <c:pt idx="164">
                  <c:v>4.4893999999999996E-2</c:v>
                </c:pt>
                <c:pt idx="165">
                  <c:v>4.5171999999999997E-2</c:v>
                </c:pt>
                <c:pt idx="166">
                  <c:v>4.5533999999999998E-2</c:v>
                </c:pt>
                <c:pt idx="167">
                  <c:v>4.5838000000000004E-2</c:v>
                </c:pt>
                <c:pt idx="168">
                  <c:v>4.6062000000000006E-2</c:v>
                </c:pt>
                <c:pt idx="169">
                  <c:v>4.6311999999999999E-2</c:v>
                </c:pt>
                <c:pt idx="170">
                  <c:v>4.6561999999999999E-2</c:v>
                </c:pt>
                <c:pt idx="171">
                  <c:v>4.6809999999999997E-2</c:v>
                </c:pt>
                <c:pt idx="172">
                  <c:v>4.7033999999999999E-2</c:v>
                </c:pt>
                <c:pt idx="173">
                  <c:v>4.7284E-2</c:v>
                </c:pt>
                <c:pt idx="174">
                  <c:v>4.7477999999999999E-2</c:v>
                </c:pt>
                <c:pt idx="175">
                  <c:v>4.7699999999999992E-2</c:v>
                </c:pt>
                <c:pt idx="176">
                  <c:v>4.7923999999999994E-2</c:v>
                </c:pt>
                <c:pt idx="177">
                  <c:v>4.8143999999999999E-2</c:v>
                </c:pt>
                <c:pt idx="178">
                  <c:v>4.8365999999999999E-2</c:v>
                </c:pt>
                <c:pt idx="179">
                  <c:v>4.8590000000000001E-2</c:v>
                </c:pt>
                <c:pt idx="180">
                  <c:v>4.8809999999999999E-2</c:v>
                </c:pt>
                <c:pt idx="181">
                  <c:v>4.9006000000000001E-2</c:v>
                </c:pt>
                <c:pt idx="182">
                  <c:v>4.9200000000000001E-2</c:v>
                </c:pt>
                <c:pt idx="183">
                  <c:v>4.9367999999999995E-2</c:v>
                </c:pt>
                <c:pt idx="184">
                  <c:v>4.9560000000000007E-2</c:v>
                </c:pt>
                <c:pt idx="185">
                  <c:v>4.9728000000000001E-2</c:v>
                </c:pt>
                <c:pt idx="186">
                  <c:v>4.9894000000000001E-2</c:v>
                </c:pt>
                <c:pt idx="187">
                  <c:v>5.0061999999999995E-2</c:v>
                </c:pt>
                <c:pt idx="188">
                  <c:v>5.0228000000000002E-2</c:v>
                </c:pt>
                <c:pt idx="189">
                  <c:v>5.0366000000000001E-2</c:v>
                </c:pt>
                <c:pt idx="190">
                  <c:v>5.0532000000000001E-2</c:v>
                </c:pt>
                <c:pt idx="191">
                  <c:v>5.0700000000000002E-2</c:v>
                </c:pt>
                <c:pt idx="192">
                  <c:v>5.0838000000000001E-2</c:v>
                </c:pt>
                <c:pt idx="193">
                  <c:v>5.1006000000000003E-2</c:v>
                </c:pt>
                <c:pt idx="194">
                  <c:v>5.1142E-2</c:v>
                </c:pt>
                <c:pt idx="195">
                  <c:v>5.1310000000000001E-2</c:v>
                </c:pt>
                <c:pt idx="196">
                  <c:v>5.1478000000000003E-2</c:v>
                </c:pt>
                <c:pt idx="197">
                  <c:v>5.1645999999999997E-2</c:v>
                </c:pt>
                <c:pt idx="198">
                  <c:v>5.1840000000000004E-2</c:v>
                </c:pt>
                <c:pt idx="199">
                  <c:v>5.2005999999999997E-2</c:v>
                </c:pt>
                <c:pt idx="200">
                  <c:v>5.2172000000000003E-2</c:v>
                </c:pt>
                <c:pt idx="201">
                  <c:v>5.2339999999999998E-2</c:v>
                </c:pt>
                <c:pt idx="202">
                  <c:v>5.2506000000000004E-2</c:v>
                </c:pt>
                <c:pt idx="203">
                  <c:v>5.2671999999999997E-2</c:v>
                </c:pt>
                <c:pt idx="204">
                  <c:v>5.2809999999999996E-2</c:v>
                </c:pt>
                <c:pt idx="205">
                  <c:v>5.2949999999999997E-2</c:v>
                </c:pt>
                <c:pt idx="206">
                  <c:v>5.3116000000000003E-2</c:v>
                </c:pt>
                <c:pt idx="207">
                  <c:v>5.3284000000000005E-2</c:v>
                </c:pt>
                <c:pt idx="208">
                  <c:v>5.3419999999999995E-2</c:v>
                </c:pt>
                <c:pt idx="209">
                  <c:v>5.3562000000000005E-2</c:v>
                </c:pt>
                <c:pt idx="210">
                  <c:v>5.3699999999999998E-2</c:v>
                </c:pt>
                <c:pt idx="211">
                  <c:v>5.3840000000000006E-2</c:v>
                </c:pt>
                <c:pt idx="212">
                  <c:v>5.398E-2</c:v>
                </c:pt>
                <c:pt idx="213">
                  <c:v>5.4115999999999997E-2</c:v>
                </c:pt>
                <c:pt idx="214">
                  <c:v>5.4253999999999997E-2</c:v>
                </c:pt>
                <c:pt idx="215">
                  <c:v>5.4393999999999998E-2</c:v>
                </c:pt>
                <c:pt idx="216">
                  <c:v>5.4533999999999999E-2</c:v>
                </c:pt>
                <c:pt idx="217">
                  <c:v>5.4671999999999998E-2</c:v>
                </c:pt>
                <c:pt idx="218">
                  <c:v>5.4783999999999999E-2</c:v>
                </c:pt>
                <c:pt idx="219">
                  <c:v>5.4922000000000006E-2</c:v>
                </c:pt>
                <c:pt idx="220">
                  <c:v>5.5060000000000005E-2</c:v>
                </c:pt>
                <c:pt idx="221">
                  <c:v>5.5170000000000004E-2</c:v>
                </c:pt>
                <c:pt idx="222">
                  <c:v>5.5312E-2</c:v>
                </c:pt>
                <c:pt idx="223">
                  <c:v>5.5424000000000001E-2</c:v>
                </c:pt>
                <c:pt idx="224">
                  <c:v>5.5564000000000002E-2</c:v>
                </c:pt>
                <c:pt idx="225">
                  <c:v>5.5671999999999999E-2</c:v>
                </c:pt>
                <c:pt idx="226">
                  <c:v>5.5781999999999998E-2</c:v>
                </c:pt>
                <c:pt idx="227">
                  <c:v>5.5894000000000006E-2</c:v>
                </c:pt>
                <c:pt idx="228">
                  <c:v>5.6034E-2</c:v>
                </c:pt>
                <c:pt idx="229">
                  <c:v>5.6146000000000001E-2</c:v>
                </c:pt>
                <c:pt idx="230">
                  <c:v>5.6256E-2</c:v>
                </c:pt>
                <c:pt idx="231">
                  <c:v>5.6368000000000001E-2</c:v>
                </c:pt>
                <c:pt idx="232">
                  <c:v>5.6478E-2</c:v>
                </c:pt>
                <c:pt idx="233">
                  <c:v>5.6587999999999999E-2</c:v>
                </c:pt>
                <c:pt idx="234">
                  <c:v>5.67E-2</c:v>
                </c:pt>
                <c:pt idx="235">
                  <c:v>5.6811999999999994E-2</c:v>
                </c:pt>
                <c:pt idx="236">
                  <c:v>5.6922E-2</c:v>
                </c:pt>
                <c:pt idx="237">
                  <c:v>5.7005999999999994E-2</c:v>
                </c:pt>
                <c:pt idx="238">
                  <c:v>5.7118000000000002E-2</c:v>
                </c:pt>
                <c:pt idx="239">
                  <c:v>5.7225999999999999E-2</c:v>
                </c:pt>
                <c:pt idx="240">
                  <c:v>5.7337999999999993E-2</c:v>
                </c:pt>
                <c:pt idx="241">
                  <c:v>5.7450000000000001E-2</c:v>
                </c:pt>
                <c:pt idx="242">
                  <c:v>5.7561999999999995E-2</c:v>
                </c:pt>
                <c:pt idx="243">
                  <c:v>5.7644000000000001E-2</c:v>
                </c:pt>
                <c:pt idx="244">
                  <c:v>5.7756000000000002E-2</c:v>
                </c:pt>
                <c:pt idx="245">
                  <c:v>5.7868000000000003E-2</c:v>
                </c:pt>
                <c:pt idx="246">
                  <c:v>5.7976E-2</c:v>
                </c:pt>
                <c:pt idx="247">
                  <c:v>5.806E-2</c:v>
                </c:pt>
                <c:pt idx="248">
                  <c:v>5.8171999999999995E-2</c:v>
                </c:pt>
                <c:pt idx="249">
                  <c:v>5.8282E-2</c:v>
                </c:pt>
                <c:pt idx="250">
                  <c:v>5.8394000000000001E-2</c:v>
                </c:pt>
                <c:pt idx="251">
                  <c:v>5.8478000000000002E-2</c:v>
                </c:pt>
                <c:pt idx="252">
                  <c:v>5.8587999999999994E-2</c:v>
                </c:pt>
                <c:pt idx="253">
                  <c:v>5.8700000000000002E-2</c:v>
                </c:pt>
                <c:pt idx="254">
                  <c:v>5.8810000000000001E-2</c:v>
                </c:pt>
                <c:pt idx="255">
                  <c:v>5.8922000000000002E-2</c:v>
                </c:pt>
                <c:pt idx="256">
                  <c:v>5.9034000000000003E-2</c:v>
                </c:pt>
                <c:pt idx="257">
                  <c:v>5.9146000000000004E-2</c:v>
                </c:pt>
                <c:pt idx="258">
                  <c:v>5.9256000000000003E-2</c:v>
                </c:pt>
                <c:pt idx="259">
                  <c:v>5.9340000000000004E-2</c:v>
                </c:pt>
                <c:pt idx="260">
                  <c:v>5.9451999999999998E-2</c:v>
                </c:pt>
                <c:pt idx="261">
                  <c:v>5.9561999999999997E-2</c:v>
                </c:pt>
                <c:pt idx="262">
                  <c:v>5.9644000000000003E-2</c:v>
                </c:pt>
                <c:pt idx="263">
                  <c:v>5.9756000000000004E-2</c:v>
                </c:pt>
                <c:pt idx="264">
                  <c:v>5.9837999999999995E-2</c:v>
                </c:pt>
                <c:pt idx="265">
                  <c:v>5.9922000000000003E-2</c:v>
                </c:pt>
                <c:pt idx="266">
                  <c:v>6.0006000000000004E-2</c:v>
                </c:pt>
                <c:pt idx="267">
                  <c:v>6.0090000000000005E-2</c:v>
                </c:pt>
                <c:pt idx="268">
                  <c:v>6.0171999999999996E-2</c:v>
                </c:pt>
                <c:pt idx="269">
                  <c:v>6.0282000000000002E-2</c:v>
                </c:pt>
                <c:pt idx="270">
                  <c:v>6.0366000000000003E-2</c:v>
                </c:pt>
                <c:pt idx="271">
                  <c:v>6.0477999999999997E-2</c:v>
                </c:pt>
                <c:pt idx="272">
                  <c:v>6.0560000000000003E-2</c:v>
                </c:pt>
                <c:pt idx="273">
                  <c:v>6.0644000000000003E-2</c:v>
                </c:pt>
                <c:pt idx="274">
                  <c:v>6.0754000000000002E-2</c:v>
                </c:pt>
                <c:pt idx="275">
                  <c:v>6.0865999999999996E-2</c:v>
                </c:pt>
                <c:pt idx="276">
                  <c:v>6.0978000000000004E-2</c:v>
                </c:pt>
                <c:pt idx="277">
                  <c:v>6.1087999999999996E-2</c:v>
                </c:pt>
                <c:pt idx="278">
                  <c:v>6.1200000000000004E-2</c:v>
                </c:pt>
                <c:pt idx="279">
                  <c:v>6.1311999999999998E-2</c:v>
                </c:pt>
                <c:pt idx="280">
                  <c:v>6.1394000000000004E-2</c:v>
                </c:pt>
                <c:pt idx="281">
                  <c:v>6.1505999999999998E-2</c:v>
                </c:pt>
                <c:pt idx="282">
                  <c:v>6.1588000000000004E-2</c:v>
                </c:pt>
                <c:pt idx="283">
                  <c:v>6.1672000000000005E-2</c:v>
                </c:pt>
                <c:pt idx="284">
                  <c:v>6.1758E-2</c:v>
                </c:pt>
                <c:pt idx="285">
                  <c:v>6.1837999999999997E-2</c:v>
                </c:pt>
                <c:pt idx="286">
                  <c:v>6.1921999999999998E-2</c:v>
                </c:pt>
                <c:pt idx="287">
                  <c:v>6.2004000000000004E-2</c:v>
                </c:pt>
                <c:pt idx="288">
                  <c:v>6.2088000000000004E-2</c:v>
                </c:pt>
                <c:pt idx="289">
                  <c:v>6.2171999999999998E-2</c:v>
                </c:pt>
                <c:pt idx="290">
                  <c:v>6.2255999999999999E-2</c:v>
                </c:pt>
                <c:pt idx="291">
                  <c:v>6.234E-2</c:v>
                </c:pt>
                <c:pt idx="292">
                  <c:v>6.2422000000000005E-2</c:v>
                </c:pt>
                <c:pt idx="293">
                  <c:v>6.2506000000000006E-2</c:v>
                </c:pt>
                <c:pt idx="294">
                  <c:v>6.2588000000000005E-2</c:v>
                </c:pt>
                <c:pt idx="295">
                  <c:v>6.2672000000000005E-2</c:v>
                </c:pt>
                <c:pt idx="296">
                  <c:v>6.2755999999999992E-2</c:v>
                </c:pt>
                <c:pt idx="297">
                  <c:v>6.2838000000000005E-2</c:v>
                </c:pt>
                <c:pt idx="298">
                  <c:v>6.2922000000000006E-2</c:v>
                </c:pt>
                <c:pt idx="299">
                  <c:v>6.3007999999999995E-2</c:v>
                </c:pt>
                <c:pt idx="300">
                  <c:v>6.3090000000000007E-2</c:v>
                </c:pt>
                <c:pt idx="301">
                  <c:v>6.3174000000000008E-2</c:v>
                </c:pt>
                <c:pt idx="302">
                  <c:v>6.3255999999999993E-2</c:v>
                </c:pt>
                <c:pt idx="303">
                  <c:v>6.3338000000000005E-2</c:v>
                </c:pt>
                <c:pt idx="304">
                  <c:v>6.3422000000000006E-2</c:v>
                </c:pt>
                <c:pt idx="305">
                  <c:v>6.3506000000000007E-2</c:v>
                </c:pt>
                <c:pt idx="306">
                  <c:v>6.3587999999999992E-2</c:v>
                </c:pt>
                <c:pt idx="307">
                  <c:v>6.3672000000000006E-2</c:v>
                </c:pt>
                <c:pt idx="308">
                  <c:v>6.3756000000000007E-2</c:v>
                </c:pt>
                <c:pt idx="309">
                  <c:v>6.3840000000000008E-2</c:v>
                </c:pt>
                <c:pt idx="310">
                  <c:v>6.3894000000000006E-2</c:v>
                </c:pt>
                <c:pt idx="311">
                  <c:v>6.3978000000000007E-2</c:v>
                </c:pt>
                <c:pt idx="312">
                  <c:v>6.4062000000000008E-2</c:v>
                </c:pt>
                <c:pt idx="313">
                  <c:v>6.4143999999999993E-2</c:v>
                </c:pt>
                <c:pt idx="314">
                  <c:v>6.4227999999999993E-2</c:v>
                </c:pt>
                <c:pt idx="315">
                  <c:v>6.4310000000000006E-2</c:v>
                </c:pt>
                <c:pt idx="316">
                  <c:v>6.4394000000000007E-2</c:v>
                </c:pt>
                <c:pt idx="317">
                  <c:v>6.4450000000000007E-2</c:v>
                </c:pt>
                <c:pt idx="318">
                  <c:v>6.4534000000000008E-2</c:v>
                </c:pt>
                <c:pt idx="319">
                  <c:v>6.4615999999999993E-2</c:v>
                </c:pt>
                <c:pt idx="320">
                  <c:v>6.4728000000000008E-2</c:v>
                </c:pt>
                <c:pt idx="321">
                  <c:v>6.4839999999999995E-2</c:v>
                </c:pt>
                <c:pt idx="322">
                  <c:v>6.4950000000000008E-2</c:v>
                </c:pt>
                <c:pt idx="323">
                  <c:v>6.5061999999999995E-2</c:v>
                </c:pt>
                <c:pt idx="324">
                  <c:v>6.517400000000001E-2</c:v>
                </c:pt>
                <c:pt idx="325">
                  <c:v>6.5284000000000009E-2</c:v>
                </c:pt>
                <c:pt idx="326">
                  <c:v>6.5393999999999994E-2</c:v>
                </c:pt>
                <c:pt idx="327">
                  <c:v>6.5506000000000009E-2</c:v>
                </c:pt>
                <c:pt idx="328">
                  <c:v>6.5617999999999996E-2</c:v>
                </c:pt>
                <c:pt idx="329">
                  <c:v>6.5726000000000007E-2</c:v>
                </c:pt>
                <c:pt idx="330">
                  <c:v>6.5838000000000008E-2</c:v>
                </c:pt>
                <c:pt idx="331">
                  <c:v>6.5949999999999995E-2</c:v>
                </c:pt>
                <c:pt idx="332">
                  <c:v>6.606200000000001E-2</c:v>
                </c:pt>
                <c:pt idx="333">
                  <c:v>6.6172000000000009E-2</c:v>
                </c:pt>
                <c:pt idx="334">
                  <c:v>6.6283999999999996E-2</c:v>
                </c:pt>
                <c:pt idx="335">
                  <c:v>6.6395999999999997E-2</c:v>
                </c:pt>
                <c:pt idx="336">
                  <c:v>6.6505999999999996E-2</c:v>
                </c:pt>
                <c:pt idx="337">
                  <c:v>6.6615999999999995E-2</c:v>
                </c:pt>
                <c:pt idx="338">
                  <c:v>6.6727999999999996E-2</c:v>
                </c:pt>
                <c:pt idx="339">
                  <c:v>6.6839999999999997E-2</c:v>
                </c:pt>
                <c:pt idx="340">
                  <c:v>6.695000000000001E-2</c:v>
                </c:pt>
                <c:pt idx="341">
                  <c:v>6.7061999999999997E-2</c:v>
                </c:pt>
                <c:pt idx="342">
                  <c:v>6.7171999999999996E-2</c:v>
                </c:pt>
                <c:pt idx="343">
                  <c:v>6.7282000000000008E-2</c:v>
                </c:pt>
                <c:pt idx="344">
                  <c:v>6.7393999999999996E-2</c:v>
                </c:pt>
                <c:pt idx="345">
                  <c:v>6.750600000000001E-2</c:v>
                </c:pt>
                <c:pt idx="346">
                  <c:v>6.7615999999999996E-2</c:v>
                </c:pt>
                <c:pt idx="347">
                  <c:v>6.7727999999999997E-2</c:v>
                </c:pt>
                <c:pt idx="348">
                  <c:v>6.7811999999999997E-2</c:v>
                </c:pt>
                <c:pt idx="349">
                  <c:v>6.7923999999999998E-2</c:v>
                </c:pt>
                <c:pt idx="350">
                  <c:v>6.8032000000000009E-2</c:v>
                </c:pt>
                <c:pt idx="351">
                  <c:v>6.8143999999999996E-2</c:v>
                </c:pt>
                <c:pt idx="352">
                  <c:v>6.8255999999999997E-2</c:v>
                </c:pt>
                <c:pt idx="353">
                  <c:v>6.8337999999999996E-2</c:v>
                </c:pt>
                <c:pt idx="354">
                  <c:v>6.8449999999999997E-2</c:v>
                </c:pt>
                <c:pt idx="355">
                  <c:v>6.8561999999999998E-2</c:v>
                </c:pt>
                <c:pt idx="356">
                  <c:v>6.8643999999999997E-2</c:v>
                </c:pt>
                <c:pt idx="357">
                  <c:v>6.8755999999999998E-2</c:v>
                </c:pt>
                <c:pt idx="358">
                  <c:v>6.8867999999999999E-2</c:v>
                </c:pt>
                <c:pt idx="359">
                  <c:v>6.8977999999999998E-2</c:v>
                </c:pt>
                <c:pt idx="360">
                  <c:v>6.9115999999999997E-2</c:v>
                </c:pt>
                <c:pt idx="361">
                  <c:v>6.9227999999999998E-2</c:v>
                </c:pt>
                <c:pt idx="362">
                  <c:v>6.9367999999999999E-2</c:v>
                </c:pt>
                <c:pt idx="363">
                  <c:v>6.9477999999999998E-2</c:v>
                </c:pt>
                <c:pt idx="364">
                  <c:v>6.9587999999999997E-2</c:v>
                </c:pt>
                <c:pt idx="365">
                  <c:v>6.9727999999999998E-2</c:v>
                </c:pt>
                <c:pt idx="366">
                  <c:v>6.9839999999999999E-2</c:v>
                </c:pt>
                <c:pt idx="367">
                  <c:v>6.9977999999999999E-2</c:v>
                </c:pt>
                <c:pt idx="368">
                  <c:v>7.009E-2</c:v>
                </c:pt>
                <c:pt idx="369">
                  <c:v>7.0227999999999999E-2</c:v>
                </c:pt>
                <c:pt idx="370">
                  <c:v>7.0337999999999998E-2</c:v>
                </c:pt>
                <c:pt idx="371">
                  <c:v>7.0449999999999999E-2</c:v>
                </c:pt>
                <c:pt idx="372">
                  <c:v>7.059E-2</c:v>
                </c:pt>
                <c:pt idx="373">
                  <c:v>7.0699999999999999E-2</c:v>
                </c:pt>
                <c:pt idx="374">
                  <c:v>7.0812E-2</c:v>
                </c:pt>
                <c:pt idx="375">
                  <c:v>7.0924000000000001E-2</c:v>
                </c:pt>
                <c:pt idx="376">
                  <c:v>7.1034E-2</c:v>
                </c:pt>
                <c:pt idx="377">
                  <c:v>7.1143999999999999E-2</c:v>
                </c:pt>
                <c:pt idx="378">
                  <c:v>7.1256E-2</c:v>
                </c:pt>
                <c:pt idx="379">
                  <c:v>7.1368000000000001E-2</c:v>
                </c:pt>
                <c:pt idx="380">
                  <c:v>7.1478E-2</c:v>
                </c:pt>
                <c:pt idx="381">
                  <c:v>7.1590000000000001E-2</c:v>
                </c:pt>
                <c:pt idx="382">
                  <c:v>7.1702000000000002E-2</c:v>
                </c:pt>
                <c:pt idx="383">
                  <c:v>7.1809999999999999E-2</c:v>
                </c:pt>
                <c:pt idx="384">
                  <c:v>7.1919999999999998E-2</c:v>
                </c:pt>
                <c:pt idx="385">
                  <c:v>7.2031999999999999E-2</c:v>
                </c:pt>
                <c:pt idx="386">
                  <c:v>7.2144E-2</c:v>
                </c:pt>
                <c:pt idx="387">
                  <c:v>7.2253999999999999E-2</c:v>
                </c:pt>
                <c:pt idx="388">
                  <c:v>7.2368000000000002E-2</c:v>
                </c:pt>
                <c:pt idx="389">
                  <c:v>7.2508000000000003E-2</c:v>
                </c:pt>
                <c:pt idx="390">
                  <c:v>7.2644E-2</c:v>
                </c:pt>
                <c:pt idx="391">
                  <c:v>7.2784000000000001E-2</c:v>
                </c:pt>
                <c:pt idx="392">
                  <c:v>7.2924000000000003E-2</c:v>
                </c:pt>
                <c:pt idx="393">
                  <c:v>7.306E-2</c:v>
                </c:pt>
                <c:pt idx="394">
                  <c:v>7.3200000000000001E-2</c:v>
                </c:pt>
                <c:pt idx="395">
                  <c:v>7.3340000000000002E-2</c:v>
                </c:pt>
                <c:pt idx="396">
                  <c:v>7.3476E-2</c:v>
                </c:pt>
                <c:pt idx="397">
                  <c:v>7.3616000000000001E-2</c:v>
                </c:pt>
                <c:pt idx="398">
                  <c:v>7.3728000000000002E-2</c:v>
                </c:pt>
                <c:pt idx="399">
                  <c:v>7.3868000000000003E-2</c:v>
                </c:pt>
                <c:pt idx="400">
                  <c:v>7.4006000000000002E-2</c:v>
                </c:pt>
                <c:pt idx="401">
                  <c:v>7.4116000000000001E-2</c:v>
                </c:pt>
                <c:pt idx="402">
                  <c:v>7.4256000000000003E-2</c:v>
                </c:pt>
                <c:pt idx="403">
                  <c:v>7.4394000000000002E-2</c:v>
                </c:pt>
                <c:pt idx="404">
                  <c:v>7.4506000000000003E-2</c:v>
                </c:pt>
                <c:pt idx="405">
                  <c:v>7.4644000000000002E-2</c:v>
                </c:pt>
                <c:pt idx="406">
                  <c:v>7.4786000000000005E-2</c:v>
                </c:pt>
                <c:pt idx="407">
                  <c:v>7.4894000000000002E-2</c:v>
                </c:pt>
                <c:pt idx="408">
                  <c:v>7.5032000000000001E-2</c:v>
                </c:pt>
                <c:pt idx="409">
                  <c:v>7.5144000000000002E-2</c:v>
                </c:pt>
                <c:pt idx="410">
                  <c:v>7.5284000000000004E-2</c:v>
                </c:pt>
                <c:pt idx="411">
                  <c:v>7.5396000000000005E-2</c:v>
                </c:pt>
                <c:pt idx="412">
                  <c:v>7.5534000000000004E-2</c:v>
                </c:pt>
                <c:pt idx="413">
                  <c:v>7.5700000000000003E-2</c:v>
                </c:pt>
                <c:pt idx="414">
                  <c:v>7.5838000000000003E-2</c:v>
                </c:pt>
                <c:pt idx="415">
                  <c:v>7.5976000000000002E-2</c:v>
                </c:pt>
                <c:pt idx="416">
                  <c:v>7.6144000000000003E-2</c:v>
                </c:pt>
                <c:pt idx="417">
                  <c:v>7.6284000000000005E-2</c:v>
                </c:pt>
                <c:pt idx="418">
                  <c:v>7.6422000000000004E-2</c:v>
                </c:pt>
                <c:pt idx="419">
                  <c:v>7.6560000000000003E-2</c:v>
                </c:pt>
                <c:pt idx="420">
                  <c:v>7.6700000000000004E-2</c:v>
                </c:pt>
                <c:pt idx="421">
                  <c:v>7.6840000000000006E-2</c:v>
                </c:pt>
                <c:pt idx="422">
                  <c:v>7.6978000000000005E-2</c:v>
                </c:pt>
                <c:pt idx="423">
                  <c:v>7.7118000000000006E-2</c:v>
                </c:pt>
                <c:pt idx="424">
                  <c:v>7.7256000000000005E-2</c:v>
                </c:pt>
                <c:pt idx="425">
                  <c:v>7.7394000000000004E-2</c:v>
                </c:pt>
                <c:pt idx="426">
                  <c:v>7.753199999999999E-2</c:v>
                </c:pt>
                <c:pt idx="427">
                  <c:v>7.7672000000000005E-2</c:v>
                </c:pt>
                <c:pt idx="428">
                  <c:v>7.780999999999999E-2</c:v>
                </c:pt>
                <c:pt idx="429">
                  <c:v>7.7950000000000005E-2</c:v>
                </c:pt>
                <c:pt idx="430">
                  <c:v>7.8090000000000007E-2</c:v>
                </c:pt>
                <c:pt idx="431">
                  <c:v>7.8228000000000006E-2</c:v>
                </c:pt>
                <c:pt idx="432">
                  <c:v>7.8368000000000007E-2</c:v>
                </c:pt>
                <c:pt idx="433">
                  <c:v>7.8533999999999993E-2</c:v>
                </c:pt>
                <c:pt idx="434">
                  <c:v>7.8701999999999994E-2</c:v>
                </c:pt>
                <c:pt idx="435">
                  <c:v>7.8838000000000005E-2</c:v>
                </c:pt>
                <c:pt idx="436">
                  <c:v>7.9005999999999993E-2</c:v>
                </c:pt>
                <c:pt idx="437">
                  <c:v>7.9143999999999992E-2</c:v>
                </c:pt>
                <c:pt idx="438">
                  <c:v>7.9311999999999994E-2</c:v>
                </c:pt>
                <c:pt idx="439">
                  <c:v>7.9451999999999995E-2</c:v>
                </c:pt>
                <c:pt idx="440">
                  <c:v>7.9615999999999992E-2</c:v>
                </c:pt>
                <c:pt idx="441">
                  <c:v>7.9755999999999994E-2</c:v>
                </c:pt>
                <c:pt idx="442">
                  <c:v>7.9893999999999993E-2</c:v>
                </c:pt>
                <c:pt idx="443">
                  <c:v>8.0061999999999994E-2</c:v>
                </c:pt>
                <c:pt idx="444">
                  <c:v>8.0199999999999994E-2</c:v>
                </c:pt>
                <c:pt idx="445">
                  <c:v>8.0337999999999993E-2</c:v>
                </c:pt>
                <c:pt idx="446">
                  <c:v>8.0478000000000008E-2</c:v>
                </c:pt>
                <c:pt idx="447">
                  <c:v>8.0616000000000007E-2</c:v>
                </c:pt>
                <c:pt idx="448">
                  <c:v>8.0755999999999994E-2</c:v>
                </c:pt>
                <c:pt idx="449">
                  <c:v>8.089600000000001E-2</c:v>
                </c:pt>
                <c:pt idx="450">
                  <c:v>8.1059999999999993E-2</c:v>
                </c:pt>
                <c:pt idx="451">
                  <c:v>8.1226000000000007E-2</c:v>
                </c:pt>
                <c:pt idx="452">
                  <c:v>8.1394000000000008E-2</c:v>
                </c:pt>
                <c:pt idx="453">
                  <c:v>8.1560000000000007E-2</c:v>
                </c:pt>
                <c:pt idx="454">
                  <c:v>8.1729999999999997E-2</c:v>
                </c:pt>
                <c:pt idx="455">
                  <c:v>8.189600000000001E-2</c:v>
                </c:pt>
                <c:pt idx="456">
                  <c:v>8.2059999999999994E-2</c:v>
                </c:pt>
                <c:pt idx="457">
                  <c:v>8.2227999999999996E-2</c:v>
                </c:pt>
                <c:pt idx="458">
                  <c:v>8.2395999999999997E-2</c:v>
                </c:pt>
                <c:pt idx="459">
                  <c:v>8.2533999999999996E-2</c:v>
                </c:pt>
                <c:pt idx="460">
                  <c:v>8.2699999999999996E-2</c:v>
                </c:pt>
                <c:pt idx="461">
                  <c:v>8.2840000000000011E-2</c:v>
                </c:pt>
                <c:pt idx="462">
                  <c:v>8.3005999999999996E-2</c:v>
                </c:pt>
                <c:pt idx="463">
                  <c:v>8.3145999999999998E-2</c:v>
                </c:pt>
                <c:pt idx="464">
                  <c:v>8.3312000000000011E-2</c:v>
                </c:pt>
                <c:pt idx="465">
                  <c:v>8.3477999999999997E-2</c:v>
                </c:pt>
                <c:pt idx="466">
                  <c:v>8.3643999999999996E-2</c:v>
                </c:pt>
                <c:pt idx="467">
                  <c:v>8.3811999999999998E-2</c:v>
                </c:pt>
                <c:pt idx="468">
                  <c:v>8.3977999999999997E-2</c:v>
                </c:pt>
                <c:pt idx="469">
                  <c:v>8.414400000000001E-2</c:v>
                </c:pt>
                <c:pt idx="470">
                  <c:v>8.4309999999999996E-2</c:v>
                </c:pt>
                <c:pt idx="471">
                  <c:v>8.4478000000000011E-2</c:v>
                </c:pt>
                <c:pt idx="472">
                  <c:v>8.4643999999999997E-2</c:v>
                </c:pt>
                <c:pt idx="473">
                  <c:v>8.4811999999999999E-2</c:v>
                </c:pt>
                <c:pt idx="474">
                  <c:v>8.4975999999999996E-2</c:v>
                </c:pt>
                <c:pt idx="475">
                  <c:v>8.5143999999999997E-2</c:v>
                </c:pt>
                <c:pt idx="476">
                  <c:v>8.5311999999999999E-2</c:v>
                </c:pt>
                <c:pt idx="477">
                  <c:v>8.5477999999999998E-2</c:v>
                </c:pt>
                <c:pt idx="478">
                  <c:v>8.5671999999999998E-2</c:v>
                </c:pt>
                <c:pt idx="479">
                  <c:v>8.5866000000000012E-2</c:v>
                </c:pt>
                <c:pt idx="480">
                  <c:v>8.6033999999999999E-2</c:v>
                </c:pt>
                <c:pt idx="481">
                  <c:v>8.6227999999999999E-2</c:v>
                </c:pt>
                <c:pt idx="482">
                  <c:v>8.6396000000000001E-2</c:v>
                </c:pt>
                <c:pt idx="483">
                  <c:v>8.6562E-2</c:v>
                </c:pt>
                <c:pt idx="484">
                  <c:v>8.6728E-2</c:v>
                </c:pt>
                <c:pt idx="485">
                  <c:v>8.6896000000000001E-2</c:v>
                </c:pt>
                <c:pt idx="486">
                  <c:v>8.7062000000000014E-2</c:v>
                </c:pt>
                <c:pt idx="487">
                  <c:v>8.7225999999999998E-2</c:v>
                </c:pt>
                <c:pt idx="488">
                  <c:v>8.7395999999999988E-2</c:v>
                </c:pt>
                <c:pt idx="489">
                  <c:v>8.7559999999999999E-2</c:v>
                </c:pt>
                <c:pt idx="490">
                  <c:v>8.7728E-2</c:v>
                </c:pt>
                <c:pt idx="491">
                  <c:v>8.7924000000000002E-2</c:v>
                </c:pt>
                <c:pt idx="492">
                  <c:v>8.8116E-2</c:v>
                </c:pt>
                <c:pt idx="493">
                  <c:v>8.8312000000000002E-2</c:v>
                </c:pt>
                <c:pt idx="494">
                  <c:v>8.8506000000000001E-2</c:v>
                </c:pt>
                <c:pt idx="495">
                  <c:v>8.8699999999999987E-2</c:v>
                </c:pt>
                <c:pt idx="496">
                  <c:v>8.8894000000000001E-2</c:v>
                </c:pt>
                <c:pt idx="497">
                  <c:v>8.9090000000000003E-2</c:v>
                </c:pt>
                <c:pt idx="498">
                  <c:v>8.9284000000000002E-2</c:v>
                </c:pt>
                <c:pt idx="499">
                  <c:v>8.9478000000000002E-2</c:v>
                </c:pt>
                <c:pt idx="500">
                  <c:v>8.9672000000000002E-2</c:v>
                </c:pt>
                <c:pt idx="501">
                  <c:v>8.9868000000000003E-2</c:v>
                </c:pt>
                <c:pt idx="502">
                  <c:v>9.0062000000000003E-2</c:v>
                </c:pt>
                <c:pt idx="503">
                  <c:v>9.0256000000000003E-2</c:v>
                </c:pt>
                <c:pt idx="504">
                  <c:v>9.0450000000000003E-2</c:v>
                </c:pt>
                <c:pt idx="505">
                  <c:v>9.0643999999999988E-2</c:v>
                </c:pt>
                <c:pt idx="506">
                  <c:v>9.0838000000000002E-2</c:v>
                </c:pt>
                <c:pt idx="507">
                  <c:v>9.1034000000000004E-2</c:v>
                </c:pt>
                <c:pt idx="508">
                  <c:v>9.1228000000000004E-2</c:v>
                </c:pt>
                <c:pt idx="509">
                  <c:v>9.1422000000000003E-2</c:v>
                </c:pt>
                <c:pt idx="510">
                  <c:v>9.1617999999999991E-2</c:v>
                </c:pt>
                <c:pt idx="511">
                  <c:v>9.1812000000000005E-2</c:v>
                </c:pt>
                <c:pt idx="512">
                  <c:v>9.2005999999999991E-2</c:v>
                </c:pt>
                <c:pt idx="513">
                  <c:v>9.2227999999999991E-2</c:v>
                </c:pt>
                <c:pt idx="514">
                  <c:v>9.2452000000000006E-2</c:v>
                </c:pt>
                <c:pt idx="515">
                  <c:v>9.2672000000000004E-2</c:v>
                </c:pt>
                <c:pt idx="516">
                  <c:v>9.2867999999999992E-2</c:v>
                </c:pt>
                <c:pt idx="517">
                  <c:v>9.3089999999999992E-2</c:v>
                </c:pt>
                <c:pt idx="518">
                  <c:v>9.3312000000000006E-2</c:v>
                </c:pt>
                <c:pt idx="519">
                  <c:v>9.3506000000000006E-2</c:v>
                </c:pt>
                <c:pt idx="520">
                  <c:v>9.3699999999999992E-2</c:v>
                </c:pt>
                <c:pt idx="521">
                  <c:v>9.3924000000000007E-2</c:v>
                </c:pt>
                <c:pt idx="522">
                  <c:v>9.4144000000000005E-2</c:v>
                </c:pt>
                <c:pt idx="523">
                  <c:v>9.4366000000000005E-2</c:v>
                </c:pt>
                <c:pt idx="524">
                  <c:v>9.4588000000000005E-2</c:v>
                </c:pt>
                <c:pt idx="525">
                  <c:v>9.4811999999999994E-2</c:v>
                </c:pt>
                <c:pt idx="526">
                  <c:v>9.5031999999999991E-2</c:v>
                </c:pt>
                <c:pt idx="527">
                  <c:v>9.5256000000000007E-2</c:v>
                </c:pt>
                <c:pt idx="528">
                  <c:v>9.5478000000000007E-2</c:v>
                </c:pt>
                <c:pt idx="529">
                  <c:v>9.5698000000000005E-2</c:v>
                </c:pt>
                <c:pt idx="530">
                  <c:v>9.5950000000000008E-2</c:v>
                </c:pt>
                <c:pt idx="531">
                  <c:v>9.620200000000001E-2</c:v>
                </c:pt>
                <c:pt idx="532">
                  <c:v>9.6422000000000008E-2</c:v>
                </c:pt>
                <c:pt idx="533">
                  <c:v>9.667400000000001E-2</c:v>
                </c:pt>
                <c:pt idx="534">
                  <c:v>9.6921999999999994E-2</c:v>
                </c:pt>
                <c:pt idx="535">
                  <c:v>9.714600000000001E-2</c:v>
                </c:pt>
                <c:pt idx="536">
                  <c:v>9.7363999999999992E-2</c:v>
                </c:pt>
                <c:pt idx="537">
                  <c:v>9.759000000000001E-2</c:v>
                </c:pt>
                <c:pt idx="538">
                  <c:v>9.784000000000001E-2</c:v>
                </c:pt>
                <c:pt idx="539">
                  <c:v>9.8087999999999995E-2</c:v>
                </c:pt>
                <c:pt idx="540">
                  <c:v>9.8339999999999997E-2</c:v>
                </c:pt>
                <c:pt idx="541">
                  <c:v>9.8588000000000009E-2</c:v>
                </c:pt>
                <c:pt idx="542">
                  <c:v>9.8838000000000009E-2</c:v>
                </c:pt>
                <c:pt idx="543">
                  <c:v>9.9090000000000011E-2</c:v>
                </c:pt>
                <c:pt idx="544">
                  <c:v>9.9339999999999998E-2</c:v>
                </c:pt>
                <c:pt idx="545">
                  <c:v>9.9589999999999998E-2</c:v>
                </c:pt>
                <c:pt idx="546">
                  <c:v>9.983800000000001E-2</c:v>
                </c:pt>
                <c:pt idx="547">
                  <c:v>0.10009</c:v>
                </c:pt>
                <c:pt idx="548">
                  <c:v>0.10034000000000001</c:v>
                </c:pt>
                <c:pt idx="549">
                  <c:v>0.100588</c:v>
                </c:pt>
                <c:pt idx="550">
                  <c:v>0.10084</c:v>
                </c:pt>
                <c:pt idx="551">
                  <c:v>0.10108800000000001</c:v>
                </c:pt>
                <c:pt idx="552">
                  <c:v>0.10134</c:v>
                </c:pt>
                <c:pt idx="553">
                  <c:v>0.10159000000000001</c:v>
                </c:pt>
                <c:pt idx="554">
                  <c:v>0.101838</c:v>
                </c:pt>
                <c:pt idx="555">
                  <c:v>0.10209</c:v>
                </c:pt>
                <c:pt idx="556">
                  <c:v>0.10234</c:v>
                </c:pt>
                <c:pt idx="557">
                  <c:v>0.10258800000000001</c:v>
                </c:pt>
                <c:pt idx="558">
                  <c:v>0.102838</c:v>
                </c:pt>
                <c:pt idx="559">
                  <c:v>0.10308999999999999</c:v>
                </c:pt>
                <c:pt idx="560">
                  <c:v>0.10336600000000001</c:v>
                </c:pt>
                <c:pt idx="561">
                  <c:v>0.10364599999999999</c:v>
                </c:pt>
                <c:pt idx="562">
                  <c:v>0.103924</c:v>
                </c:pt>
                <c:pt idx="563">
                  <c:v>0.104198</c:v>
                </c:pt>
                <c:pt idx="564">
                  <c:v>0.10447800000000002</c:v>
                </c:pt>
                <c:pt idx="565">
                  <c:v>0.104756</c:v>
                </c:pt>
                <c:pt idx="566">
                  <c:v>0.10503399999999999</c:v>
                </c:pt>
                <c:pt idx="567">
                  <c:v>0.10531</c:v>
                </c:pt>
                <c:pt idx="568">
                  <c:v>0.10558999999999999</c:v>
                </c:pt>
                <c:pt idx="569">
                  <c:v>0.105866</c:v>
                </c:pt>
                <c:pt idx="570">
                  <c:v>0.106144</c:v>
                </c:pt>
                <c:pt idx="571">
                  <c:v>0.106422</c:v>
                </c:pt>
                <c:pt idx="572">
                  <c:v>0.1067</c:v>
                </c:pt>
                <c:pt idx="573">
                  <c:v>0.10700599999999999</c:v>
                </c:pt>
                <c:pt idx="574">
                  <c:v>0.10731</c:v>
                </c:pt>
                <c:pt idx="575">
                  <c:v>0.10761599999999999</c:v>
                </c:pt>
                <c:pt idx="576">
                  <c:v>0.10792199999999999</c:v>
                </c:pt>
                <c:pt idx="577">
                  <c:v>0.10822599999999999</c:v>
                </c:pt>
                <c:pt idx="578">
                  <c:v>0.10853199999999999</c:v>
                </c:pt>
                <c:pt idx="579">
                  <c:v>0.108838</c:v>
                </c:pt>
                <c:pt idx="580">
                  <c:v>0.109144</c:v>
                </c:pt>
                <c:pt idx="581">
                  <c:v>0.10945000000000001</c:v>
                </c:pt>
                <c:pt idx="582">
                  <c:v>0.109754</c:v>
                </c:pt>
                <c:pt idx="583">
                  <c:v>0.11006199999999999</c:v>
                </c:pt>
                <c:pt idx="584">
                  <c:v>0.11039199999999999</c:v>
                </c:pt>
                <c:pt idx="585">
                  <c:v>0.11072800000000001</c:v>
                </c:pt>
                <c:pt idx="586">
                  <c:v>0.11106199999999999</c:v>
                </c:pt>
                <c:pt idx="587">
                  <c:v>0.111396</c:v>
                </c:pt>
                <c:pt idx="588">
                  <c:v>0.111702</c:v>
                </c:pt>
                <c:pt idx="589">
                  <c:v>0.11200599999999999</c:v>
                </c:pt>
                <c:pt idx="590">
                  <c:v>0.112312</c:v>
                </c:pt>
                <c:pt idx="591">
                  <c:v>0.11261599999999999</c:v>
                </c:pt>
                <c:pt idx="592">
                  <c:v>0.11294999999999999</c:v>
                </c:pt>
                <c:pt idx="593">
                  <c:v>0.113258</c:v>
                </c:pt>
                <c:pt idx="594">
                  <c:v>0.113562</c:v>
                </c:pt>
                <c:pt idx="595">
                  <c:v>0.113896</c:v>
                </c:pt>
                <c:pt idx="596">
                  <c:v>0.11422599999999999</c:v>
                </c:pt>
                <c:pt idx="597">
                  <c:v>0.11456200000000001</c:v>
                </c:pt>
                <c:pt idx="598">
                  <c:v>0.114894</c:v>
                </c:pt>
                <c:pt idx="599">
                  <c:v>0.115228</c:v>
                </c:pt>
                <c:pt idx="600">
                  <c:v>0.11559</c:v>
                </c:pt>
                <c:pt idx="601">
                  <c:v>0.11595000000000001</c:v>
                </c:pt>
                <c:pt idx="602">
                  <c:v>0.116312</c:v>
                </c:pt>
                <c:pt idx="603">
                  <c:v>0.116672</c:v>
                </c:pt>
                <c:pt idx="604">
                  <c:v>0.117006</c:v>
                </c:pt>
                <c:pt idx="605">
                  <c:v>0.117366</c:v>
                </c:pt>
                <c:pt idx="606">
                  <c:v>0.117728</c:v>
                </c:pt>
                <c:pt idx="607">
                  <c:v>0.11808999999999999</c:v>
                </c:pt>
                <c:pt idx="608">
                  <c:v>0.118448</c:v>
                </c:pt>
                <c:pt idx="609">
                  <c:v>0.11884</c:v>
                </c:pt>
                <c:pt idx="610">
                  <c:v>0.119228</c:v>
                </c:pt>
                <c:pt idx="611">
                  <c:v>0.119616</c:v>
                </c:pt>
                <c:pt idx="612">
                  <c:v>0.119978</c:v>
                </c:pt>
                <c:pt idx="613">
                  <c:v>0.120338</c:v>
                </c:pt>
                <c:pt idx="614">
                  <c:v>0.120728</c:v>
                </c:pt>
                <c:pt idx="615">
                  <c:v>0.12111599999999999</c:v>
                </c:pt>
                <c:pt idx="616">
                  <c:v>0.121506</c:v>
                </c:pt>
                <c:pt idx="617">
                  <c:v>0.121866</c:v>
                </c:pt>
                <c:pt idx="618">
                  <c:v>0.122256</c:v>
                </c:pt>
                <c:pt idx="619">
                  <c:v>0.122644</c:v>
                </c:pt>
                <c:pt idx="620">
                  <c:v>0.123034</c:v>
                </c:pt>
                <c:pt idx="621">
                  <c:v>0.12342</c:v>
                </c:pt>
                <c:pt idx="622">
                  <c:v>0.12381199999999999</c:v>
                </c:pt>
                <c:pt idx="623">
                  <c:v>0.12422800000000001</c:v>
                </c:pt>
                <c:pt idx="624">
                  <c:v>0.12461800000000001</c:v>
                </c:pt>
                <c:pt idx="625">
                  <c:v>0.12503399999999998</c:v>
                </c:pt>
                <c:pt idx="626">
                  <c:v>0.12545000000000001</c:v>
                </c:pt>
                <c:pt idx="627">
                  <c:v>0.12586600000000001</c:v>
                </c:pt>
                <c:pt idx="628">
                  <c:v>0.12628600000000001</c:v>
                </c:pt>
                <c:pt idx="629">
                  <c:v>0.12670000000000001</c:v>
                </c:pt>
                <c:pt idx="630">
                  <c:v>0.12711800000000001</c:v>
                </c:pt>
                <c:pt idx="631">
                  <c:v>0.12753399999999998</c:v>
                </c:pt>
                <c:pt idx="632">
                  <c:v>0.12795199999999998</c:v>
                </c:pt>
                <c:pt idx="633">
                  <c:v>0.12839400000000001</c:v>
                </c:pt>
                <c:pt idx="634">
                  <c:v>0.12883800000000001</c:v>
                </c:pt>
                <c:pt idx="635">
                  <c:v>0.12928400000000001</c:v>
                </c:pt>
                <c:pt idx="636">
                  <c:v>0.12972600000000001</c:v>
                </c:pt>
                <c:pt idx="637">
                  <c:v>0.13017400000000001</c:v>
                </c:pt>
                <c:pt idx="638">
                  <c:v>0.13061800000000001</c:v>
                </c:pt>
                <c:pt idx="639">
                  <c:v>0.13106199999999998</c:v>
                </c:pt>
                <c:pt idx="640">
                  <c:v>0.13150600000000001</c:v>
                </c:pt>
                <c:pt idx="641">
                  <c:v>0.13195000000000001</c:v>
                </c:pt>
                <c:pt idx="642">
                  <c:v>0.13242200000000001</c:v>
                </c:pt>
                <c:pt idx="643">
                  <c:v>0.13289600000000001</c:v>
                </c:pt>
                <c:pt idx="644">
                  <c:v>0.13336800000000001</c:v>
                </c:pt>
                <c:pt idx="645">
                  <c:v>0.13384000000000001</c:v>
                </c:pt>
                <c:pt idx="646">
                  <c:v>0.13430999999999998</c:v>
                </c:pt>
                <c:pt idx="647">
                  <c:v>0.13478400000000001</c:v>
                </c:pt>
                <c:pt idx="648">
                  <c:v>0.13525600000000002</c:v>
                </c:pt>
                <c:pt idx="649">
                  <c:v>0.13575599999999999</c:v>
                </c:pt>
                <c:pt idx="650">
                  <c:v>0.13625600000000002</c:v>
                </c:pt>
                <c:pt idx="651">
                  <c:v>0.13678399999999999</c:v>
                </c:pt>
                <c:pt idx="652">
                  <c:v>0.13730999999999999</c:v>
                </c:pt>
                <c:pt idx="653">
                  <c:v>0.13784000000000002</c:v>
                </c:pt>
                <c:pt idx="654">
                  <c:v>0.13836799999999999</c:v>
                </c:pt>
                <c:pt idx="655">
                  <c:v>0.13889399999999999</c:v>
                </c:pt>
                <c:pt idx="656">
                  <c:v>0.13944999999999999</c:v>
                </c:pt>
                <c:pt idx="657">
                  <c:v>0.13997799999999999</c:v>
                </c:pt>
                <c:pt idx="658">
                  <c:v>0.14053399999999999</c:v>
                </c:pt>
                <c:pt idx="659">
                  <c:v>0.14108799999999999</c:v>
                </c:pt>
                <c:pt idx="660">
                  <c:v>0.14164599999999999</c:v>
                </c:pt>
                <c:pt idx="661">
                  <c:v>0.14219999999999999</c:v>
                </c:pt>
                <c:pt idx="662">
                  <c:v>0.14275399999999999</c:v>
                </c:pt>
                <c:pt idx="663">
                  <c:v>0.14334</c:v>
                </c:pt>
                <c:pt idx="664">
                  <c:v>0.143952</c:v>
                </c:pt>
              </c:numCache>
            </c:numRef>
          </c:cat>
          <c:val>
            <c:numRef>
              <c:f>'A21-1'!$F$2:$F$666</c:f>
              <c:numCache>
                <c:formatCode>0.00</c:formatCode>
                <c:ptCount val="665"/>
                <c:pt idx="0">
                  <c:v>0</c:v>
                </c:pt>
                <c:pt idx="1">
                  <c:v>5.6194782149059888E-2</c:v>
                </c:pt>
                <c:pt idx="2">
                  <c:v>5.6194782149059888E-2</c:v>
                </c:pt>
                <c:pt idx="3">
                  <c:v>5.6194782149059888E-2</c:v>
                </c:pt>
                <c:pt idx="4">
                  <c:v>5.6194782149059888E-2</c:v>
                </c:pt>
                <c:pt idx="5">
                  <c:v>5.6194782149059888E-2</c:v>
                </c:pt>
                <c:pt idx="6">
                  <c:v>5.6194782149059888E-2</c:v>
                </c:pt>
                <c:pt idx="7">
                  <c:v>5.6194782149059888E-2</c:v>
                </c:pt>
                <c:pt idx="8">
                  <c:v>5.6194782149059888E-2</c:v>
                </c:pt>
                <c:pt idx="9">
                  <c:v>6.0208695159707018E-2</c:v>
                </c:pt>
                <c:pt idx="10">
                  <c:v>6.0208695159707018E-2</c:v>
                </c:pt>
                <c:pt idx="11">
                  <c:v>6.0208695159707018E-2</c:v>
                </c:pt>
                <c:pt idx="12">
                  <c:v>6.0208695159707018E-2</c:v>
                </c:pt>
                <c:pt idx="13">
                  <c:v>6.0208695159707018E-2</c:v>
                </c:pt>
                <c:pt idx="14">
                  <c:v>6.0208695159707018E-2</c:v>
                </c:pt>
                <c:pt idx="15">
                  <c:v>6.0208695159707018E-2</c:v>
                </c:pt>
                <c:pt idx="16">
                  <c:v>6.0208695159707018E-2</c:v>
                </c:pt>
                <c:pt idx="17">
                  <c:v>6.0208695159707018E-2</c:v>
                </c:pt>
                <c:pt idx="18">
                  <c:v>6.0208695159707018E-2</c:v>
                </c:pt>
                <c:pt idx="19">
                  <c:v>6.0208695159707018E-2</c:v>
                </c:pt>
                <c:pt idx="20">
                  <c:v>6.4222608170354148E-2</c:v>
                </c:pt>
                <c:pt idx="21">
                  <c:v>6.4222608170354148E-2</c:v>
                </c:pt>
                <c:pt idx="22">
                  <c:v>6.4222608170354148E-2</c:v>
                </c:pt>
                <c:pt idx="23">
                  <c:v>6.4222608170354148E-2</c:v>
                </c:pt>
                <c:pt idx="24">
                  <c:v>6.4222608170354148E-2</c:v>
                </c:pt>
                <c:pt idx="25">
                  <c:v>6.4222608170354148E-2</c:v>
                </c:pt>
                <c:pt idx="26">
                  <c:v>6.0208695159707018E-2</c:v>
                </c:pt>
                <c:pt idx="27">
                  <c:v>6.4222608170354148E-2</c:v>
                </c:pt>
                <c:pt idx="28">
                  <c:v>6.0208695159707018E-2</c:v>
                </c:pt>
                <c:pt idx="29">
                  <c:v>6.0208695159707018E-2</c:v>
                </c:pt>
                <c:pt idx="30">
                  <c:v>6.0208695159707018E-2</c:v>
                </c:pt>
                <c:pt idx="31">
                  <c:v>6.0208695159707018E-2</c:v>
                </c:pt>
                <c:pt idx="32">
                  <c:v>6.0208695159707018E-2</c:v>
                </c:pt>
                <c:pt idx="33">
                  <c:v>6.4222608170354148E-2</c:v>
                </c:pt>
                <c:pt idx="34">
                  <c:v>6.4222608170354148E-2</c:v>
                </c:pt>
                <c:pt idx="35">
                  <c:v>6.4222608170354148E-2</c:v>
                </c:pt>
                <c:pt idx="36">
                  <c:v>6.4222608170354148E-2</c:v>
                </c:pt>
                <c:pt idx="37">
                  <c:v>6.4222608170354148E-2</c:v>
                </c:pt>
                <c:pt idx="38">
                  <c:v>6.4222608170354148E-2</c:v>
                </c:pt>
                <c:pt idx="39">
                  <c:v>6.4222608170354148E-2</c:v>
                </c:pt>
                <c:pt idx="40">
                  <c:v>6.8236521181001278E-2</c:v>
                </c:pt>
                <c:pt idx="41">
                  <c:v>6.8236521181001278E-2</c:v>
                </c:pt>
                <c:pt idx="42">
                  <c:v>6.8236521181001278E-2</c:v>
                </c:pt>
                <c:pt idx="43">
                  <c:v>7.2250434191648408E-2</c:v>
                </c:pt>
                <c:pt idx="44">
                  <c:v>7.2250434191648408E-2</c:v>
                </c:pt>
                <c:pt idx="45">
                  <c:v>7.6264347202295552E-2</c:v>
                </c:pt>
                <c:pt idx="46">
                  <c:v>7.6264347202295552E-2</c:v>
                </c:pt>
                <c:pt idx="47">
                  <c:v>8.0278260212942695E-2</c:v>
                </c:pt>
                <c:pt idx="48">
                  <c:v>8.0278260212942695E-2</c:v>
                </c:pt>
                <c:pt idx="49">
                  <c:v>8.0278260212942695E-2</c:v>
                </c:pt>
                <c:pt idx="50">
                  <c:v>8.4292173223589825E-2</c:v>
                </c:pt>
                <c:pt idx="51">
                  <c:v>8.8306086234236955E-2</c:v>
                </c:pt>
                <c:pt idx="52">
                  <c:v>9.2319999244884099E-2</c:v>
                </c:pt>
                <c:pt idx="53">
                  <c:v>9.6333912255531215E-2</c:v>
                </c:pt>
                <c:pt idx="54">
                  <c:v>0.10034782526617837</c:v>
                </c:pt>
                <c:pt idx="55">
                  <c:v>0.10837565128747262</c:v>
                </c:pt>
                <c:pt idx="56">
                  <c:v>0.11238956429811978</c:v>
                </c:pt>
                <c:pt idx="57">
                  <c:v>0.12041739031941404</c:v>
                </c:pt>
                <c:pt idx="58">
                  <c:v>0.1284452163407083</c:v>
                </c:pt>
                <c:pt idx="59">
                  <c:v>0.13245912935135543</c:v>
                </c:pt>
                <c:pt idx="60">
                  <c:v>0.14048695537264971</c:v>
                </c:pt>
                <c:pt idx="61">
                  <c:v>0.1525286944045911</c:v>
                </c:pt>
                <c:pt idx="62">
                  <c:v>0.16055652042588539</c:v>
                </c:pt>
                <c:pt idx="63">
                  <c:v>0.16457043343653249</c:v>
                </c:pt>
                <c:pt idx="64">
                  <c:v>0.17660981273125426</c:v>
                </c:pt>
                <c:pt idx="65">
                  <c:v>0.18463763875254852</c:v>
                </c:pt>
                <c:pt idx="66">
                  <c:v>0.18865155176319567</c:v>
                </c:pt>
                <c:pt idx="67">
                  <c:v>0.19667937778448991</c:v>
                </c:pt>
                <c:pt idx="68">
                  <c:v>0.20872111681643135</c:v>
                </c:pt>
                <c:pt idx="69">
                  <c:v>0.21674894283772558</c:v>
                </c:pt>
                <c:pt idx="70">
                  <c:v>0.22076285584837271</c:v>
                </c:pt>
                <c:pt idx="71">
                  <c:v>0.23280459488031413</c:v>
                </c:pt>
                <c:pt idx="72">
                  <c:v>0.24083478063882807</c:v>
                </c:pt>
                <c:pt idx="73">
                  <c:v>0.24484633391225552</c:v>
                </c:pt>
                <c:pt idx="74">
                  <c:v>0.25286944045911047</c:v>
                </c:pt>
                <c:pt idx="75">
                  <c:v>0.26089254700596543</c:v>
                </c:pt>
                <c:pt idx="76">
                  <c:v>0.27295080419844447</c:v>
                </c:pt>
                <c:pt idx="77">
                  <c:v>0.27696235747187192</c:v>
                </c:pt>
                <c:pt idx="78">
                  <c:v>0.28899701729215438</c:v>
                </c:pt>
                <c:pt idx="79">
                  <c:v>0.29702012383900928</c:v>
                </c:pt>
                <c:pt idx="80">
                  <c:v>0.31308993430491583</c:v>
                </c:pt>
                <c:pt idx="81">
                  <c:v>0.32111304085177078</c:v>
                </c:pt>
                <c:pt idx="82">
                  <c:v>0.33314770067205313</c:v>
                </c:pt>
                <c:pt idx="83">
                  <c:v>0.34518236049233558</c:v>
                </c:pt>
                <c:pt idx="84">
                  <c:v>0.35724061768481463</c:v>
                </c:pt>
                <c:pt idx="85">
                  <c:v>0.36526372423166958</c:v>
                </c:pt>
                <c:pt idx="86">
                  <c:v>0.37729838405195198</c:v>
                </c:pt>
                <c:pt idx="87">
                  <c:v>0.38935664124443103</c:v>
                </c:pt>
                <c:pt idx="88">
                  <c:v>0.40139130106471349</c:v>
                </c:pt>
                <c:pt idx="89">
                  <c:v>0.41342596088499589</c:v>
                </c:pt>
                <c:pt idx="90">
                  <c:v>0.42546062070527829</c:v>
                </c:pt>
                <c:pt idx="91">
                  <c:v>0.43751887789775734</c:v>
                </c:pt>
                <c:pt idx="92">
                  <c:v>0.44955353771803969</c:v>
                </c:pt>
                <c:pt idx="93">
                  <c:v>0.46158819753832214</c:v>
                </c:pt>
                <c:pt idx="94">
                  <c:v>0.47364645473080119</c:v>
                </c:pt>
                <c:pt idx="95">
                  <c:v>0.48166956127765614</c:v>
                </c:pt>
                <c:pt idx="96">
                  <c:v>0.49370422109793854</c:v>
                </c:pt>
                <c:pt idx="97">
                  <c:v>0.50573888091822095</c:v>
                </c:pt>
                <c:pt idx="98">
                  <c:v>0.51779713811070005</c:v>
                </c:pt>
                <c:pt idx="99">
                  <c:v>0.52582024465755506</c:v>
                </c:pt>
                <c:pt idx="100">
                  <c:v>0.53785490447783735</c:v>
                </c:pt>
                <c:pt idx="101">
                  <c:v>0.54991316167031634</c:v>
                </c:pt>
                <c:pt idx="102">
                  <c:v>0.56194782149059885</c:v>
                </c:pt>
                <c:pt idx="103">
                  <c:v>0.57398248131088137</c:v>
                </c:pt>
                <c:pt idx="104">
                  <c:v>0.58601714113116365</c:v>
                </c:pt>
                <c:pt idx="105">
                  <c:v>0.59807539832364265</c:v>
                </c:pt>
                <c:pt idx="106">
                  <c:v>0.61011005814392516</c:v>
                </c:pt>
                <c:pt idx="107">
                  <c:v>0.62214471796420756</c:v>
                </c:pt>
                <c:pt idx="108">
                  <c:v>0.63821452843011406</c:v>
                </c:pt>
                <c:pt idx="109">
                  <c:v>0.65024918825039657</c:v>
                </c:pt>
                <c:pt idx="110">
                  <c:v>0.66629540134410625</c:v>
                </c:pt>
                <c:pt idx="111">
                  <c:v>0.68236521181001297</c:v>
                </c:pt>
                <c:pt idx="112">
                  <c:v>0.69841142490372277</c:v>
                </c:pt>
                <c:pt idx="113">
                  <c:v>0.71448123536962926</c:v>
                </c:pt>
                <c:pt idx="114">
                  <c:v>0.73052744846333917</c:v>
                </c:pt>
                <c:pt idx="115">
                  <c:v>0.74657366155704907</c:v>
                </c:pt>
                <c:pt idx="116">
                  <c:v>0.76264347202295568</c:v>
                </c:pt>
                <c:pt idx="117">
                  <c:v>0.77868968511666548</c:v>
                </c:pt>
                <c:pt idx="118">
                  <c:v>0.79475949558257197</c:v>
                </c:pt>
                <c:pt idx="119">
                  <c:v>0.81080570867628188</c:v>
                </c:pt>
                <c:pt idx="120">
                  <c:v>0.82685192176999178</c:v>
                </c:pt>
                <c:pt idx="121">
                  <c:v>0.84292173223589817</c:v>
                </c:pt>
                <c:pt idx="122">
                  <c:v>0.85896794532960818</c:v>
                </c:pt>
                <c:pt idx="123">
                  <c:v>0.87503775579551468</c:v>
                </c:pt>
                <c:pt idx="124">
                  <c:v>0.89108396888922459</c:v>
                </c:pt>
                <c:pt idx="125">
                  <c:v>0.90713018198293438</c:v>
                </c:pt>
                <c:pt idx="126">
                  <c:v>0.92319999244884088</c:v>
                </c:pt>
                <c:pt idx="127">
                  <c:v>0.93924620554255078</c:v>
                </c:pt>
                <c:pt idx="128">
                  <c:v>0.95531601600845739</c:v>
                </c:pt>
                <c:pt idx="129">
                  <c:v>0.97136222910216719</c:v>
                </c:pt>
                <c:pt idx="130">
                  <c:v>0.99141999546930459</c:v>
                </c:pt>
                <c:pt idx="131">
                  <c:v>1.0074898059352111</c:v>
                </c:pt>
                <c:pt idx="132">
                  <c:v>1.0235360190289209</c:v>
                </c:pt>
                <c:pt idx="133">
                  <c:v>1.0396058294948274</c:v>
                </c:pt>
                <c:pt idx="134">
                  <c:v>1.0556520425885374</c:v>
                </c:pt>
                <c:pt idx="135">
                  <c:v>1.0716982556822472</c:v>
                </c:pt>
                <c:pt idx="136">
                  <c:v>1.0917796194215812</c:v>
                </c:pt>
                <c:pt idx="137">
                  <c:v>1.1078258325152912</c:v>
                </c:pt>
                <c:pt idx="138">
                  <c:v>1.1238956429811977</c:v>
                </c:pt>
                <c:pt idx="139">
                  <c:v>1.1399418560749075</c:v>
                </c:pt>
                <c:pt idx="140">
                  <c:v>1.1559880691686175</c:v>
                </c:pt>
                <c:pt idx="141">
                  <c:v>1.1720578796345238</c:v>
                </c:pt>
                <c:pt idx="142">
                  <c:v>1.1881040927282336</c:v>
                </c:pt>
                <c:pt idx="143">
                  <c:v>1.2041739031941403</c:v>
                </c:pt>
                <c:pt idx="144">
                  <c:v>1.2202201162878503</c:v>
                </c:pt>
                <c:pt idx="145">
                  <c:v>1.2362663293815601</c:v>
                </c:pt>
                <c:pt idx="146">
                  <c:v>1.2523361398474664</c:v>
                </c:pt>
                <c:pt idx="147">
                  <c:v>1.2683823529411764</c:v>
                </c:pt>
                <c:pt idx="148">
                  <c:v>1.2844521634070831</c:v>
                </c:pt>
                <c:pt idx="149">
                  <c:v>1.3004983765007931</c:v>
                </c:pt>
                <c:pt idx="150">
                  <c:v>1.3165445895945029</c:v>
                </c:pt>
                <c:pt idx="151">
                  <c:v>1.3326144000604092</c:v>
                </c:pt>
                <c:pt idx="152">
                  <c:v>1.348660613154119</c:v>
                </c:pt>
                <c:pt idx="153">
                  <c:v>1.3647304236200259</c:v>
                </c:pt>
                <c:pt idx="154">
                  <c:v>1.3807766367137357</c:v>
                </c:pt>
                <c:pt idx="155">
                  <c:v>1.3968228498074455</c:v>
                </c:pt>
                <c:pt idx="156">
                  <c:v>1.4169042135467795</c:v>
                </c:pt>
                <c:pt idx="157">
                  <c:v>1.4329504266404893</c:v>
                </c:pt>
                <c:pt idx="158">
                  <c:v>1.4490202371063958</c:v>
                </c:pt>
                <c:pt idx="159">
                  <c:v>1.4650664502001058</c:v>
                </c:pt>
                <c:pt idx="160">
                  <c:v>1.4811126632938156</c:v>
                </c:pt>
                <c:pt idx="161">
                  <c:v>1.4971824737597221</c:v>
                </c:pt>
                <c:pt idx="162">
                  <c:v>1.5132286868534319</c:v>
                </c:pt>
                <c:pt idx="163">
                  <c:v>1.5292984973193386</c:v>
                </c:pt>
                <c:pt idx="164">
                  <c:v>1.5453447104130484</c:v>
                </c:pt>
                <c:pt idx="165">
                  <c:v>1.5613909235067585</c:v>
                </c:pt>
                <c:pt idx="166">
                  <c:v>1.577460733972665</c:v>
                </c:pt>
                <c:pt idx="167">
                  <c:v>1.5935069470663745</c:v>
                </c:pt>
                <c:pt idx="168">
                  <c:v>1.609576757532281</c:v>
                </c:pt>
                <c:pt idx="169">
                  <c:v>1.6256229706259913</c:v>
                </c:pt>
                <c:pt idx="170">
                  <c:v>1.6416691837197008</c:v>
                </c:pt>
                <c:pt idx="171">
                  <c:v>1.6577389941856076</c:v>
                </c:pt>
                <c:pt idx="172">
                  <c:v>1.6737852072793173</c:v>
                </c:pt>
                <c:pt idx="173">
                  <c:v>1.6898550177452238</c:v>
                </c:pt>
                <c:pt idx="174">
                  <c:v>1.7059012308389339</c:v>
                </c:pt>
                <c:pt idx="175">
                  <c:v>1.7219474439326437</c:v>
                </c:pt>
                <c:pt idx="176">
                  <c:v>1.7380172543985504</c:v>
                </c:pt>
                <c:pt idx="177">
                  <c:v>1.7540634674922599</c:v>
                </c:pt>
                <c:pt idx="178">
                  <c:v>1.7701332779581667</c:v>
                </c:pt>
                <c:pt idx="179">
                  <c:v>1.7861794910518767</c:v>
                </c:pt>
                <c:pt idx="180">
                  <c:v>1.8022257041455862</c:v>
                </c:pt>
                <c:pt idx="181">
                  <c:v>1.8223070678849203</c:v>
                </c:pt>
                <c:pt idx="182">
                  <c:v>1.8423648342520578</c:v>
                </c:pt>
                <c:pt idx="183">
                  <c:v>1.8584346447179643</c:v>
                </c:pt>
                <c:pt idx="184">
                  <c:v>1.8744808578116743</c:v>
                </c:pt>
                <c:pt idx="185">
                  <c:v>1.8905506682775808</c:v>
                </c:pt>
                <c:pt idx="186">
                  <c:v>1.9106084346447179</c:v>
                </c:pt>
                <c:pt idx="187">
                  <c:v>1.9266546477384281</c:v>
                </c:pt>
                <c:pt idx="188">
                  <c:v>1.9427244582043344</c:v>
                </c:pt>
                <c:pt idx="189">
                  <c:v>1.9587706712980442</c:v>
                </c:pt>
                <c:pt idx="190">
                  <c:v>1.9748404817639504</c:v>
                </c:pt>
                <c:pt idx="191">
                  <c:v>1.9908866948576607</c:v>
                </c:pt>
                <c:pt idx="192">
                  <c:v>2.0069329079513709</c:v>
                </c:pt>
                <c:pt idx="193">
                  <c:v>2.0230027184172772</c:v>
                </c:pt>
                <c:pt idx="194">
                  <c:v>2.0390489315109872</c:v>
                </c:pt>
                <c:pt idx="195">
                  <c:v>2.0551187419768935</c:v>
                </c:pt>
                <c:pt idx="196">
                  <c:v>2.0711649550706035</c:v>
                </c:pt>
                <c:pt idx="197">
                  <c:v>2.0872111681643131</c:v>
                </c:pt>
                <c:pt idx="198">
                  <c:v>2.1032809786302202</c:v>
                </c:pt>
                <c:pt idx="199">
                  <c:v>2.1193271917239298</c:v>
                </c:pt>
                <c:pt idx="200">
                  <c:v>2.1353970021898361</c:v>
                </c:pt>
                <c:pt idx="201">
                  <c:v>2.1514432152835461</c:v>
                </c:pt>
                <c:pt idx="202">
                  <c:v>2.1674894283772557</c:v>
                </c:pt>
                <c:pt idx="203">
                  <c:v>2.1835592388431624</c:v>
                </c:pt>
                <c:pt idx="204">
                  <c:v>2.1996054519368724</c:v>
                </c:pt>
                <c:pt idx="205">
                  <c:v>2.2156752624027791</c:v>
                </c:pt>
                <c:pt idx="206">
                  <c:v>2.2317214754964887</c:v>
                </c:pt>
                <c:pt idx="207">
                  <c:v>2.251779241863626</c:v>
                </c:pt>
                <c:pt idx="208">
                  <c:v>2.2678490523295323</c:v>
                </c:pt>
                <c:pt idx="209">
                  <c:v>2.2838952654232423</c:v>
                </c:pt>
                <c:pt idx="210">
                  <c:v>2.3039766291625767</c:v>
                </c:pt>
                <c:pt idx="211">
                  <c:v>2.3200228422562863</c:v>
                </c:pt>
                <c:pt idx="212">
                  <c:v>2.3401042059956207</c:v>
                </c:pt>
                <c:pt idx="213">
                  <c:v>2.3561504190893303</c:v>
                </c:pt>
                <c:pt idx="214">
                  <c:v>2.376255380200861</c:v>
                </c:pt>
                <c:pt idx="215">
                  <c:v>2.3923015932945706</c:v>
                </c:pt>
                <c:pt idx="216">
                  <c:v>2.4083478063882806</c:v>
                </c:pt>
                <c:pt idx="217">
                  <c:v>2.4243940194819906</c:v>
                </c:pt>
                <c:pt idx="218">
                  <c:v>2.4444517858491279</c:v>
                </c:pt>
                <c:pt idx="219">
                  <c:v>2.4645095522162652</c:v>
                </c:pt>
                <c:pt idx="220">
                  <c:v>2.484567318583403</c:v>
                </c:pt>
                <c:pt idx="221">
                  <c:v>2.5006135316771125</c:v>
                </c:pt>
                <c:pt idx="222">
                  <c:v>2.5206712980442498</c:v>
                </c:pt>
                <c:pt idx="223">
                  <c:v>2.5407290644113871</c:v>
                </c:pt>
                <c:pt idx="224">
                  <c:v>2.5607868307785244</c:v>
                </c:pt>
                <c:pt idx="225">
                  <c:v>2.5808445971456622</c:v>
                </c:pt>
                <c:pt idx="226">
                  <c:v>2.5968908102393717</c:v>
                </c:pt>
                <c:pt idx="227">
                  <c:v>2.6129370233330818</c:v>
                </c:pt>
                <c:pt idx="228">
                  <c:v>2.6289832364267918</c:v>
                </c:pt>
                <c:pt idx="229">
                  <c:v>2.6452654232424675</c:v>
                </c:pt>
                <c:pt idx="230">
                  <c:v>2.6653231896096052</c:v>
                </c:pt>
                <c:pt idx="231">
                  <c:v>2.6853809559767425</c:v>
                </c:pt>
                <c:pt idx="232">
                  <c:v>2.7054387223438803</c:v>
                </c:pt>
                <c:pt idx="233">
                  <c:v>2.7214849354375898</c:v>
                </c:pt>
                <c:pt idx="234">
                  <c:v>2.7415427018047271</c:v>
                </c:pt>
                <c:pt idx="235">
                  <c:v>2.7616004681718644</c:v>
                </c:pt>
                <c:pt idx="236">
                  <c:v>2.7816582345390017</c:v>
                </c:pt>
                <c:pt idx="237">
                  <c:v>2.7977044476327118</c:v>
                </c:pt>
                <c:pt idx="238">
                  <c:v>2.8177622139998486</c:v>
                </c:pt>
                <c:pt idx="239">
                  <c:v>2.8378199803669868</c:v>
                </c:pt>
                <c:pt idx="240">
                  <c:v>2.8578777467341236</c:v>
                </c:pt>
                <c:pt idx="241">
                  <c:v>2.8779355131012609</c:v>
                </c:pt>
                <c:pt idx="242">
                  <c:v>2.8979932794683987</c:v>
                </c:pt>
                <c:pt idx="243">
                  <c:v>2.9140394925621083</c:v>
                </c:pt>
                <c:pt idx="244">
                  <c:v>2.9340972589292456</c:v>
                </c:pt>
                <c:pt idx="245">
                  <c:v>2.9541550252963829</c:v>
                </c:pt>
                <c:pt idx="246">
                  <c:v>2.9742127916635206</c:v>
                </c:pt>
                <c:pt idx="247">
                  <c:v>2.9942705580306579</c:v>
                </c:pt>
                <c:pt idx="248">
                  <c:v>3.0143283243977947</c:v>
                </c:pt>
                <c:pt idx="249">
                  <c:v>3.0303745374915048</c:v>
                </c:pt>
                <c:pt idx="250">
                  <c:v>3.0506682775806087</c:v>
                </c:pt>
                <c:pt idx="251">
                  <c:v>3.070726043947746</c:v>
                </c:pt>
                <c:pt idx="252">
                  <c:v>3.0907838103148828</c:v>
                </c:pt>
                <c:pt idx="253">
                  <c:v>3.1188646832288756</c:v>
                </c:pt>
                <c:pt idx="254">
                  <c:v>3.1469455561428683</c:v>
                </c:pt>
                <c:pt idx="255">
                  <c:v>3.1750264290568606</c:v>
                </c:pt>
                <c:pt idx="256">
                  <c:v>3.2031073019708529</c:v>
                </c:pt>
                <c:pt idx="257">
                  <c:v>3.2311881748848452</c:v>
                </c:pt>
                <c:pt idx="258">
                  <c:v>3.2592690477988375</c:v>
                </c:pt>
                <c:pt idx="259">
                  <c:v>3.2873499207128294</c:v>
                </c:pt>
                <c:pt idx="260">
                  <c:v>3.3114192403533949</c:v>
                </c:pt>
                <c:pt idx="261">
                  <c:v>3.3395001132673867</c:v>
                </c:pt>
                <c:pt idx="262">
                  <c:v>3.3675809861813795</c:v>
                </c:pt>
                <c:pt idx="263">
                  <c:v>3.3956618590953713</c:v>
                </c:pt>
                <c:pt idx="264">
                  <c:v>3.4197311787359355</c:v>
                </c:pt>
                <c:pt idx="265">
                  <c:v>3.4478120516499287</c:v>
                </c:pt>
                <c:pt idx="266">
                  <c:v>3.4721173450124589</c:v>
                </c:pt>
                <c:pt idx="267">
                  <c:v>3.5001982179264521</c:v>
                </c:pt>
                <c:pt idx="268">
                  <c:v>3.5242675375670167</c:v>
                </c:pt>
                <c:pt idx="269">
                  <c:v>3.5523484104810086</c:v>
                </c:pt>
                <c:pt idx="270">
                  <c:v>3.576417730121574</c:v>
                </c:pt>
                <c:pt idx="271">
                  <c:v>3.6044986030355659</c:v>
                </c:pt>
                <c:pt idx="272">
                  <c:v>3.6285679226761309</c:v>
                </c:pt>
                <c:pt idx="273">
                  <c:v>3.6526372423166955</c:v>
                </c:pt>
                <c:pt idx="274">
                  <c:v>3.6807181152306878</c:v>
                </c:pt>
                <c:pt idx="275">
                  <c:v>3.7047874348712528</c:v>
                </c:pt>
                <c:pt idx="276">
                  <c:v>3.7288567545118179</c:v>
                </c:pt>
                <c:pt idx="277">
                  <c:v>3.752926074152382</c:v>
                </c:pt>
                <c:pt idx="278">
                  <c:v>3.7769953937929475</c:v>
                </c:pt>
                <c:pt idx="279">
                  <c:v>3.8050762667069398</c:v>
                </c:pt>
                <c:pt idx="280">
                  <c:v>3.8291455863475043</c:v>
                </c:pt>
                <c:pt idx="281">
                  <c:v>3.8532149059880694</c:v>
                </c:pt>
                <c:pt idx="282">
                  <c:v>3.8775201993506001</c:v>
                </c:pt>
                <c:pt idx="283">
                  <c:v>3.9015895189911651</c:v>
                </c:pt>
                <c:pt idx="284">
                  <c:v>3.9256588386317306</c:v>
                </c:pt>
                <c:pt idx="285">
                  <c:v>3.9537397115457225</c:v>
                </c:pt>
                <c:pt idx="286">
                  <c:v>3.977809031186287</c:v>
                </c:pt>
                <c:pt idx="287">
                  <c:v>4.0018783508268516</c:v>
                </c:pt>
                <c:pt idx="288">
                  <c:v>4.0299592237408444</c:v>
                </c:pt>
                <c:pt idx="289">
                  <c:v>4.0540285433814089</c:v>
                </c:pt>
                <c:pt idx="290">
                  <c:v>4.0780978630219744</c:v>
                </c:pt>
                <c:pt idx="291">
                  <c:v>4.1061787359359663</c:v>
                </c:pt>
                <c:pt idx="292">
                  <c:v>4.1302480555765309</c:v>
                </c:pt>
                <c:pt idx="293">
                  <c:v>4.1623404817639509</c:v>
                </c:pt>
                <c:pt idx="294">
                  <c:v>4.1984444612247982</c:v>
                </c:pt>
                <c:pt idx="295">
                  <c:v>4.2345484406856446</c:v>
                </c:pt>
                <c:pt idx="296">
                  <c:v>4.2668768405950308</c:v>
                </c:pt>
                <c:pt idx="297">
                  <c:v>4.302980820055879</c:v>
                </c:pt>
                <c:pt idx="298">
                  <c:v>4.3390847995167254</c:v>
                </c:pt>
                <c:pt idx="299">
                  <c:v>4.3751887789775727</c:v>
                </c:pt>
                <c:pt idx="300">
                  <c:v>4.4112927584384201</c:v>
                </c:pt>
                <c:pt idx="301">
                  <c:v>4.4514082911726947</c:v>
                </c:pt>
                <c:pt idx="302">
                  <c:v>4.487512270633542</c:v>
                </c:pt>
                <c:pt idx="303">
                  <c:v>4.5236162500943893</c:v>
                </c:pt>
                <c:pt idx="304">
                  <c:v>4.5597202295552366</c:v>
                </c:pt>
                <c:pt idx="305">
                  <c:v>4.5958242090160839</c:v>
                </c:pt>
                <c:pt idx="306">
                  <c:v>4.6319281884769312</c:v>
                </c:pt>
                <c:pt idx="307">
                  <c:v>4.6680321679377785</c:v>
                </c:pt>
                <c:pt idx="308">
                  <c:v>4.7043721211205929</c:v>
                </c:pt>
                <c:pt idx="309">
                  <c:v>4.7444876538548666</c:v>
                </c:pt>
                <c:pt idx="310">
                  <c:v>4.7805916333157139</c:v>
                </c:pt>
                <c:pt idx="311">
                  <c:v>4.8207071660499885</c:v>
                </c:pt>
                <c:pt idx="312">
                  <c:v>4.860822698784264</c:v>
                </c:pt>
                <c:pt idx="313">
                  <c:v>4.8929151249716831</c:v>
                </c:pt>
                <c:pt idx="314">
                  <c:v>4.9250075511591032</c:v>
                </c:pt>
                <c:pt idx="315">
                  <c:v>4.9651230838933778</c:v>
                </c:pt>
                <c:pt idx="316">
                  <c:v>5.0052386166276532</c:v>
                </c:pt>
                <c:pt idx="317">
                  <c:v>5.0453541493619269</c:v>
                </c:pt>
                <c:pt idx="318">
                  <c:v>5.0776825492713131</c:v>
                </c:pt>
                <c:pt idx="319">
                  <c:v>5.1177980820055886</c:v>
                </c:pt>
                <c:pt idx="320">
                  <c:v>5.1498905081930078</c:v>
                </c:pt>
                <c:pt idx="321">
                  <c:v>5.1900060409272823</c:v>
                </c:pt>
                <c:pt idx="322">
                  <c:v>5.2301215736615561</c:v>
                </c:pt>
                <c:pt idx="323">
                  <c:v>5.2742486596692597</c:v>
                </c:pt>
                <c:pt idx="324">
                  <c:v>5.3143641924035343</c:v>
                </c:pt>
                <c:pt idx="325">
                  <c:v>5.3584912784112362</c:v>
                </c:pt>
                <c:pt idx="326">
                  <c:v>5.3986068111455117</c:v>
                </c:pt>
                <c:pt idx="327">
                  <c:v>5.4387223438797854</c:v>
                </c:pt>
                <c:pt idx="328">
                  <c:v>5.4828494298874872</c:v>
                </c:pt>
                <c:pt idx="329">
                  <c:v>5.5272124896171562</c:v>
                </c:pt>
                <c:pt idx="330">
                  <c:v>5.5673280223514316</c:v>
                </c:pt>
                <c:pt idx="331">
                  <c:v>5.6114551083591335</c:v>
                </c:pt>
                <c:pt idx="332">
                  <c:v>5.6555821943668354</c:v>
                </c:pt>
                <c:pt idx="333">
                  <c:v>5.69569772710111</c:v>
                </c:pt>
                <c:pt idx="334">
                  <c:v>5.7398248131088128</c:v>
                </c:pt>
                <c:pt idx="335">
                  <c:v>5.7839518991165155</c:v>
                </c:pt>
                <c:pt idx="336">
                  <c:v>5.8280789851242165</c:v>
                </c:pt>
                <c:pt idx="337">
                  <c:v>5.8722060711319184</c:v>
                </c:pt>
                <c:pt idx="338">
                  <c:v>5.91255757758816</c:v>
                </c:pt>
                <c:pt idx="339">
                  <c:v>5.9566846635958628</c:v>
                </c:pt>
                <c:pt idx="340">
                  <c:v>6.0008117496035647</c:v>
                </c:pt>
                <c:pt idx="341">
                  <c:v>6.0449388356112674</c:v>
                </c:pt>
                <c:pt idx="342">
                  <c:v>6.0890659216189693</c:v>
                </c:pt>
                <c:pt idx="343">
                  <c:v>6.1291814543532439</c:v>
                </c:pt>
                <c:pt idx="344">
                  <c:v>6.1773200936343722</c:v>
                </c:pt>
                <c:pt idx="345">
                  <c:v>6.2334818394623586</c:v>
                </c:pt>
                <c:pt idx="346">
                  <c:v>6.2896435852903423</c:v>
                </c:pt>
                <c:pt idx="347">
                  <c:v>6.3460413048402939</c:v>
                </c:pt>
                <c:pt idx="348">
                  <c:v>6.4022030506682777</c:v>
                </c:pt>
                <c:pt idx="349">
                  <c:v>6.4503416899494086</c:v>
                </c:pt>
                <c:pt idx="350">
                  <c:v>6.5065034357773923</c:v>
                </c:pt>
                <c:pt idx="351">
                  <c:v>6.5626651816053769</c:v>
                </c:pt>
                <c:pt idx="352">
                  <c:v>6.6188269274333615</c:v>
                </c:pt>
                <c:pt idx="353">
                  <c:v>6.6669655667144898</c:v>
                </c:pt>
                <c:pt idx="354">
                  <c:v>6.7233632862644424</c:v>
                </c:pt>
                <c:pt idx="355">
                  <c:v>6.7715019255455715</c:v>
                </c:pt>
                <c:pt idx="356">
                  <c:v>6.8276636713735552</c:v>
                </c:pt>
                <c:pt idx="357">
                  <c:v>6.8838254172015416</c:v>
                </c:pt>
                <c:pt idx="358">
                  <c:v>6.9319640564826699</c:v>
                </c:pt>
                <c:pt idx="359">
                  <c:v>6.9881258023106545</c:v>
                </c:pt>
                <c:pt idx="360">
                  <c:v>7.0362644415917845</c:v>
                </c:pt>
                <c:pt idx="361">
                  <c:v>7.0924261874197692</c:v>
                </c:pt>
                <c:pt idx="362">
                  <c:v>7.1408008004228654</c:v>
                </c:pt>
                <c:pt idx="363">
                  <c:v>7.19696254625085</c:v>
                </c:pt>
                <c:pt idx="364">
                  <c:v>7.2571358453522619</c:v>
                </c:pt>
                <c:pt idx="365">
                  <c:v>7.3173091444536738</c:v>
                </c:pt>
                <c:pt idx="366">
                  <c:v>7.3734708902816584</c:v>
                </c:pt>
                <c:pt idx="367">
                  <c:v>7.4336441893830703</c:v>
                </c:pt>
                <c:pt idx="368">
                  <c:v>7.4938174884844821</c:v>
                </c:pt>
                <c:pt idx="369">
                  <c:v>7.5542267613078611</c:v>
                </c:pt>
                <c:pt idx="370">
                  <c:v>7.6103885071358457</c:v>
                </c:pt>
                <c:pt idx="371">
                  <c:v>7.6705618062372576</c:v>
                </c:pt>
                <c:pt idx="372">
                  <c:v>7.7307351053386704</c:v>
                </c:pt>
                <c:pt idx="373">
                  <c:v>7.7909084044400823</c:v>
                </c:pt>
                <c:pt idx="374">
                  <c:v>7.8510817035414933</c:v>
                </c:pt>
                <c:pt idx="375">
                  <c:v>7.9112550026429052</c:v>
                </c:pt>
                <c:pt idx="376">
                  <c:v>7.9716642754662841</c:v>
                </c:pt>
                <c:pt idx="377">
                  <c:v>8.031837574567696</c:v>
                </c:pt>
                <c:pt idx="378">
                  <c:v>8.0920108736691088</c:v>
                </c:pt>
                <c:pt idx="379">
                  <c:v>8.1521841727705215</c:v>
                </c:pt>
                <c:pt idx="380">
                  <c:v>8.2123574718719325</c:v>
                </c:pt>
                <c:pt idx="381">
                  <c:v>8.2725307709733436</c:v>
                </c:pt>
                <c:pt idx="382">
                  <c:v>8.3449747036170052</c:v>
                </c:pt>
                <c:pt idx="383">
                  <c:v>8.4171826625386998</c:v>
                </c:pt>
                <c:pt idx="384">
                  <c:v>8.4893906214603945</c:v>
                </c:pt>
                <c:pt idx="385">
                  <c:v>8.5656101336555164</c:v>
                </c:pt>
                <c:pt idx="386">
                  <c:v>8.637818092577211</c:v>
                </c:pt>
                <c:pt idx="387">
                  <c:v>8.7020029449520511</c:v>
                </c:pt>
                <c:pt idx="388">
                  <c:v>8.7664237710488564</c:v>
                </c:pt>
                <c:pt idx="389">
                  <c:v>8.8306086234236947</c:v>
                </c:pt>
                <c:pt idx="390">
                  <c:v>8.8947934757985365</c:v>
                </c:pt>
                <c:pt idx="391">
                  <c:v>8.9589783281733748</c:v>
                </c:pt>
                <c:pt idx="392">
                  <c:v>9.0231631805482131</c:v>
                </c:pt>
                <c:pt idx="393">
                  <c:v>9.0873480329230532</c:v>
                </c:pt>
                <c:pt idx="394">
                  <c:v>9.1557804122932875</c:v>
                </c:pt>
                <c:pt idx="395">
                  <c:v>9.2199652646681276</c:v>
                </c:pt>
                <c:pt idx="396">
                  <c:v>9.2841501170429659</c:v>
                </c:pt>
                <c:pt idx="397">
                  <c:v>9.3603696292380896</c:v>
                </c:pt>
                <c:pt idx="398">
                  <c:v>9.440600694706637</c:v>
                </c:pt>
                <c:pt idx="399">
                  <c:v>9.520831760175188</c:v>
                </c:pt>
                <c:pt idx="400">
                  <c:v>9.6012987993657024</c:v>
                </c:pt>
                <c:pt idx="401">
                  <c:v>9.6815298648342516</c:v>
                </c:pt>
                <c:pt idx="402">
                  <c:v>9.7617609303028026</c:v>
                </c:pt>
                <c:pt idx="403">
                  <c:v>9.84199199577135</c:v>
                </c:pt>
                <c:pt idx="404">
                  <c:v>9.9222230612399027</c:v>
                </c:pt>
                <c:pt idx="405">
                  <c:v>10.006701653703844</c:v>
                </c:pt>
                <c:pt idx="406">
                  <c:v>10.086932719172392</c:v>
                </c:pt>
                <c:pt idx="407">
                  <c:v>10.17117533791437</c:v>
                </c:pt>
                <c:pt idx="408">
                  <c:v>10.251406403382919</c:v>
                </c:pt>
                <c:pt idx="409">
                  <c:v>10.335649022124896</c:v>
                </c:pt>
                <c:pt idx="410">
                  <c:v>10.416116061315414</c:v>
                </c:pt>
                <c:pt idx="411">
                  <c:v>10.50035868005739</c:v>
                </c:pt>
                <c:pt idx="412">
                  <c:v>10.584601298799365</c:v>
                </c:pt>
                <c:pt idx="413">
                  <c:v>10.668843917541343</c:v>
                </c:pt>
                <c:pt idx="414">
                  <c:v>10.749074983009892</c:v>
                </c:pt>
                <c:pt idx="415">
                  <c:v>10.833553575473836</c:v>
                </c:pt>
                <c:pt idx="416">
                  <c:v>10.913784640942385</c:v>
                </c:pt>
                <c:pt idx="417">
                  <c:v>10.998027259684362</c:v>
                </c:pt>
                <c:pt idx="418">
                  <c:v>11.078258325152911</c:v>
                </c:pt>
                <c:pt idx="419">
                  <c:v>11.162500943894889</c:v>
                </c:pt>
                <c:pt idx="420">
                  <c:v>11.242967983085403</c:v>
                </c:pt>
                <c:pt idx="421">
                  <c:v>11.327210601827382</c:v>
                </c:pt>
                <c:pt idx="422">
                  <c:v>11.42348788038964</c:v>
                </c:pt>
                <c:pt idx="423">
                  <c:v>11.511742052405044</c:v>
                </c:pt>
                <c:pt idx="424">
                  <c:v>11.608255304689269</c:v>
                </c:pt>
                <c:pt idx="425">
                  <c:v>11.708544136524957</c:v>
                </c:pt>
                <c:pt idx="426">
                  <c:v>11.804821415087215</c:v>
                </c:pt>
                <c:pt idx="427">
                  <c:v>11.905110246922902</c:v>
                </c:pt>
                <c:pt idx="428">
                  <c:v>12.005635052480557</c:v>
                </c:pt>
                <c:pt idx="429">
                  <c:v>12.101912331042815</c:v>
                </c:pt>
                <c:pt idx="430">
                  <c:v>12.19016650305822</c:v>
                </c:pt>
                <c:pt idx="431">
                  <c:v>12.290455334893906</c:v>
                </c:pt>
                <c:pt idx="432">
                  <c:v>12.386732613456166</c:v>
                </c:pt>
                <c:pt idx="433">
                  <c:v>12.487257419013817</c:v>
                </c:pt>
                <c:pt idx="434">
                  <c:v>12.587546250849504</c:v>
                </c:pt>
                <c:pt idx="435">
                  <c:v>12.687835082685192</c:v>
                </c:pt>
                <c:pt idx="436">
                  <c:v>12.788123914520879</c:v>
                </c:pt>
                <c:pt idx="437">
                  <c:v>12.888648720078534</c:v>
                </c:pt>
                <c:pt idx="438">
                  <c:v>12.98492599864079</c:v>
                </c:pt>
                <c:pt idx="439">
                  <c:v>13.085214830476477</c:v>
                </c:pt>
                <c:pt idx="440">
                  <c:v>13.185503662312165</c:v>
                </c:pt>
                <c:pt idx="441">
                  <c:v>13.290040021143247</c:v>
                </c:pt>
                <c:pt idx="442">
                  <c:v>13.394340406252359</c:v>
                </c:pt>
                <c:pt idx="443">
                  <c:v>13.498640791361474</c:v>
                </c:pt>
                <c:pt idx="444">
                  <c:v>13.615211810012838</c:v>
                </c:pt>
                <c:pt idx="445">
                  <c:v>13.719512195121951</c:v>
                </c:pt>
                <c:pt idx="446">
                  <c:v>13.835847240051349</c:v>
                </c:pt>
                <c:pt idx="447">
                  <c:v>13.952182284980744</c:v>
                </c:pt>
                <c:pt idx="448">
                  <c:v>14.056718643811827</c:v>
                </c:pt>
                <c:pt idx="449">
                  <c:v>14.16101902892094</c:v>
                </c:pt>
                <c:pt idx="450">
                  <c:v>14.269330967303484</c:v>
                </c:pt>
                <c:pt idx="451">
                  <c:v>14.377642905686022</c:v>
                </c:pt>
                <c:pt idx="452">
                  <c:v>14.486190817790531</c:v>
                </c:pt>
                <c:pt idx="453">
                  <c:v>14.606537415993355</c:v>
                </c:pt>
                <c:pt idx="454">
                  <c:v>14.730895567469606</c:v>
                </c:pt>
                <c:pt idx="455">
                  <c:v>14.851478139394397</c:v>
                </c:pt>
                <c:pt idx="456">
                  <c:v>14.971824737597222</c:v>
                </c:pt>
                <c:pt idx="457">
                  <c:v>15.092171335800046</c:v>
                </c:pt>
                <c:pt idx="458">
                  <c:v>15.216529487276299</c:v>
                </c:pt>
                <c:pt idx="459">
                  <c:v>15.33711205920109</c:v>
                </c:pt>
                <c:pt idx="460">
                  <c:v>15.461470210677341</c:v>
                </c:pt>
                <c:pt idx="461">
                  <c:v>15.585828362153592</c:v>
                </c:pt>
                <c:pt idx="462">
                  <c:v>15.710422487351808</c:v>
                </c:pt>
                <c:pt idx="463">
                  <c:v>15.834780638828059</c:v>
                </c:pt>
                <c:pt idx="464">
                  <c:v>15.95913879030431</c:v>
                </c:pt>
                <c:pt idx="465">
                  <c:v>16.079721362229101</c:v>
                </c:pt>
                <c:pt idx="466">
                  <c:v>16.200067960431927</c:v>
                </c:pt>
                <c:pt idx="467">
                  <c:v>16.324426111908178</c:v>
                </c:pt>
                <c:pt idx="468">
                  <c:v>16.448784263384429</c:v>
                </c:pt>
                <c:pt idx="469">
                  <c:v>16.58942460167636</c:v>
                </c:pt>
                <c:pt idx="470">
                  <c:v>16.72982896624632</c:v>
                </c:pt>
                <c:pt idx="471">
                  <c:v>16.870469304538247</c:v>
                </c:pt>
                <c:pt idx="472">
                  <c:v>17.010873669108207</c:v>
                </c:pt>
                <c:pt idx="473">
                  <c:v>17.147266480404742</c:v>
                </c:pt>
                <c:pt idx="474">
                  <c:v>17.287906818696669</c:v>
                </c:pt>
                <c:pt idx="475">
                  <c:v>17.416276523446349</c:v>
                </c:pt>
                <c:pt idx="476">
                  <c:v>17.556680888016309</c:v>
                </c:pt>
                <c:pt idx="477">
                  <c:v>17.701332779581666</c:v>
                </c:pt>
                <c:pt idx="478">
                  <c:v>17.841737144151629</c:v>
                </c:pt>
                <c:pt idx="479">
                  <c:v>17.98214150872159</c:v>
                </c:pt>
                <c:pt idx="480">
                  <c:v>18.122781847013517</c:v>
                </c:pt>
                <c:pt idx="481">
                  <c:v>18.267197764856906</c:v>
                </c:pt>
                <c:pt idx="482">
                  <c:v>18.40760212942687</c:v>
                </c:pt>
                <c:pt idx="483">
                  <c:v>18.552254020992223</c:v>
                </c:pt>
                <c:pt idx="484">
                  <c:v>18.708704598655896</c:v>
                </c:pt>
                <c:pt idx="485">
                  <c:v>18.853120516499285</c:v>
                </c:pt>
                <c:pt idx="486">
                  <c:v>19.001783961338067</c:v>
                </c:pt>
                <c:pt idx="487">
                  <c:v>19.146199879181456</c:v>
                </c:pt>
                <c:pt idx="488">
                  <c:v>19.294627350298271</c:v>
                </c:pt>
                <c:pt idx="489">
                  <c:v>19.439279241863627</c:v>
                </c:pt>
                <c:pt idx="490">
                  <c:v>19.587706712980445</c:v>
                </c:pt>
                <c:pt idx="491">
                  <c:v>19.740381711092652</c:v>
                </c:pt>
                <c:pt idx="492">
                  <c:v>19.90485539530318</c:v>
                </c:pt>
                <c:pt idx="493">
                  <c:v>20.069329079513707</c:v>
                </c:pt>
                <c:pt idx="494">
                  <c:v>20.222004077625915</c:v>
                </c:pt>
                <c:pt idx="495">
                  <c:v>20.390489315109871</c:v>
                </c:pt>
                <c:pt idx="496">
                  <c:v>20.559210526315791</c:v>
                </c:pt>
                <c:pt idx="497">
                  <c:v>20.723684210526319</c:v>
                </c:pt>
                <c:pt idx="498">
                  <c:v>20.892169448010268</c:v>
                </c:pt>
                <c:pt idx="499">
                  <c:v>21.060890659216192</c:v>
                </c:pt>
                <c:pt idx="500">
                  <c:v>21.229375896700144</c:v>
                </c:pt>
                <c:pt idx="501">
                  <c:v>21.398097107906061</c:v>
                </c:pt>
                <c:pt idx="502">
                  <c:v>21.562570792116588</c:v>
                </c:pt>
                <c:pt idx="503">
                  <c:v>21.731056029600541</c:v>
                </c:pt>
                <c:pt idx="504">
                  <c:v>21.899777240806465</c:v>
                </c:pt>
                <c:pt idx="505">
                  <c:v>22.068262478290421</c:v>
                </c:pt>
                <c:pt idx="506">
                  <c:v>22.236983689496338</c:v>
                </c:pt>
                <c:pt idx="507">
                  <c:v>22.421515140074</c:v>
                </c:pt>
                <c:pt idx="508">
                  <c:v>22.602271011100207</c:v>
                </c:pt>
                <c:pt idx="509">
                  <c:v>22.778779355131011</c:v>
                </c:pt>
                <c:pt idx="510">
                  <c:v>22.959535226157215</c:v>
                </c:pt>
                <c:pt idx="511">
                  <c:v>23.14406667673488</c:v>
                </c:pt>
                <c:pt idx="512">
                  <c:v>23.328598127312546</c:v>
                </c:pt>
                <c:pt idx="513">
                  <c:v>23.513365551612175</c:v>
                </c:pt>
                <c:pt idx="514">
                  <c:v>23.694121422638375</c:v>
                </c:pt>
                <c:pt idx="515">
                  <c:v>23.878180925772103</c:v>
                </c:pt>
                <c:pt idx="516">
                  <c:v>24.062240428905838</c:v>
                </c:pt>
                <c:pt idx="517">
                  <c:v>24.260458355357546</c:v>
                </c:pt>
                <c:pt idx="518">
                  <c:v>24.444517858491285</c:v>
                </c:pt>
                <c:pt idx="519">
                  <c:v>24.628577361625013</c:v>
                </c:pt>
                <c:pt idx="520">
                  <c:v>24.814996601978404</c:v>
                </c:pt>
                <c:pt idx="521">
                  <c:v>25.017934002869442</c:v>
                </c:pt>
                <c:pt idx="522">
                  <c:v>25.211432454881827</c:v>
                </c:pt>
                <c:pt idx="523">
                  <c:v>25.404930906894208</c:v>
                </c:pt>
                <c:pt idx="524">
                  <c:v>25.607868307785246</c:v>
                </c:pt>
                <c:pt idx="525">
                  <c:v>25.801366759797634</c:v>
                </c:pt>
                <c:pt idx="526">
                  <c:v>26.009023635127996</c:v>
                </c:pt>
                <c:pt idx="527">
                  <c:v>26.209601298799367</c:v>
                </c:pt>
                <c:pt idx="528">
                  <c:v>26.419617911349391</c:v>
                </c:pt>
                <c:pt idx="529">
                  <c:v>26.631994261119079</c:v>
                </c:pt>
                <c:pt idx="530">
                  <c:v>26.84437061088877</c:v>
                </c:pt>
                <c:pt idx="531">
                  <c:v>27.056746960658462</c:v>
                </c:pt>
                <c:pt idx="532">
                  <c:v>27.271483047647816</c:v>
                </c:pt>
                <c:pt idx="533">
                  <c:v>27.483859397417504</c:v>
                </c:pt>
                <c:pt idx="534">
                  <c:v>27.696235747187192</c:v>
                </c:pt>
                <c:pt idx="535">
                  <c:v>27.908612096956887</c:v>
                </c:pt>
                <c:pt idx="536">
                  <c:v>28.137506607264218</c:v>
                </c:pt>
                <c:pt idx="537">
                  <c:v>28.361681643132226</c:v>
                </c:pt>
                <c:pt idx="538">
                  <c:v>28.58585667900023</c:v>
                </c:pt>
                <c:pt idx="539">
                  <c:v>28.812391452087898</c:v>
                </c:pt>
                <c:pt idx="540">
                  <c:v>29.041285962395229</c:v>
                </c:pt>
                <c:pt idx="541">
                  <c:v>29.270180472702563</c:v>
                </c:pt>
                <c:pt idx="542">
                  <c:v>29.499074983009891</c:v>
                </c:pt>
                <c:pt idx="543">
                  <c:v>29.727969493317225</c:v>
                </c:pt>
                <c:pt idx="544">
                  <c:v>29.954504266404896</c:v>
                </c:pt>
                <c:pt idx="545">
                  <c:v>30.199916937249871</c:v>
                </c:pt>
                <c:pt idx="546">
                  <c:v>30.445329608094845</c:v>
                </c:pt>
                <c:pt idx="547">
                  <c:v>30.686022804500496</c:v>
                </c:pt>
                <c:pt idx="548">
                  <c:v>30.931435475345467</c:v>
                </c:pt>
                <c:pt idx="549">
                  <c:v>31.176848146190441</c:v>
                </c:pt>
                <c:pt idx="550">
                  <c:v>31.419901079815752</c:v>
                </c:pt>
                <c:pt idx="551">
                  <c:v>31.670033225100052</c:v>
                </c:pt>
                <c:pt idx="552">
                  <c:v>31.915445895945027</c:v>
                </c:pt>
                <c:pt idx="553">
                  <c:v>32.163218304009668</c:v>
                </c:pt>
                <c:pt idx="554">
                  <c:v>32.410990712074309</c:v>
                </c:pt>
                <c:pt idx="555">
                  <c:v>32.665842331797933</c:v>
                </c:pt>
                <c:pt idx="556">
                  <c:v>32.913614739862567</c:v>
                </c:pt>
                <c:pt idx="557">
                  <c:v>33.170826096805861</c:v>
                </c:pt>
                <c:pt idx="558">
                  <c:v>33.444555614286791</c:v>
                </c:pt>
                <c:pt idx="559">
                  <c:v>33.715925394548066</c:v>
                </c:pt>
                <c:pt idx="560">
                  <c:v>33.984935437589677</c:v>
                </c:pt>
                <c:pt idx="561">
                  <c:v>34.25394548063128</c:v>
                </c:pt>
                <c:pt idx="562">
                  <c:v>34.518236049233558</c:v>
                </c:pt>
                <c:pt idx="563">
                  <c:v>34.796685041153822</c:v>
                </c:pt>
                <c:pt idx="564">
                  <c:v>35.077493770293742</c:v>
                </c:pt>
                <c:pt idx="565">
                  <c:v>35.353583024994336</c:v>
                </c:pt>
                <c:pt idx="566">
                  <c:v>35.634391754134263</c:v>
                </c:pt>
                <c:pt idx="567">
                  <c:v>35.915200483274184</c:v>
                </c:pt>
                <c:pt idx="568">
                  <c:v>36.198368949633767</c:v>
                </c:pt>
                <c:pt idx="569">
                  <c:v>36.479177678773695</c:v>
                </c:pt>
                <c:pt idx="570">
                  <c:v>36.771785094011932</c:v>
                </c:pt>
                <c:pt idx="571">
                  <c:v>37.064392509250169</c:v>
                </c:pt>
                <c:pt idx="572">
                  <c:v>37.361719398927733</c:v>
                </c:pt>
                <c:pt idx="573">
                  <c:v>37.659046288605303</c:v>
                </c:pt>
                <c:pt idx="574">
                  <c:v>37.946934229404214</c:v>
                </c:pt>
                <c:pt idx="575">
                  <c:v>38.248980593521111</c:v>
                </c:pt>
                <c:pt idx="576">
                  <c:v>38.546307483198675</c:v>
                </c:pt>
                <c:pt idx="577">
                  <c:v>38.845994110095901</c:v>
                </c:pt>
                <c:pt idx="578">
                  <c:v>39.159839160311108</c:v>
                </c:pt>
                <c:pt idx="579">
                  <c:v>39.468964736086988</c:v>
                </c:pt>
                <c:pt idx="580">
                  <c:v>39.773370837423549</c:v>
                </c:pt>
                <c:pt idx="581">
                  <c:v>40.082496413199422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80-4AC1-ACE1-506D68AECD8C}"/>
            </c:ext>
          </c:extLst>
        </c:ser>
        <c:ser>
          <c:idx val="2"/>
          <c:order val="1"/>
          <c:tx>
            <c:strRef>
              <c:f>{"A21-2"}</c:f>
              <c:strCache>
                <c:ptCount val="1"/>
                <c:pt idx="0">
                  <c:v>A21-2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'A21-3'!$C$2:$C$666</c:f>
              <c:numCache>
                <c:formatCode>0.00</c:formatCode>
                <c:ptCount val="665"/>
                <c:pt idx="0">
                  <c:v>0</c:v>
                </c:pt>
                <c:pt idx="1">
                  <c:v>1.16732E-2</c:v>
                </c:pt>
                <c:pt idx="2">
                  <c:v>1.1782999999999998E-2</c:v>
                </c:pt>
                <c:pt idx="3">
                  <c:v>1.18946E-2</c:v>
                </c:pt>
                <c:pt idx="4">
                  <c:v>1.2006399999999999E-2</c:v>
                </c:pt>
                <c:pt idx="5">
                  <c:v>1.2118E-2</c:v>
                </c:pt>
                <c:pt idx="6">
                  <c:v>1.22278E-2</c:v>
                </c:pt>
                <c:pt idx="7">
                  <c:v>1.23394E-2</c:v>
                </c:pt>
                <c:pt idx="8">
                  <c:v>1.2451200000000001E-2</c:v>
                </c:pt>
                <c:pt idx="9">
                  <c:v>1.2560999999999999E-2</c:v>
                </c:pt>
                <c:pt idx="10">
                  <c:v>1.2670799999999999E-2</c:v>
                </c:pt>
                <c:pt idx="11">
                  <c:v>1.2782400000000001E-2</c:v>
                </c:pt>
                <c:pt idx="12">
                  <c:v>1.28942E-2</c:v>
                </c:pt>
                <c:pt idx="13">
                  <c:v>1.3005800000000001E-2</c:v>
                </c:pt>
                <c:pt idx="14">
                  <c:v>1.31174E-2</c:v>
                </c:pt>
                <c:pt idx="15">
                  <c:v>1.32272E-2</c:v>
                </c:pt>
                <c:pt idx="16">
                  <c:v>1.3339E-2</c:v>
                </c:pt>
                <c:pt idx="17">
                  <c:v>1.34506E-2</c:v>
                </c:pt>
                <c:pt idx="18">
                  <c:v>1.35622E-2</c:v>
                </c:pt>
                <c:pt idx="19">
                  <c:v>1.3672E-2</c:v>
                </c:pt>
                <c:pt idx="20">
                  <c:v>1.3783799999999999E-2</c:v>
                </c:pt>
                <c:pt idx="21">
                  <c:v>1.38954E-2</c:v>
                </c:pt>
                <c:pt idx="22">
                  <c:v>1.4005200000000001E-2</c:v>
                </c:pt>
                <c:pt idx="23">
                  <c:v>1.4116800000000001E-2</c:v>
                </c:pt>
                <c:pt idx="24">
                  <c:v>1.42268E-2</c:v>
                </c:pt>
                <c:pt idx="25">
                  <c:v>1.4338399999999999E-2</c:v>
                </c:pt>
                <c:pt idx="26">
                  <c:v>1.4450000000000001E-2</c:v>
                </c:pt>
                <c:pt idx="27">
                  <c:v>1.4589600000000001E-2</c:v>
                </c:pt>
                <c:pt idx="28">
                  <c:v>1.47292E-2</c:v>
                </c:pt>
                <c:pt idx="29">
                  <c:v>1.4866999999999998E-2</c:v>
                </c:pt>
                <c:pt idx="30">
                  <c:v>1.50046E-2</c:v>
                </c:pt>
                <c:pt idx="31">
                  <c:v>1.5144200000000002E-2</c:v>
                </c:pt>
                <c:pt idx="32">
                  <c:v>1.5282E-2</c:v>
                </c:pt>
                <c:pt idx="33">
                  <c:v>1.54234E-2</c:v>
                </c:pt>
                <c:pt idx="34">
                  <c:v>1.5561199999999999E-2</c:v>
                </c:pt>
                <c:pt idx="35">
                  <c:v>1.5700800000000001E-2</c:v>
                </c:pt>
                <c:pt idx="36">
                  <c:v>1.5838399999999999E-2</c:v>
                </c:pt>
                <c:pt idx="37">
                  <c:v>1.5978000000000003E-2</c:v>
                </c:pt>
                <c:pt idx="38">
                  <c:v>1.61158E-2</c:v>
                </c:pt>
                <c:pt idx="39">
                  <c:v>1.62554E-2</c:v>
                </c:pt>
                <c:pt idx="40">
                  <c:v>1.6393000000000001E-2</c:v>
                </c:pt>
                <c:pt idx="41">
                  <c:v>1.6532599999999998E-2</c:v>
                </c:pt>
                <c:pt idx="42">
                  <c:v>1.6672199999999998E-2</c:v>
                </c:pt>
                <c:pt idx="43">
                  <c:v>1.6810000000000002E-2</c:v>
                </c:pt>
                <c:pt idx="44">
                  <c:v>1.6949599999999999E-2</c:v>
                </c:pt>
                <c:pt idx="45">
                  <c:v>1.7089199999999999E-2</c:v>
                </c:pt>
                <c:pt idx="46">
                  <c:v>1.72268E-2</c:v>
                </c:pt>
                <c:pt idx="47">
                  <c:v>1.7366400000000001E-2</c:v>
                </c:pt>
                <c:pt idx="48">
                  <c:v>1.7506000000000001E-2</c:v>
                </c:pt>
                <c:pt idx="49">
                  <c:v>1.7643800000000001E-2</c:v>
                </c:pt>
                <c:pt idx="50">
                  <c:v>1.7783400000000001E-2</c:v>
                </c:pt>
                <c:pt idx="51">
                  <c:v>1.7923000000000001E-2</c:v>
                </c:pt>
                <c:pt idx="52">
                  <c:v>1.80886E-2</c:v>
                </c:pt>
                <c:pt idx="53">
                  <c:v>1.82282E-2</c:v>
                </c:pt>
                <c:pt idx="54">
                  <c:v>1.83958E-2</c:v>
                </c:pt>
                <c:pt idx="55">
                  <c:v>1.8561399999999999E-2</c:v>
                </c:pt>
                <c:pt idx="56">
                  <c:v>1.8727000000000001E-2</c:v>
                </c:pt>
                <c:pt idx="57">
                  <c:v>1.8892599999999999E-2</c:v>
                </c:pt>
                <c:pt idx="58">
                  <c:v>1.9061999999999999E-2</c:v>
                </c:pt>
                <c:pt idx="59">
                  <c:v>1.9227600000000001E-2</c:v>
                </c:pt>
                <c:pt idx="60">
                  <c:v>1.9395199999999998E-2</c:v>
                </c:pt>
                <c:pt idx="61">
                  <c:v>1.95608E-2</c:v>
                </c:pt>
                <c:pt idx="62">
                  <c:v>1.9728200000000001E-2</c:v>
                </c:pt>
                <c:pt idx="63">
                  <c:v>1.9895799999999998E-2</c:v>
                </c:pt>
                <c:pt idx="64">
                  <c:v>2.0062000000000003E-2</c:v>
                </c:pt>
                <c:pt idx="65">
                  <c:v>2.0228000000000003E-2</c:v>
                </c:pt>
                <c:pt idx="66">
                  <c:v>2.0394000000000002E-2</c:v>
                </c:pt>
                <c:pt idx="67">
                  <c:v>2.0560000000000002E-2</c:v>
                </c:pt>
                <c:pt idx="68">
                  <c:v>2.0728E-2</c:v>
                </c:pt>
                <c:pt idx="69">
                  <c:v>2.0895999999999998E-2</c:v>
                </c:pt>
                <c:pt idx="70">
                  <c:v>2.1059999999999999E-2</c:v>
                </c:pt>
                <c:pt idx="71">
                  <c:v>2.1227999999999997E-2</c:v>
                </c:pt>
                <c:pt idx="72">
                  <c:v>2.1396000000000002E-2</c:v>
                </c:pt>
                <c:pt idx="73">
                  <c:v>2.1589999999999998E-2</c:v>
                </c:pt>
                <c:pt idx="74">
                  <c:v>2.1783999999999998E-2</c:v>
                </c:pt>
                <c:pt idx="75">
                  <c:v>2.1975999999999999E-2</c:v>
                </c:pt>
                <c:pt idx="76">
                  <c:v>2.2173999999999999E-2</c:v>
                </c:pt>
                <c:pt idx="77">
                  <c:v>2.2368000000000002E-2</c:v>
                </c:pt>
                <c:pt idx="78">
                  <c:v>2.2559999999999997E-2</c:v>
                </c:pt>
                <c:pt idx="79">
                  <c:v>2.2755999999999998E-2</c:v>
                </c:pt>
                <c:pt idx="80">
                  <c:v>2.2949999999999998E-2</c:v>
                </c:pt>
                <c:pt idx="81">
                  <c:v>2.3146E-2</c:v>
                </c:pt>
                <c:pt idx="82">
                  <c:v>2.3338000000000001E-2</c:v>
                </c:pt>
                <c:pt idx="83">
                  <c:v>2.3532000000000001E-2</c:v>
                </c:pt>
                <c:pt idx="84">
                  <c:v>2.3727999999999999E-2</c:v>
                </c:pt>
                <c:pt idx="85">
                  <c:v>2.3923999999999997E-2</c:v>
                </c:pt>
                <c:pt idx="86">
                  <c:v>2.4115999999999999E-2</c:v>
                </c:pt>
                <c:pt idx="87">
                  <c:v>2.4310000000000002E-2</c:v>
                </c:pt>
                <c:pt idx="88">
                  <c:v>2.4506E-2</c:v>
                </c:pt>
                <c:pt idx="89">
                  <c:v>2.4700000000000003E-2</c:v>
                </c:pt>
                <c:pt idx="90">
                  <c:v>2.4893999999999999E-2</c:v>
                </c:pt>
                <c:pt idx="91">
                  <c:v>2.5087999999999999E-2</c:v>
                </c:pt>
                <c:pt idx="92">
                  <c:v>2.5312000000000001E-2</c:v>
                </c:pt>
                <c:pt idx="93">
                  <c:v>2.5533999999999998E-2</c:v>
                </c:pt>
                <c:pt idx="94">
                  <c:v>2.5756000000000001E-2</c:v>
                </c:pt>
                <c:pt idx="95">
                  <c:v>2.5977999999999998E-2</c:v>
                </c:pt>
                <c:pt idx="96">
                  <c:v>2.6200000000000001E-2</c:v>
                </c:pt>
                <c:pt idx="97">
                  <c:v>2.6421999999999998E-2</c:v>
                </c:pt>
                <c:pt idx="98">
                  <c:v>2.6642000000000002E-2</c:v>
                </c:pt>
                <c:pt idx="99">
                  <c:v>2.6868E-2</c:v>
                </c:pt>
                <c:pt idx="100">
                  <c:v>2.7089999999999999E-2</c:v>
                </c:pt>
                <c:pt idx="101">
                  <c:v>2.7311999999999999E-2</c:v>
                </c:pt>
                <c:pt idx="102">
                  <c:v>2.7533999999999999E-2</c:v>
                </c:pt>
                <c:pt idx="103">
                  <c:v>2.7755999999999999E-2</c:v>
                </c:pt>
                <c:pt idx="104">
                  <c:v>2.7976000000000001E-2</c:v>
                </c:pt>
                <c:pt idx="105">
                  <c:v>2.8197999999999997E-2</c:v>
                </c:pt>
                <c:pt idx="106">
                  <c:v>2.8421999999999999E-2</c:v>
                </c:pt>
                <c:pt idx="107">
                  <c:v>2.8645999999999998E-2</c:v>
                </c:pt>
                <c:pt idx="108">
                  <c:v>2.8868000000000001E-2</c:v>
                </c:pt>
                <c:pt idx="109">
                  <c:v>2.9116E-2</c:v>
                </c:pt>
                <c:pt idx="110">
                  <c:v>2.9367999999999998E-2</c:v>
                </c:pt>
                <c:pt idx="111">
                  <c:v>2.9618000000000002E-2</c:v>
                </c:pt>
                <c:pt idx="112">
                  <c:v>2.9866E-2</c:v>
                </c:pt>
                <c:pt idx="113">
                  <c:v>3.0117999999999999E-2</c:v>
                </c:pt>
                <c:pt idx="114">
                  <c:v>3.0363999999999999E-2</c:v>
                </c:pt>
                <c:pt idx="115">
                  <c:v>3.0617999999999999E-2</c:v>
                </c:pt>
                <c:pt idx="116">
                  <c:v>3.0868000000000003E-2</c:v>
                </c:pt>
                <c:pt idx="117">
                  <c:v>3.1116000000000001E-2</c:v>
                </c:pt>
                <c:pt idx="118">
                  <c:v>3.1368E-2</c:v>
                </c:pt>
                <c:pt idx="119">
                  <c:v>3.1615999999999998E-2</c:v>
                </c:pt>
                <c:pt idx="120">
                  <c:v>3.1865999999999998E-2</c:v>
                </c:pt>
                <c:pt idx="121">
                  <c:v>3.2115999999999999E-2</c:v>
                </c:pt>
                <c:pt idx="122">
                  <c:v>3.2368000000000001E-2</c:v>
                </c:pt>
                <c:pt idx="123">
                  <c:v>3.2643999999999999E-2</c:v>
                </c:pt>
                <c:pt idx="124">
                  <c:v>3.2922E-2</c:v>
                </c:pt>
                <c:pt idx="125">
                  <c:v>3.3201999999999995E-2</c:v>
                </c:pt>
                <c:pt idx="126">
                  <c:v>3.3475999999999999E-2</c:v>
                </c:pt>
                <c:pt idx="127">
                  <c:v>3.3756000000000001E-2</c:v>
                </c:pt>
                <c:pt idx="128">
                  <c:v>3.4034000000000002E-2</c:v>
                </c:pt>
                <c:pt idx="129">
                  <c:v>3.4312000000000002E-2</c:v>
                </c:pt>
                <c:pt idx="130">
                  <c:v>3.4588000000000001E-2</c:v>
                </c:pt>
                <c:pt idx="131">
                  <c:v>3.4866000000000001E-2</c:v>
                </c:pt>
                <c:pt idx="132">
                  <c:v>3.5144000000000002E-2</c:v>
                </c:pt>
                <c:pt idx="133">
                  <c:v>3.5421999999999995E-2</c:v>
                </c:pt>
                <c:pt idx="134">
                  <c:v>3.5699999999999996E-2</c:v>
                </c:pt>
                <c:pt idx="135">
                  <c:v>3.5977999999999996E-2</c:v>
                </c:pt>
                <c:pt idx="136">
                  <c:v>3.6284000000000004E-2</c:v>
                </c:pt>
                <c:pt idx="137">
                  <c:v>3.6587999999999996E-2</c:v>
                </c:pt>
                <c:pt idx="138">
                  <c:v>3.6894000000000003E-2</c:v>
                </c:pt>
                <c:pt idx="139">
                  <c:v>3.7200000000000004E-2</c:v>
                </c:pt>
                <c:pt idx="140">
                  <c:v>3.7504000000000003E-2</c:v>
                </c:pt>
                <c:pt idx="141">
                  <c:v>3.7810000000000003E-2</c:v>
                </c:pt>
                <c:pt idx="142">
                  <c:v>3.8114000000000002E-2</c:v>
                </c:pt>
                <c:pt idx="143">
                  <c:v>3.8420000000000003E-2</c:v>
                </c:pt>
                <c:pt idx="144">
                  <c:v>3.8727999999999999E-2</c:v>
                </c:pt>
                <c:pt idx="145">
                  <c:v>3.9031999999999997E-2</c:v>
                </c:pt>
                <c:pt idx="146">
                  <c:v>3.934E-2</c:v>
                </c:pt>
                <c:pt idx="147">
                  <c:v>3.9670000000000004E-2</c:v>
                </c:pt>
                <c:pt idx="148">
                  <c:v>4.0006000000000007E-2</c:v>
                </c:pt>
                <c:pt idx="149">
                  <c:v>4.0338000000000006E-2</c:v>
                </c:pt>
                <c:pt idx="150">
                  <c:v>4.0674000000000002E-2</c:v>
                </c:pt>
                <c:pt idx="151">
                  <c:v>4.1006000000000001E-2</c:v>
                </c:pt>
                <c:pt idx="152">
                  <c:v>4.1338E-2</c:v>
                </c:pt>
                <c:pt idx="153">
                  <c:v>4.1672000000000001E-2</c:v>
                </c:pt>
                <c:pt idx="154">
                  <c:v>4.2005999999999995E-2</c:v>
                </c:pt>
                <c:pt idx="155">
                  <c:v>4.2340000000000003E-2</c:v>
                </c:pt>
                <c:pt idx="156">
                  <c:v>4.2644000000000001E-2</c:v>
                </c:pt>
                <c:pt idx="157">
                  <c:v>4.2977999999999995E-2</c:v>
                </c:pt>
                <c:pt idx="158">
                  <c:v>4.3311999999999996E-2</c:v>
                </c:pt>
                <c:pt idx="159">
                  <c:v>4.3643999999999995E-2</c:v>
                </c:pt>
                <c:pt idx="160">
                  <c:v>4.3951999999999998E-2</c:v>
                </c:pt>
                <c:pt idx="161">
                  <c:v>4.4172000000000003E-2</c:v>
                </c:pt>
                <c:pt idx="162">
                  <c:v>4.4421999999999996E-2</c:v>
                </c:pt>
                <c:pt idx="163">
                  <c:v>4.4673999999999998E-2</c:v>
                </c:pt>
                <c:pt idx="164">
                  <c:v>4.4893999999999996E-2</c:v>
                </c:pt>
                <c:pt idx="165">
                  <c:v>4.5171999999999997E-2</c:v>
                </c:pt>
                <c:pt idx="166">
                  <c:v>4.5533999999999998E-2</c:v>
                </c:pt>
                <c:pt idx="167">
                  <c:v>4.5838000000000004E-2</c:v>
                </c:pt>
                <c:pt idx="168">
                  <c:v>4.6062000000000006E-2</c:v>
                </c:pt>
                <c:pt idx="169">
                  <c:v>4.6311999999999999E-2</c:v>
                </c:pt>
                <c:pt idx="170">
                  <c:v>4.6561999999999999E-2</c:v>
                </c:pt>
                <c:pt idx="171">
                  <c:v>4.6809999999999997E-2</c:v>
                </c:pt>
                <c:pt idx="172">
                  <c:v>4.7033999999999999E-2</c:v>
                </c:pt>
                <c:pt idx="173">
                  <c:v>4.7284E-2</c:v>
                </c:pt>
                <c:pt idx="174">
                  <c:v>4.7477999999999999E-2</c:v>
                </c:pt>
                <c:pt idx="175">
                  <c:v>4.7699999999999992E-2</c:v>
                </c:pt>
                <c:pt idx="176">
                  <c:v>4.7923999999999994E-2</c:v>
                </c:pt>
                <c:pt idx="177">
                  <c:v>4.8143999999999999E-2</c:v>
                </c:pt>
                <c:pt idx="178">
                  <c:v>4.8365999999999999E-2</c:v>
                </c:pt>
                <c:pt idx="179">
                  <c:v>4.8590000000000001E-2</c:v>
                </c:pt>
                <c:pt idx="180">
                  <c:v>4.8809999999999999E-2</c:v>
                </c:pt>
                <c:pt idx="181">
                  <c:v>4.9006000000000001E-2</c:v>
                </c:pt>
                <c:pt idx="182">
                  <c:v>4.9200000000000001E-2</c:v>
                </c:pt>
                <c:pt idx="183">
                  <c:v>4.9367999999999995E-2</c:v>
                </c:pt>
                <c:pt idx="184">
                  <c:v>4.9560000000000007E-2</c:v>
                </c:pt>
                <c:pt idx="185">
                  <c:v>4.9728000000000001E-2</c:v>
                </c:pt>
                <c:pt idx="186">
                  <c:v>4.9894000000000001E-2</c:v>
                </c:pt>
                <c:pt idx="187">
                  <c:v>5.0061999999999995E-2</c:v>
                </c:pt>
                <c:pt idx="188">
                  <c:v>5.0228000000000002E-2</c:v>
                </c:pt>
                <c:pt idx="189">
                  <c:v>5.0366000000000001E-2</c:v>
                </c:pt>
                <c:pt idx="190">
                  <c:v>5.0532000000000001E-2</c:v>
                </c:pt>
                <c:pt idx="191">
                  <c:v>5.0700000000000002E-2</c:v>
                </c:pt>
                <c:pt idx="192">
                  <c:v>5.0838000000000001E-2</c:v>
                </c:pt>
                <c:pt idx="193">
                  <c:v>5.1006000000000003E-2</c:v>
                </c:pt>
                <c:pt idx="194">
                  <c:v>5.1142E-2</c:v>
                </c:pt>
                <c:pt idx="195">
                  <c:v>5.1310000000000001E-2</c:v>
                </c:pt>
                <c:pt idx="196">
                  <c:v>5.1478000000000003E-2</c:v>
                </c:pt>
                <c:pt idx="197">
                  <c:v>5.1645999999999997E-2</c:v>
                </c:pt>
                <c:pt idx="198">
                  <c:v>5.1840000000000004E-2</c:v>
                </c:pt>
                <c:pt idx="199">
                  <c:v>5.2005999999999997E-2</c:v>
                </c:pt>
                <c:pt idx="200">
                  <c:v>5.2172000000000003E-2</c:v>
                </c:pt>
                <c:pt idx="201">
                  <c:v>5.2339999999999998E-2</c:v>
                </c:pt>
                <c:pt idx="202">
                  <c:v>5.2506000000000004E-2</c:v>
                </c:pt>
                <c:pt idx="203">
                  <c:v>5.2671999999999997E-2</c:v>
                </c:pt>
                <c:pt idx="204">
                  <c:v>5.2809999999999996E-2</c:v>
                </c:pt>
                <c:pt idx="205">
                  <c:v>5.2949999999999997E-2</c:v>
                </c:pt>
                <c:pt idx="206">
                  <c:v>5.3116000000000003E-2</c:v>
                </c:pt>
                <c:pt idx="207">
                  <c:v>5.3284000000000005E-2</c:v>
                </c:pt>
                <c:pt idx="208">
                  <c:v>5.3419999999999995E-2</c:v>
                </c:pt>
                <c:pt idx="209">
                  <c:v>5.3562000000000005E-2</c:v>
                </c:pt>
                <c:pt idx="210">
                  <c:v>5.3699999999999998E-2</c:v>
                </c:pt>
                <c:pt idx="211">
                  <c:v>5.3840000000000006E-2</c:v>
                </c:pt>
                <c:pt idx="212">
                  <c:v>5.398E-2</c:v>
                </c:pt>
                <c:pt idx="213">
                  <c:v>5.4115999999999997E-2</c:v>
                </c:pt>
                <c:pt idx="214">
                  <c:v>5.4253999999999997E-2</c:v>
                </c:pt>
                <c:pt idx="215">
                  <c:v>5.4393999999999998E-2</c:v>
                </c:pt>
                <c:pt idx="216">
                  <c:v>5.4533999999999999E-2</c:v>
                </c:pt>
                <c:pt idx="217">
                  <c:v>5.4671999999999998E-2</c:v>
                </c:pt>
                <c:pt idx="218">
                  <c:v>5.4783999999999999E-2</c:v>
                </c:pt>
                <c:pt idx="219">
                  <c:v>5.4922000000000006E-2</c:v>
                </c:pt>
                <c:pt idx="220">
                  <c:v>5.5060000000000005E-2</c:v>
                </c:pt>
                <c:pt idx="221">
                  <c:v>5.5170000000000004E-2</c:v>
                </c:pt>
                <c:pt idx="222">
                  <c:v>5.5312E-2</c:v>
                </c:pt>
                <c:pt idx="223">
                  <c:v>5.5424000000000001E-2</c:v>
                </c:pt>
                <c:pt idx="224">
                  <c:v>5.5564000000000002E-2</c:v>
                </c:pt>
                <c:pt idx="225">
                  <c:v>5.5671999999999999E-2</c:v>
                </c:pt>
                <c:pt idx="226">
                  <c:v>5.5781999999999998E-2</c:v>
                </c:pt>
                <c:pt idx="227">
                  <c:v>5.5894000000000006E-2</c:v>
                </c:pt>
                <c:pt idx="228">
                  <c:v>5.6034E-2</c:v>
                </c:pt>
                <c:pt idx="229">
                  <c:v>5.6146000000000001E-2</c:v>
                </c:pt>
                <c:pt idx="230">
                  <c:v>5.6256E-2</c:v>
                </c:pt>
                <c:pt idx="231">
                  <c:v>5.6368000000000001E-2</c:v>
                </c:pt>
                <c:pt idx="232">
                  <c:v>5.6478E-2</c:v>
                </c:pt>
                <c:pt idx="233">
                  <c:v>5.6587999999999999E-2</c:v>
                </c:pt>
                <c:pt idx="234">
                  <c:v>5.67E-2</c:v>
                </c:pt>
                <c:pt idx="235">
                  <c:v>5.6811999999999994E-2</c:v>
                </c:pt>
                <c:pt idx="236">
                  <c:v>5.6922E-2</c:v>
                </c:pt>
                <c:pt idx="237">
                  <c:v>5.7005999999999994E-2</c:v>
                </c:pt>
                <c:pt idx="238">
                  <c:v>5.7118000000000002E-2</c:v>
                </c:pt>
                <c:pt idx="239">
                  <c:v>5.7225999999999999E-2</c:v>
                </c:pt>
                <c:pt idx="240">
                  <c:v>5.7337999999999993E-2</c:v>
                </c:pt>
                <c:pt idx="241">
                  <c:v>5.7450000000000001E-2</c:v>
                </c:pt>
                <c:pt idx="242">
                  <c:v>5.7561999999999995E-2</c:v>
                </c:pt>
                <c:pt idx="243">
                  <c:v>5.7644000000000001E-2</c:v>
                </c:pt>
                <c:pt idx="244">
                  <c:v>5.7756000000000002E-2</c:v>
                </c:pt>
                <c:pt idx="245">
                  <c:v>5.7868000000000003E-2</c:v>
                </c:pt>
                <c:pt idx="246">
                  <c:v>5.7976E-2</c:v>
                </c:pt>
                <c:pt idx="247">
                  <c:v>5.806E-2</c:v>
                </c:pt>
                <c:pt idx="248">
                  <c:v>5.8171999999999995E-2</c:v>
                </c:pt>
                <c:pt idx="249">
                  <c:v>5.8282E-2</c:v>
                </c:pt>
                <c:pt idx="250">
                  <c:v>5.8394000000000001E-2</c:v>
                </c:pt>
                <c:pt idx="251">
                  <c:v>5.8478000000000002E-2</c:v>
                </c:pt>
                <c:pt idx="252">
                  <c:v>5.8587999999999994E-2</c:v>
                </c:pt>
                <c:pt idx="253">
                  <c:v>5.8700000000000002E-2</c:v>
                </c:pt>
                <c:pt idx="254">
                  <c:v>5.8810000000000001E-2</c:v>
                </c:pt>
                <c:pt idx="255">
                  <c:v>5.8922000000000002E-2</c:v>
                </c:pt>
                <c:pt idx="256">
                  <c:v>5.9034000000000003E-2</c:v>
                </c:pt>
                <c:pt idx="257">
                  <c:v>5.9146000000000004E-2</c:v>
                </c:pt>
                <c:pt idx="258">
                  <c:v>5.9256000000000003E-2</c:v>
                </c:pt>
                <c:pt idx="259">
                  <c:v>5.9340000000000004E-2</c:v>
                </c:pt>
                <c:pt idx="260">
                  <c:v>5.9451999999999998E-2</c:v>
                </c:pt>
                <c:pt idx="261">
                  <c:v>5.9561999999999997E-2</c:v>
                </c:pt>
                <c:pt idx="262">
                  <c:v>5.9644000000000003E-2</c:v>
                </c:pt>
                <c:pt idx="263">
                  <c:v>5.9756000000000004E-2</c:v>
                </c:pt>
                <c:pt idx="264">
                  <c:v>5.9837999999999995E-2</c:v>
                </c:pt>
                <c:pt idx="265">
                  <c:v>5.9922000000000003E-2</c:v>
                </c:pt>
                <c:pt idx="266">
                  <c:v>6.0006000000000004E-2</c:v>
                </c:pt>
                <c:pt idx="267">
                  <c:v>6.0090000000000005E-2</c:v>
                </c:pt>
                <c:pt idx="268">
                  <c:v>6.0171999999999996E-2</c:v>
                </c:pt>
                <c:pt idx="269">
                  <c:v>6.0282000000000002E-2</c:v>
                </c:pt>
                <c:pt idx="270">
                  <c:v>6.0366000000000003E-2</c:v>
                </c:pt>
                <c:pt idx="271">
                  <c:v>6.0477999999999997E-2</c:v>
                </c:pt>
                <c:pt idx="272">
                  <c:v>6.0560000000000003E-2</c:v>
                </c:pt>
                <c:pt idx="273">
                  <c:v>6.0644000000000003E-2</c:v>
                </c:pt>
                <c:pt idx="274">
                  <c:v>6.0754000000000002E-2</c:v>
                </c:pt>
                <c:pt idx="275">
                  <c:v>6.0865999999999996E-2</c:v>
                </c:pt>
                <c:pt idx="276">
                  <c:v>6.0978000000000004E-2</c:v>
                </c:pt>
                <c:pt idx="277">
                  <c:v>6.1087999999999996E-2</c:v>
                </c:pt>
                <c:pt idx="278">
                  <c:v>6.1200000000000004E-2</c:v>
                </c:pt>
                <c:pt idx="279">
                  <c:v>6.1311999999999998E-2</c:v>
                </c:pt>
                <c:pt idx="280">
                  <c:v>6.1394000000000004E-2</c:v>
                </c:pt>
                <c:pt idx="281">
                  <c:v>6.1505999999999998E-2</c:v>
                </c:pt>
                <c:pt idx="282">
                  <c:v>6.1588000000000004E-2</c:v>
                </c:pt>
                <c:pt idx="283">
                  <c:v>6.1672000000000005E-2</c:v>
                </c:pt>
                <c:pt idx="284">
                  <c:v>6.1758E-2</c:v>
                </c:pt>
                <c:pt idx="285">
                  <c:v>6.1837999999999997E-2</c:v>
                </c:pt>
                <c:pt idx="286">
                  <c:v>6.1921999999999998E-2</c:v>
                </c:pt>
                <c:pt idx="287">
                  <c:v>6.2004000000000004E-2</c:v>
                </c:pt>
                <c:pt idx="288">
                  <c:v>6.2088000000000004E-2</c:v>
                </c:pt>
                <c:pt idx="289">
                  <c:v>6.2171999999999998E-2</c:v>
                </c:pt>
                <c:pt idx="290">
                  <c:v>6.2255999999999999E-2</c:v>
                </c:pt>
                <c:pt idx="291">
                  <c:v>6.234E-2</c:v>
                </c:pt>
                <c:pt idx="292">
                  <c:v>6.2422000000000005E-2</c:v>
                </c:pt>
                <c:pt idx="293">
                  <c:v>6.2506000000000006E-2</c:v>
                </c:pt>
                <c:pt idx="294">
                  <c:v>6.2588000000000005E-2</c:v>
                </c:pt>
                <c:pt idx="295">
                  <c:v>6.2672000000000005E-2</c:v>
                </c:pt>
                <c:pt idx="296">
                  <c:v>6.2755999999999992E-2</c:v>
                </c:pt>
                <c:pt idx="297">
                  <c:v>6.2838000000000005E-2</c:v>
                </c:pt>
                <c:pt idx="298">
                  <c:v>6.2922000000000006E-2</c:v>
                </c:pt>
                <c:pt idx="299">
                  <c:v>6.3007999999999995E-2</c:v>
                </c:pt>
                <c:pt idx="300">
                  <c:v>6.3090000000000007E-2</c:v>
                </c:pt>
                <c:pt idx="301">
                  <c:v>6.3174000000000008E-2</c:v>
                </c:pt>
                <c:pt idx="302">
                  <c:v>6.3255999999999993E-2</c:v>
                </c:pt>
                <c:pt idx="303">
                  <c:v>6.3338000000000005E-2</c:v>
                </c:pt>
                <c:pt idx="304">
                  <c:v>6.3422000000000006E-2</c:v>
                </c:pt>
                <c:pt idx="305">
                  <c:v>6.3506000000000007E-2</c:v>
                </c:pt>
                <c:pt idx="306">
                  <c:v>6.3587999999999992E-2</c:v>
                </c:pt>
                <c:pt idx="307">
                  <c:v>6.3672000000000006E-2</c:v>
                </c:pt>
                <c:pt idx="308">
                  <c:v>6.3756000000000007E-2</c:v>
                </c:pt>
                <c:pt idx="309">
                  <c:v>6.3840000000000008E-2</c:v>
                </c:pt>
                <c:pt idx="310">
                  <c:v>6.3894000000000006E-2</c:v>
                </c:pt>
                <c:pt idx="311">
                  <c:v>6.3978000000000007E-2</c:v>
                </c:pt>
                <c:pt idx="312">
                  <c:v>6.4062000000000008E-2</c:v>
                </c:pt>
                <c:pt idx="313">
                  <c:v>6.4143999999999993E-2</c:v>
                </c:pt>
                <c:pt idx="314">
                  <c:v>6.4227999999999993E-2</c:v>
                </c:pt>
                <c:pt idx="315">
                  <c:v>6.4310000000000006E-2</c:v>
                </c:pt>
                <c:pt idx="316">
                  <c:v>6.4394000000000007E-2</c:v>
                </c:pt>
                <c:pt idx="317">
                  <c:v>6.4450000000000007E-2</c:v>
                </c:pt>
                <c:pt idx="318">
                  <c:v>6.4534000000000008E-2</c:v>
                </c:pt>
                <c:pt idx="319">
                  <c:v>6.4615999999999993E-2</c:v>
                </c:pt>
                <c:pt idx="320">
                  <c:v>6.4728000000000008E-2</c:v>
                </c:pt>
                <c:pt idx="321">
                  <c:v>6.4839999999999995E-2</c:v>
                </c:pt>
                <c:pt idx="322">
                  <c:v>6.4950000000000008E-2</c:v>
                </c:pt>
                <c:pt idx="323">
                  <c:v>6.5061999999999995E-2</c:v>
                </c:pt>
                <c:pt idx="324">
                  <c:v>6.517400000000001E-2</c:v>
                </c:pt>
                <c:pt idx="325">
                  <c:v>6.5284000000000009E-2</c:v>
                </c:pt>
                <c:pt idx="326">
                  <c:v>6.5393999999999994E-2</c:v>
                </c:pt>
                <c:pt idx="327">
                  <c:v>6.5506000000000009E-2</c:v>
                </c:pt>
                <c:pt idx="328">
                  <c:v>6.5617999999999996E-2</c:v>
                </c:pt>
                <c:pt idx="329">
                  <c:v>6.5726000000000007E-2</c:v>
                </c:pt>
                <c:pt idx="330">
                  <c:v>6.5838000000000008E-2</c:v>
                </c:pt>
                <c:pt idx="331">
                  <c:v>6.5949999999999995E-2</c:v>
                </c:pt>
                <c:pt idx="332">
                  <c:v>6.606200000000001E-2</c:v>
                </c:pt>
                <c:pt idx="333">
                  <c:v>6.6172000000000009E-2</c:v>
                </c:pt>
                <c:pt idx="334">
                  <c:v>6.6283999999999996E-2</c:v>
                </c:pt>
                <c:pt idx="335">
                  <c:v>6.6395999999999997E-2</c:v>
                </c:pt>
                <c:pt idx="336">
                  <c:v>6.6505999999999996E-2</c:v>
                </c:pt>
                <c:pt idx="337">
                  <c:v>6.6615999999999995E-2</c:v>
                </c:pt>
                <c:pt idx="338">
                  <c:v>6.6727999999999996E-2</c:v>
                </c:pt>
                <c:pt idx="339">
                  <c:v>6.6839999999999997E-2</c:v>
                </c:pt>
                <c:pt idx="340">
                  <c:v>6.695000000000001E-2</c:v>
                </c:pt>
                <c:pt idx="341">
                  <c:v>6.7061999999999997E-2</c:v>
                </c:pt>
                <c:pt idx="342">
                  <c:v>6.7171999999999996E-2</c:v>
                </c:pt>
                <c:pt idx="343">
                  <c:v>6.7282000000000008E-2</c:v>
                </c:pt>
                <c:pt idx="344">
                  <c:v>6.7393999999999996E-2</c:v>
                </c:pt>
                <c:pt idx="345">
                  <c:v>6.750600000000001E-2</c:v>
                </c:pt>
                <c:pt idx="346">
                  <c:v>6.7615999999999996E-2</c:v>
                </c:pt>
                <c:pt idx="347">
                  <c:v>6.7727999999999997E-2</c:v>
                </c:pt>
                <c:pt idx="348">
                  <c:v>6.7811999999999997E-2</c:v>
                </c:pt>
                <c:pt idx="349">
                  <c:v>6.7923999999999998E-2</c:v>
                </c:pt>
                <c:pt idx="350">
                  <c:v>6.8032000000000009E-2</c:v>
                </c:pt>
                <c:pt idx="351">
                  <c:v>6.8143999999999996E-2</c:v>
                </c:pt>
                <c:pt idx="352">
                  <c:v>6.8255999999999997E-2</c:v>
                </c:pt>
                <c:pt idx="353">
                  <c:v>6.8337999999999996E-2</c:v>
                </c:pt>
                <c:pt idx="354">
                  <c:v>6.8449999999999997E-2</c:v>
                </c:pt>
                <c:pt idx="355">
                  <c:v>6.8561999999999998E-2</c:v>
                </c:pt>
                <c:pt idx="356">
                  <c:v>6.8643999999999997E-2</c:v>
                </c:pt>
                <c:pt idx="357">
                  <c:v>6.8755999999999998E-2</c:v>
                </c:pt>
                <c:pt idx="358">
                  <c:v>6.8867999999999999E-2</c:v>
                </c:pt>
                <c:pt idx="359">
                  <c:v>6.8977999999999998E-2</c:v>
                </c:pt>
                <c:pt idx="360">
                  <c:v>6.9115999999999997E-2</c:v>
                </c:pt>
                <c:pt idx="361">
                  <c:v>6.9227999999999998E-2</c:v>
                </c:pt>
                <c:pt idx="362">
                  <c:v>6.9367999999999999E-2</c:v>
                </c:pt>
                <c:pt idx="363">
                  <c:v>6.9477999999999998E-2</c:v>
                </c:pt>
                <c:pt idx="364">
                  <c:v>6.9587999999999997E-2</c:v>
                </c:pt>
                <c:pt idx="365">
                  <c:v>6.9727999999999998E-2</c:v>
                </c:pt>
                <c:pt idx="366">
                  <c:v>6.9839999999999999E-2</c:v>
                </c:pt>
                <c:pt idx="367">
                  <c:v>6.9977999999999999E-2</c:v>
                </c:pt>
                <c:pt idx="368">
                  <c:v>7.009E-2</c:v>
                </c:pt>
                <c:pt idx="369">
                  <c:v>7.0227999999999999E-2</c:v>
                </c:pt>
                <c:pt idx="370">
                  <c:v>7.0337999999999998E-2</c:v>
                </c:pt>
                <c:pt idx="371">
                  <c:v>7.0449999999999999E-2</c:v>
                </c:pt>
                <c:pt idx="372">
                  <c:v>7.059E-2</c:v>
                </c:pt>
                <c:pt idx="373">
                  <c:v>7.0699999999999999E-2</c:v>
                </c:pt>
                <c:pt idx="374">
                  <c:v>7.0812E-2</c:v>
                </c:pt>
                <c:pt idx="375">
                  <c:v>7.0924000000000001E-2</c:v>
                </c:pt>
                <c:pt idx="376">
                  <c:v>7.1034E-2</c:v>
                </c:pt>
                <c:pt idx="377">
                  <c:v>7.1143999999999999E-2</c:v>
                </c:pt>
                <c:pt idx="378">
                  <c:v>7.1256E-2</c:v>
                </c:pt>
                <c:pt idx="379">
                  <c:v>7.1368000000000001E-2</c:v>
                </c:pt>
                <c:pt idx="380">
                  <c:v>7.1478E-2</c:v>
                </c:pt>
                <c:pt idx="381">
                  <c:v>7.1590000000000001E-2</c:v>
                </c:pt>
                <c:pt idx="382">
                  <c:v>7.1702000000000002E-2</c:v>
                </c:pt>
                <c:pt idx="383">
                  <c:v>7.1809999999999999E-2</c:v>
                </c:pt>
                <c:pt idx="384">
                  <c:v>7.1919999999999998E-2</c:v>
                </c:pt>
                <c:pt idx="385">
                  <c:v>7.2031999999999999E-2</c:v>
                </c:pt>
                <c:pt idx="386">
                  <c:v>7.2144E-2</c:v>
                </c:pt>
                <c:pt idx="387">
                  <c:v>7.2253999999999999E-2</c:v>
                </c:pt>
                <c:pt idx="388">
                  <c:v>7.2368000000000002E-2</c:v>
                </c:pt>
                <c:pt idx="389">
                  <c:v>7.2508000000000003E-2</c:v>
                </c:pt>
                <c:pt idx="390">
                  <c:v>7.2644E-2</c:v>
                </c:pt>
                <c:pt idx="391">
                  <c:v>7.2784000000000001E-2</c:v>
                </c:pt>
                <c:pt idx="392">
                  <c:v>7.2924000000000003E-2</c:v>
                </c:pt>
                <c:pt idx="393">
                  <c:v>7.306E-2</c:v>
                </c:pt>
                <c:pt idx="394">
                  <c:v>7.3200000000000001E-2</c:v>
                </c:pt>
                <c:pt idx="395">
                  <c:v>7.3340000000000002E-2</c:v>
                </c:pt>
                <c:pt idx="396">
                  <c:v>7.3476E-2</c:v>
                </c:pt>
                <c:pt idx="397">
                  <c:v>7.3616000000000001E-2</c:v>
                </c:pt>
                <c:pt idx="398">
                  <c:v>7.3728000000000002E-2</c:v>
                </c:pt>
                <c:pt idx="399">
                  <c:v>7.3868000000000003E-2</c:v>
                </c:pt>
                <c:pt idx="400">
                  <c:v>7.4006000000000002E-2</c:v>
                </c:pt>
                <c:pt idx="401">
                  <c:v>7.4116000000000001E-2</c:v>
                </c:pt>
                <c:pt idx="402">
                  <c:v>7.4256000000000003E-2</c:v>
                </c:pt>
                <c:pt idx="403">
                  <c:v>7.4394000000000002E-2</c:v>
                </c:pt>
                <c:pt idx="404">
                  <c:v>7.4506000000000003E-2</c:v>
                </c:pt>
                <c:pt idx="405">
                  <c:v>7.4644000000000002E-2</c:v>
                </c:pt>
                <c:pt idx="406">
                  <c:v>7.4786000000000005E-2</c:v>
                </c:pt>
                <c:pt idx="407">
                  <c:v>7.4894000000000002E-2</c:v>
                </c:pt>
                <c:pt idx="408">
                  <c:v>7.5032000000000001E-2</c:v>
                </c:pt>
                <c:pt idx="409">
                  <c:v>7.5144000000000002E-2</c:v>
                </c:pt>
                <c:pt idx="410">
                  <c:v>7.5284000000000004E-2</c:v>
                </c:pt>
                <c:pt idx="411">
                  <c:v>7.5396000000000005E-2</c:v>
                </c:pt>
                <c:pt idx="412">
                  <c:v>7.5534000000000004E-2</c:v>
                </c:pt>
                <c:pt idx="413">
                  <c:v>7.5700000000000003E-2</c:v>
                </c:pt>
                <c:pt idx="414">
                  <c:v>7.5838000000000003E-2</c:v>
                </c:pt>
                <c:pt idx="415">
                  <c:v>7.5976000000000002E-2</c:v>
                </c:pt>
                <c:pt idx="416">
                  <c:v>7.6144000000000003E-2</c:v>
                </c:pt>
                <c:pt idx="417">
                  <c:v>7.6284000000000005E-2</c:v>
                </c:pt>
                <c:pt idx="418">
                  <c:v>7.6422000000000004E-2</c:v>
                </c:pt>
                <c:pt idx="419">
                  <c:v>7.6560000000000003E-2</c:v>
                </c:pt>
                <c:pt idx="420">
                  <c:v>7.6700000000000004E-2</c:v>
                </c:pt>
                <c:pt idx="421">
                  <c:v>7.6840000000000006E-2</c:v>
                </c:pt>
                <c:pt idx="422">
                  <c:v>7.6978000000000005E-2</c:v>
                </c:pt>
                <c:pt idx="423">
                  <c:v>7.7118000000000006E-2</c:v>
                </c:pt>
                <c:pt idx="424">
                  <c:v>7.7256000000000005E-2</c:v>
                </c:pt>
                <c:pt idx="425">
                  <c:v>7.7394000000000004E-2</c:v>
                </c:pt>
                <c:pt idx="426">
                  <c:v>7.753199999999999E-2</c:v>
                </c:pt>
                <c:pt idx="427">
                  <c:v>7.7672000000000005E-2</c:v>
                </c:pt>
                <c:pt idx="428">
                  <c:v>7.780999999999999E-2</c:v>
                </c:pt>
                <c:pt idx="429">
                  <c:v>7.7950000000000005E-2</c:v>
                </c:pt>
                <c:pt idx="430">
                  <c:v>7.8090000000000007E-2</c:v>
                </c:pt>
                <c:pt idx="431">
                  <c:v>7.8228000000000006E-2</c:v>
                </c:pt>
                <c:pt idx="432">
                  <c:v>7.8368000000000007E-2</c:v>
                </c:pt>
                <c:pt idx="433">
                  <c:v>7.8533999999999993E-2</c:v>
                </c:pt>
                <c:pt idx="434">
                  <c:v>7.8701999999999994E-2</c:v>
                </c:pt>
                <c:pt idx="435">
                  <c:v>7.8838000000000005E-2</c:v>
                </c:pt>
                <c:pt idx="436">
                  <c:v>7.9005999999999993E-2</c:v>
                </c:pt>
                <c:pt idx="437">
                  <c:v>7.9143999999999992E-2</c:v>
                </c:pt>
                <c:pt idx="438">
                  <c:v>7.9311999999999994E-2</c:v>
                </c:pt>
                <c:pt idx="439">
                  <c:v>7.9451999999999995E-2</c:v>
                </c:pt>
                <c:pt idx="440">
                  <c:v>7.9615999999999992E-2</c:v>
                </c:pt>
                <c:pt idx="441">
                  <c:v>7.9755999999999994E-2</c:v>
                </c:pt>
                <c:pt idx="442">
                  <c:v>7.9893999999999993E-2</c:v>
                </c:pt>
                <c:pt idx="443">
                  <c:v>8.0061999999999994E-2</c:v>
                </c:pt>
                <c:pt idx="444">
                  <c:v>8.0199999999999994E-2</c:v>
                </c:pt>
                <c:pt idx="445">
                  <c:v>8.0337999999999993E-2</c:v>
                </c:pt>
                <c:pt idx="446">
                  <c:v>8.0478000000000008E-2</c:v>
                </c:pt>
                <c:pt idx="447">
                  <c:v>8.0616000000000007E-2</c:v>
                </c:pt>
                <c:pt idx="448">
                  <c:v>8.0755999999999994E-2</c:v>
                </c:pt>
                <c:pt idx="449">
                  <c:v>8.089600000000001E-2</c:v>
                </c:pt>
                <c:pt idx="450">
                  <c:v>8.1059999999999993E-2</c:v>
                </c:pt>
                <c:pt idx="451">
                  <c:v>8.1226000000000007E-2</c:v>
                </c:pt>
                <c:pt idx="452">
                  <c:v>8.1394000000000008E-2</c:v>
                </c:pt>
                <c:pt idx="453">
                  <c:v>8.1560000000000007E-2</c:v>
                </c:pt>
                <c:pt idx="454">
                  <c:v>8.1729999999999997E-2</c:v>
                </c:pt>
                <c:pt idx="455">
                  <c:v>8.189600000000001E-2</c:v>
                </c:pt>
                <c:pt idx="456">
                  <c:v>8.2059999999999994E-2</c:v>
                </c:pt>
                <c:pt idx="457">
                  <c:v>8.2227999999999996E-2</c:v>
                </c:pt>
                <c:pt idx="458">
                  <c:v>8.2395999999999997E-2</c:v>
                </c:pt>
                <c:pt idx="459">
                  <c:v>8.2533999999999996E-2</c:v>
                </c:pt>
                <c:pt idx="460">
                  <c:v>8.2699999999999996E-2</c:v>
                </c:pt>
                <c:pt idx="461">
                  <c:v>8.2840000000000011E-2</c:v>
                </c:pt>
                <c:pt idx="462">
                  <c:v>8.3005999999999996E-2</c:v>
                </c:pt>
                <c:pt idx="463">
                  <c:v>8.3145999999999998E-2</c:v>
                </c:pt>
                <c:pt idx="464">
                  <c:v>8.3312000000000011E-2</c:v>
                </c:pt>
                <c:pt idx="465">
                  <c:v>8.3477999999999997E-2</c:v>
                </c:pt>
                <c:pt idx="466">
                  <c:v>8.3643999999999996E-2</c:v>
                </c:pt>
                <c:pt idx="467">
                  <c:v>8.3811999999999998E-2</c:v>
                </c:pt>
                <c:pt idx="468">
                  <c:v>8.3977999999999997E-2</c:v>
                </c:pt>
                <c:pt idx="469">
                  <c:v>8.414400000000001E-2</c:v>
                </c:pt>
                <c:pt idx="470">
                  <c:v>8.4309999999999996E-2</c:v>
                </c:pt>
                <c:pt idx="471">
                  <c:v>8.4478000000000011E-2</c:v>
                </c:pt>
                <c:pt idx="472">
                  <c:v>8.4643999999999997E-2</c:v>
                </c:pt>
                <c:pt idx="473">
                  <c:v>8.4811999999999999E-2</c:v>
                </c:pt>
                <c:pt idx="474">
                  <c:v>8.4975999999999996E-2</c:v>
                </c:pt>
                <c:pt idx="475">
                  <c:v>8.5143999999999997E-2</c:v>
                </c:pt>
                <c:pt idx="476">
                  <c:v>8.5311999999999999E-2</c:v>
                </c:pt>
                <c:pt idx="477">
                  <c:v>8.5477999999999998E-2</c:v>
                </c:pt>
                <c:pt idx="478">
                  <c:v>8.5671999999999998E-2</c:v>
                </c:pt>
                <c:pt idx="479">
                  <c:v>8.5866000000000012E-2</c:v>
                </c:pt>
                <c:pt idx="480">
                  <c:v>8.6033999999999999E-2</c:v>
                </c:pt>
                <c:pt idx="481">
                  <c:v>8.6227999999999999E-2</c:v>
                </c:pt>
                <c:pt idx="482">
                  <c:v>8.6396000000000001E-2</c:v>
                </c:pt>
                <c:pt idx="483">
                  <c:v>8.6562E-2</c:v>
                </c:pt>
                <c:pt idx="484">
                  <c:v>8.6728E-2</c:v>
                </c:pt>
                <c:pt idx="485">
                  <c:v>8.6896000000000001E-2</c:v>
                </c:pt>
                <c:pt idx="486">
                  <c:v>8.7062000000000014E-2</c:v>
                </c:pt>
                <c:pt idx="487">
                  <c:v>8.7225999999999998E-2</c:v>
                </c:pt>
                <c:pt idx="488">
                  <c:v>8.7395999999999988E-2</c:v>
                </c:pt>
                <c:pt idx="489">
                  <c:v>8.7559999999999999E-2</c:v>
                </c:pt>
                <c:pt idx="490">
                  <c:v>8.7728E-2</c:v>
                </c:pt>
                <c:pt idx="491">
                  <c:v>8.7924000000000002E-2</c:v>
                </c:pt>
                <c:pt idx="492">
                  <c:v>8.8116E-2</c:v>
                </c:pt>
                <c:pt idx="493">
                  <c:v>8.8312000000000002E-2</c:v>
                </c:pt>
                <c:pt idx="494">
                  <c:v>8.8506000000000001E-2</c:v>
                </c:pt>
                <c:pt idx="495">
                  <c:v>8.8699999999999987E-2</c:v>
                </c:pt>
                <c:pt idx="496">
                  <c:v>8.8894000000000001E-2</c:v>
                </c:pt>
                <c:pt idx="497">
                  <c:v>8.9090000000000003E-2</c:v>
                </c:pt>
                <c:pt idx="498">
                  <c:v>8.9284000000000002E-2</c:v>
                </c:pt>
                <c:pt idx="499">
                  <c:v>8.9478000000000002E-2</c:v>
                </c:pt>
                <c:pt idx="500">
                  <c:v>8.9672000000000002E-2</c:v>
                </c:pt>
                <c:pt idx="501">
                  <c:v>8.9868000000000003E-2</c:v>
                </c:pt>
                <c:pt idx="502">
                  <c:v>9.0062000000000003E-2</c:v>
                </c:pt>
                <c:pt idx="503">
                  <c:v>9.0256000000000003E-2</c:v>
                </c:pt>
                <c:pt idx="504">
                  <c:v>9.0450000000000003E-2</c:v>
                </c:pt>
                <c:pt idx="505">
                  <c:v>9.0643999999999988E-2</c:v>
                </c:pt>
                <c:pt idx="506">
                  <c:v>9.0838000000000002E-2</c:v>
                </c:pt>
                <c:pt idx="507">
                  <c:v>9.1034000000000004E-2</c:v>
                </c:pt>
                <c:pt idx="508">
                  <c:v>9.1228000000000004E-2</c:v>
                </c:pt>
                <c:pt idx="509">
                  <c:v>9.1422000000000003E-2</c:v>
                </c:pt>
                <c:pt idx="510">
                  <c:v>9.1617999999999991E-2</c:v>
                </c:pt>
                <c:pt idx="511">
                  <c:v>9.1812000000000005E-2</c:v>
                </c:pt>
                <c:pt idx="512">
                  <c:v>9.2005999999999991E-2</c:v>
                </c:pt>
                <c:pt idx="513">
                  <c:v>9.2227999999999991E-2</c:v>
                </c:pt>
                <c:pt idx="514">
                  <c:v>9.2452000000000006E-2</c:v>
                </c:pt>
                <c:pt idx="515">
                  <c:v>9.2672000000000004E-2</c:v>
                </c:pt>
                <c:pt idx="516">
                  <c:v>9.2867999999999992E-2</c:v>
                </c:pt>
                <c:pt idx="517">
                  <c:v>9.3089999999999992E-2</c:v>
                </c:pt>
                <c:pt idx="518">
                  <c:v>9.3312000000000006E-2</c:v>
                </c:pt>
                <c:pt idx="519">
                  <c:v>9.3506000000000006E-2</c:v>
                </c:pt>
                <c:pt idx="520">
                  <c:v>9.3699999999999992E-2</c:v>
                </c:pt>
                <c:pt idx="521">
                  <c:v>9.3924000000000007E-2</c:v>
                </c:pt>
                <c:pt idx="522">
                  <c:v>9.4144000000000005E-2</c:v>
                </c:pt>
                <c:pt idx="523">
                  <c:v>9.4366000000000005E-2</c:v>
                </c:pt>
                <c:pt idx="524">
                  <c:v>9.4588000000000005E-2</c:v>
                </c:pt>
                <c:pt idx="525">
                  <c:v>9.4811999999999994E-2</c:v>
                </c:pt>
                <c:pt idx="526">
                  <c:v>9.5031999999999991E-2</c:v>
                </c:pt>
                <c:pt idx="527">
                  <c:v>9.5256000000000007E-2</c:v>
                </c:pt>
                <c:pt idx="528">
                  <c:v>9.5478000000000007E-2</c:v>
                </c:pt>
                <c:pt idx="529">
                  <c:v>9.5698000000000005E-2</c:v>
                </c:pt>
                <c:pt idx="530">
                  <c:v>9.5950000000000008E-2</c:v>
                </c:pt>
                <c:pt idx="531">
                  <c:v>9.620200000000001E-2</c:v>
                </c:pt>
                <c:pt idx="532">
                  <c:v>9.6422000000000008E-2</c:v>
                </c:pt>
                <c:pt idx="533">
                  <c:v>9.667400000000001E-2</c:v>
                </c:pt>
                <c:pt idx="534">
                  <c:v>9.6921999999999994E-2</c:v>
                </c:pt>
                <c:pt idx="535">
                  <c:v>9.714600000000001E-2</c:v>
                </c:pt>
                <c:pt idx="536">
                  <c:v>9.7363999999999992E-2</c:v>
                </c:pt>
                <c:pt idx="537">
                  <c:v>9.759000000000001E-2</c:v>
                </c:pt>
                <c:pt idx="538">
                  <c:v>9.784000000000001E-2</c:v>
                </c:pt>
                <c:pt idx="539">
                  <c:v>9.8087999999999995E-2</c:v>
                </c:pt>
                <c:pt idx="540">
                  <c:v>9.8339999999999997E-2</c:v>
                </c:pt>
                <c:pt idx="541">
                  <c:v>9.8588000000000009E-2</c:v>
                </c:pt>
                <c:pt idx="542">
                  <c:v>9.8838000000000009E-2</c:v>
                </c:pt>
                <c:pt idx="543">
                  <c:v>9.9090000000000011E-2</c:v>
                </c:pt>
                <c:pt idx="544">
                  <c:v>9.9339999999999998E-2</c:v>
                </c:pt>
                <c:pt idx="545">
                  <c:v>9.9589999999999998E-2</c:v>
                </c:pt>
                <c:pt idx="546">
                  <c:v>9.983800000000001E-2</c:v>
                </c:pt>
                <c:pt idx="547">
                  <c:v>0.10009</c:v>
                </c:pt>
                <c:pt idx="548">
                  <c:v>0.10034000000000001</c:v>
                </c:pt>
                <c:pt idx="549">
                  <c:v>0.100588</c:v>
                </c:pt>
                <c:pt idx="550">
                  <c:v>0.10084</c:v>
                </c:pt>
                <c:pt idx="551">
                  <c:v>0.10108800000000001</c:v>
                </c:pt>
                <c:pt idx="552">
                  <c:v>0.10134</c:v>
                </c:pt>
                <c:pt idx="553">
                  <c:v>0.10159000000000001</c:v>
                </c:pt>
                <c:pt idx="554">
                  <c:v>0.101838</c:v>
                </c:pt>
                <c:pt idx="555">
                  <c:v>0.10209</c:v>
                </c:pt>
                <c:pt idx="556">
                  <c:v>0.10234</c:v>
                </c:pt>
                <c:pt idx="557">
                  <c:v>0.10258800000000001</c:v>
                </c:pt>
                <c:pt idx="558">
                  <c:v>0.102838</c:v>
                </c:pt>
                <c:pt idx="559">
                  <c:v>0.10308999999999999</c:v>
                </c:pt>
                <c:pt idx="560">
                  <c:v>0.10336600000000001</c:v>
                </c:pt>
                <c:pt idx="561">
                  <c:v>0.10364599999999999</c:v>
                </c:pt>
                <c:pt idx="562">
                  <c:v>0.103924</c:v>
                </c:pt>
                <c:pt idx="563">
                  <c:v>0.104198</c:v>
                </c:pt>
                <c:pt idx="564">
                  <c:v>0.10447800000000002</c:v>
                </c:pt>
                <c:pt idx="565">
                  <c:v>0.104756</c:v>
                </c:pt>
                <c:pt idx="566">
                  <c:v>0.10503399999999999</c:v>
                </c:pt>
                <c:pt idx="567">
                  <c:v>0.10531</c:v>
                </c:pt>
                <c:pt idx="568">
                  <c:v>0.10558999999999999</c:v>
                </c:pt>
                <c:pt idx="569">
                  <c:v>0.105866</c:v>
                </c:pt>
                <c:pt idx="570">
                  <c:v>0.106144</c:v>
                </c:pt>
                <c:pt idx="571">
                  <c:v>0.106422</c:v>
                </c:pt>
                <c:pt idx="572">
                  <c:v>0.1067</c:v>
                </c:pt>
                <c:pt idx="573">
                  <c:v>0.10700599999999999</c:v>
                </c:pt>
                <c:pt idx="574">
                  <c:v>0.10731</c:v>
                </c:pt>
                <c:pt idx="575">
                  <c:v>0.10761599999999999</c:v>
                </c:pt>
                <c:pt idx="576">
                  <c:v>0.10792199999999999</c:v>
                </c:pt>
                <c:pt idx="577">
                  <c:v>0.10822599999999999</c:v>
                </c:pt>
                <c:pt idx="578">
                  <c:v>0.10853199999999999</c:v>
                </c:pt>
                <c:pt idx="579">
                  <c:v>0.108838</c:v>
                </c:pt>
                <c:pt idx="580">
                  <c:v>0.109144</c:v>
                </c:pt>
                <c:pt idx="581">
                  <c:v>0.10945000000000001</c:v>
                </c:pt>
                <c:pt idx="582">
                  <c:v>0.109754</c:v>
                </c:pt>
                <c:pt idx="583">
                  <c:v>0.11006199999999999</c:v>
                </c:pt>
                <c:pt idx="584">
                  <c:v>0.11039199999999999</c:v>
                </c:pt>
                <c:pt idx="585">
                  <c:v>0.11072800000000001</c:v>
                </c:pt>
                <c:pt idx="586">
                  <c:v>0.11106199999999999</c:v>
                </c:pt>
                <c:pt idx="587">
                  <c:v>0.111396</c:v>
                </c:pt>
                <c:pt idx="588">
                  <c:v>0.111702</c:v>
                </c:pt>
                <c:pt idx="589">
                  <c:v>0.11200599999999999</c:v>
                </c:pt>
                <c:pt idx="590">
                  <c:v>0.112312</c:v>
                </c:pt>
                <c:pt idx="591">
                  <c:v>0.11261599999999999</c:v>
                </c:pt>
                <c:pt idx="592">
                  <c:v>0.11294999999999999</c:v>
                </c:pt>
                <c:pt idx="593">
                  <c:v>0.113258</c:v>
                </c:pt>
                <c:pt idx="594">
                  <c:v>0.113562</c:v>
                </c:pt>
                <c:pt idx="595">
                  <c:v>0.113896</c:v>
                </c:pt>
                <c:pt idx="596">
                  <c:v>0.11422599999999999</c:v>
                </c:pt>
                <c:pt idx="597">
                  <c:v>0.11456200000000001</c:v>
                </c:pt>
                <c:pt idx="598">
                  <c:v>0.114894</c:v>
                </c:pt>
                <c:pt idx="599">
                  <c:v>0.115228</c:v>
                </c:pt>
                <c:pt idx="600">
                  <c:v>0.11559</c:v>
                </c:pt>
                <c:pt idx="601">
                  <c:v>0.11595000000000001</c:v>
                </c:pt>
                <c:pt idx="602">
                  <c:v>0.116312</c:v>
                </c:pt>
                <c:pt idx="603">
                  <c:v>0.116672</c:v>
                </c:pt>
                <c:pt idx="604">
                  <c:v>0.117006</c:v>
                </c:pt>
                <c:pt idx="605">
                  <c:v>0.117366</c:v>
                </c:pt>
                <c:pt idx="606">
                  <c:v>0.117728</c:v>
                </c:pt>
                <c:pt idx="607">
                  <c:v>0.11808999999999999</c:v>
                </c:pt>
                <c:pt idx="608">
                  <c:v>0.118448</c:v>
                </c:pt>
                <c:pt idx="609">
                  <c:v>0.11884</c:v>
                </c:pt>
                <c:pt idx="610">
                  <c:v>0.119228</c:v>
                </c:pt>
                <c:pt idx="611">
                  <c:v>0.119616</c:v>
                </c:pt>
                <c:pt idx="612">
                  <c:v>0.119978</c:v>
                </c:pt>
                <c:pt idx="613">
                  <c:v>0.120338</c:v>
                </c:pt>
                <c:pt idx="614">
                  <c:v>0.120728</c:v>
                </c:pt>
                <c:pt idx="615">
                  <c:v>0.12111599999999999</c:v>
                </c:pt>
                <c:pt idx="616">
                  <c:v>0.121506</c:v>
                </c:pt>
                <c:pt idx="617">
                  <c:v>0.121866</c:v>
                </c:pt>
                <c:pt idx="618">
                  <c:v>0.122256</c:v>
                </c:pt>
                <c:pt idx="619">
                  <c:v>0.122644</c:v>
                </c:pt>
                <c:pt idx="620">
                  <c:v>0.123034</c:v>
                </c:pt>
                <c:pt idx="621">
                  <c:v>0.12342</c:v>
                </c:pt>
                <c:pt idx="622">
                  <c:v>0.12381199999999999</c:v>
                </c:pt>
                <c:pt idx="623">
                  <c:v>0.12422800000000001</c:v>
                </c:pt>
                <c:pt idx="624">
                  <c:v>0.12461800000000001</c:v>
                </c:pt>
                <c:pt idx="625">
                  <c:v>0.12503399999999998</c:v>
                </c:pt>
                <c:pt idx="626">
                  <c:v>0.12545000000000001</c:v>
                </c:pt>
                <c:pt idx="627">
                  <c:v>0.12586600000000001</c:v>
                </c:pt>
                <c:pt idx="628">
                  <c:v>0.12628600000000001</c:v>
                </c:pt>
                <c:pt idx="629">
                  <c:v>0.12670000000000001</c:v>
                </c:pt>
                <c:pt idx="630">
                  <c:v>0.12711800000000001</c:v>
                </c:pt>
                <c:pt idx="631">
                  <c:v>0.12753399999999998</c:v>
                </c:pt>
                <c:pt idx="632">
                  <c:v>0.12795199999999998</c:v>
                </c:pt>
                <c:pt idx="633">
                  <c:v>0.12839400000000001</c:v>
                </c:pt>
                <c:pt idx="634">
                  <c:v>0.12883800000000001</c:v>
                </c:pt>
                <c:pt idx="635">
                  <c:v>0.12928400000000001</c:v>
                </c:pt>
                <c:pt idx="636">
                  <c:v>0.12972600000000001</c:v>
                </c:pt>
                <c:pt idx="637">
                  <c:v>0.13017400000000001</c:v>
                </c:pt>
                <c:pt idx="638">
                  <c:v>0.13061800000000001</c:v>
                </c:pt>
                <c:pt idx="639">
                  <c:v>0.13106199999999998</c:v>
                </c:pt>
                <c:pt idx="640">
                  <c:v>0.13150600000000001</c:v>
                </c:pt>
                <c:pt idx="641">
                  <c:v>0.13195000000000001</c:v>
                </c:pt>
                <c:pt idx="642">
                  <c:v>0.13242200000000001</c:v>
                </c:pt>
                <c:pt idx="643">
                  <c:v>0.13289600000000001</c:v>
                </c:pt>
                <c:pt idx="644">
                  <c:v>0.13336800000000001</c:v>
                </c:pt>
                <c:pt idx="645">
                  <c:v>0.13384000000000001</c:v>
                </c:pt>
                <c:pt idx="646">
                  <c:v>0.13430999999999998</c:v>
                </c:pt>
                <c:pt idx="647">
                  <c:v>0.13478400000000001</c:v>
                </c:pt>
                <c:pt idx="648">
                  <c:v>0.13525600000000002</c:v>
                </c:pt>
                <c:pt idx="649">
                  <c:v>0.13575599999999999</c:v>
                </c:pt>
                <c:pt idx="650">
                  <c:v>0.13625600000000002</c:v>
                </c:pt>
                <c:pt idx="651">
                  <c:v>0.13678399999999999</c:v>
                </c:pt>
                <c:pt idx="652">
                  <c:v>0.13730999999999999</c:v>
                </c:pt>
                <c:pt idx="653">
                  <c:v>0.13784000000000002</c:v>
                </c:pt>
                <c:pt idx="654">
                  <c:v>0.13836799999999999</c:v>
                </c:pt>
                <c:pt idx="655">
                  <c:v>0.13889399999999999</c:v>
                </c:pt>
                <c:pt idx="656">
                  <c:v>0.13944999999999999</c:v>
                </c:pt>
                <c:pt idx="657">
                  <c:v>0.13997799999999999</c:v>
                </c:pt>
                <c:pt idx="658">
                  <c:v>0.14053399999999999</c:v>
                </c:pt>
                <c:pt idx="659">
                  <c:v>0.14108799999999999</c:v>
                </c:pt>
                <c:pt idx="660">
                  <c:v>0.14164599999999999</c:v>
                </c:pt>
                <c:pt idx="661">
                  <c:v>0.14219999999999999</c:v>
                </c:pt>
                <c:pt idx="662">
                  <c:v>0.14275399999999999</c:v>
                </c:pt>
                <c:pt idx="663">
                  <c:v>0.14334</c:v>
                </c:pt>
                <c:pt idx="664">
                  <c:v>0.143952</c:v>
                </c:pt>
              </c:numCache>
            </c:numRef>
          </c:cat>
          <c:val>
            <c:numRef>
              <c:f>'A21-2'!$F$2:$F$666</c:f>
              <c:numCache>
                <c:formatCode>0.00</c:formatCode>
                <c:ptCount val="665"/>
                <c:pt idx="0">
                  <c:v>0</c:v>
                </c:pt>
                <c:pt idx="1">
                  <c:v>4.8797513746115226E-2</c:v>
                </c:pt>
                <c:pt idx="2">
                  <c:v>4.8797513746115226E-2</c:v>
                </c:pt>
                <c:pt idx="3">
                  <c:v>4.8797513746115226E-2</c:v>
                </c:pt>
                <c:pt idx="4">
                  <c:v>4.8797513746115226E-2</c:v>
                </c:pt>
                <c:pt idx="5">
                  <c:v>4.8797513746115226E-2</c:v>
                </c:pt>
                <c:pt idx="6">
                  <c:v>4.8797513746115226E-2</c:v>
                </c:pt>
                <c:pt idx="7">
                  <c:v>4.8797513746115226E-2</c:v>
                </c:pt>
                <c:pt idx="8">
                  <c:v>4.8797513746115226E-2</c:v>
                </c:pt>
                <c:pt idx="9">
                  <c:v>4.8797513746115226E-2</c:v>
                </c:pt>
                <c:pt idx="10">
                  <c:v>4.8797513746115226E-2</c:v>
                </c:pt>
                <c:pt idx="11">
                  <c:v>4.8797513746115226E-2</c:v>
                </c:pt>
                <c:pt idx="12">
                  <c:v>4.8797513746115226E-2</c:v>
                </c:pt>
                <c:pt idx="13">
                  <c:v>4.8797513746115226E-2</c:v>
                </c:pt>
                <c:pt idx="14">
                  <c:v>4.8797513746115226E-2</c:v>
                </c:pt>
                <c:pt idx="15">
                  <c:v>4.8797513746115226E-2</c:v>
                </c:pt>
                <c:pt idx="16">
                  <c:v>4.8797513746115226E-2</c:v>
                </c:pt>
                <c:pt idx="17">
                  <c:v>5.4219459717905809E-2</c:v>
                </c:pt>
                <c:pt idx="18">
                  <c:v>4.8797513746115226E-2</c:v>
                </c:pt>
                <c:pt idx="19">
                  <c:v>4.8797513746115226E-2</c:v>
                </c:pt>
                <c:pt idx="20">
                  <c:v>5.4219459717905809E-2</c:v>
                </c:pt>
                <c:pt idx="21">
                  <c:v>5.4219459717905809E-2</c:v>
                </c:pt>
                <c:pt idx="22">
                  <c:v>5.4219459717905809E-2</c:v>
                </c:pt>
                <c:pt idx="23">
                  <c:v>5.4219459717905809E-2</c:v>
                </c:pt>
                <c:pt idx="24">
                  <c:v>5.4219459717905809E-2</c:v>
                </c:pt>
                <c:pt idx="25">
                  <c:v>5.4219459717905809E-2</c:v>
                </c:pt>
                <c:pt idx="26">
                  <c:v>5.4219459717905809E-2</c:v>
                </c:pt>
                <c:pt idx="27">
                  <c:v>5.4219459717905809E-2</c:v>
                </c:pt>
                <c:pt idx="28">
                  <c:v>5.4219459717905809E-2</c:v>
                </c:pt>
                <c:pt idx="29">
                  <c:v>5.9641405689696399E-2</c:v>
                </c:pt>
                <c:pt idx="30">
                  <c:v>5.9641405689696399E-2</c:v>
                </c:pt>
                <c:pt idx="31">
                  <c:v>5.9641405689696399E-2</c:v>
                </c:pt>
                <c:pt idx="32">
                  <c:v>5.9641405689696399E-2</c:v>
                </c:pt>
                <c:pt idx="33">
                  <c:v>5.9641405689696399E-2</c:v>
                </c:pt>
                <c:pt idx="34">
                  <c:v>5.9641405689696399E-2</c:v>
                </c:pt>
                <c:pt idx="35">
                  <c:v>5.9641405689696399E-2</c:v>
                </c:pt>
                <c:pt idx="36">
                  <c:v>6.5063351661486968E-2</c:v>
                </c:pt>
                <c:pt idx="37">
                  <c:v>6.5063351661486968E-2</c:v>
                </c:pt>
                <c:pt idx="38">
                  <c:v>6.5063351661486968E-2</c:v>
                </c:pt>
                <c:pt idx="39">
                  <c:v>6.5063351661486968E-2</c:v>
                </c:pt>
                <c:pt idx="40">
                  <c:v>7.0485297633277558E-2</c:v>
                </c:pt>
                <c:pt idx="41">
                  <c:v>7.0485297633277558E-2</c:v>
                </c:pt>
                <c:pt idx="42">
                  <c:v>7.0485297633277558E-2</c:v>
                </c:pt>
                <c:pt idx="43">
                  <c:v>7.0485297633277558E-2</c:v>
                </c:pt>
                <c:pt idx="44">
                  <c:v>7.0485297633277558E-2</c:v>
                </c:pt>
                <c:pt idx="45">
                  <c:v>7.0485297633277558E-2</c:v>
                </c:pt>
                <c:pt idx="46">
                  <c:v>7.0485297633277558E-2</c:v>
                </c:pt>
                <c:pt idx="47">
                  <c:v>7.5907243605068148E-2</c:v>
                </c:pt>
                <c:pt idx="48">
                  <c:v>7.5907243605068148E-2</c:v>
                </c:pt>
                <c:pt idx="49">
                  <c:v>8.132918957685871E-2</c:v>
                </c:pt>
                <c:pt idx="50">
                  <c:v>8.132918957685871E-2</c:v>
                </c:pt>
                <c:pt idx="51">
                  <c:v>9.2173081520439876E-2</c:v>
                </c:pt>
                <c:pt idx="52">
                  <c:v>9.7595027492230452E-2</c:v>
                </c:pt>
                <c:pt idx="53">
                  <c:v>0.10843891943581162</c:v>
                </c:pt>
                <c:pt idx="54">
                  <c:v>0.11386086540760221</c:v>
                </c:pt>
                <c:pt idx="55">
                  <c:v>0.1192828113793928</c:v>
                </c:pt>
                <c:pt idx="56">
                  <c:v>0.12470475735118337</c:v>
                </c:pt>
                <c:pt idx="57">
                  <c:v>0.1192828113793928</c:v>
                </c:pt>
                <c:pt idx="58">
                  <c:v>0.10301697346402104</c:v>
                </c:pt>
                <c:pt idx="59">
                  <c:v>9.2173081520439876E-2</c:v>
                </c:pt>
                <c:pt idx="60">
                  <c:v>8.67511355486493E-2</c:v>
                </c:pt>
                <c:pt idx="61">
                  <c:v>8.67511355486493E-2</c:v>
                </c:pt>
                <c:pt idx="62">
                  <c:v>8.67511355486493E-2</c:v>
                </c:pt>
                <c:pt idx="63">
                  <c:v>8.67511355486493E-2</c:v>
                </c:pt>
                <c:pt idx="64">
                  <c:v>8.67511355486493E-2</c:v>
                </c:pt>
                <c:pt idx="65">
                  <c:v>9.2173081520439876E-2</c:v>
                </c:pt>
                <c:pt idx="66">
                  <c:v>0.10301697346402104</c:v>
                </c:pt>
                <c:pt idx="67">
                  <c:v>0.11386086540760221</c:v>
                </c:pt>
                <c:pt idx="68">
                  <c:v>0.12470475735118337</c:v>
                </c:pt>
                <c:pt idx="69">
                  <c:v>0.13012670332297394</c:v>
                </c:pt>
                <c:pt idx="70">
                  <c:v>0.14097059526655512</c:v>
                </c:pt>
                <c:pt idx="71">
                  <c:v>0.1518144872101363</c:v>
                </c:pt>
                <c:pt idx="72">
                  <c:v>0.15723643318192687</c:v>
                </c:pt>
                <c:pt idx="73">
                  <c:v>0.15723643318192687</c:v>
                </c:pt>
                <c:pt idx="74">
                  <c:v>0.15723643318192687</c:v>
                </c:pt>
                <c:pt idx="75">
                  <c:v>0.15723643318192687</c:v>
                </c:pt>
                <c:pt idx="76">
                  <c:v>0.15723643318192687</c:v>
                </c:pt>
                <c:pt idx="77">
                  <c:v>0.15723643318192687</c:v>
                </c:pt>
                <c:pt idx="78">
                  <c:v>0.16265837915371742</c:v>
                </c:pt>
                <c:pt idx="79">
                  <c:v>0.16265837915371742</c:v>
                </c:pt>
                <c:pt idx="80">
                  <c:v>0.16265837915371742</c:v>
                </c:pt>
                <c:pt idx="81">
                  <c:v>0.16265837915371742</c:v>
                </c:pt>
                <c:pt idx="82">
                  <c:v>0.16265837915371742</c:v>
                </c:pt>
                <c:pt idx="83">
                  <c:v>0.16265837915371742</c:v>
                </c:pt>
                <c:pt idx="84">
                  <c:v>0.16265837915371742</c:v>
                </c:pt>
                <c:pt idx="85">
                  <c:v>0.16265837915371742</c:v>
                </c:pt>
                <c:pt idx="86">
                  <c:v>0.16265837915371742</c:v>
                </c:pt>
                <c:pt idx="87">
                  <c:v>0.16265837915371742</c:v>
                </c:pt>
                <c:pt idx="88">
                  <c:v>0.16265837915371742</c:v>
                </c:pt>
                <c:pt idx="89">
                  <c:v>0.16808032512550805</c:v>
                </c:pt>
                <c:pt idx="90">
                  <c:v>0.16808032512550805</c:v>
                </c:pt>
                <c:pt idx="91">
                  <c:v>0.16808032512550805</c:v>
                </c:pt>
                <c:pt idx="92">
                  <c:v>0.16808032512550805</c:v>
                </c:pt>
                <c:pt idx="93">
                  <c:v>0.1735022710972986</c:v>
                </c:pt>
                <c:pt idx="94">
                  <c:v>0.18976810901267036</c:v>
                </c:pt>
                <c:pt idx="95">
                  <c:v>0.20603394692804208</c:v>
                </c:pt>
                <c:pt idx="96">
                  <c:v>0.21687783887162324</c:v>
                </c:pt>
                <c:pt idx="97">
                  <c:v>0.21687783887162324</c:v>
                </c:pt>
                <c:pt idx="98">
                  <c:v>0.22229978484341384</c:v>
                </c:pt>
                <c:pt idx="99">
                  <c:v>0.22229978484341384</c:v>
                </c:pt>
                <c:pt idx="100">
                  <c:v>0.22772173081520442</c:v>
                </c:pt>
                <c:pt idx="101">
                  <c:v>0.22772173081520442</c:v>
                </c:pt>
                <c:pt idx="102">
                  <c:v>0.23314048928201453</c:v>
                </c:pt>
                <c:pt idx="103">
                  <c:v>0.23314048928201453</c:v>
                </c:pt>
                <c:pt idx="104">
                  <c:v>0.23314048928201453</c:v>
                </c:pt>
                <c:pt idx="105">
                  <c:v>0.23314048928201453</c:v>
                </c:pt>
                <c:pt idx="106">
                  <c:v>0.23314048928201453</c:v>
                </c:pt>
                <c:pt idx="107">
                  <c:v>0.23314048928201453</c:v>
                </c:pt>
                <c:pt idx="108">
                  <c:v>0.23314048928201453</c:v>
                </c:pt>
                <c:pt idx="109">
                  <c:v>0.23314048928201453</c:v>
                </c:pt>
                <c:pt idx="110">
                  <c:v>0.23314048928201453</c:v>
                </c:pt>
                <c:pt idx="111">
                  <c:v>0.23856243525380511</c:v>
                </c:pt>
                <c:pt idx="112">
                  <c:v>0.23856243525380511</c:v>
                </c:pt>
                <c:pt idx="113">
                  <c:v>0.23856243525380511</c:v>
                </c:pt>
                <c:pt idx="114">
                  <c:v>0.23856243525380511</c:v>
                </c:pt>
                <c:pt idx="115">
                  <c:v>0.23314048928201453</c:v>
                </c:pt>
                <c:pt idx="116">
                  <c:v>0.23856243525380511</c:v>
                </c:pt>
                <c:pt idx="117">
                  <c:v>0.23856243525380511</c:v>
                </c:pt>
                <c:pt idx="118">
                  <c:v>0.23856243525380511</c:v>
                </c:pt>
                <c:pt idx="119">
                  <c:v>0.23856243525380511</c:v>
                </c:pt>
                <c:pt idx="120">
                  <c:v>0.23856243525380511</c:v>
                </c:pt>
                <c:pt idx="121">
                  <c:v>0.23856243525380511</c:v>
                </c:pt>
                <c:pt idx="122">
                  <c:v>0.23856243525380511</c:v>
                </c:pt>
                <c:pt idx="123">
                  <c:v>0.23856243525380511</c:v>
                </c:pt>
                <c:pt idx="124">
                  <c:v>0.24398438122559568</c:v>
                </c:pt>
                <c:pt idx="125">
                  <c:v>0.24398438122559568</c:v>
                </c:pt>
                <c:pt idx="126">
                  <c:v>0.23856243525380511</c:v>
                </c:pt>
                <c:pt idx="127">
                  <c:v>0.23856243525380511</c:v>
                </c:pt>
                <c:pt idx="128">
                  <c:v>0.23856243525380511</c:v>
                </c:pt>
                <c:pt idx="129">
                  <c:v>0.24398438122559568</c:v>
                </c:pt>
                <c:pt idx="130">
                  <c:v>0.24398438122559568</c:v>
                </c:pt>
                <c:pt idx="131">
                  <c:v>0.24398438122559568</c:v>
                </c:pt>
                <c:pt idx="132">
                  <c:v>0.24398438122559568</c:v>
                </c:pt>
                <c:pt idx="133">
                  <c:v>0.24940632719738623</c:v>
                </c:pt>
                <c:pt idx="134">
                  <c:v>0.24940632719738623</c:v>
                </c:pt>
                <c:pt idx="135">
                  <c:v>0.24940632719738623</c:v>
                </c:pt>
                <c:pt idx="136">
                  <c:v>0.24940632719738623</c:v>
                </c:pt>
                <c:pt idx="137">
                  <c:v>0.25482827316917683</c:v>
                </c:pt>
                <c:pt idx="138">
                  <c:v>0.25482827316917683</c:v>
                </c:pt>
                <c:pt idx="139">
                  <c:v>0.25482827316917683</c:v>
                </c:pt>
                <c:pt idx="140">
                  <c:v>0.26025021914096741</c:v>
                </c:pt>
                <c:pt idx="141">
                  <c:v>0.26025021914096741</c:v>
                </c:pt>
                <c:pt idx="142">
                  <c:v>0.26567216511275799</c:v>
                </c:pt>
                <c:pt idx="143">
                  <c:v>0.27109411108454856</c:v>
                </c:pt>
                <c:pt idx="144">
                  <c:v>0.27109411108454856</c:v>
                </c:pt>
                <c:pt idx="145">
                  <c:v>0.28193800302812977</c:v>
                </c:pt>
                <c:pt idx="146">
                  <c:v>0.30362578691529202</c:v>
                </c:pt>
                <c:pt idx="147">
                  <c:v>0.32531675830743484</c:v>
                </c:pt>
                <c:pt idx="148">
                  <c:v>0.3469917921746753</c:v>
                </c:pt>
                <c:pt idx="149">
                  <c:v>0.36869870109172048</c:v>
                </c:pt>
                <c:pt idx="150">
                  <c:v>0.38495497649215082</c:v>
                </c:pt>
                <c:pt idx="151">
                  <c:v>0.40663001035939123</c:v>
                </c:pt>
                <c:pt idx="152">
                  <c:v>0.42833691927643647</c:v>
                </c:pt>
                <c:pt idx="153">
                  <c:v>0.45001195314367681</c:v>
                </c:pt>
                <c:pt idx="154">
                  <c:v>0.47171886206072194</c:v>
                </c:pt>
                <c:pt idx="155">
                  <c:v>0.4933938959279624</c:v>
                </c:pt>
                <c:pt idx="156">
                  <c:v>0.5150689297952028</c:v>
                </c:pt>
                <c:pt idx="157">
                  <c:v>0.52593832177862776</c:v>
                </c:pt>
                <c:pt idx="158">
                  <c:v>0.54761335564586822</c:v>
                </c:pt>
                <c:pt idx="159">
                  <c:v>0.56928838951310867</c:v>
                </c:pt>
                <c:pt idx="160">
                  <c:v>0.59099529843015386</c:v>
                </c:pt>
                <c:pt idx="161">
                  <c:v>0.61267033229739432</c:v>
                </c:pt>
                <c:pt idx="162">
                  <c:v>0.6343772412144395</c:v>
                </c:pt>
                <c:pt idx="163">
                  <c:v>0.65605227508167996</c:v>
                </c:pt>
                <c:pt idx="164">
                  <c:v>0.6777273089489203</c:v>
                </c:pt>
                <c:pt idx="165">
                  <c:v>0.69943421786596549</c:v>
                </c:pt>
                <c:pt idx="166">
                  <c:v>0.72110925173320584</c:v>
                </c:pt>
                <c:pt idx="167">
                  <c:v>0.74281616065025102</c:v>
                </c:pt>
                <c:pt idx="168">
                  <c:v>0.76449119451749148</c:v>
                </c:pt>
                <c:pt idx="169">
                  <c:v>0.78616622838473194</c:v>
                </c:pt>
                <c:pt idx="170">
                  <c:v>0.80787313730177701</c:v>
                </c:pt>
                <c:pt idx="171">
                  <c:v>0.82954817116901747</c:v>
                </c:pt>
                <c:pt idx="172">
                  <c:v>0.85125508008606265</c:v>
                </c:pt>
                <c:pt idx="173">
                  <c:v>0.87293011395330311</c:v>
                </c:pt>
                <c:pt idx="174">
                  <c:v>0.89460514782054346</c:v>
                </c:pt>
                <c:pt idx="175">
                  <c:v>0.91631205673758875</c:v>
                </c:pt>
                <c:pt idx="176">
                  <c:v>0.9379870906048291</c:v>
                </c:pt>
                <c:pt idx="177">
                  <c:v>0.95966212447206956</c:v>
                </c:pt>
                <c:pt idx="178">
                  <c:v>0.98136903338911474</c:v>
                </c:pt>
                <c:pt idx="179">
                  <c:v>1.0030440672563552</c:v>
                </c:pt>
                <c:pt idx="180">
                  <c:v>1.0247509761734004</c:v>
                </c:pt>
                <c:pt idx="181">
                  <c:v>1.0464260100406406</c:v>
                </c:pt>
                <c:pt idx="182">
                  <c:v>1.0681010439078813</c:v>
                </c:pt>
                <c:pt idx="183">
                  <c:v>1.0898079528249263</c:v>
                </c:pt>
                <c:pt idx="184">
                  <c:v>1.1114829866921667</c:v>
                </c:pt>
                <c:pt idx="185">
                  <c:v>1.1331898956092121</c:v>
                </c:pt>
                <c:pt idx="186">
                  <c:v>1.1548649294764526</c:v>
                </c:pt>
                <c:pt idx="187">
                  <c:v>1.176539963343693</c:v>
                </c:pt>
                <c:pt idx="188">
                  <c:v>1.198246872260738</c:v>
                </c:pt>
                <c:pt idx="189">
                  <c:v>1.2199219061279782</c:v>
                </c:pt>
                <c:pt idx="190">
                  <c:v>1.2416288150450236</c:v>
                </c:pt>
                <c:pt idx="191">
                  <c:v>1.2633038489122639</c:v>
                </c:pt>
                <c:pt idx="192">
                  <c:v>1.2849788827795043</c:v>
                </c:pt>
                <c:pt idx="193">
                  <c:v>1.3066857916965495</c:v>
                </c:pt>
                <c:pt idx="194">
                  <c:v>1.32836082556379</c:v>
                </c:pt>
                <c:pt idx="195">
                  <c:v>1.3500677344808349</c:v>
                </c:pt>
                <c:pt idx="196">
                  <c:v>1.3717427683480754</c:v>
                </c:pt>
                <c:pt idx="197">
                  <c:v>1.3934178022153161</c:v>
                </c:pt>
                <c:pt idx="198">
                  <c:v>1.4151247111323613</c:v>
                </c:pt>
                <c:pt idx="199">
                  <c:v>1.4367997449996017</c:v>
                </c:pt>
                <c:pt idx="200">
                  <c:v>1.4585066539166467</c:v>
                </c:pt>
                <c:pt idx="201">
                  <c:v>1.4801816877838871</c:v>
                </c:pt>
                <c:pt idx="202">
                  <c:v>1.5018567216511276</c:v>
                </c:pt>
                <c:pt idx="203">
                  <c:v>1.523563630568173</c:v>
                </c:pt>
                <c:pt idx="204">
                  <c:v>1.5452386644354135</c:v>
                </c:pt>
                <c:pt idx="205">
                  <c:v>1.5669455733524584</c:v>
                </c:pt>
                <c:pt idx="206">
                  <c:v>1.5886206072196989</c:v>
                </c:pt>
                <c:pt idx="207">
                  <c:v>1.6102956410869393</c:v>
                </c:pt>
                <c:pt idx="208">
                  <c:v>1.6320025500039845</c:v>
                </c:pt>
                <c:pt idx="209">
                  <c:v>1.653677583871225</c:v>
                </c:pt>
                <c:pt idx="210">
                  <c:v>1.6753844927882702</c:v>
                </c:pt>
                <c:pt idx="211">
                  <c:v>1.6970595266555106</c:v>
                </c:pt>
                <c:pt idx="212">
                  <c:v>1.7187345605227509</c:v>
                </c:pt>
                <c:pt idx="213">
                  <c:v>1.7404414694397958</c:v>
                </c:pt>
                <c:pt idx="214">
                  <c:v>1.7621165033070363</c:v>
                </c:pt>
                <c:pt idx="215">
                  <c:v>1.7838234122240819</c:v>
                </c:pt>
                <c:pt idx="216">
                  <c:v>1.8054984460913222</c:v>
                </c:pt>
                <c:pt idx="217">
                  <c:v>1.8271734799585626</c:v>
                </c:pt>
                <c:pt idx="218">
                  <c:v>1.8488803888756076</c:v>
                </c:pt>
                <c:pt idx="219">
                  <c:v>1.870555422742848</c:v>
                </c:pt>
                <c:pt idx="220">
                  <c:v>1.8922304566100885</c:v>
                </c:pt>
                <c:pt idx="221">
                  <c:v>1.9139373655271337</c:v>
                </c:pt>
                <c:pt idx="222">
                  <c:v>1.9356123993943741</c:v>
                </c:pt>
                <c:pt idx="223">
                  <c:v>1.9573193083114193</c:v>
                </c:pt>
                <c:pt idx="224">
                  <c:v>1.9789943421786598</c:v>
                </c:pt>
                <c:pt idx="225">
                  <c:v>2.0006693760459</c:v>
                </c:pt>
                <c:pt idx="226">
                  <c:v>2.0223762849629452</c:v>
                </c:pt>
                <c:pt idx="227">
                  <c:v>2.0440513188301854</c:v>
                </c:pt>
                <c:pt idx="228">
                  <c:v>2.0657582277472311</c:v>
                </c:pt>
                <c:pt idx="229">
                  <c:v>2.0874332616144713</c:v>
                </c:pt>
                <c:pt idx="230">
                  <c:v>2.109108295481712</c:v>
                </c:pt>
                <c:pt idx="231">
                  <c:v>2.1308152043987572</c:v>
                </c:pt>
                <c:pt idx="232">
                  <c:v>2.1524902382659974</c:v>
                </c:pt>
                <c:pt idx="233">
                  <c:v>2.1741971471830426</c:v>
                </c:pt>
                <c:pt idx="234">
                  <c:v>2.1958721810502828</c:v>
                </c:pt>
                <c:pt idx="235">
                  <c:v>2.2175472149175235</c:v>
                </c:pt>
                <c:pt idx="236">
                  <c:v>2.2392541238345687</c:v>
                </c:pt>
                <c:pt idx="237">
                  <c:v>2.2609291577018089</c:v>
                </c:pt>
                <c:pt idx="238">
                  <c:v>2.2826360666188541</c:v>
                </c:pt>
                <c:pt idx="239">
                  <c:v>2.3043111004860948</c:v>
                </c:pt>
                <c:pt idx="240">
                  <c:v>2.325986134353335</c:v>
                </c:pt>
                <c:pt idx="241">
                  <c:v>2.3476930432703802</c:v>
                </c:pt>
                <c:pt idx="242">
                  <c:v>2.3693680771376204</c:v>
                </c:pt>
                <c:pt idx="243">
                  <c:v>2.3910749860546661</c:v>
                </c:pt>
                <c:pt idx="244">
                  <c:v>2.4127500199219063</c:v>
                </c:pt>
                <c:pt idx="245">
                  <c:v>2.4344250537891465</c:v>
                </c:pt>
                <c:pt idx="246">
                  <c:v>2.4561319627061917</c:v>
                </c:pt>
                <c:pt idx="247">
                  <c:v>2.4778069965734324</c:v>
                </c:pt>
                <c:pt idx="248">
                  <c:v>2.4995139054904776</c:v>
                </c:pt>
                <c:pt idx="249">
                  <c:v>2.5211889393577178</c:v>
                </c:pt>
                <c:pt idx="250">
                  <c:v>2.5428639732249585</c:v>
                </c:pt>
                <c:pt idx="251">
                  <c:v>2.5645708821420032</c:v>
                </c:pt>
                <c:pt idx="252">
                  <c:v>2.5862459160092439</c:v>
                </c:pt>
                <c:pt idx="253">
                  <c:v>2.6079528249262887</c:v>
                </c:pt>
                <c:pt idx="254">
                  <c:v>2.6296278587935298</c:v>
                </c:pt>
                <c:pt idx="255">
                  <c:v>2.6513028926607696</c:v>
                </c:pt>
                <c:pt idx="256">
                  <c:v>2.6730098015778148</c:v>
                </c:pt>
                <c:pt idx="257">
                  <c:v>2.6946848354450559</c:v>
                </c:pt>
                <c:pt idx="258">
                  <c:v>2.7163917443621006</c:v>
                </c:pt>
                <c:pt idx="259">
                  <c:v>2.7380667782293413</c:v>
                </c:pt>
                <c:pt idx="260">
                  <c:v>2.7597418120965815</c:v>
                </c:pt>
                <c:pt idx="261">
                  <c:v>2.7814487210136267</c:v>
                </c:pt>
                <c:pt idx="262">
                  <c:v>2.8031237548808674</c:v>
                </c:pt>
                <c:pt idx="263">
                  <c:v>2.8247987887481072</c:v>
                </c:pt>
                <c:pt idx="264">
                  <c:v>2.8465056976651533</c:v>
                </c:pt>
                <c:pt idx="265">
                  <c:v>2.8681807315323931</c:v>
                </c:pt>
                <c:pt idx="266">
                  <c:v>2.8898876404494382</c:v>
                </c:pt>
                <c:pt idx="267">
                  <c:v>2.9115626743166789</c:v>
                </c:pt>
                <c:pt idx="268">
                  <c:v>2.9332377081839192</c:v>
                </c:pt>
                <c:pt idx="269">
                  <c:v>2.9549446171009643</c:v>
                </c:pt>
                <c:pt idx="270">
                  <c:v>2.9766196509682046</c:v>
                </c:pt>
                <c:pt idx="271">
                  <c:v>2.9983265598852498</c:v>
                </c:pt>
                <c:pt idx="272">
                  <c:v>3.0200015937524904</c:v>
                </c:pt>
                <c:pt idx="273">
                  <c:v>3.0416766276197307</c:v>
                </c:pt>
                <c:pt idx="274">
                  <c:v>3.0633835365367759</c:v>
                </c:pt>
                <c:pt idx="275">
                  <c:v>3.0850585704040165</c:v>
                </c:pt>
                <c:pt idx="276">
                  <c:v>3.1067654793210617</c:v>
                </c:pt>
                <c:pt idx="277">
                  <c:v>3.128440513188302</c:v>
                </c:pt>
                <c:pt idx="278">
                  <c:v>3.1501155470555426</c:v>
                </c:pt>
                <c:pt idx="279">
                  <c:v>3.1718224559725878</c:v>
                </c:pt>
                <c:pt idx="280">
                  <c:v>3.1935612399394375</c:v>
                </c:pt>
                <c:pt idx="281">
                  <c:v>3.2152362738066782</c:v>
                </c:pt>
                <c:pt idx="282">
                  <c:v>3.2369113076739184</c:v>
                </c:pt>
                <c:pt idx="283">
                  <c:v>3.2585863415411591</c:v>
                </c:pt>
                <c:pt idx="284">
                  <c:v>3.2802613754083993</c:v>
                </c:pt>
                <c:pt idx="285">
                  <c:v>3.3019364092756396</c:v>
                </c:pt>
                <c:pt idx="286">
                  <c:v>3.3236114431428798</c:v>
                </c:pt>
                <c:pt idx="287">
                  <c:v>3.3452864770101205</c:v>
                </c:pt>
                <c:pt idx="288">
                  <c:v>3.3669615108773607</c:v>
                </c:pt>
                <c:pt idx="289">
                  <c:v>3.3886365447446014</c:v>
                </c:pt>
                <c:pt idx="290">
                  <c:v>3.4103115786118416</c:v>
                </c:pt>
                <c:pt idx="291">
                  <c:v>3.4319866124790823</c:v>
                </c:pt>
                <c:pt idx="292">
                  <c:v>3.4536616463463221</c:v>
                </c:pt>
                <c:pt idx="293">
                  <c:v>3.4753366802135632</c:v>
                </c:pt>
                <c:pt idx="294">
                  <c:v>3.497011714080803</c:v>
                </c:pt>
                <c:pt idx="295">
                  <c:v>3.5186867479480441</c:v>
                </c:pt>
                <c:pt idx="296">
                  <c:v>3.5403617818152839</c:v>
                </c:pt>
                <c:pt idx="297">
                  <c:v>3.5620368156825246</c:v>
                </c:pt>
                <c:pt idx="298">
                  <c:v>3.5840306000478126</c:v>
                </c:pt>
                <c:pt idx="299">
                  <c:v>3.6057056339150533</c:v>
                </c:pt>
                <c:pt idx="300">
                  <c:v>3.6273806677822935</c:v>
                </c:pt>
                <c:pt idx="301">
                  <c:v>3.6490557016495342</c:v>
                </c:pt>
                <c:pt idx="302">
                  <c:v>3.6707307355167744</c:v>
                </c:pt>
                <c:pt idx="303">
                  <c:v>3.6924057693840151</c:v>
                </c:pt>
                <c:pt idx="304">
                  <c:v>3.7140808032512553</c:v>
                </c:pt>
                <c:pt idx="305">
                  <c:v>3.741174595585306</c:v>
                </c:pt>
                <c:pt idx="306">
                  <c:v>3.7682683879193561</c:v>
                </c:pt>
                <c:pt idx="307">
                  <c:v>3.7899434217865968</c:v>
                </c:pt>
                <c:pt idx="308">
                  <c:v>3.8170372141206474</c:v>
                </c:pt>
                <c:pt idx="309">
                  <c:v>3.8441310064546976</c:v>
                </c:pt>
                <c:pt idx="310">
                  <c:v>3.8658060403219383</c:v>
                </c:pt>
                <c:pt idx="311">
                  <c:v>3.8874810741891785</c:v>
                </c:pt>
                <c:pt idx="312">
                  <c:v>3.9091561080564192</c:v>
                </c:pt>
                <c:pt idx="313">
                  <c:v>3.9308311419236595</c:v>
                </c:pt>
                <c:pt idx="314">
                  <c:v>3.9579249342577101</c:v>
                </c:pt>
                <c:pt idx="315">
                  <c:v>3.9795999681249503</c:v>
                </c:pt>
                <c:pt idx="316">
                  <c:v>4.001275001992191</c:v>
                </c:pt>
                <c:pt idx="317">
                  <c:v>4.0229500358594308</c:v>
                </c:pt>
                <c:pt idx="318">
                  <c:v>4.0446250697266715</c:v>
                </c:pt>
                <c:pt idx="319">
                  <c:v>4.0663001035939121</c:v>
                </c:pt>
                <c:pt idx="320">
                  <c:v>4.0879751374611528</c:v>
                </c:pt>
                <c:pt idx="321">
                  <c:v>4.1096501713283935</c:v>
                </c:pt>
                <c:pt idx="322">
                  <c:v>4.131643955693681</c:v>
                </c:pt>
                <c:pt idx="323">
                  <c:v>4.1533189895609217</c:v>
                </c:pt>
                <c:pt idx="324">
                  <c:v>4.1749940234281615</c:v>
                </c:pt>
                <c:pt idx="325">
                  <c:v>4.2075065742290221</c:v>
                </c:pt>
                <c:pt idx="326">
                  <c:v>4.2400191250298835</c:v>
                </c:pt>
                <c:pt idx="327">
                  <c:v>4.2725316758307432</c:v>
                </c:pt>
                <c:pt idx="328">
                  <c:v>4.3050442266316038</c:v>
                </c:pt>
                <c:pt idx="329">
                  <c:v>4.3429755358992752</c:v>
                </c:pt>
                <c:pt idx="330">
                  <c:v>4.3809068451669457</c:v>
                </c:pt>
                <c:pt idx="331">
                  <c:v>4.4134193959678063</c:v>
                </c:pt>
                <c:pt idx="332">
                  <c:v>4.4459319467686669</c:v>
                </c:pt>
                <c:pt idx="333">
                  <c:v>4.4784444975695274</c:v>
                </c:pt>
                <c:pt idx="334">
                  <c:v>4.510957048370388</c:v>
                </c:pt>
                <c:pt idx="335">
                  <c:v>4.5488883576380594</c:v>
                </c:pt>
                <c:pt idx="336">
                  <c:v>4.5814009084389191</c:v>
                </c:pt>
                <c:pt idx="337">
                  <c:v>4.6193322177065896</c:v>
                </c:pt>
                <c:pt idx="338">
                  <c:v>4.6518447685074511</c:v>
                </c:pt>
                <c:pt idx="339">
                  <c:v>4.6846760698063594</c:v>
                </c:pt>
                <c:pt idx="340">
                  <c:v>4.7226073790740299</c:v>
                </c:pt>
                <c:pt idx="341">
                  <c:v>4.7605386883417005</c:v>
                </c:pt>
                <c:pt idx="342">
                  <c:v>4.798469997609371</c:v>
                </c:pt>
                <c:pt idx="343">
                  <c:v>4.8309825484102324</c:v>
                </c:pt>
                <c:pt idx="344">
                  <c:v>4.868913857677903</c:v>
                </c:pt>
                <c:pt idx="345">
                  <c:v>4.9068451669455735</c:v>
                </c:pt>
                <c:pt idx="346">
                  <c:v>4.944776476213244</c:v>
                </c:pt>
                <c:pt idx="347">
                  <c:v>4.9827077854809145</c:v>
                </c:pt>
                <c:pt idx="348">
                  <c:v>5.0152203362817751</c:v>
                </c:pt>
                <c:pt idx="349">
                  <c:v>5.0477328870826366</c:v>
                </c:pt>
                <c:pt idx="350">
                  <c:v>5.0856641963503071</c:v>
                </c:pt>
                <c:pt idx="351">
                  <c:v>5.1235955056179776</c:v>
                </c:pt>
                <c:pt idx="352">
                  <c:v>5.161526814885649</c:v>
                </c:pt>
                <c:pt idx="353">
                  <c:v>5.1994581241533195</c:v>
                </c:pt>
                <c:pt idx="354">
                  <c:v>5.2377081839190378</c:v>
                </c:pt>
                <c:pt idx="355">
                  <c:v>5.2756394931867083</c:v>
                </c:pt>
                <c:pt idx="356">
                  <c:v>5.3135708024543788</c:v>
                </c:pt>
                <c:pt idx="357">
                  <c:v>5.3515021117220494</c:v>
                </c:pt>
                <c:pt idx="358">
                  <c:v>5.3894334209897208</c:v>
                </c:pt>
                <c:pt idx="359">
                  <c:v>5.4219459717905814</c:v>
                </c:pt>
                <c:pt idx="360">
                  <c:v>5.4598772810582519</c:v>
                </c:pt>
                <c:pt idx="361">
                  <c:v>5.4923898318591124</c:v>
                </c:pt>
                <c:pt idx="362">
                  <c:v>5.5249023826599739</c:v>
                </c:pt>
                <c:pt idx="363">
                  <c:v>5.5628336919276444</c:v>
                </c:pt>
                <c:pt idx="364">
                  <c:v>5.606183759662124</c:v>
                </c:pt>
                <c:pt idx="365">
                  <c:v>5.6495338273966063</c:v>
                </c:pt>
                <c:pt idx="366">
                  <c:v>5.6928838951310858</c:v>
                </c:pt>
                <c:pt idx="367">
                  <c:v>5.7416527213323771</c:v>
                </c:pt>
                <c:pt idx="368">
                  <c:v>5.7853215395649054</c:v>
                </c:pt>
                <c:pt idx="369">
                  <c:v>5.8286716072993876</c:v>
                </c:pt>
                <c:pt idx="370">
                  <c:v>5.8720216750338672</c:v>
                </c:pt>
                <c:pt idx="371">
                  <c:v>5.9153717427683494</c:v>
                </c:pt>
                <c:pt idx="372">
                  <c:v>5.958721810502829</c:v>
                </c:pt>
                <c:pt idx="373">
                  <c:v>6.0020718782373104</c:v>
                </c:pt>
                <c:pt idx="374">
                  <c:v>6.0454219459717908</c:v>
                </c:pt>
                <c:pt idx="375">
                  <c:v>6.0887720137062722</c:v>
                </c:pt>
                <c:pt idx="376">
                  <c:v>6.1321220814407527</c:v>
                </c:pt>
                <c:pt idx="377">
                  <c:v>6.175472149175234</c:v>
                </c:pt>
                <c:pt idx="378">
                  <c:v>6.2242409753765253</c:v>
                </c:pt>
                <c:pt idx="379">
                  <c:v>6.2675910431110049</c:v>
                </c:pt>
                <c:pt idx="380">
                  <c:v>6.316678619810344</c:v>
                </c:pt>
                <c:pt idx="381">
                  <c:v>6.3654474460116344</c:v>
                </c:pt>
                <c:pt idx="382">
                  <c:v>6.4087975137461157</c:v>
                </c:pt>
                <c:pt idx="383">
                  <c:v>6.4575663399474061</c:v>
                </c:pt>
                <c:pt idx="384">
                  <c:v>6.5063351661486983</c:v>
                </c:pt>
                <c:pt idx="385">
                  <c:v>6.5551039923499888</c:v>
                </c:pt>
                <c:pt idx="386">
                  <c:v>6.6038728185512792</c:v>
                </c:pt>
                <c:pt idx="387">
                  <c:v>6.6526416447525705</c:v>
                </c:pt>
                <c:pt idx="388">
                  <c:v>6.7014104709538609</c:v>
                </c:pt>
                <c:pt idx="389">
                  <c:v>6.7501792971551522</c:v>
                </c:pt>
                <c:pt idx="390">
                  <c:v>6.7989481233564435</c:v>
                </c:pt>
                <c:pt idx="391">
                  <c:v>6.8477169495577348</c:v>
                </c:pt>
                <c:pt idx="392">
                  <c:v>6.896804526257073</c:v>
                </c:pt>
                <c:pt idx="393">
                  <c:v>6.9455733524583634</c:v>
                </c:pt>
                <c:pt idx="394">
                  <c:v>7.0105984540600854</c:v>
                </c:pt>
                <c:pt idx="395">
                  <c:v>7.0702047971949957</c:v>
                </c:pt>
                <c:pt idx="396">
                  <c:v>7.1352298987967169</c:v>
                </c:pt>
                <c:pt idx="397">
                  <c:v>7.1948362419316281</c:v>
                </c:pt>
                <c:pt idx="398">
                  <c:v>7.2598613435333492</c:v>
                </c:pt>
                <c:pt idx="399">
                  <c:v>7.3194676866682613</c:v>
                </c:pt>
                <c:pt idx="400">
                  <c:v>7.3736552713363626</c:v>
                </c:pt>
                <c:pt idx="401">
                  <c:v>7.4335803649693206</c:v>
                </c:pt>
                <c:pt idx="402">
                  <c:v>7.4986054665710427</c:v>
                </c:pt>
                <c:pt idx="403">
                  <c:v>7.5636305681727629</c:v>
                </c:pt>
                <c:pt idx="404">
                  <c:v>7.6232369113076741</c:v>
                </c:pt>
                <c:pt idx="405">
                  <c:v>7.6774244959757754</c:v>
                </c:pt>
                <c:pt idx="406">
                  <c:v>7.7424495975774965</c:v>
                </c:pt>
                <c:pt idx="407">
                  <c:v>7.8074746991792185</c:v>
                </c:pt>
                <c:pt idx="408">
                  <c:v>7.8724998007809388</c:v>
                </c:pt>
                <c:pt idx="409">
                  <c:v>7.9375249023826608</c:v>
                </c:pt>
                <c:pt idx="410">
                  <c:v>7.992031237548809</c:v>
                </c:pt>
                <c:pt idx="411">
                  <c:v>8.0462188222169111</c:v>
                </c:pt>
                <c:pt idx="412">
                  <c:v>8.1004064068850106</c:v>
                </c:pt>
                <c:pt idx="413">
                  <c:v>8.1545939915531136</c:v>
                </c:pt>
                <c:pt idx="414">
                  <c:v>8.2087815762212131</c:v>
                </c:pt>
                <c:pt idx="415">
                  <c:v>8.2629691608893143</c:v>
                </c:pt>
                <c:pt idx="416">
                  <c:v>8.3171567455574156</c:v>
                </c:pt>
                <c:pt idx="417">
                  <c:v>8.3713443302255168</c:v>
                </c:pt>
                <c:pt idx="418">
                  <c:v>8.4417881902940479</c:v>
                </c:pt>
                <c:pt idx="419">
                  <c:v>8.5125508008606268</c:v>
                </c:pt>
                <c:pt idx="420">
                  <c:v>8.5829946609291579</c:v>
                </c:pt>
                <c:pt idx="421">
                  <c:v>8.6534385209976907</c:v>
                </c:pt>
                <c:pt idx="422">
                  <c:v>8.7238823810662218</c:v>
                </c:pt>
                <c:pt idx="423">
                  <c:v>8.7943262411347511</c:v>
                </c:pt>
                <c:pt idx="424">
                  <c:v>8.870188859670094</c:v>
                </c:pt>
                <c:pt idx="425">
                  <c:v>8.9406327197386251</c:v>
                </c:pt>
                <c:pt idx="426">
                  <c:v>9.0110765798071562</c:v>
                </c:pt>
                <c:pt idx="427">
                  <c:v>9.0872579488405449</c:v>
                </c:pt>
                <c:pt idx="428">
                  <c:v>9.1631205673758878</c:v>
                </c:pt>
                <c:pt idx="429">
                  <c:v>9.2335644274444189</c:v>
                </c:pt>
                <c:pt idx="430">
                  <c:v>9.3094270459797599</c:v>
                </c:pt>
                <c:pt idx="431">
                  <c:v>9.3852896645151009</c:v>
                </c:pt>
                <c:pt idx="432">
                  <c:v>9.461152283050442</c:v>
                </c:pt>
                <c:pt idx="433">
                  <c:v>9.537014901585783</c:v>
                </c:pt>
                <c:pt idx="434">
                  <c:v>9.6131962706191718</c:v>
                </c:pt>
                <c:pt idx="435">
                  <c:v>9.6890588891545164</c:v>
                </c:pt>
                <c:pt idx="436">
                  <c:v>9.7540839907562358</c:v>
                </c:pt>
                <c:pt idx="437">
                  <c:v>9.8299466092915786</c:v>
                </c:pt>
                <c:pt idx="438">
                  <c:v>9.9112279862937296</c:v>
                </c:pt>
                <c:pt idx="439">
                  <c:v>9.9870906048290706</c:v>
                </c:pt>
                <c:pt idx="440">
                  <c:v>10.068371981831223</c:v>
                </c:pt>
                <c:pt idx="441">
                  <c:v>10.144234600366564</c:v>
                </c:pt>
                <c:pt idx="442">
                  <c:v>10.225834727866763</c:v>
                </c:pt>
                <c:pt idx="443">
                  <c:v>10.301697346402104</c:v>
                </c:pt>
                <c:pt idx="444">
                  <c:v>10.382978723404257</c:v>
                </c:pt>
                <c:pt idx="445">
                  <c:v>10.458841341939598</c:v>
                </c:pt>
                <c:pt idx="446">
                  <c:v>10.534703960474937</c:v>
                </c:pt>
                <c:pt idx="447">
                  <c:v>10.615985337477092</c:v>
                </c:pt>
                <c:pt idx="448">
                  <c:v>10.691847956012431</c:v>
                </c:pt>
                <c:pt idx="449">
                  <c:v>10.773448083512632</c:v>
                </c:pt>
                <c:pt idx="450">
                  <c:v>10.854729460514784</c:v>
                </c:pt>
                <c:pt idx="451">
                  <c:v>10.930592079050125</c:v>
                </c:pt>
                <c:pt idx="452">
                  <c:v>11.011873456052276</c:v>
                </c:pt>
                <c:pt idx="453">
                  <c:v>11.093154833054427</c:v>
                </c:pt>
                <c:pt idx="454">
                  <c:v>11.174436210056578</c:v>
                </c:pt>
                <c:pt idx="455">
                  <c:v>11.266873854490399</c:v>
                </c:pt>
                <c:pt idx="456">
                  <c:v>11.36441150689298</c:v>
                </c:pt>
                <c:pt idx="457">
                  <c:v>11.46194915929556</c:v>
                </c:pt>
                <c:pt idx="458">
                  <c:v>11.559486811698143</c:v>
                </c:pt>
                <c:pt idx="459">
                  <c:v>11.657024464100726</c:v>
                </c:pt>
                <c:pt idx="460">
                  <c:v>11.754562116503308</c:v>
                </c:pt>
                <c:pt idx="461">
                  <c:v>11.852418519403937</c:v>
                </c:pt>
                <c:pt idx="462">
                  <c:v>11.949956171806518</c:v>
                </c:pt>
                <c:pt idx="463">
                  <c:v>12.036656307275482</c:v>
                </c:pt>
                <c:pt idx="464">
                  <c:v>12.134193959678063</c:v>
                </c:pt>
                <c:pt idx="465">
                  <c:v>12.231731612080646</c:v>
                </c:pt>
                <c:pt idx="466">
                  <c:v>12.318431747549607</c:v>
                </c:pt>
                <c:pt idx="467">
                  <c:v>12.416288150450235</c:v>
                </c:pt>
                <c:pt idx="468">
                  <c:v>12.513825802852818</c:v>
                </c:pt>
                <c:pt idx="469">
                  <c:v>12.616782213722209</c:v>
                </c:pt>
                <c:pt idx="470">
                  <c:v>12.714319866124791</c:v>
                </c:pt>
                <c:pt idx="471">
                  <c:v>12.811857518527374</c:v>
                </c:pt>
                <c:pt idx="472">
                  <c:v>12.915132679894812</c:v>
                </c:pt>
                <c:pt idx="473">
                  <c:v>13.018089090764207</c:v>
                </c:pt>
                <c:pt idx="474">
                  <c:v>13.126464260100407</c:v>
                </c:pt>
                <c:pt idx="475">
                  <c:v>13.2294206709698</c:v>
                </c:pt>
                <c:pt idx="476">
                  <c:v>13.337795840306001</c:v>
                </c:pt>
                <c:pt idx="477">
                  <c:v>13.440752251175395</c:v>
                </c:pt>
                <c:pt idx="478">
                  <c:v>13.544027412542833</c:v>
                </c:pt>
                <c:pt idx="479">
                  <c:v>13.646983823412224</c:v>
                </c:pt>
                <c:pt idx="480">
                  <c:v>13.749940234281617</c:v>
                </c:pt>
                <c:pt idx="481">
                  <c:v>13.858315403617818</c:v>
                </c:pt>
                <c:pt idx="482">
                  <c:v>13.961271814487212</c:v>
                </c:pt>
                <c:pt idx="483">
                  <c:v>14.069965734321462</c:v>
                </c:pt>
                <c:pt idx="484">
                  <c:v>14.178340903657663</c:v>
                </c:pt>
                <c:pt idx="485">
                  <c:v>14.286716072993864</c:v>
                </c:pt>
                <c:pt idx="486">
                  <c:v>14.395091242330066</c:v>
                </c:pt>
                <c:pt idx="487">
                  <c:v>14.503466411666269</c:v>
                </c:pt>
                <c:pt idx="488">
                  <c:v>14.612160331500519</c:v>
                </c:pt>
                <c:pt idx="489">
                  <c:v>14.731373017770343</c:v>
                </c:pt>
                <c:pt idx="490">
                  <c:v>14.839748187106544</c:v>
                </c:pt>
                <c:pt idx="491">
                  <c:v>14.964379631843176</c:v>
                </c:pt>
                <c:pt idx="492">
                  <c:v>15.083592318112997</c:v>
                </c:pt>
                <c:pt idx="493">
                  <c:v>15.192286237947249</c:v>
                </c:pt>
                <c:pt idx="494">
                  <c:v>15.300661407283449</c:v>
                </c:pt>
                <c:pt idx="495">
                  <c:v>15.425292852020084</c:v>
                </c:pt>
                <c:pt idx="496">
                  <c:v>15.555343055223524</c:v>
                </c:pt>
                <c:pt idx="497">
                  <c:v>15.680293250458206</c:v>
                </c:pt>
                <c:pt idx="498">
                  <c:v>15.804924695194837</c:v>
                </c:pt>
                <c:pt idx="499">
                  <c:v>15.934974898398281</c:v>
                </c:pt>
                <c:pt idx="500">
                  <c:v>16.065025101601723</c:v>
                </c:pt>
                <c:pt idx="501">
                  <c:v>16.189975296836401</c:v>
                </c:pt>
                <c:pt idx="502">
                  <c:v>16.320025500039844</c:v>
                </c:pt>
                <c:pt idx="503">
                  <c:v>16.444656944776476</c:v>
                </c:pt>
                <c:pt idx="504">
                  <c:v>16.574707147979922</c:v>
                </c:pt>
                <c:pt idx="505">
                  <c:v>16.704757351183364</c:v>
                </c:pt>
                <c:pt idx="506">
                  <c:v>16.835126304884852</c:v>
                </c:pt>
                <c:pt idx="507">
                  <c:v>16.965176508088295</c:v>
                </c:pt>
                <c:pt idx="508">
                  <c:v>17.095226711291737</c:v>
                </c:pt>
                <c:pt idx="509">
                  <c:v>17.225276914495179</c:v>
                </c:pt>
                <c:pt idx="510">
                  <c:v>17.355645868196671</c:v>
                </c:pt>
                <c:pt idx="511">
                  <c:v>17.485696071400113</c:v>
                </c:pt>
                <c:pt idx="512">
                  <c:v>17.615746274603552</c:v>
                </c:pt>
                <c:pt idx="513">
                  <c:v>17.751215236273808</c:v>
                </c:pt>
                <c:pt idx="514">
                  <c:v>17.8815841899753</c:v>
                </c:pt>
                <c:pt idx="515">
                  <c:v>18.017053151645552</c:v>
                </c:pt>
                <c:pt idx="516">
                  <c:v>18.152522113315801</c:v>
                </c:pt>
                <c:pt idx="517">
                  <c:v>18.304247350386486</c:v>
                </c:pt>
                <c:pt idx="518">
                  <c:v>18.456291337955218</c:v>
                </c:pt>
                <c:pt idx="519">
                  <c:v>18.608016575025896</c:v>
                </c:pt>
                <c:pt idx="520">
                  <c:v>18.759741812096582</c:v>
                </c:pt>
                <c:pt idx="521">
                  <c:v>18.911467049167264</c:v>
                </c:pt>
                <c:pt idx="522">
                  <c:v>19.063511036735996</c:v>
                </c:pt>
                <c:pt idx="523">
                  <c:v>19.220655032273491</c:v>
                </c:pt>
                <c:pt idx="524">
                  <c:v>19.372380269344173</c:v>
                </c:pt>
                <c:pt idx="525">
                  <c:v>19.529843015379715</c:v>
                </c:pt>
                <c:pt idx="526">
                  <c:v>19.686987010917207</c:v>
                </c:pt>
                <c:pt idx="527">
                  <c:v>19.844131006454699</c:v>
                </c:pt>
                <c:pt idx="528">
                  <c:v>20.006693760459001</c:v>
                </c:pt>
                <c:pt idx="529">
                  <c:v>20.164156506494546</c:v>
                </c:pt>
                <c:pt idx="530">
                  <c:v>20.326719260498848</c:v>
                </c:pt>
                <c:pt idx="531">
                  <c:v>20.483863256036337</c:v>
                </c:pt>
                <c:pt idx="532">
                  <c:v>20.646744760538692</c:v>
                </c:pt>
                <c:pt idx="533">
                  <c:v>20.814726273009803</c:v>
                </c:pt>
                <c:pt idx="534">
                  <c:v>20.977289027014105</c:v>
                </c:pt>
                <c:pt idx="535">
                  <c:v>21.140170531516461</c:v>
                </c:pt>
                <c:pt idx="536">
                  <c:v>21.302733285520763</c:v>
                </c:pt>
                <c:pt idx="537">
                  <c:v>21.470714797991874</c:v>
                </c:pt>
                <c:pt idx="538">
                  <c:v>21.63327755199618</c:v>
                </c:pt>
                <c:pt idx="539">
                  <c:v>21.796159056498524</c:v>
                </c:pt>
                <c:pt idx="540">
                  <c:v>21.96414056896964</c:v>
                </c:pt>
                <c:pt idx="541">
                  <c:v>22.126703322973942</c:v>
                </c:pt>
                <c:pt idx="542">
                  <c:v>22.295003585943107</c:v>
                </c:pt>
                <c:pt idx="543">
                  <c:v>22.479241373814649</c:v>
                </c:pt>
                <c:pt idx="544">
                  <c:v>22.66347916168619</c:v>
                </c:pt>
                <c:pt idx="545">
                  <c:v>22.848035700055782</c:v>
                </c:pt>
                <c:pt idx="546">
                  <c:v>23.037692246394133</c:v>
                </c:pt>
                <c:pt idx="547">
                  <c:v>23.221930034265679</c:v>
                </c:pt>
                <c:pt idx="548">
                  <c:v>23.41190533110208</c:v>
                </c:pt>
                <c:pt idx="549">
                  <c:v>23.601561877440439</c:v>
                </c:pt>
                <c:pt idx="550">
                  <c:v>23.785799665311981</c:v>
                </c:pt>
                <c:pt idx="551">
                  <c:v>23.970356203681568</c:v>
                </c:pt>
                <c:pt idx="552">
                  <c:v>24.154593991553114</c:v>
                </c:pt>
                <c:pt idx="553">
                  <c:v>24.338831779424659</c:v>
                </c:pt>
                <c:pt idx="554">
                  <c:v>24.53422583472787</c:v>
                </c:pt>
                <c:pt idx="555">
                  <c:v>24.734719897999842</c:v>
                </c:pt>
                <c:pt idx="556">
                  <c:v>24.918957685871383</c:v>
                </c:pt>
                <c:pt idx="557">
                  <c:v>25.103514224240975</c:v>
                </c:pt>
                <c:pt idx="558">
                  <c:v>25.30942704597976</c:v>
                </c:pt>
                <c:pt idx="559">
                  <c:v>25.515339867718545</c:v>
                </c:pt>
                <c:pt idx="560">
                  <c:v>25.721571439955376</c:v>
                </c:pt>
                <c:pt idx="561">
                  <c:v>25.927484261694158</c:v>
                </c:pt>
                <c:pt idx="562">
                  <c:v>26.139134592397802</c:v>
                </c:pt>
                <c:pt idx="563">
                  <c:v>26.345047414136584</c:v>
                </c:pt>
                <c:pt idx="564">
                  <c:v>26.550960235875372</c:v>
                </c:pt>
                <c:pt idx="565">
                  <c:v>26.762610566579013</c:v>
                </c:pt>
                <c:pt idx="566">
                  <c:v>26.973942146784609</c:v>
                </c:pt>
                <c:pt idx="567">
                  <c:v>27.185592477488246</c:v>
                </c:pt>
                <c:pt idx="568">
                  <c:v>27.402342816160647</c:v>
                </c:pt>
                <c:pt idx="569">
                  <c:v>27.619093154833056</c:v>
                </c:pt>
                <c:pt idx="570">
                  <c:v>27.841581002470317</c:v>
                </c:pt>
                <c:pt idx="571">
                  <c:v>28.058331341142722</c:v>
                </c:pt>
                <c:pt idx="572">
                  <c:v>28.275400430313177</c:v>
                </c:pt>
                <c:pt idx="573">
                  <c:v>28.492150768985578</c:v>
                </c:pt>
                <c:pt idx="574">
                  <c:v>28.725157383058409</c:v>
                </c:pt>
                <c:pt idx="575">
                  <c:v>28.947645230695674</c:v>
                </c:pt>
                <c:pt idx="576">
                  <c:v>29.175233086301699</c:v>
                </c:pt>
                <c:pt idx="577">
                  <c:v>29.419395967806203</c:v>
                </c:pt>
                <c:pt idx="578">
                  <c:v>29.646983823412224</c:v>
                </c:pt>
                <c:pt idx="579">
                  <c:v>29.874571679018253</c:v>
                </c:pt>
                <c:pt idx="580">
                  <c:v>30.11873456052275</c:v>
                </c:pt>
                <c:pt idx="581">
                  <c:v>30.346322416128778</c:v>
                </c:pt>
                <c:pt idx="582">
                  <c:v>30.595904056100089</c:v>
                </c:pt>
                <c:pt idx="583">
                  <c:v>30.839748187106544</c:v>
                </c:pt>
                <c:pt idx="584">
                  <c:v>31.089329827077858</c:v>
                </c:pt>
                <c:pt idx="585">
                  <c:v>31.333173958084313</c:v>
                </c:pt>
                <c:pt idx="586">
                  <c:v>31.582755598055623</c:v>
                </c:pt>
                <c:pt idx="587">
                  <c:v>31.826599729062082</c:v>
                </c:pt>
                <c:pt idx="588">
                  <c:v>32.075862618535346</c:v>
                </c:pt>
                <c:pt idx="589">
                  <c:v>32.324488007012512</c:v>
                </c:pt>
                <c:pt idx="590">
                  <c:v>32.592238425372543</c:v>
                </c:pt>
                <c:pt idx="591">
                  <c:v>32.840863813849708</c:v>
                </c:pt>
                <c:pt idx="592">
                  <c:v>33.105426727229258</c:v>
                </c:pt>
                <c:pt idx="593">
                  <c:v>33.354052115706438</c:v>
                </c:pt>
                <c:pt idx="594">
                  <c:v>33.628177544027416</c:v>
                </c:pt>
                <c:pt idx="595">
                  <c:v>33.89911546736792</c:v>
                </c:pt>
                <c:pt idx="596">
                  <c:v>34.170053390708425</c:v>
                </c:pt>
                <c:pt idx="597">
                  <c:v>34.434616304087974</c:v>
                </c:pt>
                <c:pt idx="598">
                  <c:v>34.699179217467524</c:v>
                </c:pt>
                <c:pt idx="599">
                  <c:v>34.986054665710412</c:v>
                </c:pt>
                <c:pt idx="600">
                  <c:v>35.260180094031398</c:v>
                </c:pt>
                <c:pt idx="601">
                  <c:v>35.534305522352383</c:v>
                </c:pt>
                <c:pt idx="602">
                  <c:v>35.805243445692881</c:v>
                </c:pt>
                <c:pt idx="603">
                  <c:v>36.082556378994347</c:v>
                </c:pt>
                <c:pt idx="604">
                  <c:v>36.353494302334852</c:v>
                </c:pt>
                <c:pt idx="605">
                  <c:v>36.65311977049965</c:v>
                </c:pt>
                <c:pt idx="606">
                  <c:v>36.955932743644915</c:v>
                </c:pt>
                <c:pt idx="607">
                  <c:v>37.258745716790187</c:v>
                </c:pt>
                <c:pt idx="608">
                  <c:v>37.56155868993546</c:v>
                </c:pt>
                <c:pt idx="609">
                  <c:v>37.867559168061206</c:v>
                </c:pt>
                <c:pt idx="610">
                  <c:v>38.176747151167433</c:v>
                </c:pt>
                <c:pt idx="611">
                  <c:v>38.485935134273653</c:v>
                </c:pt>
                <c:pt idx="612">
                  <c:v>38.788748107418925</c:v>
                </c:pt>
                <c:pt idx="613">
                  <c:v>39.085186070603235</c:v>
                </c:pt>
                <c:pt idx="614">
                  <c:v>39.407124073631365</c:v>
                </c:pt>
                <c:pt idx="615">
                  <c:v>39.71949956171806</c:v>
                </c:pt>
                <c:pt idx="616">
                  <c:v>40.041437564746204</c:v>
                </c:pt>
                <c:pt idx="617">
                  <c:v>40.353813052832891</c:v>
                </c:pt>
                <c:pt idx="618">
                  <c:v>40.675751055861028</c:v>
                </c:pt>
                <c:pt idx="619">
                  <c:v>40.994501553908677</c:v>
                </c:pt>
                <c:pt idx="620">
                  <c:v>41.316439556936807</c:v>
                </c:pt>
                <c:pt idx="621">
                  <c:v>41.635190054984463</c:v>
                </c:pt>
                <c:pt idx="622">
                  <c:v>41.953940553032112</c:v>
                </c:pt>
                <c:pt idx="623">
                  <c:v>42.301378595904055</c:v>
                </c:pt>
                <c:pt idx="624">
                  <c:v>42.64244162881505</c:v>
                </c:pt>
                <c:pt idx="625">
                  <c:v>42.983504661726037</c:v>
                </c:pt>
                <c:pt idx="626">
                  <c:v>43.315005179695596</c:v>
                </c:pt>
                <c:pt idx="627">
                  <c:v>43.662443222567539</c:v>
                </c:pt>
                <c:pt idx="628">
                  <c:v>44.000318750498053</c:v>
                </c:pt>
                <c:pt idx="629">
                  <c:v>44.35094429835047</c:v>
                </c:pt>
                <c:pt idx="630">
                  <c:v>44.707944856163834</c:v>
                </c:pt>
                <c:pt idx="631">
                  <c:v>45.061757908996739</c:v>
                </c:pt>
                <c:pt idx="632">
                  <c:v>45.418758466810104</c:v>
                </c:pt>
                <c:pt idx="633">
                  <c:v>45.772571519643002</c:v>
                </c:pt>
                <c:pt idx="634">
                  <c:v>46.123197067495418</c:v>
                </c:pt>
                <c:pt idx="635">
                  <c:v>46.483385130289264</c:v>
                </c:pt>
                <c:pt idx="636">
                  <c:v>46.85632321300502</c:v>
                </c:pt>
                <c:pt idx="637">
                  <c:v>47.226073790740294</c:v>
                </c:pt>
                <c:pt idx="638">
                  <c:v>47.599011873456057</c:v>
                </c:pt>
                <c:pt idx="639">
                  <c:v>47.971949956171812</c:v>
                </c:pt>
                <c:pt idx="640">
                  <c:v>48.341700533907087</c:v>
                </c:pt>
                <c:pt idx="641">
                  <c:v>48.730576141525226</c:v>
                </c:pt>
                <c:pt idx="642">
                  <c:v>49.12263925412384</c:v>
                </c:pt>
                <c:pt idx="643">
                  <c:v>49.511514861741972</c:v>
                </c:pt>
                <c:pt idx="644">
                  <c:v>49.897202964379638</c:v>
                </c:pt>
                <c:pt idx="645">
                  <c:v>50.282891067017296</c:v>
                </c:pt>
                <c:pt idx="646">
                  <c:v>50.690891704518286</c:v>
                </c:pt>
                <c:pt idx="647">
                  <c:v>51.095704837038809</c:v>
                </c:pt>
                <c:pt idx="648">
                  <c:v>51.490955454617904</c:v>
                </c:pt>
                <c:pt idx="649">
                  <c:v>51.90851860706033</c:v>
                </c:pt>
                <c:pt idx="650">
                  <c:v>52.310144234600365</c:v>
                </c:pt>
                <c:pt idx="651">
                  <c:v>52.711769862140414</c:v>
                </c:pt>
                <c:pt idx="652">
                  <c:v>53.129333014582834</c:v>
                </c:pt>
                <c:pt idx="653">
                  <c:v>53.540521157064312</c:v>
                </c:pt>
                <c:pt idx="654">
                  <c:v>53.964459319467686</c:v>
                </c:pt>
                <c:pt idx="655">
                  <c:v>54.388397481871067</c:v>
                </c:pt>
                <c:pt idx="656">
                  <c:v>54.821898159215884</c:v>
                </c:pt>
                <c:pt idx="657">
                  <c:v>55.255398836560687</c:v>
                </c:pt>
                <c:pt idx="658">
                  <c:v>55.68889951390549</c:v>
                </c:pt>
                <c:pt idx="659">
                  <c:v>56.128775201211262</c:v>
                </c:pt>
                <c:pt idx="660">
                  <c:v>56.565463383536539</c:v>
                </c:pt>
                <c:pt idx="661">
                  <c:v>56.909713921428008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F0-4263-AB83-D4823107136E}"/>
            </c:ext>
          </c:extLst>
        </c:ser>
        <c:ser>
          <c:idx val="5"/>
          <c:order val="2"/>
          <c:tx>
            <c:strRef>
              <c:f>{"A21-3"}</c:f>
              <c:strCache>
                <c:ptCount val="1"/>
                <c:pt idx="0">
                  <c:v>A21-3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'A21-3'!$C$2:$C$666</c:f>
              <c:numCache>
                <c:formatCode>0.00</c:formatCode>
                <c:ptCount val="665"/>
                <c:pt idx="0">
                  <c:v>0</c:v>
                </c:pt>
                <c:pt idx="1">
                  <c:v>1.16732E-2</c:v>
                </c:pt>
                <c:pt idx="2">
                  <c:v>1.1782999999999998E-2</c:v>
                </c:pt>
                <c:pt idx="3">
                  <c:v>1.18946E-2</c:v>
                </c:pt>
                <c:pt idx="4">
                  <c:v>1.2006399999999999E-2</c:v>
                </c:pt>
                <c:pt idx="5">
                  <c:v>1.2118E-2</c:v>
                </c:pt>
                <c:pt idx="6">
                  <c:v>1.22278E-2</c:v>
                </c:pt>
                <c:pt idx="7">
                  <c:v>1.23394E-2</c:v>
                </c:pt>
                <c:pt idx="8">
                  <c:v>1.2451200000000001E-2</c:v>
                </c:pt>
                <c:pt idx="9">
                  <c:v>1.2560999999999999E-2</c:v>
                </c:pt>
                <c:pt idx="10">
                  <c:v>1.2670799999999999E-2</c:v>
                </c:pt>
                <c:pt idx="11">
                  <c:v>1.2782400000000001E-2</c:v>
                </c:pt>
                <c:pt idx="12">
                  <c:v>1.28942E-2</c:v>
                </c:pt>
                <c:pt idx="13">
                  <c:v>1.3005800000000001E-2</c:v>
                </c:pt>
                <c:pt idx="14">
                  <c:v>1.31174E-2</c:v>
                </c:pt>
                <c:pt idx="15">
                  <c:v>1.32272E-2</c:v>
                </c:pt>
                <c:pt idx="16">
                  <c:v>1.3339E-2</c:v>
                </c:pt>
                <c:pt idx="17">
                  <c:v>1.34506E-2</c:v>
                </c:pt>
                <c:pt idx="18">
                  <c:v>1.35622E-2</c:v>
                </c:pt>
                <c:pt idx="19">
                  <c:v>1.3672E-2</c:v>
                </c:pt>
                <c:pt idx="20">
                  <c:v>1.3783799999999999E-2</c:v>
                </c:pt>
                <c:pt idx="21">
                  <c:v>1.38954E-2</c:v>
                </c:pt>
                <c:pt idx="22">
                  <c:v>1.4005200000000001E-2</c:v>
                </c:pt>
                <c:pt idx="23">
                  <c:v>1.4116800000000001E-2</c:v>
                </c:pt>
                <c:pt idx="24">
                  <c:v>1.42268E-2</c:v>
                </c:pt>
                <c:pt idx="25">
                  <c:v>1.4338399999999999E-2</c:v>
                </c:pt>
                <c:pt idx="26">
                  <c:v>1.4450000000000001E-2</c:v>
                </c:pt>
                <c:pt idx="27">
                  <c:v>1.4589600000000001E-2</c:v>
                </c:pt>
                <c:pt idx="28">
                  <c:v>1.47292E-2</c:v>
                </c:pt>
                <c:pt idx="29">
                  <c:v>1.4866999999999998E-2</c:v>
                </c:pt>
                <c:pt idx="30">
                  <c:v>1.50046E-2</c:v>
                </c:pt>
                <c:pt idx="31">
                  <c:v>1.5144200000000002E-2</c:v>
                </c:pt>
                <c:pt idx="32">
                  <c:v>1.5282E-2</c:v>
                </c:pt>
                <c:pt idx="33">
                  <c:v>1.54234E-2</c:v>
                </c:pt>
                <c:pt idx="34">
                  <c:v>1.5561199999999999E-2</c:v>
                </c:pt>
                <c:pt idx="35">
                  <c:v>1.5700800000000001E-2</c:v>
                </c:pt>
                <c:pt idx="36">
                  <c:v>1.5838399999999999E-2</c:v>
                </c:pt>
                <c:pt idx="37">
                  <c:v>1.5978000000000003E-2</c:v>
                </c:pt>
                <c:pt idx="38">
                  <c:v>1.61158E-2</c:v>
                </c:pt>
                <c:pt idx="39">
                  <c:v>1.62554E-2</c:v>
                </c:pt>
                <c:pt idx="40">
                  <c:v>1.6393000000000001E-2</c:v>
                </c:pt>
                <c:pt idx="41">
                  <c:v>1.6532599999999998E-2</c:v>
                </c:pt>
                <c:pt idx="42">
                  <c:v>1.6672199999999998E-2</c:v>
                </c:pt>
                <c:pt idx="43">
                  <c:v>1.6810000000000002E-2</c:v>
                </c:pt>
                <c:pt idx="44">
                  <c:v>1.6949599999999999E-2</c:v>
                </c:pt>
                <c:pt idx="45">
                  <c:v>1.7089199999999999E-2</c:v>
                </c:pt>
                <c:pt idx="46">
                  <c:v>1.72268E-2</c:v>
                </c:pt>
                <c:pt idx="47">
                  <c:v>1.7366400000000001E-2</c:v>
                </c:pt>
                <c:pt idx="48">
                  <c:v>1.7506000000000001E-2</c:v>
                </c:pt>
                <c:pt idx="49">
                  <c:v>1.7643800000000001E-2</c:v>
                </c:pt>
                <c:pt idx="50">
                  <c:v>1.7783400000000001E-2</c:v>
                </c:pt>
                <c:pt idx="51">
                  <c:v>1.7923000000000001E-2</c:v>
                </c:pt>
                <c:pt idx="52">
                  <c:v>1.80886E-2</c:v>
                </c:pt>
                <c:pt idx="53">
                  <c:v>1.82282E-2</c:v>
                </c:pt>
                <c:pt idx="54">
                  <c:v>1.83958E-2</c:v>
                </c:pt>
                <c:pt idx="55">
                  <c:v>1.8561399999999999E-2</c:v>
                </c:pt>
                <c:pt idx="56">
                  <c:v>1.8727000000000001E-2</c:v>
                </c:pt>
                <c:pt idx="57">
                  <c:v>1.8892599999999999E-2</c:v>
                </c:pt>
                <c:pt idx="58">
                  <c:v>1.9061999999999999E-2</c:v>
                </c:pt>
                <c:pt idx="59">
                  <c:v>1.9227600000000001E-2</c:v>
                </c:pt>
                <c:pt idx="60">
                  <c:v>1.9395199999999998E-2</c:v>
                </c:pt>
                <c:pt idx="61">
                  <c:v>1.95608E-2</c:v>
                </c:pt>
                <c:pt idx="62">
                  <c:v>1.9728200000000001E-2</c:v>
                </c:pt>
                <c:pt idx="63">
                  <c:v>1.9895799999999998E-2</c:v>
                </c:pt>
                <c:pt idx="64">
                  <c:v>2.0062000000000003E-2</c:v>
                </c:pt>
                <c:pt idx="65">
                  <c:v>2.0228000000000003E-2</c:v>
                </c:pt>
                <c:pt idx="66">
                  <c:v>2.0394000000000002E-2</c:v>
                </c:pt>
                <c:pt idx="67">
                  <c:v>2.0560000000000002E-2</c:v>
                </c:pt>
                <c:pt idx="68">
                  <c:v>2.0728E-2</c:v>
                </c:pt>
                <c:pt idx="69">
                  <c:v>2.0895999999999998E-2</c:v>
                </c:pt>
                <c:pt idx="70">
                  <c:v>2.1059999999999999E-2</c:v>
                </c:pt>
                <c:pt idx="71">
                  <c:v>2.1227999999999997E-2</c:v>
                </c:pt>
                <c:pt idx="72">
                  <c:v>2.1396000000000002E-2</c:v>
                </c:pt>
                <c:pt idx="73">
                  <c:v>2.1589999999999998E-2</c:v>
                </c:pt>
                <c:pt idx="74">
                  <c:v>2.1783999999999998E-2</c:v>
                </c:pt>
                <c:pt idx="75">
                  <c:v>2.1975999999999999E-2</c:v>
                </c:pt>
                <c:pt idx="76">
                  <c:v>2.2173999999999999E-2</c:v>
                </c:pt>
                <c:pt idx="77">
                  <c:v>2.2368000000000002E-2</c:v>
                </c:pt>
                <c:pt idx="78">
                  <c:v>2.2559999999999997E-2</c:v>
                </c:pt>
                <c:pt idx="79">
                  <c:v>2.2755999999999998E-2</c:v>
                </c:pt>
                <c:pt idx="80">
                  <c:v>2.2949999999999998E-2</c:v>
                </c:pt>
                <c:pt idx="81">
                  <c:v>2.3146E-2</c:v>
                </c:pt>
                <c:pt idx="82">
                  <c:v>2.3338000000000001E-2</c:v>
                </c:pt>
                <c:pt idx="83">
                  <c:v>2.3532000000000001E-2</c:v>
                </c:pt>
                <c:pt idx="84">
                  <c:v>2.3727999999999999E-2</c:v>
                </c:pt>
                <c:pt idx="85">
                  <c:v>2.3923999999999997E-2</c:v>
                </c:pt>
                <c:pt idx="86">
                  <c:v>2.4115999999999999E-2</c:v>
                </c:pt>
                <c:pt idx="87">
                  <c:v>2.4310000000000002E-2</c:v>
                </c:pt>
                <c:pt idx="88">
                  <c:v>2.4506E-2</c:v>
                </c:pt>
                <c:pt idx="89">
                  <c:v>2.4700000000000003E-2</c:v>
                </c:pt>
                <c:pt idx="90">
                  <c:v>2.4893999999999999E-2</c:v>
                </c:pt>
                <c:pt idx="91">
                  <c:v>2.5087999999999999E-2</c:v>
                </c:pt>
                <c:pt idx="92">
                  <c:v>2.5312000000000001E-2</c:v>
                </c:pt>
                <c:pt idx="93">
                  <c:v>2.5533999999999998E-2</c:v>
                </c:pt>
                <c:pt idx="94">
                  <c:v>2.5756000000000001E-2</c:v>
                </c:pt>
                <c:pt idx="95">
                  <c:v>2.5977999999999998E-2</c:v>
                </c:pt>
                <c:pt idx="96">
                  <c:v>2.6200000000000001E-2</c:v>
                </c:pt>
                <c:pt idx="97">
                  <c:v>2.6421999999999998E-2</c:v>
                </c:pt>
                <c:pt idx="98">
                  <c:v>2.6642000000000002E-2</c:v>
                </c:pt>
                <c:pt idx="99">
                  <c:v>2.6868E-2</c:v>
                </c:pt>
                <c:pt idx="100">
                  <c:v>2.7089999999999999E-2</c:v>
                </c:pt>
                <c:pt idx="101">
                  <c:v>2.7311999999999999E-2</c:v>
                </c:pt>
                <c:pt idx="102">
                  <c:v>2.7533999999999999E-2</c:v>
                </c:pt>
                <c:pt idx="103">
                  <c:v>2.7755999999999999E-2</c:v>
                </c:pt>
                <c:pt idx="104">
                  <c:v>2.7976000000000001E-2</c:v>
                </c:pt>
                <c:pt idx="105">
                  <c:v>2.8197999999999997E-2</c:v>
                </c:pt>
                <c:pt idx="106">
                  <c:v>2.8421999999999999E-2</c:v>
                </c:pt>
                <c:pt idx="107">
                  <c:v>2.8645999999999998E-2</c:v>
                </c:pt>
                <c:pt idx="108">
                  <c:v>2.8868000000000001E-2</c:v>
                </c:pt>
                <c:pt idx="109">
                  <c:v>2.9116E-2</c:v>
                </c:pt>
                <c:pt idx="110">
                  <c:v>2.9367999999999998E-2</c:v>
                </c:pt>
                <c:pt idx="111">
                  <c:v>2.9618000000000002E-2</c:v>
                </c:pt>
                <c:pt idx="112">
                  <c:v>2.9866E-2</c:v>
                </c:pt>
                <c:pt idx="113">
                  <c:v>3.0117999999999999E-2</c:v>
                </c:pt>
                <c:pt idx="114">
                  <c:v>3.0363999999999999E-2</c:v>
                </c:pt>
                <c:pt idx="115">
                  <c:v>3.0617999999999999E-2</c:v>
                </c:pt>
                <c:pt idx="116">
                  <c:v>3.0868000000000003E-2</c:v>
                </c:pt>
                <c:pt idx="117">
                  <c:v>3.1116000000000001E-2</c:v>
                </c:pt>
                <c:pt idx="118">
                  <c:v>3.1368E-2</c:v>
                </c:pt>
                <c:pt idx="119">
                  <c:v>3.1615999999999998E-2</c:v>
                </c:pt>
                <c:pt idx="120">
                  <c:v>3.1865999999999998E-2</c:v>
                </c:pt>
                <c:pt idx="121">
                  <c:v>3.2115999999999999E-2</c:v>
                </c:pt>
                <c:pt idx="122">
                  <c:v>3.2368000000000001E-2</c:v>
                </c:pt>
                <c:pt idx="123">
                  <c:v>3.2643999999999999E-2</c:v>
                </c:pt>
                <c:pt idx="124">
                  <c:v>3.2922E-2</c:v>
                </c:pt>
                <c:pt idx="125">
                  <c:v>3.3201999999999995E-2</c:v>
                </c:pt>
                <c:pt idx="126">
                  <c:v>3.3475999999999999E-2</c:v>
                </c:pt>
                <c:pt idx="127">
                  <c:v>3.3756000000000001E-2</c:v>
                </c:pt>
                <c:pt idx="128">
                  <c:v>3.4034000000000002E-2</c:v>
                </c:pt>
                <c:pt idx="129">
                  <c:v>3.4312000000000002E-2</c:v>
                </c:pt>
                <c:pt idx="130">
                  <c:v>3.4588000000000001E-2</c:v>
                </c:pt>
                <c:pt idx="131">
                  <c:v>3.4866000000000001E-2</c:v>
                </c:pt>
                <c:pt idx="132">
                  <c:v>3.5144000000000002E-2</c:v>
                </c:pt>
                <c:pt idx="133">
                  <c:v>3.5421999999999995E-2</c:v>
                </c:pt>
                <c:pt idx="134">
                  <c:v>3.5699999999999996E-2</c:v>
                </c:pt>
                <c:pt idx="135">
                  <c:v>3.5977999999999996E-2</c:v>
                </c:pt>
                <c:pt idx="136">
                  <c:v>3.6284000000000004E-2</c:v>
                </c:pt>
                <c:pt idx="137">
                  <c:v>3.6587999999999996E-2</c:v>
                </c:pt>
                <c:pt idx="138">
                  <c:v>3.6894000000000003E-2</c:v>
                </c:pt>
                <c:pt idx="139">
                  <c:v>3.7200000000000004E-2</c:v>
                </c:pt>
                <c:pt idx="140">
                  <c:v>3.7504000000000003E-2</c:v>
                </c:pt>
                <c:pt idx="141">
                  <c:v>3.7810000000000003E-2</c:v>
                </c:pt>
                <c:pt idx="142">
                  <c:v>3.8114000000000002E-2</c:v>
                </c:pt>
                <c:pt idx="143">
                  <c:v>3.8420000000000003E-2</c:v>
                </c:pt>
                <c:pt idx="144">
                  <c:v>3.8727999999999999E-2</c:v>
                </c:pt>
                <c:pt idx="145">
                  <c:v>3.9031999999999997E-2</c:v>
                </c:pt>
                <c:pt idx="146">
                  <c:v>3.934E-2</c:v>
                </c:pt>
                <c:pt idx="147">
                  <c:v>3.9670000000000004E-2</c:v>
                </c:pt>
                <c:pt idx="148">
                  <c:v>4.0006000000000007E-2</c:v>
                </c:pt>
                <c:pt idx="149">
                  <c:v>4.0338000000000006E-2</c:v>
                </c:pt>
                <c:pt idx="150">
                  <c:v>4.0674000000000002E-2</c:v>
                </c:pt>
                <c:pt idx="151">
                  <c:v>4.1006000000000001E-2</c:v>
                </c:pt>
                <c:pt idx="152">
                  <c:v>4.1338E-2</c:v>
                </c:pt>
                <c:pt idx="153">
                  <c:v>4.1672000000000001E-2</c:v>
                </c:pt>
                <c:pt idx="154">
                  <c:v>4.2005999999999995E-2</c:v>
                </c:pt>
                <c:pt idx="155">
                  <c:v>4.2340000000000003E-2</c:v>
                </c:pt>
                <c:pt idx="156">
                  <c:v>4.2644000000000001E-2</c:v>
                </c:pt>
                <c:pt idx="157">
                  <c:v>4.2977999999999995E-2</c:v>
                </c:pt>
                <c:pt idx="158">
                  <c:v>4.3311999999999996E-2</c:v>
                </c:pt>
                <c:pt idx="159">
                  <c:v>4.3643999999999995E-2</c:v>
                </c:pt>
                <c:pt idx="160">
                  <c:v>4.3951999999999998E-2</c:v>
                </c:pt>
                <c:pt idx="161">
                  <c:v>4.4172000000000003E-2</c:v>
                </c:pt>
                <c:pt idx="162">
                  <c:v>4.4421999999999996E-2</c:v>
                </c:pt>
                <c:pt idx="163">
                  <c:v>4.4673999999999998E-2</c:v>
                </c:pt>
                <c:pt idx="164">
                  <c:v>4.4893999999999996E-2</c:v>
                </c:pt>
                <c:pt idx="165">
                  <c:v>4.5171999999999997E-2</c:v>
                </c:pt>
                <c:pt idx="166">
                  <c:v>4.5533999999999998E-2</c:v>
                </c:pt>
                <c:pt idx="167">
                  <c:v>4.5838000000000004E-2</c:v>
                </c:pt>
                <c:pt idx="168">
                  <c:v>4.6062000000000006E-2</c:v>
                </c:pt>
                <c:pt idx="169">
                  <c:v>4.6311999999999999E-2</c:v>
                </c:pt>
                <c:pt idx="170">
                  <c:v>4.6561999999999999E-2</c:v>
                </c:pt>
                <c:pt idx="171">
                  <c:v>4.6809999999999997E-2</c:v>
                </c:pt>
                <c:pt idx="172">
                  <c:v>4.7033999999999999E-2</c:v>
                </c:pt>
                <c:pt idx="173">
                  <c:v>4.7284E-2</c:v>
                </c:pt>
                <c:pt idx="174">
                  <c:v>4.7477999999999999E-2</c:v>
                </c:pt>
                <c:pt idx="175">
                  <c:v>4.7699999999999992E-2</c:v>
                </c:pt>
                <c:pt idx="176">
                  <c:v>4.7923999999999994E-2</c:v>
                </c:pt>
                <c:pt idx="177">
                  <c:v>4.8143999999999999E-2</c:v>
                </c:pt>
                <c:pt idx="178">
                  <c:v>4.8365999999999999E-2</c:v>
                </c:pt>
                <c:pt idx="179">
                  <c:v>4.8590000000000001E-2</c:v>
                </c:pt>
                <c:pt idx="180">
                  <c:v>4.8809999999999999E-2</c:v>
                </c:pt>
                <c:pt idx="181">
                  <c:v>4.9006000000000001E-2</c:v>
                </c:pt>
                <c:pt idx="182">
                  <c:v>4.9200000000000001E-2</c:v>
                </c:pt>
                <c:pt idx="183">
                  <c:v>4.9367999999999995E-2</c:v>
                </c:pt>
                <c:pt idx="184">
                  <c:v>4.9560000000000007E-2</c:v>
                </c:pt>
                <c:pt idx="185">
                  <c:v>4.9728000000000001E-2</c:v>
                </c:pt>
                <c:pt idx="186">
                  <c:v>4.9894000000000001E-2</c:v>
                </c:pt>
                <c:pt idx="187">
                  <c:v>5.0061999999999995E-2</c:v>
                </c:pt>
                <c:pt idx="188">
                  <c:v>5.0228000000000002E-2</c:v>
                </c:pt>
                <c:pt idx="189">
                  <c:v>5.0366000000000001E-2</c:v>
                </c:pt>
                <c:pt idx="190">
                  <c:v>5.0532000000000001E-2</c:v>
                </c:pt>
                <c:pt idx="191">
                  <c:v>5.0700000000000002E-2</c:v>
                </c:pt>
                <c:pt idx="192">
                  <c:v>5.0838000000000001E-2</c:v>
                </c:pt>
                <c:pt idx="193">
                  <c:v>5.1006000000000003E-2</c:v>
                </c:pt>
                <c:pt idx="194">
                  <c:v>5.1142E-2</c:v>
                </c:pt>
                <c:pt idx="195">
                  <c:v>5.1310000000000001E-2</c:v>
                </c:pt>
                <c:pt idx="196">
                  <c:v>5.1478000000000003E-2</c:v>
                </c:pt>
                <c:pt idx="197">
                  <c:v>5.1645999999999997E-2</c:v>
                </c:pt>
                <c:pt idx="198">
                  <c:v>5.1840000000000004E-2</c:v>
                </c:pt>
                <c:pt idx="199">
                  <c:v>5.2005999999999997E-2</c:v>
                </c:pt>
                <c:pt idx="200">
                  <c:v>5.2172000000000003E-2</c:v>
                </c:pt>
                <c:pt idx="201">
                  <c:v>5.2339999999999998E-2</c:v>
                </c:pt>
                <c:pt idx="202">
                  <c:v>5.2506000000000004E-2</c:v>
                </c:pt>
                <c:pt idx="203">
                  <c:v>5.2671999999999997E-2</c:v>
                </c:pt>
                <c:pt idx="204">
                  <c:v>5.2809999999999996E-2</c:v>
                </c:pt>
                <c:pt idx="205">
                  <c:v>5.2949999999999997E-2</c:v>
                </c:pt>
                <c:pt idx="206">
                  <c:v>5.3116000000000003E-2</c:v>
                </c:pt>
                <c:pt idx="207">
                  <c:v>5.3284000000000005E-2</c:v>
                </c:pt>
                <c:pt idx="208">
                  <c:v>5.3419999999999995E-2</c:v>
                </c:pt>
                <c:pt idx="209">
                  <c:v>5.3562000000000005E-2</c:v>
                </c:pt>
                <c:pt idx="210">
                  <c:v>5.3699999999999998E-2</c:v>
                </c:pt>
                <c:pt idx="211">
                  <c:v>5.3840000000000006E-2</c:v>
                </c:pt>
                <c:pt idx="212">
                  <c:v>5.398E-2</c:v>
                </c:pt>
                <c:pt idx="213">
                  <c:v>5.4115999999999997E-2</c:v>
                </c:pt>
                <c:pt idx="214">
                  <c:v>5.4253999999999997E-2</c:v>
                </c:pt>
                <c:pt idx="215">
                  <c:v>5.4393999999999998E-2</c:v>
                </c:pt>
                <c:pt idx="216">
                  <c:v>5.4533999999999999E-2</c:v>
                </c:pt>
                <c:pt idx="217">
                  <c:v>5.4671999999999998E-2</c:v>
                </c:pt>
                <c:pt idx="218">
                  <c:v>5.4783999999999999E-2</c:v>
                </c:pt>
                <c:pt idx="219">
                  <c:v>5.4922000000000006E-2</c:v>
                </c:pt>
                <c:pt idx="220">
                  <c:v>5.5060000000000005E-2</c:v>
                </c:pt>
                <c:pt idx="221">
                  <c:v>5.5170000000000004E-2</c:v>
                </c:pt>
                <c:pt idx="222">
                  <c:v>5.5312E-2</c:v>
                </c:pt>
                <c:pt idx="223">
                  <c:v>5.5424000000000001E-2</c:v>
                </c:pt>
                <c:pt idx="224">
                  <c:v>5.5564000000000002E-2</c:v>
                </c:pt>
                <c:pt idx="225">
                  <c:v>5.5671999999999999E-2</c:v>
                </c:pt>
                <c:pt idx="226">
                  <c:v>5.5781999999999998E-2</c:v>
                </c:pt>
                <c:pt idx="227">
                  <c:v>5.5894000000000006E-2</c:v>
                </c:pt>
                <c:pt idx="228">
                  <c:v>5.6034E-2</c:v>
                </c:pt>
                <c:pt idx="229">
                  <c:v>5.6146000000000001E-2</c:v>
                </c:pt>
                <c:pt idx="230">
                  <c:v>5.6256E-2</c:v>
                </c:pt>
                <c:pt idx="231">
                  <c:v>5.6368000000000001E-2</c:v>
                </c:pt>
                <c:pt idx="232">
                  <c:v>5.6478E-2</c:v>
                </c:pt>
                <c:pt idx="233">
                  <c:v>5.6587999999999999E-2</c:v>
                </c:pt>
                <c:pt idx="234">
                  <c:v>5.67E-2</c:v>
                </c:pt>
                <c:pt idx="235">
                  <c:v>5.6811999999999994E-2</c:v>
                </c:pt>
                <c:pt idx="236">
                  <c:v>5.6922E-2</c:v>
                </c:pt>
                <c:pt idx="237">
                  <c:v>5.7005999999999994E-2</c:v>
                </c:pt>
                <c:pt idx="238">
                  <c:v>5.7118000000000002E-2</c:v>
                </c:pt>
                <c:pt idx="239">
                  <c:v>5.7225999999999999E-2</c:v>
                </c:pt>
                <c:pt idx="240">
                  <c:v>5.7337999999999993E-2</c:v>
                </c:pt>
                <c:pt idx="241">
                  <c:v>5.7450000000000001E-2</c:v>
                </c:pt>
                <c:pt idx="242">
                  <c:v>5.7561999999999995E-2</c:v>
                </c:pt>
                <c:pt idx="243">
                  <c:v>5.7644000000000001E-2</c:v>
                </c:pt>
                <c:pt idx="244">
                  <c:v>5.7756000000000002E-2</c:v>
                </c:pt>
                <c:pt idx="245">
                  <c:v>5.7868000000000003E-2</c:v>
                </c:pt>
                <c:pt idx="246">
                  <c:v>5.7976E-2</c:v>
                </c:pt>
                <c:pt idx="247">
                  <c:v>5.806E-2</c:v>
                </c:pt>
                <c:pt idx="248">
                  <c:v>5.8171999999999995E-2</c:v>
                </c:pt>
                <c:pt idx="249">
                  <c:v>5.8282E-2</c:v>
                </c:pt>
                <c:pt idx="250">
                  <c:v>5.8394000000000001E-2</c:v>
                </c:pt>
                <c:pt idx="251">
                  <c:v>5.8478000000000002E-2</c:v>
                </c:pt>
                <c:pt idx="252">
                  <c:v>5.8587999999999994E-2</c:v>
                </c:pt>
                <c:pt idx="253">
                  <c:v>5.8700000000000002E-2</c:v>
                </c:pt>
                <c:pt idx="254">
                  <c:v>5.8810000000000001E-2</c:v>
                </c:pt>
                <c:pt idx="255">
                  <c:v>5.8922000000000002E-2</c:v>
                </c:pt>
                <c:pt idx="256">
                  <c:v>5.9034000000000003E-2</c:v>
                </c:pt>
                <c:pt idx="257">
                  <c:v>5.9146000000000004E-2</c:v>
                </c:pt>
                <c:pt idx="258">
                  <c:v>5.9256000000000003E-2</c:v>
                </c:pt>
                <c:pt idx="259">
                  <c:v>5.9340000000000004E-2</c:v>
                </c:pt>
                <c:pt idx="260">
                  <c:v>5.9451999999999998E-2</c:v>
                </c:pt>
                <c:pt idx="261">
                  <c:v>5.9561999999999997E-2</c:v>
                </c:pt>
                <c:pt idx="262">
                  <c:v>5.9644000000000003E-2</c:v>
                </c:pt>
                <c:pt idx="263">
                  <c:v>5.9756000000000004E-2</c:v>
                </c:pt>
                <c:pt idx="264">
                  <c:v>5.9837999999999995E-2</c:v>
                </c:pt>
                <c:pt idx="265">
                  <c:v>5.9922000000000003E-2</c:v>
                </c:pt>
                <c:pt idx="266">
                  <c:v>6.0006000000000004E-2</c:v>
                </c:pt>
                <c:pt idx="267">
                  <c:v>6.0090000000000005E-2</c:v>
                </c:pt>
                <c:pt idx="268">
                  <c:v>6.0171999999999996E-2</c:v>
                </c:pt>
                <c:pt idx="269">
                  <c:v>6.0282000000000002E-2</c:v>
                </c:pt>
                <c:pt idx="270">
                  <c:v>6.0366000000000003E-2</c:v>
                </c:pt>
                <c:pt idx="271">
                  <c:v>6.0477999999999997E-2</c:v>
                </c:pt>
                <c:pt idx="272">
                  <c:v>6.0560000000000003E-2</c:v>
                </c:pt>
                <c:pt idx="273">
                  <c:v>6.0644000000000003E-2</c:v>
                </c:pt>
                <c:pt idx="274">
                  <c:v>6.0754000000000002E-2</c:v>
                </c:pt>
                <c:pt idx="275">
                  <c:v>6.0865999999999996E-2</c:v>
                </c:pt>
                <c:pt idx="276">
                  <c:v>6.0978000000000004E-2</c:v>
                </c:pt>
                <c:pt idx="277">
                  <c:v>6.1087999999999996E-2</c:v>
                </c:pt>
                <c:pt idx="278">
                  <c:v>6.1200000000000004E-2</c:v>
                </c:pt>
                <c:pt idx="279">
                  <c:v>6.1311999999999998E-2</c:v>
                </c:pt>
                <c:pt idx="280">
                  <c:v>6.1394000000000004E-2</c:v>
                </c:pt>
                <c:pt idx="281">
                  <c:v>6.1505999999999998E-2</c:v>
                </c:pt>
                <c:pt idx="282">
                  <c:v>6.1588000000000004E-2</c:v>
                </c:pt>
                <c:pt idx="283">
                  <c:v>6.1672000000000005E-2</c:v>
                </c:pt>
                <c:pt idx="284">
                  <c:v>6.1758E-2</c:v>
                </c:pt>
                <c:pt idx="285">
                  <c:v>6.1837999999999997E-2</c:v>
                </c:pt>
                <c:pt idx="286">
                  <c:v>6.1921999999999998E-2</c:v>
                </c:pt>
                <c:pt idx="287">
                  <c:v>6.2004000000000004E-2</c:v>
                </c:pt>
                <c:pt idx="288">
                  <c:v>6.2088000000000004E-2</c:v>
                </c:pt>
                <c:pt idx="289">
                  <c:v>6.2171999999999998E-2</c:v>
                </c:pt>
                <c:pt idx="290">
                  <c:v>6.2255999999999999E-2</c:v>
                </c:pt>
                <c:pt idx="291">
                  <c:v>6.234E-2</c:v>
                </c:pt>
                <c:pt idx="292">
                  <c:v>6.2422000000000005E-2</c:v>
                </c:pt>
                <c:pt idx="293">
                  <c:v>6.2506000000000006E-2</c:v>
                </c:pt>
                <c:pt idx="294">
                  <c:v>6.2588000000000005E-2</c:v>
                </c:pt>
                <c:pt idx="295">
                  <c:v>6.2672000000000005E-2</c:v>
                </c:pt>
                <c:pt idx="296">
                  <c:v>6.2755999999999992E-2</c:v>
                </c:pt>
                <c:pt idx="297">
                  <c:v>6.2838000000000005E-2</c:v>
                </c:pt>
                <c:pt idx="298">
                  <c:v>6.2922000000000006E-2</c:v>
                </c:pt>
                <c:pt idx="299">
                  <c:v>6.3007999999999995E-2</c:v>
                </c:pt>
                <c:pt idx="300">
                  <c:v>6.3090000000000007E-2</c:v>
                </c:pt>
                <c:pt idx="301">
                  <c:v>6.3174000000000008E-2</c:v>
                </c:pt>
                <c:pt idx="302">
                  <c:v>6.3255999999999993E-2</c:v>
                </c:pt>
                <c:pt idx="303">
                  <c:v>6.3338000000000005E-2</c:v>
                </c:pt>
                <c:pt idx="304">
                  <c:v>6.3422000000000006E-2</c:v>
                </c:pt>
                <c:pt idx="305">
                  <c:v>6.3506000000000007E-2</c:v>
                </c:pt>
                <c:pt idx="306">
                  <c:v>6.3587999999999992E-2</c:v>
                </c:pt>
                <c:pt idx="307">
                  <c:v>6.3672000000000006E-2</c:v>
                </c:pt>
                <c:pt idx="308">
                  <c:v>6.3756000000000007E-2</c:v>
                </c:pt>
                <c:pt idx="309">
                  <c:v>6.3840000000000008E-2</c:v>
                </c:pt>
                <c:pt idx="310">
                  <c:v>6.3894000000000006E-2</c:v>
                </c:pt>
                <c:pt idx="311">
                  <c:v>6.3978000000000007E-2</c:v>
                </c:pt>
                <c:pt idx="312">
                  <c:v>6.4062000000000008E-2</c:v>
                </c:pt>
                <c:pt idx="313">
                  <c:v>6.4143999999999993E-2</c:v>
                </c:pt>
                <c:pt idx="314">
                  <c:v>6.4227999999999993E-2</c:v>
                </c:pt>
                <c:pt idx="315">
                  <c:v>6.4310000000000006E-2</c:v>
                </c:pt>
                <c:pt idx="316">
                  <c:v>6.4394000000000007E-2</c:v>
                </c:pt>
                <c:pt idx="317">
                  <c:v>6.4450000000000007E-2</c:v>
                </c:pt>
                <c:pt idx="318">
                  <c:v>6.4534000000000008E-2</c:v>
                </c:pt>
                <c:pt idx="319">
                  <c:v>6.4615999999999993E-2</c:v>
                </c:pt>
                <c:pt idx="320">
                  <c:v>6.4728000000000008E-2</c:v>
                </c:pt>
                <c:pt idx="321">
                  <c:v>6.4839999999999995E-2</c:v>
                </c:pt>
                <c:pt idx="322">
                  <c:v>6.4950000000000008E-2</c:v>
                </c:pt>
                <c:pt idx="323">
                  <c:v>6.5061999999999995E-2</c:v>
                </c:pt>
                <c:pt idx="324">
                  <c:v>6.517400000000001E-2</c:v>
                </c:pt>
                <c:pt idx="325">
                  <c:v>6.5284000000000009E-2</c:v>
                </c:pt>
                <c:pt idx="326">
                  <c:v>6.5393999999999994E-2</c:v>
                </c:pt>
                <c:pt idx="327">
                  <c:v>6.5506000000000009E-2</c:v>
                </c:pt>
                <c:pt idx="328">
                  <c:v>6.5617999999999996E-2</c:v>
                </c:pt>
                <c:pt idx="329">
                  <c:v>6.5726000000000007E-2</c:v>
                </c:pt>
                <c:pt idx="330">
                  <c:v>6.5838000000000008E-2</c:v>
                </c:pt>
                <c:pt idx="331">
                  <c:v>6.5949999999999995E-2</c:v>
                </c:pt>
                <c:pt idx="332">
                  <c:v>6.606200000000001E-2</c:v>
                </c:pt>
                <c:pt idx="333">
                  <c:v>6.6172000000000009E-2</c:v>
                </c:pt>
                <c:pt idx="334">
                  <c:v>6.6283999999999996E-2</c:v>
                </c:pt>
                <c:pt idx="335">
                  <c:v>6.6395999999999997E-2</c:v>
                </c:pt>
                <c:pt idx="336">
                  <c:v>6.6505999999999996E-2</c:v>
                </c:pt>
                <c:pt idx="337">
                  <c:v>6.6615999999999995E-2</c:v>
                </c:pt>
                <c:pt idx="338">
                  <c:v>6.6727999999999996E-2</c:v>
                </c:pt>
                <c:pt idx="339">
                  <c:v>6.6839999999999997E-2</c:v>
                </c:pt>
                <c:pt idx="340">
                  <c:v>6.695000000000001E-2</c:v>
                </c:pt>
                <c:pt idx="341">
                  <c:v>6.7061999999999997E-2</c:v>
                </c:pt>
                <c:pt idx="342">
                  <c:v>6.7171999999999996E-2</c:v>
                </c:pt>
                <c:pt idx="343">
                  <c:v>6.7282000000000008E-2</c:v>
                </c:pt>
                <c:pt idx="344">
                  <c:v>6.7393999999999996E-2</c:v>
                </c:pt>
                <c:pt idx="345">
                  <c:v>6.750600000000001E-2</c:v>
                </c:pt>
                <c:pt idx="346">
                  <c:v>6.7615999999999996E-2</c:v>
                </c:pt>
                <c:pt idx="347">
                  <c:v>6.7727999999999997E-2</c:v>
                </c:pt>
                <c:pt idx="348">
                  <c:v>6.7811999999999997E-2</c:v>
                </c:pt>
                <c:pt idx="349">
                  <c:v>6.7923999999999998E-2</c:v>
                </c:pt>
                <c:pt idx="350">
                  <c:v>6.8032000000000009E-2</c:v>
                </c:pt>
                <c:pt idx="351">
                  <c:v>6.8143999999999996E-2</c:v>
                </c:pt>
                <c:pt idx="352">
                  <c:v>6.8255999999999997E-2</c:v>
                </c:pt>
                <c:pt idx="353">
                  <c:v>6.8337999999999996E-2</c:v>
                </c:pt>
                <c:pt idx="354">
                  <c:v>6.8449999999999997E-2</c:v>
                </c:pt>
                <c:pt idx="355">
                  <c:v>6.8561999999999998E-2</c:v>
                </c:pt>
                <c:pt idx="356">
                  <c:v>6.8643999999999997E-2</c:v>
                </c:pt>
                <c:pt idx="357">
                  <c:v>6.8755999999999998E-2</c:v>
                </c:pt>
                <c:pt idx="358">
                  <c:v>6.8867999999999999E-2</c:v>
                </c:pt>
                <c:pt idx="359">
                  <c:v>6.8977999999999998E-2</c:v>
                </c:pt>
                <c:pt idx="360">
                  <c:v>6.9115999999999997E-2</c:v>
                </c:pt>
                <c:pt idx="361">
                  <c:v>6.9227999999999998E-2</c:v>
                </c:pt>
                <c:pt idx="362">
                  <c:v>6.9367999999999999E-2</c:v>
                </c:pt>
                <c:pt idx="363">
                  <c:v>6.9477999999999998E-2</c:v>
                </c:pt>
                <c:pt idx="364">
                  <c:v>6.9587999999999997E-2</c:v>
                </c:pt>
                <c:pt idx="365">
                  <c:v>6.9727999999999998E-2</c:v>
                </c:pt>
                <c:pt idx="366">
                  <c:v>6.9839999999999999E-2</c:v>
                </c:pt>
                <c:pt idx="367">
                  <c:v>6.9977999999999999E-2</c:v>
                </c:pt>
                <c:pt idx="368">
                  <c:v>7.009E-2</c:v>
                </c:pt>
                <c:pt idx="369">
                  <c:v>7.0227999999999999E-2</c:v>
                </c:pt>
                <c:pt idx="370">
                  <c:v>7.0337999999999998E-2</c:v>
                </c:pt>
                <c:pt idx="371">
                  <c:v>7.0449999999999999E-2</c:v>
                </c:pt>
                <c:pt idx="372">
                  <c:v>7.059E-2</c:v>
                </c:pt>
                <c:pt idx="373">
                  <c:v>7.0699999999999999E-2</c:v>
                </c:pt>
                <c:pt idx="374">
                  <c:v>7.0812E-2</c:v>
                </c:pt>
                <c:pt idx="375">
                  <c:v>7.0924000000000001E-2</c:v>
                </c:pt>
                <c:pt idx="376">
                  <c:v>7.1034E-2</c:v>
                </c:pt>
                <c:pt idx="377">
                  <c:v>7.1143999999999999E-2</c:v>
                </c:pt>
                <c:pt idx="378">
                  <c:v>7.1256E-2</c:v>
                </c:pt>
                <c:pt idx="379">
                  <c:v>7.1368000000000001E-2</c:v>
                </c:pt>
                <c:pt idx="380">
                  <c:v>7.1478E-2</c:v>
                </c:pt>
                <c:pt idx="381">
                  <c:v>7.1590000000000001E-2</c:v>
                </c:pt>
                <c:pt idx="382">
                  <c:v>7.1702000000000002E-2</c:v>
                </c:pt>
                <c:pt idx="383">
                  <c:v>7.1809999999999999E-2</c:v>
                </c:pt>
                <c:pt idx="384">
                  <c:v>7.1919999999999998E-2</c:v>
                </c:pt>
                <c:pt idx="385">
                  <c:v>7.2031999999999999E-2</c:v>
                </c:pt>
                <c:pt idx="386">
                  <c:v>7.2144E-2</c:v>
                </c:pt>
                <c:pt idx="387">
                  <c:v>7.2253999999999999E-2</c:v>
                </c:pt>
                <c:pt idx="388">
                  <c:v>7.2368000000000002E-2</c:v>
                </c:pt>
                <c:pt idx="389">
                  <c:v>7.2508000000000003E-2</c:v>
                </c:pt>
                <c:pt idx="390">
                  <c:v>7.2644E-2</c:v>
                </c:pt>
                <c:pt idx="391">
                  <c:v>7.2784000000000001E-2</c:v>
                </c:pt>
                <c:pt idx="392">
                  <c:v>7.2924000000000003E-2</c:v>
                </c:pt>
                <c:pt idx="393">
                  <c:v>7.306E-2</c:v>
                </c:pt>
                <c:pt idx="394">
                  <c:v>7.3200000000000001E-2</c:v>
                </c:pt>
                <c:pt idx="395">
                  <c:v>7.3340000000000002E-2</c:v>
                </c:pt>
                <c:pt idx="396">
                  <c:v>7.3476E-2</c:v>
                </c:pt>
                <c:pt idx="397">
                  <c:v>7.3616000000000001E-2</c:v>
                </c:pt>
                <c:pt idx="398">
                  <c:v>7.3728000000000002E-2</c:v>
                </c:pt>
                <c:pt idx="399">
                  <c:v>7.3868000000000003E-2</c:v>
                </c:pt>
                <c:pt idx="400">
                  <c:v>7.4006000000000002E-2</c:v>
                </c:pt>
                <c:pt idx="401">
                  <c:v>7.4116000000000001E-2</c:v>
                </c:pt>
                <c:pt idx="402">
                  <c:v>7.4256000000000003E-2</c:v>
                </c:pt>
                <c:pt idx="403">
                  <c:v>7.4394000000000002E-2</c:v>
                </c:pt>
                <c:pt idx="404">
                  <c:v>7.4506000000000003E-2</c:v>
                </c:pt>
                <c:pt idx="405">
                  <c:v>7.4644000000000002E-2</c:v>
                </c:pt>
                <c:pt idx="406">
                  <c:v>7.4786000000000005E-2</c:v>
                </c:pt>
                <c:pt idx="407">
                  <c:v>7.4894000000000002E-2</c:v>
                </c:pt>
                <c:pt idx="408">
                  <c:v>7.5032000000000001E-2</c:v>
                </c:pt>
                <c:pt idx="409">
                  <c:v>7.5144000000000002E-2</c:v>
                </c:pt>
                <c:pt idx="410">
                  <c:v>7.5284000000000004E-2</c:v>
                </c:pt>
                <c:pt idx="411">
                  <c:v>7.5396000000000005E-2</c:v>
                </c:pt>
                <c:pt idx="412">
                  <c:v>7.5534000000000004E-2</c:v>
                </c:pt>
                <c:pt idx="413">
                  <c:v>7.5700000000000003E-2</c:v>
                </c:pt>
                <c:pt idx="414">
                  <c:v>7.5838000000000003E-2</c:v>
                </c:pt>
                <c:pt idx="415">
                  <c:v>7.5976000000000002E-2</c:v>
                </c:pt>
                <c:pt idx="416">
                  <c:v>7.6144000000000003E-2</c:v>
                </c:pt>
                <c:pt idx="417">
                  <c:v>7.6284000000000005E-2</c:v>
                </c:pt>
                <c:pt idx="418">
                  <c:v>7.6422000000000004E-2</c:v>
                </c:pt>
                <c:pt idx="419">
                  <c:v>7.6560000000000003E-2</c:v>
                </c:pt>
                <c:pt idx="420">
                  <c:v>7.6700000000000004E-2</c:v>
                </c:pt>
                <c:pt idx="421">
                  <c:v>7.6840000000000006E-2</c:v>
                </c:pt>
                <c:pt idx="422">
                  <c:v>7.6978000000000005E-2</c:v>
                </c:pt>
                <c:pt idx="423">
                  <c:v>7.7118000000000006E-2</c:v>
                </c:pt>
                <c:pt idx="424">
                  <c:v>7.7256000000000005E-2</c:v>
                </c:pt>
                <c:pt idx="425">
                  <c:v>7.7394000000000004E-2</c:v>
                </c:pt>
                <c:pt idx="426">
                  <c:v>7.753199999999999E-2</c:v>
                </c:pt>
                <c:pt idx="427">
                  <c:v>7.7672000000000005E-2</c:v>
                </c:pt>
                <c:pt idx="428">
                  <c:v>7.780999999999999E-2</c:v>
                </c:pt>
                <c:pt idx="429">
                  <c:v>7.7950000000000005E-2</c:v>
                </c:pt>
                <c:pt idx="430">
                  <c:v>7.8090000000000007E-2</c:v>
                </c:pt>
                <c:pt idx="431">
                  <c:v>7.8228000000000006E-2</c:v>
                </c:pt>
                <c:pt idx="432">
                  <c:v>7.8368000000000007E-2</c:v>
                </c:pt>
                <c:pt idx="433">
                  <c:v>7.8533999999999993E-2</c:v>
                </c:pt>
                <c:pt idx="434">
                  <c:v>7.8701999999999994E-2</c:v>
                </c:pt>
                <c:pt idx="435">
                  <c:v>7.8838000000000005E-2</c:v>
                </c:pt>
                <c:pt idx="436">
                  <c:v>7.9005999999999993E-2</c:v>
                </c:pt>
                <c:pt idx="437">
                  <c:v>7.9143999999999992E-2</c:v>
                </c:pt>
                <c:pt idx="438">
                  <c:v>7.9311999999999994E-2</c:v>
                </c:pt>
                <c:pt idx="439">
                  <c:v>7.9451999999999995E-2</c:v>
                </c:pt>
                <c:pt idx="440">
                  <c:v>7.9615999999999992E-2</c:v>
                </c:pt>
                <c:pt idx="441">
                  <c:v>7.9755999999999994E-2</c:v>
                </c:pt>
                <c:pt idx="442">
                  <c:v>7.9893999999999993E-2</c:v>
                </c:pt>
                <c:pt idx="443">
                  <c:v>8.0061999999999994E-2</c:v>
                </c:pt>
                <c:pt idx="444">
                  <c:v>8.0199999999999994E-2</c:v>
                </c:pt>
                <c:pt idx="445">
                  <c:v>8.0337999999999993E-2</c:v>
                </c:pt>
                <c:pt idx="446">
                  <c:v>8.0478000000000008E-2</c:v>
                </c:pt>
                <c:pt idx="447">
                  <c:v>8.0616000000000007E-2</c:v>
                </c:pt>
                <c:pt idx="448">
                  <c:v>8.0755999999999994E-2</c:v>
                </c:pt>
                <c:pt idx="449">
                  <c:v>8.089600000000001E-2</c:v>
                </c:pt>
                <c:pt idx="450">
                  <c:v>8.1059999999999993E-2</c:v>
                </c:pt>
                <c:pt idx="451">
                  <c:v>8.1226000000000007E-2</c:v>
                </c:pt>
                <c:pt idx="452">
                  <c:v>8.1394000000000008E-2</c:v>
                </c:pt>
                <c:pt idx="453">
                  <c:v>8.1560000000000007E-2</c:v>
                </c:pt>
                <c:pt idx="454">
                  <c:v>8.1729999999999997E-2</c:v>
                </c:pt>
                <c:pt idx="455">
                  <c:v>8.189600000000001E-2</c:v>
                </c:pt>
                <c:pt idx="456">
                  <c:v>8.2059999999999994E-2</c:v>
                </c:pt>
                <c:pt idx="457">
                  <c:v>8.2227999999999996E-2</c:v>
                </c:pt>
                <c:pt idx="458">
                  <c:v>8.2395999999999997E-2</c:v>
                </c:pt>
                <c:pt idx="459">
                  <c:v>8.2533999999999996E-2</c:v>
                </c:pt>
                <c:pt idx="460">
                  <c:v>8.2699999999999996E-2</c:v>
                </c:pt>
                <c:pt idx="461">
                  <c:v>8.2840000000000011E-2</c:v>
                </c:pt>
                <c:pt idx="462">
                  <c:v>8.3005999999999996E-2</c:v>
                </c:pt>
                <c:pt idx="463">
                  <c:v>8.3145999999999998E-2</c:v>
                </c:pt>
                <c:pt idx="464">
                  <c:v>8.3312000000000011E-2</c:v>
                </c:pt>
                <c:pt idx="465">
                  <c:v>8.3477999999999997E-2</c:v>
                </c:pt>
                <c:pt idx="466">
                  <c:v>8.3643999999999996E-2</c:v>
                </c:pt>
                <c:pt idx="467">
                  <c:v>8.3811999999999998E-2</c:v>
                </c:pt>
                <c:pt idx="468">
                  <c:v>8.3977999999999997E-2</c:v>
                </c:pt>
                <c:pt idx="469">
                  <c:v>8.414400000000001E-2</c:v>
                </c:pt>
                <c:pt idx="470">
                  <c:v>8.4309999999999996E-2</c:v>
                </c:pt>
                <c:pt idx="471">
                  <c:v>8.4478000000000011E-2</c:v>
                </c:pt>
                <c:pt idx="472">
                  <c:v>8.4643999999999997E-2</c:v>
                </c:pt>
                <c:pt idx="473">
                  <c:v>8.4811999999999999E-2</c:v>
                </c:pt>
                <c:pt idx="474">
                  <c:v>8.4975999999999996E-2</c:v>
                </c:pt>
                <c:pt idx="475">
                  <c:v>8.5143999999999997E-2</c:v>
                </c:pt>
                <c:pt idx="476">
                  <c:v>8.5311999999999999E-2</c:v>
                </c:pt>
                <c:pt idx="477">
                  <c:v>8.5477999999999998E-2</c:v>
                </c:pt>
                <c:pt idx="478">
                  <c:v>8.5671999999999998E-2</c:v>
                </c:pt>
                <c:pt idx="479">
                  <c:v>8.5866000000000012E-2</c:v>
                </c:pt>
                <c:pt idx="480">
                  <c:v>8.6033999999999999E-2</c:v>
                </c:pt>
                <c:pt idx="481">
                  <c:v>8.6227999999999999E-2</c:v>
                </c:pt>
                <c:pt idx="482">
                  <c:v>8.6396000000000001E-2</c:v>
                </c:pt>
                <c:pt idx="483">
                  <c:v>8.6562E-2</c:v>
                </c:pt>
                <c:pt idx="484">
                  <c:v>8.6728E-2</c:v>
                </c:pt>
                <c:pt idx="485">
                  <c:v>8.6896000000000001E-2</c:v>
                </c:pt>
                <c:pt idx="486">
                  <c:v>8.7062000000000014E-2</c:v>
                </c:pt>
                <c:pt idx="487">
                  <c:v>8.7225999999999998E-2</c:v>
                </c:pt>
                <c:pt idx="488">
                  <c:v>8.7395999999999988E-2</c:v>
                </c:pt>
                <c:pt idx="489">
                  <c:v>8.7559999999999999E-2</c:v>
                </c:pt>
                <c:pt idx="490">
                  <c:v>8.7728E-2</c:v>
                </c:pt>
                <c:pt idx="491">
                  <c:v>8.7924000000000002E-2</c:v>
                </c:pt>
                <c:pt idx="492">
                  <c:v>8.8116E-2</c:v>
                </c:pt>
                <c:pt idx="493">
                  <c:v>8.8312000000000002E-2</c:v>
                </c:pt>
                <c:pt idx="494">
                  <c:v>8.8506000000000001E-2</c:v>
                </c:pt>
                <c:pt idx="495">
                  <c:v>8.8699999999999987E-2</c:v>
                </c:pt>
                <c:pt idx="496">
                  <c:v>8.8894000000000001E-2</c:v>
                </c:pt>
                <c:pt idx="497">
                  <c:v>8.9090000000000003E-2</c:v>
                </c:pt>
                <c:pt idx="498">
                  <c:v>8.9284000000000002E-2</c:v>
                </c:pt>
                <c:pt idx="499">
                  <c:v>8.9478000000000002E-2</c:v>
                </c:pt>
                <c:pt idx="500">
                  <c:v>8.9672000000000002E-2</c:v>
                </c:pt>
                <c:pt idx="501">
                  <c:v>8.9868000000000003E-2</c:v>
                </c:pt>
                <c:pt idx="502">
                  <c:v>9.0062000000000003E-2</c:v>
                </c:pt>
                <c:pt idx="503">
                  <c:v>9.0256000000000003E-2</c:v>
                </c:pt>
                <c:pt idx="504">
                  <c:v>9.0450000000000003E-2</c:v>
                </c:pt>
                <c:pt idx="505">
                  <c:v>9.0643999999999988E-2</c:v>
                </c:pt>
                <c:pt idx="506">
                  <c:v>9.0838000000000002E-2</c:v>
                </c:pt>
                <c:pt idx="507">
                  <c:v>9.1034000000000004E-2</c:v>
                </c:pt>
                <c:pt idx="508">
                  <c:v>9.1228000000000004E-2</c:v>
                </c:pt>
                <c:pt idx="509">
                  <c:v>9.1422000000000003E-2</c:v>
                </c:pt>
                <c:pt idx="510">
                  <c:v>9.1617999999999991E-2</c:v>
                </c:pt>
                <c:pt idx="511">
                  <c:v>9.1812000000000005E-2</c:v>
                </c:pt>
                <c:pt idx="512">
                  <c:v>9.2005999999999991E-2</c:v>
                </c:pt>
                <c:pt idx="513">
                  <c:v>9.2227999999999991E-2</c:v>
                </c:pt>
                <c:pt idx="514">
                  <c:v>9.2452000000000006E-2</c:v>
                </c:pt>
                <c:pt idx="515">
                  <c:v>9.2672000000000004E-2</c:v>
                </c:pt>
                <c:pt idx="516">
                  <c:v>9.2867999999999992E-2</c:v>
                </c:pt>
                <c:pt idx="517">
                  <c:v>9.3089999999999992E-2</c:v>
                </c:pt>
                <c:pt idx="518">
                  <c:v>9.3312000000000006E-2</c:v>
                </c:pt>
                <c:pt idx="519">
                  <c:v>9.3506000000000006E-2</c:v>
                </c:pt>
                <c:pt idx="520">
                  <c:v>9.3699999999999992E-2</c:v>
                </c:pt>
                <c:pt idx="521">
                  <c:v>9.3924000000000007E-2</c:v>
                </c:pt>
                <c:pt idx="522">
                  <c:v>9.4144000000000005E-2</c:v>
                </c:pt>
                <c:pt idx="523">
                  <c:v>9.4366000000000005E-2</c:v>
                </c:pt>
                <c:pt idx="524">
                  <c:v>9.4588000000000005E-2</c:v>
                </c:pt>
                <c:pt idx="525">
                  <c:v>9.4811999999999994E-2</c:v>
                </c:pt>
                <c:pt idx="526">
                  <c:v>9.5031999999999991E-2</c:v>
                </c:pt>
                <c:pt idx="527">
                  <c:v>9.5256000000000007E-2</c:v>
                </c:pt>
                <c:pt idx="528">
                  <c:v>9.5478000000000007E-2</c:v>
                </c:pt>
                <c:pt idx="529">
                  <c:v>9.5698000000000005E-2</c:v>
                </c:pt>
                <c:pt idx="530">
                  <c:v>9.5950000000000008E-2</c:v>
                </c:pt>
                <c:pt idx="531">
                  <c:v>9.620200000000001E-2</c:v>
                </c:pt>
                <c:pt idx="532">
                  <c:v>9.6422000000000008E-2</c:v>
                </c:pt>
                <c:pt idx="533">
                  <c:v>9.667400000000001E-2</c:v>
                </c:pt>
                <c:pt idx="534">
                  <c:v>9.6921999999999994E-2</c:v>
                </c:pt>
                <c:pt idx="535">
                  <c:v>9.714600000000001E-2</c:v>
                </c:pt>
                <c:pt idx="536">
                  <c:v>9.7363999999999992E-2</c:v>
                </c:pt>
                <c:pt idx="537">
                  <c:v>9.759000000000001E-2</c:v>
                </c:pt>
                <c:pt idx="538">
                  <c:v>9.784000000000001E-2</c:v>
                </c:pt>
                <c:pt idx="539">
                  <c:v>9.8087999999999995E-2</c:v>
                </c:pt>
                <c:pt idx="540">
                  <c:v>9.8339999999999997E-2</c:v>
                </c:pt>
                <c:pt idx="541">
                  <c:v>9.8588000000000009E-2</c:v>
                </c:pt>
                <c:pt idx="542">
                  <c:v>9.8838000000000009E-2</c:v>
                </c:pt>
                <c:pt idx="543">
                  <c:v>9.9090000000000011E-2</c:v>
                </c:pt>
                <c:pt idx="544">
                  <c:v>9.9339999999999998E-2</c:v>
                </c:pt>
                <c:pt idx="545">
                  <c:v>9.9589999999999998E-2</c:v>
                </c:pt>
                <c:pt idx="546">
                  <c:v>9.983800000000001E-2</c:v>
                </c:pt>
                <c:pt idx="547">
                  <c:v>0.10009</c:v>
                </c:pt>
                <c:pt idx="548">
                  <c:v>0.10034000000000001</c:v>
                </c:pt>
                <c:pt idx="549">
                  <c:v>0.100588</c:v>
                </c:pt>
                <c:pt idx="550">
                  <c:v>0.10084</c:v>
                </c:pt>
                <c:pt idx="551">
                  <c:v>0.10108800000000001</c:v>
                </c:pt>
                <c:pt idx="552">
                  <c:v>0.10134</c:v>
                </c:pt>
                <c:pt idx="553">
                  <c:v>0.10159000000000001</c:v>
                </c:pt>
                <c:pt idx="554">
                  <c:v>0.101838</c:v>
                </c:pt>
                <c:pt idx="555">
                  <c:v>0.10209</c:v>
                </c:pt>
                <c:pt idx="556">
                  <c:v>0.10234</c:v>
                </c:pt>
                <c:pt idx="557">
                  <c:v>0.10258800000000001</c:v>
                </c:pt>
                <c:pt idx="558">
                  <c:v>0.102838</c:v>
                </c:pt>
                <c:pt idx="559">
                  <c:v>0.10308999999999999</c:v>
                </c:pt>
                <c:pt idx="560">
                  <c:v>0.10336600000000001</c:v>
                </c:pt>
                <c:pt idx="561">
                  <c:v>0.10364599999999999</c:v>
                </c:pt>
                <c:pt idx="562">
                  <c:v>0.103924</c:v>
                </c:pt>
                <c:pt idx="563">
                  <c:v>0.104198</c:v>
                </c:pt>
                <c:pt idx="564">
                  <c:v>0.10447800000000002</c:v>
                </c:pt>
                <c:pt idx="565">
                  <c:v>0.104756</c:v>
                </c:pt>
                <c:pt idx="566">
                  <c:v>0.10503399999999999</c:v>
                </c:pt>
                <c:pt idx="567">
                  <c:v>0.10531</c:v>
                </c:pt>
                <c:pt idx="568">
                  <c:v>0.10558999999999999</c:v>
                </c:pt>
                <c:pt idx="569">
                  <c:v>0.105866</c:v>
                </c:pt>
                <c:pt idx="570">
                  <c:v>0.106144</c:v>
                </c:pt>
                <c:pt idx="571">
                  <c:v>0.106422</c:v>
                </c:pt>
                <c:pt idx="572">
                  <c:v>0.1067</c:v>
                </c:pt>
                <c:pt idx="573">
                  <c:v>0.10700599999999999</c:v>
                </c:pt>
                <c:pt idx="574">
                  <c:v>0.10731</c:v>
                </c:pt>
                <c:pt idx="575">
                  <c:v>0.10761599999999999</c:v>
                </c:pt>
                <c:pt idx="576">
                  <c:v>0.10792199999999999</c:v>
                </c:pt>
                <c:pt idx="577">
                  <c:v>0.10822599999999999</c:v>
                </c:pt>
                <c:pt idx="578">
                  <c:v>0.10853199999999999</c:v>
                </c:pt>
                <c:pt idx="579">
                  <c:v>0.108838</c:v>
                </c:pt>
                <c:pt idx="580">
                  <c:v>0.109144</c:v>
                </c:pt>
                <c:pt idx="581">
                  <c:v>0.10945000000000001</c:v>
                </c:pt>
                <c:pt idx="582">
                  <c:v>0.109754</c:v>
                </c:pt>
                <c:pt idx="583">
                  <c:v>0.11006199999999999</c:v>
                </c:pt>
                <c:pt idx="584">
                  <c:v>0.11039199999999999</c:v>
                </c:pt>
                <c:pt idx="585">
                  <c:v>0.11072800000000001</c:v>
                </c:pt>
                <c:pt idx="586">
                  <c:v>0.11106199999999999</c:v>
                </c:pt>
                <c:pt idx="587">
                  <c:v>0.111396</c:v>
                </c:pt>
                <c:pt idx="588">
                  <c:v>0.111702</c:v>
                </c:pt>
                <c:pt idx="589">
                  <c:v>0.11200599999999999</c:v>
                </c:pt>
                <c:pt idx="590">
                  <c:v>0.112312</c:v>
                </c:pt>
                <c:pt idx="591">
                  <c:v>0.11261599999999999</c:v>
                </c:pt>
                <c:pt idx="592">
                  <c:v>0.11294999999999999</c:v>
                </c:pt>
                <c:pt idx="593">
                  <c:v>0.113258</c:v>
                </c:pt>
                <c:pt idx="594">
                  <c:v>0.113562</c:v>
                </c:pt>
                <c:pt idx="595">
                  <c:v>0.113896</c:v>
                </c:pt>
                <c:pt idx="596">
                  <c:v>0.11422599999999999</c:v>
                </c:pt>
                <c:pt idx="597">
                  <c:v>0.11456200000000001</c:v>
                </c:pt>
                <c:pt idx="598">
                  <c:v>0.114894</c:v>
                </c:pt>
                <c:pt idx="599">
                  <c:v>0.115228</c:v>
                </c:pt>
                <c:pt idx="600">
                  <c:v>0.11559</c:v>
                </c:pt>
                <c:pt idx="601">
                  <c:v>0.11595000000000001</c:v>
                </c:pt>
                <c:pt idx="602">
                  <c:v>0.116312</c:v>
                </c:pt>
                <c:pt idx="603">
                  <c:v>0.116672</c:v>
                </c:pt>
                <c:pt idx="604">
                  <c:v>0.117006</c:v>
                </c:pt>
                <c:pt idx="605">
                  <c:v>0.117366</c:v>
                </c:pt>
                <c:pt idx="606">
                  <c:v>0.117728</c:v>
                </c:pt>
                <c:pt idx="607">
                  <c:v>0.11808999999999999</c:v>
                </c:pt>
                <c:pt idx="608">
                  <c:v>0.118448</c:v>
                </c:pt>
                <c:pt idx="609">
                  <c:v>0.11884</c:v>
                </c:pt>
                <c:pt idx="610">
                  <c:v>0.119228</c:v>
                </c:pt>
                <c:pt idx="611">
                  <c:v>0.119616</c:v>
                </c:pt>
                <c:pt idx="612">
                  <c:v>0.119978</c:v>
                </c:pt>
                <c:pt idx="613">
                  <c:v>0.120338</c:v>
                </c:pt>
                <c:pt idx="614">
                  <c:v>0.120728</c:v>
                </c:pt>
                <c:pt idx="615">
                  <c:v>0.12111599999999999</c:v>
                </c:pt>
                <c:pt idx="616">
                  <c:v>0.121506</c:v>
                </c:pt>
                <c:pt idx="617">
                  <c:v>0.121866</c:v>
                </c:pt>
                <c:pt idx="618">
                  <c:v>0.122256</c:v>
                </c:pt>
                <c:pt idx="619">
                  <c:v>0.122644</c:v>
                </c:pt>
                <c:pt idx="620">
                  <c:v>0.123034</c:v>
                </c:pt>
                <c:pt idx="621">
                  <c:v>0.12342</c:v>
                </c:pt>
                <c:pt idx="622">
                  <c:v>0.12381199999999999</c:v>
                </c:pt>
                <c:pt idx="623">
                  <c:v>0.12422800000000001</c:v>
                </c:pt>
                <c:pt idx="624">
                  <c:v>0.12461800000000001</c:v>
                </c:pt>
                <c:pt idx="625">
                  <c:v>0.12503399999999998</c:v>
                </c:pt>
                <c:pt idx="626">
                  <c:v>0.12545000000000001</c:v>
                </c:pt>
                <c:pt idx="627">
                  <c:v>0.12586600000000001</c:v>
                </c:pt>
                <c:pt idx="628">
                  <c:v>0.12628600000000001</c:v>
                </c:pt>
                <c:pt idx="629">
                  <c:v>0.12670000000000001</c:v>
                </c:pt>
                <c:pt idx="630">
                  <c:v>0.12711800000000001</c:v>
                </c:pt>
                <c:pt idx="631">
                  <c:v>0.12753399999999998</c:v>
                </c:pt>
                <c:pt idx="632">
                  <c:v>0.12795199999999998</c:v>
                </c:pt>
                <c:pt idx="633">
                  <c:v>0.12839400000000001</c:v>
                </c:pt>
                <c:pt idx="634">
                  <c:v>0.12883800000000001</c:v>
                </c:pt>
                <c:pt idx="635">
                  <c:v>0.12928400000000001</c:v>
                </c:pt>
                <c:pt idx="636">
                  <c:v>0.12972600000000001</c:v>
                </c:pt>
                <c:pt idx="637">
                  <c:v>0.13017400000000001</c:v>
                </c:pt>
                <c:pt idx="638">
                  <c:v>0.13061800000000001</c:v>
                </c:pt>
                <c:pt idx="639">
                  <c:v>0.13106199999999998</c:v>
                </c:pt>
                <c:pt idx="640">
                  <c:v>0.13150600000000001</c:v>
                </c:pt>
                <c:pt idx="641">
                  <c:v>0.13195000000000001</c:v>
                </c:pt>
                <c:pt idx="642">
                  <c:v>0.13242200000000001</c:v>
                </c:pt>
                <c:pt idx="643">
                  <c:v>0.13289600000000001</c:v>
                </c:pt>
                <c:pt idx="644">
                  <c:v>0.13336800000000001</c:v>
                </c:pt>
                <c:pt idx="645">
                  <c:v>0.13384000000000001</c:v>
                </c:pt>
                <c:pt idx="646">
                  <c:v>0.13430999999999998</c:v>
                </c:pt>
                <c:pt idx="647">
                  <c:v>0.13478400000000001</c:v>
                </c:pt>
                <c:pt idx="648">
                  <c:v>0.13525600000000002</c:v>
                </c:pt>
                <c:pt idx="649">
                  <c:v>0.13575599999999999</c:v>
                </c:pt>
                <c:pt idx="650">
                  <c:v>0.13625600000000002</c:v>
                </c:pt>
                <c:pt idx="651">
                  <c:v>0.13678399999999999</c:v>
                </c:pt>
                <c:pt idx="652">
                  <c:v>0.13730999999999999</c:v>
                </c:pt>
                <c:pt idx="653">
                  <c:v>0.13784000000000002</c:v>
                </c:pt>
                <c:pt idx="654">
                  <c:v>0.13836799999999999</c:v>
                </c:pt>
                <c:pt idx="655">
                  <c:v>0.13889399999999999</c:v>
                </c:pt>
                <c:pt idx="656">
                  <c:v>0.13944999999999999</c:v>
                </c:pt>
                <c:pt idx="657">
                  <c:v>0.13997799999999999</c:v>
                </c:pt>
                <c:pt idx="658">
                  <c:v>0.14053399999999999</c:v>
                </c:pt>
                <c:pt idx="659">
                  <c:v>0.14108799999999999</c:v>
                </c:pt>
                <c:pt idx="660">
                  <c:v>0.14164599999999999</c:v>
                </c:pt>
                <c:pt idx="661">
                  <c:v>0.14219999999999999</c:v>
                </c:pt>
                <c:pt idx="662">
                  <c:v>0.14275399999999999</c:v>
                </c:pt>
                <c:pt idx="663">
                  <c:v>0.14334</c:v>
                </c:pt>
                <c:pt idx="664">
                  <c:v>0.143952</c:v>
                </c:pt>
              </c:numCache>
            </c:numRef>
          </c:cat>
          <c:val>
            <c:numRef>
              <c:f>'A21-3'!$F$2:$F$666</c:f>
              <c:numCache>
                <c:formatCode>0.00</c:formatCode>
                <c:ptCount val="665"/>
                <c:pt idx="0">
                  <c:v>0</c:v>
                </c:pt>
                <c:pt idx="1">
                  <c:v>0.16584387974945428</c:v>
                </c:pt>
                <c:pt idx="2">
                  <c:v>0.16584387974945428</c:v>
                </c:pt>
                <c:pt idx="3">
                  <c:v>0.16988885242627019</c:v>
                </c:pt>
                <c:pt idx="4">
                  <c:v>0.16988885242627019</c:v>
                </c:pt>
                <c:pt idx="5">
                  <c:v>0.16988885242627019</c:v>
                </c:pt>
                <c:pt idx="6">
                  <c:v>0.17393144710621561</c:v>
                </c:pt>
                <c:pt idx="7">
                  <c:v>0.17393144710621561</c:v>
                </c:pt>
                <c:pt idx="8">
                  <c:v>0.17797641978303161</c:v>
                </c:pt>
                <c:pt idx="9">
                  <c:v>0.17797641978303161</c:v>
                </c:pt>
                <c:pt idx="10">
                  <c:v>0.18202139245984753</c:v>
                </c:pt>
                <c:pt idx="11">
                  <c:v>0.18202139245984753</c:v>
                </c:pt>
                <c:pt idx="12">
                  <c:v>0.1860663651366635</c:v>
                </c:pt>
                <c:pt idx="13">
                  <c:v>0.19011133781347944</c:v>
                </c:pt>
                <c:pt idx="14">
                  <c:v>0.19415631049029541</c:v>
                </c:pt>
                <c:pt idx="15">
                  <c:v>0.19415631049029541</c:v>
                </c:pt>
                <c:pt idx="16">
                  <c:v>0.19820128316711136</c:v>
                </c:pt>
                <c:pt idx="17">
                  <c:v>0.2022462558439273</c:v>
                </c:pt>
                <c:pt idx="18">
                  <c:v>0.20629122852074327</c:v>
                </c:pt>
                <c:pt idx="19">
                  <c:v>0.20629122852074327</c:v>
                </c:pt>
                <c:pt idx="20">
                  <c:v>0.21033620119755925</c:v>
                </c:pt>
                <c:pt idx="21">
                  <c:v>0.21033620119755925</c:v>
                </c:pt>
                <c:pt idx="22">
                  <c:v>0.21438117387437522</c:v>
                </c:pt>
                <c:pt idx="23">
                  <c:v>0.21438117387437522</c:v>
                </c:pt>
                <c:pt idx="24">
                  <c:v>0.21438117387437522</c:v>
                </c:pt>
                <c:pt idx="25">
                  <c:v>0.21438117387437522</c:v>
                </c:pt>
                <c:pt idx="26">
                  <c:v>0.21438117387437522</c:v>
                </c:pt>
                <c:pt idx="27">
                  <c:v>0.21438117387437522</c:v>
                </c:pt>
                <c:pt idx="28">
                  <c:v>0.21438117387437522</c:v>
                </c:pt>
                <c:pt idx="29">
                  <c:v>0.21842614655119114</c:v>
                </c:pt>
                <c:pt idx="30">
                  <c:v>0.21842614655119114</c:v>
                </c:pt>
                <c:pt idx="31">
                  <c:v>0.21842614655119114</c:v>
                </c:pt>
                <c:pt idx="32">
                  <c:v>0.21842614655119114</c:v>
                </c:pt>
                <c:pt idx="33">
                  <c:v>0.21842614655119114</c:v>
                </c:pt>
                <c:pt idx="34">
                  <c:v>0.21842614655119114</c:v>
                </c:pt>
                <c:pt idx="35">
                  <c:v>0.22247111922800711</c:v>
                </c:pt>
                <c:pt idx="36">
                  <c:v>0.22247111922800711</c:v>
                </c:pt>
                <c:pt idx="37">
                  <c:v>0.22247111922800711</c:v>
                </c:pt>
                <c:pt idx="38">
                  <c:v>0.22651609190482305</c:v>
                </c:pt>
                <c:pt idx="39">
                  <c:v>0.22651609190482305</c:v>
                </c:pt>
                <c:pt idx="40">
                  <c:v>0.23056106458163905</c:v>
                </c:pt>
                <c:pt idx="41">
                  <c:v>0.23056106458163905</c:v>
                </c:pt>
                <c:pt idx="42">
                  <c:v>0.23056106458163905</c:v>
                </c:pt>
                <c:pt idx="43">
                  <c:v>0.23056106458163905</c:v>
                </c:pt>
                <c:pt idx="44">
                  <c:v>0.23056106458163905</c:v>
                </c:pt>
                <c:pt idx="45">
                  <c:v>0.23056106458163905</c:v>
                </c:pt>
                <c:pt idx="46">
                  <c:v>0.23056106458163905</c:v>
                </c:pt>
                <c:pt idx="47">
                  <c:v>0.23056106458163905</c:v>
                </c:pt>
                <c:pt idx="48">
                  <c:v>0.23056106458163905</c:v>
                </c:pt>
                <c:pt idx="49">
                  <c:v>0.22651609190482305</c:v>
                </c:pt>
                <c:pt idx="50">
                  <c:v>0.22651609190482305</c:v>
                </c:pt>
                <c:pt idx="51">
                  <c:v>0.22651609190482305</c:v>
                </c:pt>
                <c:pt idx="52">
                  <c:v>0.22651609190482305</c:v>
                </c:pt>
                <c:pt idx="53">
                  <c:v>0.22651609190482305</c:v>
                </c:pt>
                <c:pt idx="54">
                  <c:v>0.22651609190482305</c:v>
                </c:pt>
                <c:pt idx="55">
                  <c:v>0.22651609190482305</c:v>
                </c:pt>
                <c:pt idx="56">
                  <c:v>0.22651609190482305</c:v>
                </c:pt>
                <c:pt idx="57">
                  <c:v>0.23056106458163905</c:v>
                </c:pt>
                <c:pt idx="58">
                  <c:v>0.23056106458163905</c:v>
                </c:pt>
                <c:pt idx="59">
                  <c:v>0.23056106458163905</c:v>
                </c:pt>
                <c:pt idx="60">
                  <c:v>0.23056106458163905</c:v>
                </c:pt>
                <c:pt idx="61">
                  <c:v>0.234606037258455</c:v>
                </c:pt>
                <c:pt idx="62">
                  <c:v>0.234606037258455</c:v>
                </c:pt>
                <c:pt idx="63">
                  <c:v>0.234606037258455</c:v>
                </c:pt>
                <c:pt idx="64">
                  <c:v>0.234606037258455</c:v>
                </c:pt>
                <c:pt idx="65">
                  <c:v>0.234606037258455</c:v>
                </c:pt>
                <c:pt idx="66">
                  <c:v>0.234606037258455</c:v>
                </c:pt>
                <c:pt idx="67">
                  <c:v>0.23865576592901203</c:v>
                </c:pt>
                <c:pt idx="68">
                  <c:v>0.24269836060895744</c:v>
                </c:pt>
                <c:pt idx="69">
                  <c:v>0.24269836060895744</c:v>
                </c:pt>
                <c:pt idx="70">
                  <c:v>0.24674095528890286</c:v>
                </c:pt>
                <c:pt idx="71">
                  <c:v>0.25078354996884822</c:v>
                </c:pt>
                <c:pt idx="72">
                  <c:v>0.25078354996884822</c:v>
                </c:pt>
                <c:pt idx="73">
                  <c:v>0.25482614464879366</c:v>
                </c:pt>
                <c:pt idx="74">
                  <c:v>0.25482614464879366</c:v>
                </c:pt>
                <c:pt idx="75">
                  <c:v>0.25482614464879366</c:v>
                </c:pt>
                <c:pt idx="76">
                  <c:v>0.25078354996884822</c:v>
                </c:pt>
                <c:pt idx="77">
                  <c:v>0.25078354996884822</c:v>
                </c:pt>
                <c:pt idx="78">
                  <c:v>0.25482614464879366</c:v>
                </c:pt>
                <c:pt idx="79">
                  <c:v>0.25482614464879366</c:v>
                </c:pt>
                <c:pt idx="80">
                  <c:v>0.25886873932873905</c:v>
                </c:pt>
                <c:pt idx="81">
                  <c:v>0.25886873932873905</c:v>
                </c:pt>
                <c:pt idx="82">
                  <c:v>0.25886873932873905</c:v>
                </c:pt>
                <c:pt idx="83">
                  <c:v>0.26291133400868444</c:v>
                </c:pt>
                <c:pt idx="84">
                  <c:v>0.26697770865733544</c:v>
                </c:pt>
                <c:pt idx="85">
                  <c:v>0.27102030333728083</c:v>
                </c:pt>
                <c:pt idx="86">
                  <c:v>0.27102030333728083</c:v>
                </c:pt>
                <c:pt idx="87">
                  <c:v>0.27102030333728083</c:v>
                </c:pt>
                <c:pt idx="88">
                  <c:v>0.27506289801722628</c:v>
                </c:pt>
                <c:pt idx="89">
                  <c:v>0.27910549269717161</c:v>
                </c:pt>
                <c:pt idx="90">
                  <c:v>0.27910549269717161</c:v>
                </c:pt>
                <c:pt idx="91">
                  <c:v>0.283148087377117</c:v>
                </c:pt>
                <c:pt idx="92">
                  <c:v>0.28719068205706244</c:v>
                </c:pt>
                <c:pt idx="93">
                  <c:v>0.28719068205706244</c:v>
                </c:pt>
                <c:pt idx="94">
                  <c:v>0.28719068205706244</c:v>
                </c:pt>
                <c:pt idx="95">
                  <c:v>0.28719068205706244</c:v>
                </c:pt>
                <c:pt idx="96">
                  <c:v>0.28719068205706244</c:v>
                </c:pt>
                <c:pt idx="97">
                  <c:v>0.28719068205706244</c:v>
                </c:pt>
                <c:pt idx="98">
                  <c:v>0.29123327673700783</c:v>
                </c:pt>
                <c:pt idx="99">
                  <c:v>0.29527587141695322</c:v>
                </c:pt>
                <c:pt idx="100">
                  <c:v>0.29527587141695322</c:v>
                </c:pt>
                <c:pt idx="101">
                  <c:v>0.29931846609689866</c:v>
                </c:pt>
                <c:pt idx="102">
                  <c:v>0.29931846609689866</c:v>
                </c:pt>
                <c:pt idx="103">
                  <c:v>0.29931846609689866</c:v>
                </c:pt>
                <c:pt idx="104">
                  <c:v>0.29931846609689866</c:v>
                </c:pt>
                <c:pt idx="105">
                  <c:v>0.29931846609689866</c:v>
                </c:pt>
                <c:pt idx="106">
                  <c:v>0.29931846609689866</c:v>
                </c:pt>
                <c:pt idx="107">
                  <c:v>0.29931846609689866</c:v>
                </c:pt>
                <c:pt idx="108">
                  <c:v>0.29931846609689866</c:v>
                </c:pt>
                <c:pt idx="109">
                  <c:v>0.29931846609689866</c:v>
                </c:pt>
                <c:pt idx="110">
                  <c:v>0.29931846609689866</c:v>
                </c:pt>
                <c:pt idx="111">
                  <c:v>0.29931846609689866</c:v>
                </c:pt>
                <c:pt idx="112">
                  <c:v>0.30336106077684405</c:v>
                </c:pt>
                <c:pt idx="113">
                  <c:v>0.30336106077684405</c:v>
                </c:pt>
                <c:pt idx="114">
                  <c:v>0.30336106077684405</c:v>
                </c:pt>
                <c:pt idx="115">
                  <c:v>0.30336106077684405</c:v>
                </c:pt>
                <c:pt idx="116">
                  <c:v>0.30336106077684405</c:v>
                </c:pt>
                <c:pt idx="117">
                  <c:v>0.30336106077684405</c:v>
                </c:pt>
                <c:pt idx="118">
                  <c:v>0.30742743542549505</c:v>
                </c:pt>
                <c:pt idx="119">
                  <c:v>0.31551262478538578</c:v>
                </c:pt>
                <c:pt idx="120">
                  <c:v>0.31551262478538578</c:v>
                </c:pt>
                <c:pt idx="121">
                  <c:v>0.31551262478538578</c:v>
                </c:pt>
                <c:pt idx="122">
                  <c:v>0.31955521946533122</c:v>
                </c:pt>
                <c:pt idx="123">
                  <c:v>0.31955521946533122</c:v>
                </c:pt>
                <c:pt idx="124">
                  <c:v>0.32359781414527661</c:v>
                </c:pt>
                <c:pt idx="125">
                  <c:v>0.327640408825222</c:v>
                </c:pt>
                <c:pt idx="126">
                  <c:v>0.33168300350516744</c:v>
                </c:pt>
                <c:pt idx="127">
                  <c:v>0.33976819286505822</c:v>
                </c:pt>
                <c:pt idx="128">
                  <c:v>0.33976819286505822</c:v>
                </c:pt>
                <c:pt idx="129">
                  <c:v>0.34381078754500366</c:v>
                </c:pt>
                <c:pt idx="130">
                  <c:v>0.34381078754500366</c:v>
                </c:pt>
                <c:pt idx="131">
                  <c:v>0.34381078754500366</c:v>
                </c:pt>
                <c:pt idx="132">
                  <c:v>0.34381078754500366</c:v>
                </c:pt>
                <c:pt idx="133">
                  <c:v>0.34381078754500366</c:v>
                </c:pt>
                <c:pt idx="134">
                  <c:v>0.34785338222494899</c:v>
                </c:pt>
                <c:pt idx="135">
                  <c:v>0.34785338222494899</c:v>
                </c:pt>
                <c:pt idx="136">
                  <c:v>0.34785338222494899</c:v>
                </c:pt>
                <c:pt idx="137">
                  <c:v>0.34785338222494899</c:v>
                </c:pt>
                <c:pt idx="138">
                  <c:v>0.34785338222494899</c:v>
                </c:pt>
                <c:pt idx="139">
                  <c:v>0.35191975687359994</c:v>
                </c:pt>
                <c:pt idx="140">
                  <c:v>0.35191975687359994</c:v>
                </c:pt>
                <c:pt idx="141">
                  <c:v>0.35191975687359994</c:v>
                </c:pt>
                <c:pt idx="142">
                  <c:v>0.35191975687359994</c:v>
                </c:pt>
                <c:pt idx="143">
                  <c:v>0.35191975687359994</c:v>
                </c:pt>
                <c:pt idx="144">
                  <c:v>0.35191975687359994</c:v>
                </c:pt>
                <c:pt idx="145">
                  <c:v>0.35191975687359994</c:v>
                </c:pt>
                <c:pt idx="146">
                  <c:v>0.35191975687359994</c:v>
                </c:pt>
                <c:pt idx="147">
                  <c:v>0.35191975687359994</c:v>
                </c:pt>
                <c:pt idx="148">
                  <c:v>0.35191975687359994</c:v>
                </c:pt>
                <c:pt idx="149">
                  <c:v>0.35191975687359994</c:v>
                </c:pt>
                <c:pt idx="150">
                  <c:v>0.35596235155354539</c:v>
                </c:pt>
                <c:pt idx="151">
                  <c:v>0.36000494623349077</c:v>
                </c:pt>
                <c:pt idx="152">
                  <c:v>0.36404754091343616</c:v>
                </c:pt>
                <c:pt idx="153">
                  <c:v>0.38021791963321777</c:v>
                </c:pt>
                <c:pt idx="154">
                  <c:v>0.3883031089931086</c:v>
                </c:pt>
                <c:pt idx="155">
                  <c:v>0.396412078321705</c:v>
                </c:pt>
                <c:pt idx="156">
                  <c:v>0.41258245704148655</c:v>
                </c:pt>
                <c:pt idx="157">
                  <c:v>0.42471024108132277</c:v>
                </c:pt>
                <c:pt idx="158">
                  <c:v>0.44090439976981</c:v>
                </c:pt>
                <c:pt idx="159">
                  <c:v>0.45707477848959155</c:v>
                </c:pt>
                <c:pt idx="160">
                  <c:v>0.47326893717807877</c:v>
                </c:pt>
                <c:pt idx="161">
                  <c:v>0.48943931589786033</c:v>
                </c:pt>
                <c:pt idx="162">
                  <c:v>0.50560969461764194</c:v>
                </c:pt>
                <c:pt idx="163">
                  <c:v>0.52180385330612911</c:v>
                </c:pt>
                <c:pt idx="164">
                  <c:v>0.53797423202591077</c:v>
                </c:pt>
                <c:pt idx="165">
                  <c:v>0.55416839071439772</c:v>
                </c:pt>
                <c:pt idx="166">
                  <c:v>0.57033876943417949</c:v>
                </c:pt>
                <c:pt idx="167">
                  <c:v>0.58650914815396105</c:v>
                </c:pt>
                <c:pt idx="168">
                  <c:v>0.60270330684244822</c:v>
                </c:pt>
                <c:pt idx="169">
                  <c:v>0.61887368556222988</c:v>
                </c:pt>
                <c:pt idx="170">
                  <c:v>0.63506784425071694</c:v>
                </c:pt>
                <c:pt idx="171">
                  <c:v>0.6512382229704986</c:v>
                </c:pt>
                <c:pt idx="172">
                  <c:v>0.66740860169028027</c:v>
                </c:pt>
                <c:pt idx="173">
                  <c:v>0.68360276037876744</c:v>
                </c:pt>
                <c:pt idx="174">
                  <c:v>0.69977313909854899</c:v>
                </c:pt>
                <c:pt idx="175">
                  <c:v>0.71594351781833054</c:v>
                </c:pt>
                <c:pt idx="176">
                  <c:v>0.73213767650681782</c:v>
                </c:pt>
                <c:pt idx="177">
                  <c:v>0.74830805522659938</c:v>
                </c:pt>
                <c:pt idx="178">
                  <c:v>0.76450221391508655</c:v>
                </c:pt>
                <c:pt idx="179">
                  <c:v>0.7806725926348681</c:v>
                </c:pt>
                <c:pt idx="180">
                  <c:v>0.79684297135464977</c:v>
                </c:pt>
                <c:pt idx="181">
                  <c:v>0.81303713004313694</c:v>
                </c:pt>
                <c:pt idx="182">
                  <c:v>0.82920750876291838</c:v>
                </c:pt>
                <c:pt idx="183">
                  <c:v>0.84540166745140577</c:v>
                </c:pt>
                <c:pt idx="184">
                  <c:v>0.86157204617118732</c:v>
                </c:pt>
                <c:pt idx="185">
                  <c:v>0.87774242489096899</c:v>
                </c:pt>
                <c:pt idx="186">
                  <c:v>0.89393658357945605</c:v>
                </c:pt>
                <c:pt idx="187">
                  <c:v>0.9101069622992376</c:v>
                </c:pt>
                <c:pt idx="188">
                  <c:v>0.92630112098772488</c:v>
                </c:pt>
                <c:pt idx="189">
                  <c:v>0.94247149970750654</c:v>
                </c:pt>
                <c:pt idx="190">
                  <c:v>0.9586418784272881</c:v>
                </c:pt>
                <c:pt idx="191">
                  <c:v>0.97483603711577516</c:v>
                </c:pt>
                <c:pt idx="192">
                  <c:v>0.99100641583555682</c:v>
                </c:pt>
                <c:pt idx="193">
                  <c:v>1.007200574524044</c:v>
                </c:pt>
                <c:pt idx="194">
                  <c:v>1.0233709532438255</c:v>
                </c:pt>
                <c:pt idx="195">
                  <c:v>1.0395413319636073</c:v>
                </c:pt>
                <c:pt idx="196">
                  <c:v>1.0557354906520944</c:v>
                </c:pt>
                <c:pt idx="197">
                  <c:v>1.0719058693718759</c:v>
                </c:pt>
                <c:pt idx="198">
                  <c:v>1.0881000280603632</c:v>
                </c:pt>
                <c:pt idx="199">
                  <c:v>1.1042704067801448</c:v>
                </c:pt>
                <c:pt idx="200">
                  <c:v>1.1204407854999261</c:v>
                </c:pt>
                <c:pt idx="201">
                  <c:v>1.1366349441884136</c:v>
                </c:pt>
                <c:pt idx="202">
                  <c:v>1.1528053229081952</c:v>
                </c:pt>
                <c:pt idx="203">
                  <c:v>1.1689994815966822</c:v>
                </c:pt>
                <c:pt idx="204">
                  <c:v>1.185169860316464</c:v>
                </c:pt>
                <c:pt idx="205">
                  <c:v>1.2013402390362455</c:v>
                </c:pt>
                <c:pt idx="206">
                  <c:v>1.2175343977247328</c:v>
                </c:pt>
                <c:pt idx="207">
                  <c:v>1.2337047764445144</c:v>
                </c:pt>
                <c:pt idx="208">
                  <c:v>1.2498989351330014</c:v>
                </c:pt>
                <c:pt idx="209">
                  <c:v>1.266069313852783</c:v>
                </c:pt>
                <c:pt idx="210">
                  <c:v>1.2822396925725645</c:v>
                </c:pt>
                <c:pt idx="211">
                  <c:v>1.2984338512610518</c:v>
                </c:pt>
                <c:pt idx="212">
                  <c:v>1.3146042299808334</c:v>
                </c:pt>
                <c:pt idx="213">
                  <c:v>1.3307983886693207</c:v>
                </c:pt>
                <c:pt idx="214">
                  <c:v>1.3469687673891022</c:v>
                </c:pt>
                <c:pt idx="215">
                  <c:v>1.363139146108884</c:v>
                </c:pt>
                <c:pt idx="216">
                  <c:v>1.3793333047973708</c:v>
                </c:pt>
                <c:pt idx="217">
                  <c:v>1.3955036835171524</c:v>
                </c:pt>
                <c:pt idx="218">
                  <c:v>1.4116740622369341</c:v>
                </c:pt>
                <c:pt idx="219">
                  <c:v>1.4278682209254214</c:v>
                </c:pt>
                <c:pt idx="220">
                  <c:v>1.444038599645203</c:v>
                </c:pt>
                <c:pt idx="221">
                  <c:v>1.46023275833369</c:v>
                </c:pt>
                <c:pt idx="222">
                  <c:v>1.4764031370534718</c:v>
                </c:pt>
                <c:pt idx="223">
                  <c:v>1.4925735157732534</c:v>
                </c:pt>
                <c:pt idx="224">
                  <c:v>1.5087676744617404</c:v>
                </c:pt>
                <c:pt idx="225">
                  <c:v>1.524938053181522</c:v>
                </c:pt>
                <c:pt idx="226">
                  <c:v>1.5411322118700095</c:v>
                </c:pt>
                <c:pt idx="227">
                  <c:v>1.5573025905897908</c:v>
                </c:pt>
                <c:pt idx="228">
                  <c:v>1.5734729693095726</c:v>
                </c:pt>
                <c:pt idx="229">
                  <c:v>1.5896671279980599</c:v>
                </c:pt>
                <c:pt idx="230">
                  <c:v>1.6058375067178412</c:v>
                </c:pt>
                <c:pt idx="231">
                  <c:v>1.6220316654063285</c:v>
                </c:pt>
                <c:pt idx="232">
                  <c:v>1.6382020441261103</c:v>
                </c:pt>
                <c:pt idx="233">
                  <c:v>1.6543724228458914</c:v>
                </c:pt>
                <c:pt idx="234">
                  <c:v>1.6705665815343789</c:v>
                </c:pt>
                <c:pt idx="235">
                  <c:v>1.6867369602541604</c:v>
                </c:pt>
                <c:pt idx="236">
                  <c:v>1.7029311189426475</c:v>
                </c:pt>
                <c:pt idx="237">
                  <c:v>1.7191014976624293</c:v>
                </c:pt>
                <c:pt idx="238">
                  <c:v>1.7352718763822108</c:v>
                </c:pt>
                <c:pt idx="239">
                  <c:v>1.7514660350706981</c:v>
                </c:pt>
                <c:pt idx="240">
                  <c:v>1.7676364137904796</c:v>
                </c:pt>
                <c:pt idx="241">
                  <c:v>1.7838305724789665</c:v>
                </c:pt>
                <c:pt idx="242">
                  <c:v>1.8000009511987483</c:v>
                </c:pt>
                <c:pt idx="243">
                  <c:v>1.8161713299185298</c:v>
                </c:pt>
                <c:pt idx="244">
                  <c:v>1.8323654886070173</c:v>
                </c:pt>
                <c:pt idx="245">
                  <c:v>1.8485358673267986</c:v>
                </c:pt>
                <c:pt idx="246">
                  <c:v>1.8647300260152859</c:v>
                </c:pt>
                <c:pt idx="247">
                  <c:v>1.8809004047350677</c:v>
                </c:pt>
                <c:pt idx="248">
                  <c:v>1.8970707834548488</c:v>
                </c:pt>
                <c:pt idx="249">
                  <c:v>1.9132649421433361</c:v>
                </c:pt>
                <c:pt idx="250">
                  <c:v>1.9294353208631179</c:v>
                </c:pt>
                <c:pt idx="251">
                  <c:v>1.9456294795516049</c:v>
                </c:pt>
                <c:pt idx="252">
                  <c:v>1.9617998582713867</c:v>
                </c:pt>
                <c:pt idx="253">
                  <c:v>1.9779702369911683</c:v>
                </c:pt>
                <c:pt idx="254">
                  <c:v>1.9982069903596007</c:v>
                </c:pt>
                <c:pt idx="255">
                  <c:v>2.0143773690793827</c:v>
                </c:pt>
                <c:pt idx="256">
                  <c:v>2.0346141224478149</c:v>
                </c:pt>
                <c:pt idx="257">
                  <c:v>2.0507845011675965</c:v>
                </c:pt>
                <c:pt idx="258">
                  <c:v>2.0669548798873785</c:v>
                </c:pt>
                <c:pt idx="259">
                  <c:v>2.0831490385758653</c:v>
                </c:pt>
                <c:pt idx="260">
                  <c:v>2.1033620119755922</c:v>
                </c:pt>
                <c:pt idx="261">
                  <c:v>2.1195561706640795</c:v>
                </c:pt>
                <c:pt idx="262">
                  <c:v>2.1357265493838611</c:v>
                </c:pt>
                <c:pt idx="263">
                  <c:v>2.1519207080723479</c:v>
                </c:pt>
                <c:pt idx="264">
                  <c:v>2.1680910867921299</c:v>
                </c:pt>
                <c:pt idx="265">
                  <c:v>2.1842614655119115</c:v>
                </c:pt>
                <c:pt idx="266">
                  <c:v>2.2004556242003992</c:v>
                </c:pt>
                <c:pt idx="267">
                  <c:v>2.2166260029201803</c:v>
                </c:pt>
                <c:pt idx="268">
                  <c:v>2.2328201616086676</c:v>
                </c:pt>
                <c:pt idx="269">
                  <c:v>2.2489905403284491</c:v>
                </c:pt>
                <c:pt idx="270">
                  <c:v>2.2651609190482307</c:v>
                </c:pt>
                <c:pt idx="271">
                  <c:v>2.281355077736718</c:v>
                </c:pt>
                <c:pt idx="272">
                  <c:v>2.2975254564564995</c:v>
                </c:pt>
                <c:pt idx="273">
                  <c:v>2.3137196151449868</c:v>
                </c:pt>
                <c:pt idx="274">
                  <c:v>2.3339325885447137</c:v>
                </c:pt>
                <c:pt idx="275">
                  <c:v>2.3541693419131464</c:v>
                </c:pt>
                <c:pt idx="276">
                  <c:v>2.3743823153128729</c:v>
                </c:pt>
                <c:pt idx="277">
                  <c:v>2.3946428486500113</c:v>
                </c:pt>
                <c:pt idx="278">
                  <c:v>2.4148558220497383</c:v>
                </c:pt>
                <c:pt idx="279">
                  <c:v>2.4350687954494656</c:v>
                </c:pt>
                <c:pt idx="280">
                  <c:v>2.4512391741692472</c:v>
                </c:pt>
                <c:pt idx="281">
                  <c:v>2.4714521475689741</c:v>
                </c:pt>
                <c:pt idx="282">
                  <c:v>2.4876225262887557</c:v>
                </c:pt>
                <c:pt idx="283">
                  <c:v>2.5037929050085372</c:v>
                </c:pt>
                <c:pt idx="284">
                  <c:v>2.5199632837283188</c:v>
                </c:pt>
                <c:pt idx="285">
                  <c:v>2.5361336624481008</c:v>
                </c:pt>
                <c:pt idx="286">
                  <c:v>2.5523040411678819</c:v>
                </c:pt>
                <c:pt idx="287">
                  <c:v>2.5684744198876639</c:v>
                </c:pt>
                <c:pt idx="288">
                  <c:v>2.5846447986074454</c:v>
                </c:pt>
                <c:pt idx="289">
                  <c:v>2.600815177327227</c:v>
                </c:pt>
                <c:pt idx="290">
                  <c:v>2.6169855560470086</c:v>
                </c:pt>
                <c:pt idx="291">
                  <c:v>2.6331559347667906</c:v>
                </c:pt>
                <c:pt idx="292">
                  <c:v>2.6493263134865712</c:v>
                </c:pt>
                <c:pt idx="293">
                  <c:v>2.6657344918934087</c:v>
                </c:pt>
                <c:pt idx="294">
                  <c:v>2.6819048706131903</c:v>
                </c:pt>
                <c:pt idx="295">
                  <c:v>2.7021178440129177</c:v>
                </c:pt>
                <c:pt idx="296">
                  <c:v>2.7182882227326992</c:v>
                </c:pt>
                <c:pt idx="297">
                  <c:v>2.7344586014524803</c:v>
                </c:pt>
                <c:pt idx="298">
                  <c:v>2.7546715748522077</c:v>
                </c:pt>
                <c:pt idx="299">
                  <c:v>2.7708419535719893</c:v>
                </c:pt>
                <c:pt idx="300">
                  <c:v>2.7870123322917713</c:v>
                </c:pt>
                <c:pt idx="301">
                  <c:v>2.8072253056914978</c:v>
                </c:pt>
                <c:pt idx="302">
                  <c:v>2.8233956844112793</c:v>
                </c:pt>
                <c:pt idx="303">
                  <c:v>2.8436086578110067</c:v>
                </c:pt>
                <c:pt idx="304">
                  <c:v>2.8597790365307882</c:v>
                </c:pt>
                <c:pt idx="305">
                  <c:v>2.8799920099305152</c:v>
                </c:pt>
                <c:pt idx="306">
                  <c:v>2.8961623886502967</c:v>
                </c:pt>
                <c:pt idx="307">
                  <c:v>2.9123327673700783</c:v>
                </c:pt>
                <c:pt idx="308">
                  <c:v>2.9325457407698052</c:v>
                </c:pt>
                <c:pt idx="309">
                  <c:v>2.9487161194895868</c:v>
                </c:pt>
                <c:pt idx="310">
                  <c:v>2.9648864982093688</c:v>
                </c:pt>
                <c:pt idx="311">
                  <c:v>2.9810568769291499</c:v>
                </c:pt>
                <c:pt idx="312">
                  <c:v>2.9972272556489319</c:v>
                </c:pt>
                <c:pt idx="313">
                  <c:v>3.0174402290486588</c:v>
                </c:pt>
                <c:pt idx="314">
                  <c:v>3.0376532024483858</c:v>
                </c:pt>
                <c:pt idx="315">
                  <c:v>3.0538235811681673</c:v>
                </c:pt>
                <c:pt idx="316">
                  <c:v>3.0699939598879489</c:v>
                </c:pt>
                <c:pt idx="317">
                  <c:v>3.0864021382947864</c:v>
                </c:pt>
                <c:pt idx="318">
                  <c:v>3.1025725170145679</c:v>
                </c:pt>
                <c:pt idx="319">
                  <c:v>3.1227854904142949</c:v>
                </c:pt>
                <c:pt idx="320">
                  <c:v>3.1470410584939672</c:v>
                </c:pt>
                <c:pt idx="321">
                  <c:v>3.17129662657364</c:v>
                </c:pt>
                <c:pt idx="322">
                  <c:v>3.1955521946533119</c:v>
                </c:pt>
                <c:pt idx="323">
                  <c:v>3.2198077627329846</c:v>
                </c:pt>
                <c:pt idx="324">
                  <c:v>3.244063330812657</c:v>
                </c:pt>
                <c:pt idx="325">
                  <c:v>3.2683188988923293</c:v>
                </c:pt>
                <c:pt idx="326">
                  <c:v>3.296617061651947</c:v>
                </c:pt>
                <c:pt idx="327">
                  <c:v>3.3208726297316198</c:v>
                </c:pt>
                <c:pt idx="328">
                  <c:v>3.3451281978112917</c:v>
                </c:pt>
                <c:pt idx="329">
                  <c:v>3.3734263605709098</c:v>
                </c:pt>
                <c:pt idx="330">
                  <c:v>3.3976819286505822</c:v>
                </c:pt>
                <c:pt idx="331">
                  <c:v>3.4219374967302545</c:v>
                </c:pt>
                <c:pt idx="332">
                  <c:v>3.4502356594898722</c:v>
                </c:pt>
                <c:pt idx="333">
                  <c:v>3.474491227569545</c:v>
                </c:pt>
                <c:pt idx="334">
                  <c:v>3.5030271900162187</c:v>
                </c:pt>
                <c:pt idx="335">
                  <c:v>3.5272827580958905</c:v>
                </c:pt>
                <c:pt idx="336">
                  <c:v>3.5555809208555087</c:v>
                </c:pt>
                <c:pt idx="337">
                  <c:v>3.5838790836151264</c:v>
                </c:pt>
                <c:pt idx="338">
                  <c:v>3.6121772463747441</c:v>
                </c:pt>
                <c:pt idx="339">
                  <c:v>3.6364328144544165</c:v>
                </c:pt>
                <c:pt idx="340">
                  <c:v>3.6647309772140346</c:v>
                </c:pt>
                <c:pt idx="341">
                  <c:v>3.6930291399736523</c:v>
                </c:pt>
                <c:pt idx="342">
                  <c:v>3.7213273027332701</c:v>
                </c:pt>
                <c:pt idx="343">
                  <c:v>3.7496254654928878</c:v>
                </c:pt>
                <c:pt idx="344">
                  <c:v>3.7779236282525059</c:v>
                </c:pt>
                <c:pt idx="345">
                  <c:v>3.8062217910121232</c:v>
                </c:pt>
                <c:pt idx="346">
                  <c:v>3.8345199537717409</c:v>
                </c:pt>
                <c:pt idx="347">
                  <c:v>3.8628181165313591</c:v>
                </c:pt>
                <c:pt idx="348">
                  <c:v>3.8870736846110314</c:v>
                </c:pt>
                <c:pt idx="349">
                  <c:v>3.9156096470577046</c:v>
                </c:pt>
                <c:pt idx="350">
                  <c:v>3.9439078098173224</c:v>
                </c:pt>
                <c:pt idx="351">
                  <c:v>3.9722059725769401</c:v>
                </c:pt>
                <c:pt idx="352">
                  <c:v>4.0005041353365582</c:v>
                </c:pt>
                <c:pt idx="353">
                  <c:v>4.0247597034162306</c:v>
                </c:pt>
                <c:pt idx="354">
                  <c:v>4.0530578661758483</c:v>
                </c:pt>
                <c:pt idx="355">
                  <c:v>4.081356028935466</c:v>
                </c:pt>
                <c:pt idx="356">
                  <c:v>4.1056115970151383</c:v>
                </c:pt>
                <c:pt idx="357">
                  <c:v>4.1339097597747569</c:v>
                </c:pt>
                <c:pt idx="358">
                  <c:v>4.1622079225343738</c:v>
                </c:pt>
                <c:pt idx="359">
                  <c:v>4.1945486799739378</c:v>
                </c:pt>
                <c:pt idx="360">
                  <c:v>4.2309320320934454</c:v>
                </c:pt>
                <c:pt idx="361">
                  <c:v>4.2632727895330094</c:v>
                </c:pt>
                <c:pt idx="362">
                  <c:v>4.2998939413395725</c:v>
                </c:pt>
                <c:pt idx="363">
                  <c:v>4.3322346987791365</c:v>
                </c:pt>
                <c:pt idx="364">
                  <c:v>4.3645754562186996</c:v>
                </c:pt>
                <c:pt idx="365">
                  <c:v>4.4009588083382081</c:v>
                </c:pt>
                <c:pt idx="366">
                  <c:v>4.4373421604577175</c:v>
                </c:pt>
                <c:pt idx="367">
                  <c:v>4.4737255125772251</c:v>
                </c:pt>
                <c:pt idx="368">
                  <c:v>4.5101088646967344</c:v>
                </c:pt>
                <c:pt idx="369">
                  <c:v>4.5464922168162429</c:v>
                </c:pt>
                <c:pt idx="370">
                  <c:v>4.5788329742558069</c:v>
                </c:pt>
                <c:pt idx="371">
                  <c:v>4.6152163263753145</c:v>
                </c:pt>
                <c:pt idx="372">
                  <c:v>4.6515996784948239</c:v>
                </c:pt>
                <c:pt idx="373">
                  <c:v>4.6839404359343861</c:v>
                </c:pt>
                <c:pt idx="374">
                  <c:v>4.7165189930610047</c:v>
                </c:pt>
                <c:pt idx="375">
                  <c:v>4.7488597505005679</c:v>
                </c:pt>
                <c:pt idx="376">
                  <c:v>4.7812005079401318</c:v>
                </c:pt>
                <c:pt idx="377">
                  <c:v>4.813541265379695</c:v>
                </c:pt>
                <c:pt idx="378">
                  <c:v>4.8499246174992034</c:v>
                </c:pt>
                <c:pt idx="379">
                  <c:v>4.8822653749387674</c:v>
                </c:pt>
                <c:pt idx="380">
                  <c:v>4.9146061323783297</c:v>
                </c:pt>
                <c:pt idx="381">
                  <c:v>4.9469468898178937</c:v>
                </c:pt>
                <c:pt idx="382">
                  <c:v>4.9833302419374013</c:v>
                </c:pt>
                <c:pt idx="383">
                  <c:v>5.0156709993769644</c:v>
                </c:pt>
                <c:pt idx="384">
                  <c:v>5.0480117568165284</c:v>
                </c:pt>
                <c:pt idx="385">
                  <c:v>5.0843951089360369</c:v>
                </c:pt>
                <c:pt idx="386">
                  <c:v>5.1169736660626555</c:v>
                </c:pt>
                <c:pt idx="387">
                  <c:v>5.1533570181821649</c:v>
                </c:pt>
                <c:pt idx="388">
                  <c:v>5.1897403703016733</c:v>
                </c:pt>
                <c:pt idx="389">
                  <c:v>5.2301663171011272</c:v>
                </c:pt>
                <c:pt idx="390">
                  <c:v>5.2746348585805265</c:v>
                </c:pt>
                <c:pt idx="391">
                  <c:v>5.3191034000599267</c:v>
                </c:pt>
                <c:pt idx="392">
                  <c:v>5.3635719415393259</c:v>
                </c:pt>
                <c:pt idx="393">
                  <c:v>5.4080404830187243</c:v>
                </c:pt>
                <c:pt idx="394">
                  <c:v>5.4525090244981236</c:v>
                </c:pt>
                <c:pt idx="395">
                  <c:v>5.5010201606574691</c:v>
                </c:pt>
                <c:pt idx="396">
                  <c:v>5.5457265018239248</c:v>
                </c:pt>
                <c:pt idx="397">
                  <c:v>5.5901950433033241</c:v>
                </c:pt>
                <c:pt idx="398">
                  <c:v>5.6306209901027771</c:v>
                </c:pt>
                <c:pt idx="399">
                  <c:v>5.6750895315821763</c:v>
                </c:pt>
                <c:pt idx="400">
                  <c:v>5.7195580730615765</c:v>
                </c:pt>
                <c:pt idx="401">
                  <c:v>5.7599840198610304</c:v>
                </c:pt>
                <c:pt idx="402">
                  <c:v>5.8044525613404296</c:v>
                </c:pt>
                <c:pt idx="403">
                  <c:v>5.8489211028198289</c:v>
                </c:pt>
                <c:pt idx="404">
                  <c:v>5.8893470496192828</c:v>
                </c:pt>
                <c:pt idx="405">
                  <c:v>5.933815591098683</c:v>
                </c:pt>
                <c:pt idx="406">
                  <c:v>5.9785219322651377</c:v>
                </c:pt>
                <c:pt idx="407">
                  <c:v>6.0189478790645916</c:v>
                </c:pt>
                <c:pt idx="408">
                  <c:v>6.0634164205439909</c:v>
                </c:pt>
                <c:pt idx="409">
                  <c:v>6.1038423673434457</c:v>
                </c:pt>
                <c:pt idx="410">
                  <c:v>6.1483109088228449</c:v>
                </c:pt>
                <c:pt idx="411">
                  <c:v>6.1887368556222979</c:v>
                </c:pt>
                <c:pt idx="412">
                  <c:v>6.2372479917816435</c:v>
                </c:pt>
                <c:pt idx="413">
                  <c:v>6.2938443173008798</c:v>
                </c:pt>
                <c:pt idx="414">
                  <c:v>6.3423554534602227</c:v>
                </c:pt>
                <c:pt idx="415">
                  <c:v>6.3911043893066237</c:v>
                </c:pt>
                <c:pt idx="416">
                  <c:v>6.4477007148258592</c:v>
                </c:pt>
                <c:pt idx="417">
                  <c:v>6.4962118509852047</c:v>
                </c:pt>
                <c:pt idx="418">
                  <c:v>6.5447229871445503</c:v>
                </c:pt>
                <c:pt idx="419">
                  <c:v>6.593234123303894</c:v>
                </c:pt>
                <c:pt idx="420">
                  <c:v>6.6457878541431858</c:v>
                </c:pt>
                <c:pt idx="421">
                  <c:v>6.698341584982475</c:v>
                </c:pt>
                <c:pt idx="422">
                  <c:v>6.7468527211418197</c:v>
                </c:pt>
                <c:pt idx="423">
                  <c:v>6.7996442516681652</c:v>
                </c:pt>
                <c:pt idx="424">
                  <c:v>6.8521979825074553</c:v>
                </c:pt>
                <c:pt idx="425">
                  <c:v>6.9047517133467462</c:v>
                </c:pt>
                <c:pt idx="426">
                  <c:v>6.9573054441860354</c:v>
                </c:pt>
                <c:pt idx="427">
                  <c:v>7.0139017697052717</c:v>
                </c:pt>
                <c:pt idx="428">
                  <c:v>7.0664555005445617</c:v>
                </c:pt>
                <c:pt idx="429">
                  <c:v>7.1190092313838518</c:v>
                </c:pt>
                <c:pt idx="430">
                  <c:v>7.1718007619101973</c:v>
                </c:pt>
                <c:pt idx="431">
                  <c:v>7.2243544927494883</c:v>
                </c:pt>
                <c:pt idx="432">
                  <c:v>7.2769082235887774</c:v>
                </c:pt>
                <c:pt idx="433">
                  <c:v>7.3415897384679045</c:v>
                </c:pt>
                <c:pt idx="434">
                  <c:v>7.4062712533470307</c:v>
                </c:pt>
                <c:pt idx="435">
                  <c:v>7.4628675788662671</c:v>
                </c:pt>
                <c:pt idx="436">
                  <c:v>7.5275490937453933</c:v>
                </c:pt>
                <c:pt idx="437">
                  <c:v>7.5843832189516842</c:v>
                </c:pt>
                <c:pt idx="438">
                  <c:v>7.6490647338308113</c:v>
                </c:pt>
                <c:pt idx="439">
                  <c:v>7.7056610593500476</c:v>
                </c:pt>
                <c:pt idx="440">
                  <c:v>7.7703425742291721</c:v>
                </c:pt>
                <c:pt idx="441">
                  <c:v>7.8269388997484084</c:v>
                </c:pt>
                <c:pt idx="442">
                  <c:v>7.8835352252676438</c:v>
                </c:pt>
                <c:pt idx="443">
                  <c:v>7.9482167401467709</c:v>
                </c:pt>
                <c:pt idx="444">
                  <c:v>8.005050865353061</c:v>
                </c:pt>
                <c:pt idx="445">
                  <c:v>8.0656897855522427</c:v>
                </c:pt>
                <c:pt idx="446">
                  <c:v>8.1263287057514244</c:v>
                </c:pt>
                <c:pt idx="447">
                  <c:v>8.1829250312706598</c:v>
                </c:pt>
                <c:pt idx="448">
                  <c:v>8.2435639514698416</c:v>
                </c:pt>
                <c:pt idx="449">
                  <c:v>8.3042028716690215</c:v>
                </c:pt>
                <c:pt idx="450">
                  <c:v>8.372926981228094</c:v>
                </c:pt>
                <c:pt idx="451">
                  <c:v>8.4459314851541674</c:v>
                </c:pt>
                <c:pt idx="452">
                  <c:v>8.5186981893931826</c:v>
                </c:pt>
                <c:pt idx="453">
                  <c:v>8.5914648936322013</c:v>
                </c:pt>
                <c:pt idx="454">
                  <c:v>8.6642315978712183</c:v>
                </c:pt>
                <c:pt idx="455">
                  <c:v>8.7369983021102353</c:v>
                </c:pt>
                <c:pt idx="456">
                  <c:v>8.8100028060363087</c:v>
                </c:pt>
                <c:pt idx="457">
                  <c:v>8.8827695102753257</c:v>
                </c:pt>
                <c:pt idx="458">
                  <c:v>8.9555362145143427</c:v>
                </c:pt>
                <c:pt idx="459">
                  <c:v>9.0202177293934689</c:v>
                </c:pt>
                <c:pt idx="460">
                  <c:v>9.0929844336324859</c:v>
                </c:pt>
                <c:pt idx="461">
                  <c:v>9.1576659485116139</c:v>
                </c:pt>
                <c:pt idx="462">
                  <c:v>9.2306704524376855</c:v>
                </c:pt>
                <c:pt idx="463">
                  <c:v>9.2953519673168117</c:v>
                </c:pt>
                <c:pt idx="464">
                  <c:v>9.3681186715558287</c:v>
                </c:pt>
                <c:pt idx="465">
                  <c:v>9.4449279704747902</c:v>
                </c:pt>
                <c:pt idx="466">
                  <c:v>9.5217372693937552</c:v>
                </c:pt>
                <c:pt idx="467">
                  <c:v>9.5985465683127149</c:v>
                </c:pt>
                <c:pt idx="468">
                  <c:v>9.6755936669187346</c:v>
                </c:pt>
                <c:pt idx="469">
                  <c:v>9.7524029658376978</c:v>
                </c:pt>
                <c:pt idx="470">
                  <c:v>9.8292122647566593</c:v>
                </c:pt>
                <c:pt idx="471">
                  <c:v>9.9100641583555689</c:v>
                </c:pt>
                <c:pt idx="472">
                  <c:v>9.9909160519544766</c:v>
                </c:pt>
                <c:pt idx="473">
                  <c:v>10.067963150560495</c:v>
                </c:pt>
                <c:pt idx="474">
                  <c:v>10.144772449479458</c:v>
                </c:pt>
                <c:pt idx="475">
                  <c:v>10.221581748398419</c:v>
                </c:pt>
                <c:pt idx="476">
                  <c:v>10.302433641997329</c:v>
                </c:pt>
                <c:pt idx="477">
                  <c:v>10.37924294091629</c:v>
                </c:pt>
                <c:pt idx="478">
                  <c:v>10.468417823562145</c:v>
                </c:pt>
                <c:pt idx="479">
                  <c:v>10.557354906520944</c:v>
                </c:pt>
                <c:pt idx="480">
                  <c:v>10.638206800119853</c:v>
                </c:pt>
                <c:pt idx="481">
                  <c:v>10.727143883078652</c:v>
                </c:pt>
                <c:pt idx="482">
                  <c:v>10.807995776677558</c:v>
                </c:pt>
                <c:pt idx="483">
                  <c:v>10.889085469963522</c:v>
                </c:pt>
                <c:pt idx="484">
                  <c:v>10.969937363562432</c:v>
                </c:pt>
                <c:pt idx="485">
                  <c:v>11.050789257161338</c:v>
                </c:pt>
                <c:pt idx="486">
                  <c:v>11.131641150760247</c:v>
                </c:pt>
                <c:pt idx="487">
                  <c:v>11.212493044359155</c:v>
                </c:pt>
                <c:pt idx="488">
                  <c:v>11.293582737645117</c:v>
                </c:pt>
                <c:pt idx="489">
                  <c:v>11.374434631244027</c:v>
                </c:pt>
                <c:pt idx="490">
                  <c:v>11.455286524842935</c:v>
                </c:pt>
                <c:pt idx="491">
                  <c:v>11.548266202481678</c:v>
                </c:pt>
                <c:pt idx="492">
                  <c:v>11.641245880120422</c:v>
                </c:pt>
                <c:pt idx="493">
                  <c:v>11.734463357446222</c:v>
                </c:pt>
                <c:pt idx="494">
                  <c:v>11.831485629764913</c:v>
                </c:pt>
                <c:pt idx="495">
                  <c:v>11.924465307403656</c:v>
                </c:pt>
                <c:pt idx="496">
                  <c:v>12.021487579722345</c:v>
                </c:pt>
                <c:pt idx="497">
                  <c:v>12.114705057048146</c:v>
                </c:pt>
                <c:pt idx="498">
                  <c:v>12.211727329366834</c:v>
                </c:pt>
                <c:pt idx="499">
                  <c:v>12.304707007005582</c:v>
                </c:pt>
                <c:pt idx="500">
                  <c:v>12.401729279324268</c:v>
                </c:pt>
                <c:pt idx="501">
                  <c:v>12.498989351330016</c:v>
                </c:pt>
                <c:pt idx="502">
                  <c:v>12.596011623648705</c:v>
                </c:pt>
                <c:pt idx="503">
                  <c:v>12.693033895967394</c:v>
                </c:pt>
                <c:pt idx="504">
                  <c:v>12.79409876296603</c:v>
                </c:pt>
                <c:pt idx="505">
                  <c:v>12.891121035284719</c:v>
                </c:pt>
                <c:pt idx="506">
                  <c:v>12.992423701970409</c:v>
                </c:pt>
                <c:pt idx="507">
                  <c:v>13.089445974289101</c:v>
                </c:pt>
                <c:pt idx="508">
                  <c:v>13.190510841287736</c:v>
                </c:pt>
                <c:pt idx="509">
                  <c:v>13.291575708286372</c:v>
                </c:pt>
                <c:pt idx="510">
                  <c:v>13.39287837497206</c:v>
                </c:pt>
                <c:pt idx="511">
                  <c:v>13.493943241970696</c:v>
                </c:pt>
                <c:pt idx="512">
                  <c:v>13.599050703649276</c:v>
                </c:pt>
                <c:pt idx="513">
                  <c:v>13.716523749054748</c:v>
                </c:pt>
                <c:pt idx="514">
                  <c:v>13.833758994773165</c:v>
                </c:pt>
                <c:pt idx="515">
                  <c:v>13.95099424049158</c:v>
                </c:pt>
                <c:pt idx="516">
                  <c:v>14.056101702170162</c:v>
                </c:pt>
                <c:pt idx="517">
                  <c:v>14.173574747575634</c:v>
                </c:pt>
                <c:pt idx="518">
                  <c:v>14.290809993294051</c:v>
                </c:pt>
                <c:pt idx="519">
                  <c:v>14.395917454972631</c:v>
                </c:pt>
                <c:pt idx="520">
                  <c:v>14.501024916651209</c:v>
                </c:pt>
                <c:pt idx="521">
                  <c:v>14.622540556736627</c:v>
                </c:pt>
                <c:pt idx="522">
                  <c:v>14.739775802455044</c:v>
                </c:pt>
                <c:pt idx="523">
                  <c:v>14.86105364285341</c:v>
                </c:pt>
                <c:pt idx="524">
                  <c:v>14.97852668825888</c:v>
                </c:pt>
                <c:pt idx="525">
                  <c:v>15.099804528657243</c:v>
                </c:pt>
                <c:pt idx="526">
                  <c:v>15.221082369055605</c:v>
                </c:pt>
                <c:pt idx="527">
                  <c:v>15.33831761477402</c:v>
                </c:pt>
                <c:pt idx="528">
                  <c:v>15.455790660179494</c:v>
                </c:pt>
                <c:pt idx="529">
                  <c:v>15.577068500577854</c:v>
                </c:pt>
                <c:pt idx="530">
                  <c:v>15.710474125016052</c:v>
                </c:pt>
                <c:pt idx="531">
                  <c:v>15.844117549141306</c:v>
                </c:pt>
                <c:pt idx="532">
                  <c:v>15.965395389539669</c:v>
                </c:pt>
                <c:pt idx="533">
                  <c:v>16.098801013977866</c:v>
                </c:pt>
                <c:pt idx="534">
                  <c:v>16.228401843423178</c:v>
                </c:pt>
                <c:pt idx="535">
                  <c:v>16.349679683821538</c:v>
                </c:pt>
                <c:pt idx="536">
                  <c:v>16.470957524219898</c:v>
                </c:pt>
                <c:pt idx="537">
                  <c:v>16.592473164305318</c:v>
                </c:pt>
                <c:pt idx="538">
                  <c:v>16.729921383423459</c:v>
                </c:pt>
                <c:pt idx="539">
                  <c:v>16.867369602541604</c:v>
                </c:pt>
                <c:pt idx="540">
                  <c:v>17.005055621346806</c:v>
                </c:pt>
                <c:pt idx="541">
                  <c:v>17.142503840464947</c:v>
                </c:pt>
                <c:pt idx="542">
                  <c:v>17.275909464903147</c:v>
                </c:pt>
                <c:pt idx="543">
                  <c:v>17.413595483708345</c:v>
                </c:pt>
                <c:pt idx="544">
                  <c:v>17.55104370282649</c:v>
                </c:pt>
                <c:pt idx="545">
                  <c:v>17.688491921944632</c:v>
                </c:pt>
                <c:pt idx="546">
                  <c:v>17.830220535429774</c:v>
                </c:pt>
                <c:pt idx="547">
                  <c:v>17.971711349227864</c:v>
                </c:pt>
                <c:pt idx="548">
                  <c:v>18.109159568346008</c:v>
                </c:pt>
                <c:pt idx="549">
                  <c:v>18.24684558715121</c:v>
                </c:pt>
                <c:pt idx="550">
                  <c:v>18.384293806269351</c:v>
                </c:pt>
                <c:pt idx="551">
                  <c:v>18.525784620067441</c:v>
                </c:pt>
                <c:pt idx="552">
                  <c:v>18.671555828232531</c:v>
                </c:pt>
                <c:pt idx="553">
                  <c:v>18.82113183139051</c:v>
                </c:pt>
                <c:pt idx="554">
                  <c:v>18.970707834548492</c:v>
                </c:pt>
                <c:pt idx="555">
                  <c:v>19.120521637393527</c:v>
                </c:pt>
                <c:pt idx="556">
                  <c:v>19.270097640551509</c:v>
                </c:pt>
                <c:pt idx="557">
                  <c:v>19.415631049029539</c:v>
                </c:pt>
                <c:pt idx="558">
                  <c:v>19.565444851874574</c:v>
                </c:pt>
                <c:pt idx="559">
                  <c:v>19.715020855032556</c:v>
                </c:pt>
                <c:pt idx="560">
                  <c:v>19.881005036597372</c:v>
                </c:pt>
                <c:pt idx="561">
                  <c:v>20.046751418475136</c:v>
                </c:pt>
                <c:pt idx="562">
                  <c:v>20.212497800352896</c:v>
                </c:pt>
                <c:pt idx="563">
                  <c:v>20.378481981917712</c:v>
                </c:pt>
                <c:pt idx="564">
                  <c:v>20.540185769115531</c:v>
                </c:pt>
                <c:pt idx="565">
                  <c:v>20.706169950680344</c:v>
                </c:pt>
                <c:pt idx="566">
                  <c:v>20.867873737878163</c:v>
                </c:pt>
                <c:pt idx="567">
                  <c:v>21.037662714435868</c:v>
                </c:pt>
                <c:pt idx="568">
                  <c:v>21.203646896000688</c:v>
                </c:pt>
                <c:pt idx="569">
                  <c:v>21.369393277878448</c:v>
                </c:pt>
                <c:pt idx="570">
                  <c:v>21.53133486476332</c:v>
                </c:pt>
                <c:pt idx="571">
                  <c:v>21.69708124664108</c:v>
                </c:pt>
                <c:pt idx="572">
                  <c:v>21.858785033838899</c:v>
                </c:pt>
                <c:pt idx="573">
                  <c:v>22.040939594123497</c:v>
                </c:pt>
                <c:pt idx="574">
                  <c:v>22.218813760041094</c:v>
                </c:pt>
                <c:pt idx="575">
                  <c:v>22.400968320325692</c:v>
                </c:pt>
                <c:pt idx="576">
                  <c:v>22.578842486243289</c:v>
                </c:pt>
                <c:pt idx="577">
                  <c:v>22.760997046527887</c:v>
                </c:pt>
                <c:pt idx="578">
                  <c:v>22.942913807125432</c:v>
                </c:pt>
                <c:pt idx="579">
                  <c:v>23.124830567722977</c:v>
                </c:pt>
                <c:pt idx="580">
                  <c:v>23.302942533327627</c:v>
                </c:pt>
                <c:pt idx="581">
                  <c:v>23.480816699245224</c:v>
                </c:pt>
                <c:pt idx="582">
                  <c:v>23.662971259529826</c:v>
                </c:pt>
                <c:pt idx="583">
                  <c:v>23.844174621066202</c:v>
                </c:pt>
                <c:pt idx="584">
                  <c:v>24.046304355063473</c:v>
                </c:pt>
                <c:pt idx="585">
                  <c:v>24.246056092190184</c:v>
                </c:pt>
                <c:pt idx="586">
                  <c:v>24.448185826187455</c:v>
                </c:pt>
                <c:pt idx="587">
                  <c:v>24.645559566443616</c:v>
                </c:pt>
                <c:pt idx="588">
                  <c:v>24.831043322346989</c:v>
                </c:pt>
                <c:pt idx="589">
                  <c:v>25.02128307199148</c:v>
                </c:pt>
                <c:pt idx="590">
                  <c:v>25.216278815377084</c:v>
                </c:pt>
                <c:pt idx="591">
                  <c:v>25.411274558762681</c:v>
                </c:pt>
                <c:pt idx="592">
                  <c:v>25.615782289630509</c:v>
                </c:pt>
                <c:pt idx="593">
                  <c:v>25.810778033016113</c:v>
                </c:pt>
                <c:pt idx="594">
                  <c:v>26.005773776401711</c:v>
                </c:pt>
                <c:pt idx="595">
                  <c:v>26.215037501010652</c:v>
                </c:pt>
                <c:pt idx="596">
                  <c:v>26.426679222490144</c:v>
                </c:pt>
                <c:pt idx="597">
                  <c:v>26.635942947099082</c:v>
                </c:pt>
                <c:pt idx="598">
                  <c:v>26.842828674837467</c:v>
                </c:pt>
                <c:pt idx="599">
                  <c:v>27.049714402575848</c:v>
                </c:pt>
                <c:pt idx="600">
                  <c:v>27.266112117796453</c:v>
                </c:pt>
                <c:pt idx="601">
                  <c:v>27.489643823628732</c:v>
                </c:pt>
                <c:pt idx="602">
                  <c:v>27.715553526331561</c:v>
                </c:pt>
                <c:pt idx="603">
                  <c:v>27.939085232163841</c:v>
                </c:pt>
                <c:pt idx="604">
                  <c:v>28.148348956772775</c:v>
                </c:pt>
                <c:pt idx="605">
                  <c:v>28.374258659475608</c:v>
                </c:pt>
                <c:pt idx="606">
                  <c:v>28.59779036530788</c:v>
                </c:pt>
                <c:pt idx="607">
                  <c:v>28.823700068010709</c:v>
                </c:pt>
                <c:pt idx="608">
                  <c:v>29.049609770713541</c:v>
                </c:pt>
                <c:pt idx="609">
                  <c:v>29.289787454639715</c:v>
                </c:pt>
                <c:pt idx="610">
                  <c:v>29.527587141695324</c:v>
                </c:pt>
                <c:pt idx="611">
                  <c:v>29.770142822492048</c:v>
                </c:pt>
                <c:pt idx="612">
                  <c:v>30.00080851893599</c:v>
                </c:pt>
                <c:pt idx="613">
                  <c:v>30.23623020912105</c:v>
                </c:pt>
                <c:pt idx="614">
                  <c:v>30.48591988052944</c:v>
                </c:pt>
                <c:pt idx="615">
                  <c:v>30.728475561326164</c:v>
                </c:pt>
                <c:pt idx="616">
                  <c:v>30.980543229605111</c:v>
                </c:pt>
                <c:pt idx="617">
                  <c:v>31.215964919790167</c:v>
                </c:pt>
                <c:pt idx="618">
                  <c:v>31.470410584939675</c:v>
                </c:pt>
                <c:pt idx="619">
                  <c:v>31.720100256348065</c:v>
                </c:pt>
                <c:pt idx="620">
                  <c:v>31.967411930885898</c:v>
                </c:pt>
                <c:pt idx="621">
                  <c:v>32.214723605423735</c:v>
                </c:pt>
                <c:pt idx="622">
                  <c:v>32.464413276832133</c:v>
                </c:pt>
                <c:pt idx="623">
                  <c:v>32.730748926334421</c:v>
                </c:pt>
                <c:pt idx="624">
                  <c:v>32.982816594613361</c:v>
                </c:pt>
                <c:pt idx="625">
                  <c:v>33.244396250374535</c:v>
                </c:pt>
                <c:pt idx="626">
                  <c:v>33.50835390300626</c:v>
                </c:pt>
                <c:pt idx="627">
                  <c:v>33.774689552508548</c:v>
                </c:pt>
                <c:pt idx="628">
                  <c:v>34.043403198881386</c:v>
                </c:pt>
                <c:pt idx="629">
                  <c:v>34.309738848383681</c:v>
                </c:pt>
                <c:pt idx="630">
                  <c:v>34.576074497885962</c:v>
                </c:pt>
                <c:pt idx="631">
                  <c:v>34.84241014738825</c:v>
                </c:pt>
                <c:pt idx="632">
                  <c:v>35.111123793761088</c:v>
                </c:pt>
                <c:pt idx="633">
                  <c:v>35.389349427616153</c:v>
                </c:pt>
                <c:pt idx="634">
                  <c:v>35.667575061471226</c:v>
                </c:pt>
                <c:pt idx="635">
                  <c:v>35.948178692196848</c:v>
                </c:pt>
                <c:pt idx="636">
                  <c:v>36.23116031979302</c:v>
                </c:pt>
                <c:pt idx="637">
                  <c:v>36.518897941130312</c:v>
                </c:pt>
                <c:pt idx="638">
                  <c:v>36.801879568726484</c:v>
                </c:pt>
                <c:pt idx="639">
                  <c:v>37.08723919319322</c:v>
                </c:pt>
                <c:pt idx="640">
                  <c:v>37.370220820789406</c:v>
                </c:pt>
                <c:pt idx="641">
                  <c:v>37.662714435867798</c:v>
                </c:pt>
                <c:pt idx="642">
                  <c:v>37.969476032169545</c:v>
                </c:pt>
                <c:pt idx="643">
                  <c:v>38.276237628471286</c:v>
                </c:pt>
                <c:pt idx="644">
                  <c:v>38.585377221643576</c:v>
                </c:pt>
                <c:pt idx="645">
                  <c:v>38.887382824204209</c:v>
                </c:pt>
                <c:pt idx="646">
                  <c:v>39.196522417376507</c:v>
                </c:pt>
                <c:pt idx="647">
                  <c:v>39.498528019937126</c:v>
                </c:pt>
                <c:pt idx="648">
                  <c:v>39.805289616238866</c:v>
                </c:pt>
                <c:pt idx="649">
                  <c:v>40.121563200022834</c:v>
                </c:pt>
                <c:pt idx="650">
                  <c:v>40.433080790065681</c:v>
                </c:pt>
                <c:pt idx="651">
                  <c:v>40.751732370720205</c:v>
                </c:pt>
                <c:pt idx="652">
                  <c:v>41.084651932598064</c:v>
                </c:pt>
                <c:pt idx="653">
                  <c:v>41.408059506993688</c:v>
                </c:pt>
                <c:pt idx="654">
                  <c:v>41.736223075130432</c:v>
                </c:pt>
                <c:pt idx="655">
                  <c:v>42.059630649526071</c:v>
                </c:pt>
                <c:pt idx="656">
                  <c:v>42.394928208274479</c:v>
                </c:pt>
                <c:pt idx="657">
                  <c:v>42.718335782670117</c:v>
                </c:pt>
                <c:pt idx="658">
                  <c:v>43.063145328900752</c:v>
                </c:pt>
                <c:pt idx="659">
                  <c:v>43.405576878260831</c:v>
                </c:pt>
                <c:pt idx="660">
                  <c:v>43.745630430750353</c:v>
                </c:pt>
                <c:pt idx="661">
                  <c:v>44.097573967592666</c:v>
                </c:pt>
                <c:pt idx="662">
                  <c:v>44.442383513823302</c:v>
                </c:pt>
                <c:pt idx="663">
                  <c:v>44.789571056924494</c:v>
                </c:pt>
                <c:pt idx="664">
                  <c:v>45.146270587507914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80-4AC1-ACE1-506D68AECD8C}"/>
            </c:ext>
          </c:extLst>
        </c:ser>
        <c:ser>
          <c:idx val="3"/>
          <c:order val="3"/>
          <c:tx>
            <c:strRef>
              <c:f>{"A21-4"}</c:f>
              <c:strCache>
                <c:ptCount val="1"/>
                <c:pt idx="0">
                  <c:v>A21-4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'A21-3'!$C$2:$C$666</c:f>
              <c:numCache>
                <c:formatCode>0.00</c:formatCode>
                <c:ptCount val="665"/>
                <c:pt idx="0">
                  <c:v>0</c:v>
                </c:pt>
                <c:pt idx="1">
                  <c:v>1.16732E-2</c:v>
                </c:pt>
                <c:pt idx="2">
                  <c:v>1.1782999999999998E-2</c:v>
                </c:pt>
                <c:pt idx="3">
                  <c:v>1.18946E-2</c:v>
                </c:pt>
                <c:pt idx="4">
                  <c:v>1.2006399999999999E-2</c:v>
                </c:pt>
                <c:pt idx="5">
                  <c:v>1.2118E-2</c:v>
                </c:pt>
                <c:pt idx="6">
                  <c:v>1.22278E-2</c:v>
                </c:pt>
                <c:pt idx="7">
                  <c:v>1.23394E-2</c:v>
                </c:pt>
                <c:pt idx="8">
                  <c:v>1.2451200000000001E-2</c:v>
                </c:pt>
                <c:pt idx="9">
                  <c:v>1.2560999999999999E-2</c:v>
                </c:pt>
                <c:pt idx="10">
                  <c:v>1.2670799999999999E-2</c:v>
                </c:pt>
                <c:pt idx="11">
                  <c:v>1.2782400000000001E-2</c:v>
                </c:pt>
                <c:pt idx="12">
                  <c:v>1.28942E-2</c:v>
                </c:pt>
                <c:pt idx="13">
                  <c:v>1.3005800000000001E-2</c:v>
                </c:pt>
                <c:pt idx="14">
                  <c:v>1.31174E-2</c:v>
                </c:pt>
                <c:pt idx="15">
                  <c:v>1.32272E-2</c:v>
                </c:pt>
                <c:pt idx="16">
                  <c:v>1.3339E-2</c:v>
                </c:pt>
                <c:pt idx="17">
                  <c:v>1.34506E-2</c:v>
                </c:pt>
                <c:pt idx="18">
                  <c:v>1.35622E-2</c:v>
                </c:pt>
                <c:pt idx="19">
                  <c:v>1.3672E-2</c:v>
                </c:pt>
                <c:pt idx="20">
                  <c:v>1.3783799999999999E-2</c:v>
                </c:pt>
                <c:pt idx="21">
                  <c:v>1.38954E-2</c:v>
                </c:pt>
                <c:pt idx="22">
                  <c:v>1.4005200000000001E-2</c:v>
                </c:pt>
                <c:pt idx="23">
                  <c:v>1.4116800000000001E-2</c:v>
                </c:pt>
                <c:pt idx="24">
                  <c:v>1.42268E-2</c:v>
                </c:pt>
                <c:pt idx="25">
                  <c:v>1.4338399999999999E-2</c:v>
                </c:pt>
                <c:pt idx="26">
                  <c:v>1.4450000000000001E-2</c:v>
                </c:pt>
                <c:pt idx="27">
                  <c:v>1.4589600000000001E-2</c:v>
                </c:pt>
                <c:pt idx="28">
                  <c:v>1.47292E-2</c:v>
                </c:pt>
                <c:pt idx="29">
                  <c:v>1.4866999999999998E-2</c:v>
                </c:pt>
                <c:pt idx="30">
                  <c:v>1.50046E-2</c:v>
                </c:pt>
                <c:pt idx="31">
                  <c:v>1.5144200000000002E-2</c:v>
                </c:pt>
                <c:pt idx="32">
                  <c:v>1.5282E-2</c:v>
                </c:pt>
                <c:pt idx="33">
                  <c:v>1.54234E-2</c:v>
                </c:pt>
                <c:pt idx="34">
                  <c:v>1.5561199999999999E-2</c:v>
                </c:pt>
                <c:pt idx="35">
                  <c:v>1.5700800000000001E-2</c:v>
                </c:pt>
                <c:pt idx="36">
                  <c:v>1.5838399999999999E-2</c:v>
                </c:pt>
                <c:pt idx="37">
                  <c:v>1.5978000000000003E-2</c:v>
                </c:pt>
                <c:pt idx="38">
                  <c:v>1.61158E-2</c:v>
                </c:pt>
                <c:pt idx="39">
                  <c:v>1.62554E-2</c:v>
                </c:pt>
                <c:pt idx="40">
                  <c:v>1.6393000000000001E-2</c:v>
                </c:pt>
                <c:pt idx="41">
                  <c:v>1.6532599999999998E-2</c:v>
                </c:pt>
                <c:pt idx="42">
                  <c:v>1.6672199999999998E-2</c:v>
                </c:pt>
                <c:pt idx="43">
                  <c:v>1.6810000000000002E-2</c:v>
                </c:pt>
                <c:pt idx="44">
                  <c:v>1.6949599999999999E-2</c:v>
                </c:pt>
                <c:pt idx="45">
                  <c:v>1.7089199999999999E-2</c:v>
                </c:pt>
                <c:pt idx="46">
                  <c:v>1.72268E-2</c:v>
                </c:pt>
                <c:pt idx="47">
                  <c:v>1.7366400000000001E-2</c:v>
                </c:pt>
                <c:pt idx="48">
                  <c:v>1.7506000000000001E-2</c:v>
                </c:pt>
                <c:pt idx="49">
                  <c:v>1.7643800000000001E-2</c:v>
                </c:pt>
                <c:pt idx="50">
                  <c:v>1.7783400000000001E-2</c:v>
                </c:pt>
                <c:pt idx="51">
                  <c:v>1.7923000000000001E-2</c:v>
                </c:pt>
                <c:pt idx="52">
                  <c:v>1.80886E-2</c:v>
                </c:pt>
                <c:pt idx="53">
                  <c:v>1.82282E-2</c:v>
                </c:pt>
                <c:pt idx="54">
                  <c:v>1.83958E-2</c:v>
                </c:pt>
                <c:pt idx="55">
                  <c:v>1.8561399999999999E-2</c:v>
                </c:pt>
                <c:pt idx="56">
                  <c:v>1.8727000000000001E-2</c:v>
                </c:pt>
                <c:pt idx="57">
                  <c:v>1.8892599999999999E-2</c:v>
                </c:pt>
                <c:pt idx="58">
                  <c:v>1.9061999999999999E-2</c:v>
                </c:pt>
                <c:pt idx="59">
                  <c:v>1.9227600000000001E-2</c:v>
                </c:pt>
                <c:pt idx="60">
                  <c:v>1.9395199999999998E-2</c:v>
                </c:pt>
                <c:pt idx="61">
                  <c:v>1.95608E-2</c:v>
                </c:pt>
                <c:pt idx="62">
                  <c:v>1.9728200000000001E-2</c:v>
                </c:pt>
                <c:pt idx="63">
                  <c:v>1.9895799999999998E-2</c:v>
                </c:pt>
                <c:pt idx="64">
                  <c:v>2.0062000000000003E-2</c:v>
                </c:pt>
                <c:pt idx="65">
                  <c:v>2.0228000000000003E-2</c:v>
                </c:pt>
                <c:pt idx="66">
                  <c:v>2.0394000000000002E-2</c:v>
                </c:pt>
                <c:pt idx="67">
                  <c:v>2.0560000000000002E-2</c:v>
                </c:pt>
                <c:pt idx="68">
                  <c:v>2.0728E-2</c:v>
                </c:pt>
                <c:pt idx="69">
                  <c:v>2.0895999999999998E-2</c:v>
                </c:pt>
                <c:pt idx="70">
                  <c:v>2.1059999999999999E-2</c:v>
                </c:pt>
                <c:pt idx="71">
                  <c:v>2.1227999999999997E-2</c:v>
                </c:pt>
                <c:pt idx="72">
                  <c:v>2.1396000000000002E-2</c:v>
                </c:pt>
                <c:pt idx="73">
                  <c:v>2.1589999999999998E-2</c:v>
                </c:pt>
                <c:pt idx="74">
                  <c:v>2.1783999999999998E-2</c:v>
                </c:pt>
                <c:pt idx="75">
                  <c:v>2.1975999999999999E-2</c:v>
                </c:pt>
                <c:pt idx="76">
                  <c:v>2.2173999999999999E-2</c:v>
                </c:pt>
                <c:pt idx="77">
                  <c:v>2.2368000000000002E-2</c:v>
                </c:pt>
                <c:pt idx="78">
                  <c:v>2.2559999999999997E-2</c:v>
                </c:pt>
                <c:pt idx="79">
                  <c:v>2.2755999999999998E-2</c:v>
                </c:pt>
                <c:pt idx="80">
                  <c:v>2.2949999999999998E-2</c:v>
                </c:pt>
                <c:pt idx="81">
                  <c:v>2.3146E-2</c:v>
                </c:pt>
                <c:pt idx="82">
                  <c:v>2.3338000000000001E-2</c:v>
                </c:pt>
                <c:pt idx="83">
                  <c:v>2.3532000000000001E-2</c:v>
                </c:pt>
                <c:pt idx="84">
                  <c:v>2.3727999999999999E-2</c:v>
                </c:pt>
                <c:pt idx="85">
                  <c:v>2.3923999999999997E-2</c:v>
                </c:pt>
                <c:pt idx="86">
                  <c:v>2.4115999999999999E-2</c:v>
                </c:pt>
                <c:pt idx="87">
                  <c:v>2.4310000000000002E-2</c:v>
                </c:pt>
                <c:pt idx="88">
                  <c:v>2.4506E-2</c:v>
                </c:pt>
                <c:pt idx="89">
                  <c:v>2.4700000000000003E-2</c:v>
                </c:pt>
                <c:pt idx="90">
                  <c:v>2.4893999999999999E-2</c:v>
                </c:pt>
                <c:pt idx="91">
                  <c:v>2.5087999999999999E-2</c:v>
                </c:pt>
                <c:pt idx="92">
                  <c:v>2.5312000000000001E-2</c:v>
                </c:pt>
                <c:pt idx="93">
                  <c:v>2.5533999999999998E-2</c:v>
                </c:pt>
                <c:pt idx="94">
                  <c:v>2.5756000000000001E-2</c:v>
                </c:pt>
                <c:pt idx="95">
                  <c:v>2.5977999999999998E-2</c:v>
                </c:pt>
                <c:pt idx="96">
                  <c:v>2.6200000000000001E-2</c:v>
                </c:pt>
                <c:pt idx="97">
                  <c:v>2.6421999999999998E-2</c:v>
                </c:pt>
                <c:pt idx="98">
                  <c:v>2.6642000000000002E-2</c:v>
                </c:pt>
                <c:pt idx="99">
                  <c:v>2.6868E-2</c:v>
                </c:pt>
                <c:pt idx="100">
                  <c:v>2.7089999999999999E-2</c:v>
                </c:pt>
                <c:pt idx="101">
                  <c:v>2.7311999999999999E-2</c:v>
                </c:pt>
                <c:pt idx="102">
                  <c:v>2.7533999999999999E-2</c:v>
                </c:pt>
                <c:pt idx="103">
                  <c:v>2.7755999999999999E-2</c:v>
                </c:pt>
                <c:pt idx="104">
                  <c:v>2.7976000000000001E-2</c:v>
                </c:pt>
                <c:pt idx="105">
                  <c:v>2.8197999999999997E-2</c:v>
                </c:pt>
                <c:pt idx="106">
                  <c:v>2.8421999999999999E-2</c:v>
                </c:pt>
                <c:pt idx="107">
                  <c:v>2.8645999999999998E-2</c:v>
                </c:pt>
                <c:pt idx="108">
                  <c:v>2.8868000000000001E-2</c:v>
                </c:pt>
                <c:pt idx="109">
                  <c:v>2.9116E-2</c:v>
                </c:pt>
                <c:pt idx="110">
                  <c:v>2.9367999999999998E-2</c:v>
                </c:pt>
                <c:pt idx="111">
                  <c:v>2.9618000000000002E-2</c:v>
                </c:pt>
                <c:pt idx="112">
                  <c:v>2.9866E-2</c:v>
                </c:pt>
                <c:pt idx="113">
                  <c:v>3.0117999999999999E-2</c:v>
                </c:pt>
                <c:pt idx="114">
                  <c:v>3.0363999999999999E-2</c:v>
                </c:pt>
                <c:pt idx="115">
                  <c:v>3.0617999999999999E-2</c:v>
                </c:pt>
                <c:pt idx="116">
                  <c:v>3.0868000000000003E-2</c:v>
                </c:pt>
                <c:pt idx="117">
                  <c:v>3.1116000000000001E-2</c:v>
                </c:pt>
                <c:pt idx="118">
                  <c:v>3.1368E-2</c:v>
                </c:pt>
                <c:pt idx="119">
                  <c:v>3.1615999999999998E-2</c:v>
                </c:pt>
                <c:pt idx="120">
                  <c:v>3.1865999999999998E-2</c:v>
                </c:pt>
                <c:pt idx="121">
                  <c:v>3.2115999999999999E-2</c:v>
                </c:pt>
                <c:pt idx="122">
                  <c:v>3.2368000000000001E-2</c:v>
                </c:pt>
                <c:pt idx="123">
                  <c:v>3.2643999999999999E-2</c:v>
                </c:pt>
                <c:pt idx="124">
                  <c:v>3.2922E-2</c:v>
                </c:pt>
                <c:pt idx="125">
                  <c:v>3.3201999999999995E-2</c:v>
                </c:pt>
                <c:pt idx="126">
                  <c:v>3.3475999999999999E-2</c:v>
                </c:pt>
                <c:pt idx="127">
                  <c:v>3.3756000000000001E-2</c:v>
                </c:pt>
                <c:pt idx="128">
                  <c:v>3.4034000000000002E-2</c:v>
                </c:pt>
                <c:pt idx="129">
                  <c:v>3.4312000000000002E-2</c:v>
                </c:pt>
                <c:pt idx="130">
                  <c:v>3.4588000000000001E-2</c:v>
                </c:pt>
                <c:pt idx="131">
                  <c:v>3.4866000000000001E-2</c:v>
                </c:pt>
                <c:pt idx="132">
                  <c:v>3.5144000000000002E-2</c:v>
                </c:pt>
                <c:pt idx="133">
                  <c:v>3.5421999999999995E-2</c:v>
                </c:pt>
                <c:pt idx="134">
                  <c:v>3.5699999999999996E-2</c:v>
                </c:pt>
                <c:pt idx="135">
                  <c:v>3.5977999999999996E-2</c:v>
                </c:pt>
                <c:pt idx="136">
                  <c:v>3.6284000000000004E-2</c:v>
                </c:pt>
                <c:pt idx="137">
                  <c:v>3.6587999999999996E-2</c:v>
                </c:pt>
                <c:pt idx="138">
                  <c:v>3.6894000000000003E-2</c:v>
                </c:pt>
                <c:pt idx="139">
                  <c:v>3.7200000000000004E-2</c:v>
                </c:pt>
                <c:pt idx="140">
                  <c:v>3.7504000000000003E-2</c:v>
                </c:pt>
                <c:pt idx="141">
                  <c:v>3.7810000000000003E-2</c:v>
                </c:pt>
                <c:pt idx="142">
                  <c:v>3.8114000000000002E-2</c:v>
                </c:pt>
                <c:pt idx="143">
                  <c:v>3.8420000000000003E-2</c:v>
                </c:pt>
                <c:pt idx="144">
                  <c:v>3.8727999999999999E-2</c:v>
                </c:pt>
                <c:pt idx="145">
                  <c:v>3.9031999999999997E-2</c:v>
                </c:pt>
                <c:pt idx="146">
                  <c:v>3.934E-2</c:v>
                </c:pt>
                <c:pt idx="147">
                  <c:v>3.9670000000000004E-2</c:v>
                </c:pt>
                <c:pt idx="148">
                  <c:v>4.0006000000000007E-2</c:v>
                </c:pt>
                <c:pt idx="149">
                  <c:v>4.0338000000000006E-2</c:v>
                </c:pt>
                <c:pt idx="150">
                  <c:v>4.0674000000000002E-2</c:v>
                </c:pt>
                <c:pt idx="151">
                  <c:v>4.1006000000000001E-2</c:v>
                </c:pt>
                <c:pt idx="152">
                  <c:v>4.1338E-2</c:v>
                </c:pt>
                <c:pt idx="153">
                  <c:v>4.1672000000000001E-2</c:v>
                </c:pt>
                <c:pt idx="154">
                  <c:v>4.2005999999999995E-2</c:v>
                </c:pt>
                <c:pt idx="155">
                  <c:v>4.2340000000000003E-2</c:v>
                </c:pt>
                <c:pt idx="156">
                  <c:v>4.2644000000000001E-2</c:v>
                </c:pt>
                <c:pt idx="157">
                  <c:v>4.2977999999999995E-2</c:v>
                </c:pt>
                <c:pt idx="158">
                  <c:v>4.3311999999999996E-2</c:v>
                </c:pt>
                <c:pt idx="159">
                  <c:v>4.3643999999999995E-2</c:v>
                </c:pt>
                <c:pt idx="160">
                  <c:v>4.3951999999999998E-2</c:v>
                </c:pt>
                <c:pt idx="161">
                  <c:v>4.4172000000000003E-2</c:v>
                </c:pt>
                <c:pt idx="162">
                  <c:v>4.4421999999999996E-2</c:v>
                </c:pt>
                <c:pt idx="163">
                  <c:v>4.4673999999999998E-2</c:v>
                </c:pt>
                <c:pt idx="164">
                  <c:v>4.4893999999999996E-2</c:v>
                </c:pt>
                <c:pt idx="165">
                  <c:v>4.5171999999999997E-2</c:v>
                </c:pt>
                <c:pt idx="166">
                  <c:v>4.5533999999999998E-2</c:v>
                </c:pt>
                <c:pt idx="167">
                  <c:v>4.5838000000000004E-2</c:v>
                </c:pt>
                <c:pt idx="168">
                  <c:v>4.6062000000000006E-2</c:v>
                </c:pt>
                <c:pt idx="169">
                  <c:v>4.6311999999999999E-2</c:v>
                </c:pt>
                <c:pt idx="170">
                  <c:v>4.6561999999999999E-2</c:v>
                </c:pt>
                <c:pt idx="171">
                  <c:v>4.6809999999999997E-2</c:v>
                </c:pt>
                <c:pt idx="172">
                  <c:v>4.7033999999999999E-2</c:v>
                </c:pt>
                <c:pt idx="173">
                  <c:v>4.7284E-2</c:v>
                </c:pt>
                <c:pt idx="174">
                  <c:v>4.7477999999999999E-2</c:v>
                </c:pt>
                <c:pt idx="175">
                  <c:v>4.7699999999999992E-2</c:v>
                </c:pt>
                <c:pt idx="176">
                  <c:v>4.7923999999999994E-2</c:v>
                </c:pt>
                <c:pt idx="177">
                  <c:v>4.8143999999999999E-2</c:v>
                </c:pt>
                <c:pt idx="178">
                  <c:v>4.8365999999999999E-2</c:v>
                </c:pt>
                <c:pt idx="179">
                  <c:v>4.8590000000000001E-2</c:v>
                </c:pt>
                <c:pt idx="180">
                  <c:v>4.8809999999999999E-2</c:v>
                </c:pt>
                <c:pt idx="181">
                  <c:v>4.9006000000000001E-2</c:v>
                </c:pt>
                <c:pt idx="182">
                  <c:v>4.9200000000000001E-2</c:v>
                </c:pt>
                <c:pt idx="183">
                  <c:v>4.9367999999999995E-2</c:v>
                </c:pt>
                <c:pt idx="184">
                  <c:v>4.9560000000000007E-2</c:v>
                </c:pt>
                <c:pt idx="185">
                  <c:v>4.9728000000000001E-2</c:v>
                </c:pt>
                <c:pt idx="186">
                  <c:v>4.9894000000000001E-2</c:v>
                </c:pt>
                <c:pt idx="187">
                  <c:v>5.0061999999999995E-2</c:v>
                </c:pt>
                <c:pt idx="188">
                  <c:v>5.0228000000000002E-2</c:v>
                </c:pt>
                <c:pt idx="189">
                  <c:v>5.0366000000000001E-2</c:v>
                </c:pt>
                <c:pt idx="190">
                  <c:v>5.0532000000000001E-2</c:v>
                </c:pt>
                <c:pt idx="191">
                  <c:v>5.0700000000000002E-2</c:v>
                </c:pt>
                <c:pt idx="192">
                  <c:v>5.0838000000000001E-2</c:v>
                </c:pt>
                <c:pt idx="193">
                  <c:v>5.1006000000000003E-2</c:v>
                </c:pt>
                <c:pt idx="194">
                  <c:v>5.1142E-2</c:v>
                </c:pt>
                <c:pt idx="195">
                  <c:v>5.1310000000000001E-2</c:v>
                </c:pt>
                <c:pt idx="196">
                  <c:v>5.1478000000000003E-2</c:v>
                </c:pt>
                <c:pt idx="197">
                  <c:v>5.1645999999999997E-2</c:v>
                </c:pt>
                <c:pt idx="198">
                  <c:v>5.1840000000000004E-2</c:v>
                </c:pt>
                <c:pt idx="199">
                  <c:v>5.2005999999999997E-2</c:v>
                </c:pt>
                <c:pt idx="200">
                  <c:v>5.2172000000000003E-2</c:v>
                </c:pt>
                <c:pt idx="201">
                  <c:v>5.2339999999999998E-2</c:v>
                </c:pt>
                <c:pt idx="202">
                  <c:v>5.2506000000000004E-2</c:v>
                </c:pt>
                <c:pt idx="203">
                  <c:v>5.2671999999999997E-2</c:v>
                </c:pt>
                <c:pt idx="204">
                  <c:v>5.2809999999999996E-2</c:v>
                </c:pt>
                <c:pt idx="205">
                  <c:v>5.2949999999999997E-2</c:v>
                </c:pt>
                <c:pt idx="206">
                  <c:v>5.3116000000000003E-2</c:v>
                </c:pt>
                <c:pt idx="207">
                  <c:v>5.3284000000000005E-2</c:v>
                </c:pt>
                <c:pt idx="208">
                  <c:v>5.3419999999999995E-2</c:v>
                </c:pt>
                <c:pt idx="209">
                  <c:v>5.3562000000000005E-2</c:v>
                </c:pt>
                <c:pt idx="210">
                  <c:v>5.3699999999999998E-2</c:v>
                </c:pt>
                <c:pt idx="211">
                  <c:v>5.3840000000000006E-2</c:v>
                </c:pt>
                <c:pt idx="212">
                  <c:v>5.398E-2</c:v>
                </c:pt>
                <c:pt idx="213">
                  <c:v>5.4115999999999997E-2</c:v>
                </c:pt>
                <c:pt idx="214">
                  <c:v>5.4253999999999997E-2</c:v>
                </c:pt>
                <c:pt idx="215">
                  <c:v>5.4393999999999998E-2</c:v>
                </c:pt>
                <c:pt idx="216">
                  <c:v>5.4533999999999999E-2</c:v>
                </c:pt>
                <c:pt idx="217">
                  <c:v>5.4671999999999998E-2</c:v>
                </c:pt>
                <c:pt idx="218">
                  <c:v>5.4783999999999999E-2</c:v>
                </c:pt>
                <c:pt idx="219">
                  <c:v>5.4922000000000006E-2</c:v>
                </c:pt>
                <c:pt idx="220">
                  <c:v>5.5060000000000005E-2</c:v>
                </c:pt>
                <c:pt idx="221">
                  <c:v>5.5170000000000004E-2</c:v>
                </c:pt>
                <c:pt idx="222">
                  <c:v>5.5312E-2</c:v>
                </c:pt>
                <c:pt idx="223">
                  <c:v>5.5424000000000001E-2</c:v>
                </c:pt>
                <c:pt idx="224">
                  <c:v>5.5564000000000002E-2</c:v>
                </c:pt>
                <c:pt idx="225">
                  <c:v>5.5671999999999999E-2</c:v>
                </c:pt>
                <c:pt idx="226">
                  <c:v>5.5781999999999998E-2</c:v>
                </c:pt>
                <c:pt idx="227">
                  <c:v>5.5894000000000006E-2</c:v>
                </c:pt>
                <c:pt idx="228">
                  <c:v>5.6034E-2</c:v>
                </c:pt>
                <c:pt idx="229">
                  <c:v>5.6146000000000001E-2</c:v>
                </c:pt>
                <c:pt idx="230">
                  <c:v>5.6256E-2</c:v>
                </c:pt>
                <c:pt idx="231">
                  <c:v>5.6368000000000001E-2</c:v>
                </c:pt>
                <c:pt idx="232">
                  <c:v>5.6478E-2</c:v>
                </c:pt>
                <c:pt idx="233">
                  <c:v>5.6587999999999999E-2</c:v>
                </c:pt>
                <c:pt idx="234">
                  <c:v>5.67E-2</c:v>
                </c:pt>
                <c:pt idx="235">
                  <c:v>5.6811999999999994E-2</c:v>
                </c:pt>
                <c:pt idx="236">
                  <c:v>5.6922E-2</c:v>
                </c:pt>
                <c:pt idx="237">
                  <c:v>5.7005999999999994E-2</c:v>
                </c:pt>
                <c:pt idx="238">
                  <c:v>5.7118000000000002E-2</c:v>
                </c:pt>
                <c:pt idx="239">
                  <c:v>5.7225999999999999E-2</c:v>
                </c:pt>
                <c:pt idx="240">
                  <c:v>5.7337999999999993E-2</c:v>
                </c:pt>
                <c:pt idx="241">
                  <c:v>5.7450000000000001E-2</c:v>
                </c:pt>
                <c:pt idx="242">
                  <c:v>5.7561999999999995E-2</c:v>
                </c:pt>
                <c:pt idx="243">
                  <c:v>5.7644000000000001E-2</c:v>
                </c:pt>
                <c:pt idx="244">
                  <c:v>5.7756000000000002E-2</c:v>
                </c:pt>
                <c:pt idx="245">
                  <c:v>5.7868000000000003E-2</c:v>
                </c:pt>
                <c:pt idx="246">
                  <c:v>5.7976E-2</c:v>
                </c:pt>
                <c:pt idx="247">
                  <c:v>5.806E-2</c:v>
                </c:pt>
                <c:pt idx="248">
                  <c:v>5.8171999999999995E-2</c:v>
                </c:pt>
                <c:pt idx="249">
                  <c:v>5.8282E-2</c:v>
                </c:pt>
                <c:pt idx="250">
                  <c:v>5.8394000000000001E-2</c:v>
                </c:pt>
                <c:pt idx="251">
                  <c:v>5.8478000000000002E-2</c:v>
                </c:pt>
                <c:pt idx="252">
                  <c:v>5.8587999999999994E-2</c:v>
                </c:pt>
                <c:pt idx="253">
                  <c:v>5.8700000000000002E-2</c:v>
                </c:pt>
                <c:pt idx="254">
                  <c:v>5.8810000000000001E-2</c:v>
                </c:pt>
                <c:pt idx="255">
                  <c:v>5.8922000000000002E-2</c:v>
                </c:pt>
                <c:pt idx="256">
                  <c:v>5.9034000000000003E-2</c:v>
                </c:pt>
                <c:pt idx="257">
                  <c:v>5.9146000000000004E-2</c:v>
                </c:pt>
                <c:pt idx="258">
                  <c:v>5.9256000000000003E-2</c:v>
                </c:pt>
                <c:pt idx="259">
                  <c:v>5.9340000000000004E-2</c:v>
                </c:pt>
                <c:pt idx="260">
                  <c:v>5.9451999999999998E-2</c:v>
                </c:pt>
                <c:pt idx="261">
                  <c:v>5.9561999999999997E-2</c:v>
                </c:pt>
                <c:pt idx="262">
                  <c:v>5.9644000000000003E-2</c:v>
                </c:pt>
                <c:pt idx="263">
                  <c:v>5.9756000000000004E-2</c:v>
                </c:pt>
                <c:pt idx="264">
                  <c:v>5.9837999999999995E-2</c:v>
                </c:pt>
                <c:pt idx="265">
                  <c:v>5.9922000000000003E-2</c:v>
                </c:pt>
                <c:pt idx="266">
                  <c:v>6.0006000000000004E-2</c:v>
                </c:pt>
                <c:pt idx="267">
                  <c:v>6.0090000000000005E-2</c:v>
                </c:pt>
                <c:pt idx="268">
                  <c:v>6.0171999999999996E-2</c:v>
                </c:pt>
                <c:pt idx="269">
                  <c:v>6.0282000000000002E-2</c:v>
                </c:pt>
                <c:pt idx="270">
                  <c:v>6.0366000000000003E-2</c:v>
                </c:pt>
                <c:pt idx="271">
                  <c:v>6.0477999999999997E-2</c:v>
                </c:pt>
                <c:pt idx="272">
                  <c:v>6.0560000000000003E-2</c:v>
                </c:pt>
                <c:pt idx="273">
                  <c:v>6.0644000000000003E-2</c:v>
                </c:pt>
                <c:pt idx="274">
                  <c:v>6.0754000000000002E-2</c:v>
                </c:pt>
                <c:pt idx="275">
                  <c:v>6.0865999999999996E-2</c:v>
                </c:pt>
                <c:pt idx="276">
                  <c:v>6.0978000000000004E-2</c:v>
                </c:pt>
                <c:pt idx="277">
                  <c:v>6.1087999999999996E-2</c:v>
                </c:pt>
                <c:pt idx="278">
                  <c:v>6.1200000000000004E-2</c:v>
                </c:pt>
                <c:pt idx="279">
                  <c:v>6.1311999999999998E-2</c:v>
                </c:pt>
                <c:pt idx="280">
                  <c:v>6.1394000000000004E-2</c:v>
                </c:pt>
                <c:pt idx="281">
                  <c:v>6.1505999999999998E-2</c:v>
                </c:pt>
                <c:pt idx="282">
                  <c:v>6.1588000000000004E-2</c:v>
                </c:pt>
                <c:pt idx="283">
                  <c:v>6.1672000000000005E-2</c:v>
                </c:pt>
                <c:pt idx="284">
                  <c:v>6.1758E-2</c:v>
                </c:pt>
                <c:pt idx="285">
                  <c:v>6.1837999999999997E-2</c:v>
                </c:pt>
                <c:pt idx="286">
                  <c:v>6.1921999999999998E-2</c:v>
                </c:pt>
                <c:pt idx="287">
                  <c:v>6.2004000000000004E-2</c:v>
                </c:pt>
                <c:pt idx="288">
                  <c:v>6.2088000000000004E-2</c:v>
                </c:pt>
                <c:pt idx="289">
                  <c:v>6.2171999999999998E-2</c:v>
                </c:pt>
                <c:pt idx="290">
                  <c:v>6.2255999999999999E-2</c:v>
                </c:pt>
                <c:pt idx="291">
                  <c:v>6.234E-2</c:v>
                </c:pt>
                <c:pt idx="292">
                  <c:v>6.2422000000000005E-2</c:v>
                </c:pt>
                <c:pt idx="293">
                  <c:v>6.2506000000000006E-2</c:v>
                </c:pt>
                <c:pt idx="294">
                  <c:v>6.2588000000000005E-2</c:v>
                </c:pt>
                <c:pt idx="295">
                  <c:v>6.2672000000000005E-2</c:v>
                </c:pt>
                <c:pt idx="296">
                  <c:v>6.2755999999999992E-2</c:v>
                </c:pt>
                <c:pt idx="297">
                  <c:v>6.2838000000000005E-2</c:v>
                </c:pt>
                <c:pt idx="298">
                  <c:v>6.2922000000000006E-2</c:v>
                </c:pt>
                <c:pt idx="299">
                  <c:v>6.3007999999999995E-2</c:v>
                </c:pt>
                <c:pt idx="300">
                  <c:v>6.3090000000000007E-2</c:v>
                </c:pt>
                <c:pt idx="301">
                  <c:v>6.3174000000000008E-2</c:v>
                </c:pt>
                <c:pt idx="302">
                  <c:v>6.3255999999999993E-2</c:v>
                </c:pt>
                <c:pt idx="303">
                  <c:v>6.3338000000000005E-2</c:v>
                </c:pt>
                <c:pt idx="304">
                  <c:v>6.3422000000000006E-2</c:v>
                </c:pt>
                <c:pt idx="305">
                  <c:v>6.3506000000000007E-2</c:v>
                </c:pt>
                <c:pt idx="306">
                  <c:v>6.3587999999999992E-2</c:v>
                </c:pt>
                <c:pt idx="307">
                  <c:v>6.3672000000000006E-2</c:v>
                </c:pt>
                <c:pt idx="308">
                  <c:v>6.3756000000000007E-2</c:v>
                </c:pt>
                <c:pt idx="309">
                  <c:v>6.3840000000000008E-2</c:v>
                </c:pt>
                <c:pt idx="310">
                  <c:v>6.3894000000000006E-2</c:v>
                </c:pt>
                <c:pt idx="311">
                  <c:v>6.3978000000000007E-2</c:v>
                </c:pt>
                <c:pt idx="312">
                  <c:v>6.4062000000000008E-2</c:v>
                </c:pt>
                <c:pt idx="313">
                  <c:v>6.4143999999999993E-2</c:v>
                </c:pt>
                <c:pt idx="314">
                  <c:v>6.4227999999999993E-2</c:v>
                </c:pt>
                <c:pt idx="315">
                  <c:v>6.4310000000000006E-2</c:v>
                </c:pt>
                <c:pt idx="316">
                  <c:v>6.4394000000000007E-2</c:v>
                </c:pt>
                <c:pt idx="317">
                  <c:v>6.4450000000000007E-2</c:v>
                </c:pt>
                <c:pt idx="318">
                  <c:v>6.4534000000000008E-2</c:v>
                </c:pt>
                <c:pt idx="319">
                  <c:v>6.4615999999999993E-2</c:v>
                </c:pt>
                <c:pt idx="320">
                  <c:v>6.4728000000000008E-2</c:v>
                </c:pt>
                <c:pt idx="321">
                  <c:v>6.4839999999999995E-2</c:v>
                </c:pt>
                <c:pt idx="322">
                  <c:v>6.4950000000000008E-2</c:v>
                </c:pt>
                <c:pt idx="323">
                  <c:v>6.5061999999999995E-2</c:v>
                </c:pt>
                <c:pt idx="324">
                  <c:v>6.517400000000001E-2</c:v>
                </c:pt>
                <c:pt idx="325">
                  <c:v>6.5284000000000009E-2</c:v>
                </c:pt>
                <c:pt idx="326">
                  <c:v>6.5393999999999994E-2</c:v>
                </c:pt>
                <c:pt idx="327">
                  <c:v>6.5506000000000009E-2</c:v>
                </c:pt>
                <c:pt idx="328">
                  <c:v>6.5617999999999996E-2</c:v>
                </c:pt>
                <c:pt idx="329">
                  <c:v>6.5726000000000007E-2</c:v>
                </c:pt>
                <c:pt idx="330">
                  <c:v>6.5838000000000008E-2</c:v>
                </c:pt>
                <c:pt idx="331">
                  <c:v>6.5949999999999995E-2</c:v>
                </c:pt>
                <c:pt idx="332">
                  <c:v>6.606200000000001E-2</c:v>
                </c:pt>
                <c:pt idx="333">
                  <c:v>6.6172000000000009E-2</c:v>
                </c:pt>
                <c:pt idx="334">
                  <c:v>6.6283999999999996E-2</c:v>
                </c:pt>
                <c:pt idx="335">
                  <c:v>6.6395999999999997E-2</c:v>
                </c:pt>
                <c:pt idx="336">
                  <c:v>6.6505999999999996E-2</c:v>
                </c:pt>
                <c:pt idx="337">
                  <c:v>6.6615999999999995E-2</c:v>
                </c:pt>
                <c:pt idx="338">
                  <c:v>6.6727999999999996E-2</c:v>
                </c:pt>
                <c:pt idx="339">
                  <c:v>6.6839999999999997E-2</c:v>
                </c:pt>
                <c:pt idx="340">
                  <c:v>6.695000000000001E-2</c:v>
                </c:pt>
                <c:pt idx="341">
                  <c:v>6.7061999999999997E-2</c:v>
                </c:pt>
                <c:pt idx="342">
                  <c:v>6.7171999999999996E-2</c:v>
                </c:pt>
                <c:pt idx="343">
                  <c:v>6.7282000000000008E-2</c:v>
                </c:pt>
                <c:pt idx="344">
                  <c:v>6.7393999999999996E-2</c:v>
                </c:pt>
                <c:pt idx="345">
                  <c:v>6.750600000000001E-2</c:v>
                </c:pt>
                <c:pt idx="346">
                  <c:v>6.7615999999999996E-2</c:v>
                </c:pt>
                <c:pt idx="347">
                  <c:v>6.7727999999999997E-2</c:v>
                </c:pt>
                <c:pt idx="348">
                  <c:v>6.7811999999999997E-2</c:v>
                </c:pt>
                <c:pt idx="349">
                  <c:v>6.7923999999999998E-2</c:v>
                </c:pt>
                <c:pt idx="350">
                  <c:v>6.8032000000000009E-2</c:v>
                </c:pt>
                <c:pt idx="351">
                  <c:v>6.8143999999999996E-2</c:v>
                </c:pt>
                <c:pt idx="352">
                  <c:v>6.8255999999999997E-2</c:v>
                </c:pt>
                <c:pt idx="353">
                  <c:v>6.8337999999999996E-2</c:v>
                </c:pt>
                <c:pt idx="354">
                  <c:v>6.8449999999999997E-2</c:v>
                </c:pt>
                <c:pt idx="355">
                  <c:v>6.8561999999999998E-2</c:v>
                </c:pt>
                <c:pt idx="356">
                  <c:v>6.8643999999999997E-2</c:v>
                </c:pt>
                <c:pt idx="357">
                  <c:v>6.8755999999999998E-2</c:v>
                </c:pt>
                <c:pt idx="358">
                  <c:v>6.8867999999999999E-2</c:v>
                </c:pt>
                <c:pt idx="359">
                  <c:v>6.8977999999999998E-2</c:v>
                </c:pt>
                <c:pt idx="360">
                  <c:v>6.9115999999999997E-2</c:v>
                </c:pt>
                <c:pt idx="361">
                  <c:v>6.9227999999999998E-2</c:v>
                </c:pt>
                <c:pt idx="362">
                  <c:v>6.9367999999999999E-2</c:v>
                </c:pt>
                <c:pt idx="363">
                  <c:v>6.9477999999999998E-2</c:v>
                </c:pt>
                <c:pt idx="364">
                  <c:v>6.9587999999999997E-2</c:v>
                </c:pt>
                <c:pt idx="365">
                  <c:v>6.9727999999999998E-2</c:v>
                </c:pt>
                <c:pt idx="366">
                  <c:v>6.9839999999999999E-2</c:v>
                </c:pt>
                <c:pt idx="367">
                  <c:v>6.9977999999999999E-2</c:v>
                </c:pt>
                <c:pt idx="368">
                  <c:v>7.009E-2</c:v>
                </c:pt>
                <c:pt idx="369">
                  <c:v>7.0227999999999999E-2</c:v>
                </c:pt>
                <c:pt idx="370">
                  <c:v>7.0337999999999998E-2</c:v>
                </c:pt>
                <c:pt idx="371">
                  <c:v>7.0449999999999999E-2</c:v>
                </c:pt>
                <c:pt idx="372">
                  <c:v>7.059E-2</c:v>
                </c:pt>
                <c:pt idx="373">
                  <c:v>7.0699999999999999E-2</c:v>
                </c:pt>
                <c:pt idx="374">
                  <c:v>7.0812E-2</c:v>
                </c:pt>
                <c:pt idx="375">
                  <c:v>7.0924000000000001E-2</c:v>
                </c:pt>
                <c:pt idx="376">
                  <c:v>7.1034E-2</c:v>
                </c:pt>
                <c:pt idx="377">
                  <c:v>7.1143999999999999E-2</c:v>
                </c:pt>
                <c:pt idx="378">
                  <c:v>7.1256E-2</c:v>
                </c:pt>
                <c:pt idx="379">
                  <c:v>7.1368000000000001E-2</c:v>
                </c:pt>
                <c:pt idx="380">
                  <c:v>7.1478E-2</c:v>
                </c:pt>
                <c:pt idx="381">
                  <c:v>7.1590000000000001E-2</c:v>
                </c:pt>
                <c:pt idx="382">
                  <c:v>7.1702000000000002E-2</c:v>
                </c:pt>
                <c:pt idx="383">
                  <c:v>7.1809999999999999E-2</c:v>
                </c:pt>
                <c:pt idx="384">
                  <c:v>7.1919999999999998E-2</c:v>
                </c:pt>
                <c:pt idx="385">
                  <c:v>7.2031999999999999E-2</c:v>
                </c:pt>
                <c:pt idx="386">
                  <c:v>7.2144E-2</c:v>
                </c:pt>
                <c:pt idx="387">
                  <c:v>7.2253999999999999E-2</c:v>
                </c:pt>
                <c:pt idx="388">
                  <c:v>7.2368000000000002E-2</c:v>
                </c:pt>
                <c:pt idx="389">
                  <c:v>7.2508000000000003E-2</c:v>
                </c:pt>
                <c:pt idx="390">
                  <c:v>7.2644E-2</c:v>
                </c:pt>
                <c:pt idx="391">
                  <c:v>7.2784000000000001E-2</c:v>
                </c:pt>
                <c:pt idx="392">
                  <c:v>7.2924000000000003E-2</c:v>
                </c:pt>
                <c:pt idx="393">
                  <c:v>7.306E-2</c:v>
                </c:pt>
                <c:pt idx="394">
                  <c:v>7.3200000000000001E-2</c:v>
                </c:pt>
                <c:pt idx="395">
                  <c:v>7.3340000000000002E-2</c:v>
                </c:pt>
                <c:pt idx="396">
                  <c:v>7.3476E-2</c:v>
                </c:pt>
                <c:pt idx="397">
                  <c:v>7.3616000000000001E-2</c:v>
                </c:pt>
                <c:pt idx="398">
                  <c:v>7.3728000000000002E-2</c:v>
                </c:pt>
                <c:pt idx="399">
                  <c:v>7.3868000000000003E-2</c:v>
                </c:pt>
                <c:pt idx="400">
                  <c:v>7.4006000000000002E-2</c:v>
                </c:pt>
                <c:pt idx="401">
                  <c:v>7.4116000000000001E-2</c:v>
                </c:pt>
                <c:pt idx="402">
                  <c:v>7.4256000000000003E-2</c:v>
                </c:pt>
                <c:pt idx="403">
                  <c:v>7.4394000000000002E-2</c:v>
                </c:pt>
                <c:pt idx="404">
                  <c:v>7.4506000000000003E-2</c:v>
                </c:pt>
                <c:pt idx="405">
                  <c:v>7.4644000000000002E-2</c:v>
                </c:pt>
                <c:pt idx="406">
                  <c:v>7.4786000000000005E-2</c:v>
                </c:pt>
                <c:pt idx="407">
                  <c:v>7.4894000000000002E-2</c:v>
                </c:pt>
                <c:pt idx="408">
                  <c:v>7.5032000000000001E-2</c:v>
                </c:pt>
                <c:pt idx="409">
                  <c:v>7.5144000000000002E-2</c:v>
                </c:pt>
                <c:pt idx="410">
                  <c:v>7.5284000000000004E-2</c:v>
                </c:pt>
                <c:pt idx="411">
                  <c:v>7.5396000000000005E-2</c:v>
                </c:pt>
                <c:pt idx="412">
                  <c:v>7.5534000000000004E-2</c:v>
                </c:pt>
                <c:pt idx="413">
                  <c:v>7.5700000000000003E-2</c:v>
                </c:pt>
                <c:pt idx="414">
                  <c:v>7.5838000000000003E-2</c:v>
                </c:pt>
                <c:pt idx="415">
                  <c:v>7.5976000000000002E-2</c:v>
                </c:pt>
                <c:pt idx="416">
                  <c:v>7.6144000000000003E-2</c:v>
                </c:pt>
                <c:pt idx="417">
                  <c:v>7.6284000000000005E-2</c:v>
                </c:pt>
                <c:pt idx="418">
                  <c:v>7.6422000000000004E-2</c:v>
                </c:pt>
                <c:pt idx="419">
                  <c:v>7.6560000000000003E-2</c:v>
                </c:pt>
                <c:pt idx="420">
                  <c:v>7.6700000000000004E-2</c:v>
                </c:pt>
                <c:pt idx="421">
                  <c:v>7.6840000000000006E-2</c:v>
                </c:pt>
                <c:pt idx="422">
                  <c:v>7.6978000000000005E-2</c:v>
                </c:pt>
                <c:pt idx="423">
                  <c:v>7.7118000000000006E-2</c:v>
                </c:pt>
                <c:pt idx="424">
                  <c:v>7.7256000000000005E-2</c:v>
                </c:pt>
                <c:pt idx="425">
                  <c:v>7.7394000000000004E-2</c:v>
                </c:pt>
                <c:pt idx="426">
                  <c:v>7.753199999999999E-2</c:v>
                </c:pt>
                <c:pt idx="427">
                  <c:v>7.7672000000000005E-2</c:v>
                </c:pt>
                <c:pt idx="428">
                  <c:v>7.780999999999999E-2</c:v>
                </c:pt>
                <c:pt idx="429">
                  <c:v>7.7950000000000005E-2</c:v>
                </c:pt>
                <c:pt idx="430">
                  <c:v>7.8090000000000007E-2</c:v>
                </c:pt>
                <c:pt idx="431">
                  <c:v>7.8228000000000006E-2</c:v>
                </c:pt>
                <c:pt idx="432">
                  <c:v>7.8368000000000007E-2</c:v>
                </c:pt>
                <c:pt idx="433">
                  <c:v>7.8533999999999993E-2</c:v>
                </c:pt>
                <c:pt idx="434">
                  <c:v>7.8701999999999994E-2</c:v>
                </c:pt>
                <c:pt idx="435">
                  <c:v>7.8838000000000005E-2</c:v>
                </c:pt>
                <c:pt idx="436">
                  <c:v>7.9005999999999993E-2</c:v>
                </c:pt>
                <c:pt idx="437">
                  <c:v>7.9143999999999992E-2</c:v>
                </c:pt>
                <c:pt idx="438">
                  <c:v>7.9311999999999994E-2</c:v>
                </c:pt>
                <c:pt idx="439">
                  <c:v>7.9451999999999995E-2</c:v>
                </c:pt>
                <c:pt idx="440">
                  <c:v>7.9615999999999992E-2</c:v>
                </c:pt>
                <c:pt idx="441">
                  <c:v>7.9755999999999994E-2</c:v>
                </c:pt>
                <c:pt idx="442">
                  <c:v>7.9893999999999993E-2</c:v>
                </c:pt>
                <c:pt idx="443">
                  <c:v>8.0061999999999994E-2</c:v>
                </c:pt>
                <c:pt idx="444">
                  <c:v>8.0199999999999994E-2</c:v>
                </c:pt>
                <c:pt idx="445">
                  <c:v>8.0337999999999993E-2</c:v>
                </c:pt>
                <c:pt idx="446">
                  <c:v>8.0478000000000008E-2</c:v>
                </c:pt>
                <c:pt idx="447">
                  <c:v>8.0616000000000007E-2</c:v>
                </c:pt>
                <c:pt idx="448">
                  <c:v>8.0755999999999994E-2</c:v>
                </c:pt>
                <c:pt idx="449">
                  <c:v>8.089600000000001E-2</c:v>
                </c:pt>
                <c:pt idx="450">
                  <c:v>8.1059999999999993E-2</c:v>
                </c:pt>
                <c:pt idx="451">
                  <c:v>8.1226000000000007E-2</c:v>
                </c:pt>
                <c:pt idx="452">
                  <c:v>8.1394000000000008E-2</c:v>
                </c:pt>
                <c:pt idx="453">
                  <c:v>8.1560000000000007E-2</c:v>
                </c:pt>
                <c:pt idx="454">
                  <c:v>8.1729999999999997E-2</c:v>
                </c:pt>
                <c:pt idx="455">
                  <c:v>8.189600000000001E-2</c:v>
                </c:pt>
                <c:pt idx="456">
                  <c:v>8.2059999999999994E-2</c:v>
                </c:pt>
                <c:pt idx="457">
                  <c:v>8.2227999999999996E-2</c:v>
                </c:pt>
                <c:pt idx="458">
                  <c:v>8.2395999999999997E-2</c:v>
                </c:pt>
                <c:pt idx="459">
                  <c:v>8.2533999999999996E-2</c:v>
                </c:pt>
                <c:pt idx="460">
                  <c:v>8.2699999999999996E-2</c:v>
                </c:pt>
                <c:pt idx="461">
                  <c:v>8.2840000000000011E-2</c:v>
                </c:pt>
                <c:pt idx="462">
                  <c:v>8.3005999999999996E-2</c:v>
                </c:pt>
                <c:pt idx="463">
                  <c:v>8.3145999999999998E-2</c:v>
                </c:pt>
                <c:pt idx="464">
                  <c:v>8.3312000000000011E-2</c:v>
                </c:pt>
                <c:pt idx="465">
                  <c:v>8.3477999999999997E-2</c:v>
                </c:pt>
                <c:pt idx="466">
                  <c:v>8.3643999999999996E-2</c:v>
                </c:pt>
                <c:pt idx="467">
                  <c:v>8.3811999999999998E-2</c:v>
                </c:pt>
                <c:pt idx="468">
                  <c:v>8.3977999999999997E-2</c:v>
                </c:pt>
                <c:pt idx="469">
                  <c:v>8.414400000000001E-2</c:v>
                </c:pt>
                <c:pt idx="470">
                  <c:v>8.4309999999999996E-2</c:v>
                </c:pt>
                <c:pt idx="471">
                  <c:v>8.4478000000000011E-2</c:v>
                </c:pt>
                <c:pt idx="472">
                  <c:v>8.4643999999999997E-2</c:v>
                </c:pt>
                <c:pt idx="473">
                  <c:v>8.4811999999999999E-2</c:v>
                </c:pt>
                <c:pt idx="474">
                  <c:v>8.4975999999999996E-2</c:v>
                </c:pt>
                <c:pt idx="475">
                  <c:v>8.5143999999999997E-2</c:v>
                </c:pt>
                <c:pt idx="476">
                  <c:v>8.5311999999999999E-2</c:v>
                </c:pt>
                <c:pt idx="477">
                  <c:v>8.5477999999999998E-2</c:v>
                </c:pt>
                <c:pt idx="478">
                  <c:v>8.5671999999999998E-2</c:v>
                </c:pt>
                <c:pt idx="479">
                  <c:v>8.5866000000000012E-2</c:v>
                </c:pt>
                <c:pt idx="480">
                  <c:v>8.6033999999999999E-2</c:v>
                </c:pt>
                <c:pt idx="481">
                  <c:v>8.6227999999999999E-2</c:v>
                </c:pt>
                <c:pt idx="482">
                  <c:v>8.6396000000000001E-2</c:v>
                </c:pt>
                <c:pt idx="483">
                  <c:v>8.6562E-2</c:v>
                </c:pt>
                <c:pt idx="484">
                  <c:v>8.6728E-2</c:v>
                </c:pt>
                <c:pt idx="485">
                  <c:v>8.6896000000000001E-2</c:v>
                </c:pt>
                <c:pt idx="486">
                  <c:v>8.7062000000000014E-2</c:v>
                </c:pt>
                <c:pt idx="487">
                  <c:v>8.7225999999999998E-2</c:v>
                </c:pt>
                <c:pt idx="488">
                  <c:v>8.7395999999999988E-2</c:v>
                </c:pt>
                <c:pt idx="489">
                  <c:v>8.7559999999999999E-2</c:v>
                </c:pt>
                <c:pt idx="490">
                  <c:v>8.7728E-2</c:v>
                </c:pt>
                <c:pt idx="491">
                  <c:v>8.7924000000000002E-2</c:v>
                </c:pt>
                <c:pt idx="492">
                  <c:v>8.8116E-2</c:v>
                </c:pt>
                <c:pt idx="493">
                  <c:v>8.8312000000000002E-2</c:v>
                </c:pt>
                <c:pt idx="494">
                  <c:v>8.8506000000000001E-2</c:v>
                </c:pt>
                <c:pt idx="495">
                  <c:v>8.8699999999999987E-2</c:v>
                </c:pt>
                <c:pt idx="496">
                  <c:v>8.8894000000000001E-2</c:v>
                </c:pt>
                <c:pt idx="497">
                  <c:v>8.9090000000000003E-2</c:v>
                </c:pt>
                <c:pt idx="498">
                  <c:v>8.9284000000000002E-2</c:v>
                </c:pt>
                <c:pt idx="499">
                  <c:v>8.9478000000000002E-2</c:v>
                </c:pt>
                <c:pt idx="500">
                  <c:v>8.9672000000000002E-2</c:v>
                </c:pt>
                <c:pt idx="501">
                  <c:v>8.9868000000000003E-2</c:v>
                </c:pt>
                <c:pt idx="502">
                  <c:v>9.0062000000000003E-2</c:v>
                </c:pt>
                <c:pt idx="503">
                  <c:v>9.0256000000000003E-2</c:v>
                </c:pt>
                <c:pt idx="504">
                  <c:v>9.0450000000000003E-2</c:v>
                </c:pt>
                <c:pt idx="505">
                  <c:v>9.0643999999999988E-2</c:v>
                </c:pt>
                <c:pt idx="506">
                  <c:v>9.0838000000000002E-2</c:v>
                </c:pt>
                <c:pt idx="507">
                  <c:v>9.1034000000000004E-2</c:v>
                </c:pt>
                <c:pt idx="508">
                  <c:v>9.1228000000000004E-2</c:v>
                </c:pt>
                <c:pt idx="509">
                  <c:v>9.1422000000000003E-2</c:v>
                </c:pt>
                <c:pt idx="510">
                  <c:v>9.1617999999999991E-2</c:v>
                </c:pt>
                <c:pt idx="511">
                  <c:v>9.1812000000000005E-2</c:v>
                </c:pt>
                <c:pt idx="512">
                  <c:v>9.2005999999999991E-2</c:v>
                </c:pt>
                <c:pt idx="513">
                  <c:v>9.2227999999999991E-2</c:v>
                </c:pt>
                <c:pt idx="514">
                  <c:v>9.2452000000000006E-2</c:v>
                </c:pt>
                <c:pt idx="515">
                  <c:v>9.2672000000000004E-2</c:v>
                </c:pt>
                <c:pt idx="516">
                  <c:v>9.2867999999999992E-2</c:v>
                </c:pt>
                <c:pt idx="517">
                  <c:v>9.3089999999999992E-2</c:v>
                </c:pt>
                <c:pt idx="518">
                  <c:v>9.3312000000000006E-2</c:v>
                </c:pt>
                <c:pt idx="519">
                  <c:v>9.3506000000000006E-2</c:v>
                </c:pt>
                <c:pt idx="520">
                  <c:v>9.3699999999999992E-2</c:v>
                </c:pt>
                <c:pt idx="521">
                  <c:v>9.3924000000000007E-2</c:v>
                </c:pt>
                <c:pt idx="522">
                  <c:v>9.4144000000000005E-2</c:v>
                </c:pt>
                <c:pt idx="523">
                  <c:v>9.4366000000000005E-2</c:v>
                </c:pt>
                <c:pt idx="524">
                  <c:v>9.4588000000000005E-2</c:v>
                </c:pt>
                <c:pt idx="525">
                  <c:v>9.4811999999999994E-2</c:v>
                </c:pt>
                <c:pt idx="526">
                  <c:v>9.5031999999999991E-2</c:v>
                </c:pt>
                <c:pt idx="527">
                  <c:v>9.5256000000000007E-2</c:v>
                </c:pt>
                <c:pt idx="528">
                  <c:v>9.5478000000000007E-2</c:v>
                </c:pt>
                <c:pt idx="529">
                  <c:v>9.5698000000000005E-2</c:v>
                </c:pt>
                <c:pt idx="530">
                  <c:v>9.5950000000000008E-2</c:v>
                </c:pt>
                <c:pt idx="531">
                  <c:v>9.620200000000001E-2</c:v>
                </c:pt>
                <c:pt idx="532">
                  <c:v>9.6422000000000008E-2</c:v>
                </c:pt>
                <c:pt idx="533">
                  <c:v>9.667400000000001E-2</c:v>
                </c:pt>
                <c:pt idx="534">
                  <c:v>9.6921999999999994E-2</c:v>
                </c:pt>
                <c:pt idx="535">
                  <c:v>9.714600000000001E-2</c:v>
                </c:pt>
                <c:pt idx="536">
                  <c:v>9.7363999999999992E-2</c:v>
                </c:pt>
                <c:pt idx="537">
                  <c:v>9.759000000000001E-2</c:v>
                </c:pt>
                <c:pt idx="538">
                  <c:v>9.784000000000001E-2</c:v>
                </c:pt>
                <c:pt idx="539">
                  <c:v>9.8087999999999995E-2</c:v>
                </c:pt>
                <c:pt idx="540">
                  <c:v>9.8339999999999997E-2</c:v>
                </c:pt>
                <c:pt idx="541">
                  <c:v>9.8588000000000009E-2</c:v>
                </c:pt>
                <c:pt idx="542">
                  <c:v>9.8838000000000009E-2</c:v>
                </c:pt>
                <c:pt idx="543">
                  <c:v>9.9090000000000011E-2</c:v>
                </c:pt>
                <c:pt idx="544">
                  <c:v>9.9339999999999998E-2</c:v>
                </c:pt>
                <c:pt idx="545">
                  <c:v>9.9589999999999998E-2</c:v>
                </c:pt>
                <c:pt idx="546">
                  <c:v>9.983800000000001E-2</c:v>
                </c:pt>
                <c:pt idx="547">
                  <c:v>0.10009</c:v>
                </c:pt>
                <c:pt idx="548">
                  <c:v>0.10034000000000001</c:v>
                </c:pt>
                <c:pt idx="549">
                  <c:v>0.100588</c:v>
                </c:pt>
                <c:pt idx="550">
                  <c:v>0.10084</c:v>
                </c:pt>
                <c:pt idx="551">
                  <c:v>0.10108800000000001</c:v>
                </c:pt>
                <c:pt idx="552">
                  <c:v>0.10134</c:v>
                </c:pt>
                <c:pt idx="553">
                  <c:v>0.10159000000000001</c:v>
                </c:pt>
                <c:pt idx="554">
                  <c:v>0.101838</c:v>
                </c:pt>
                <c:pt idx="555">
                  <c:v>0.10209</c:v>
                </c:pt>
                <c:pt idx="556">
                  <c:v>0.10234</c:v>
                </c:pt>
                <c:pt idx="557">
                  <c:v>0.10258800000000001</c:v>
                </c:pt>
                <c:pt idx="558">
                  <c:v>0.102838</c:v>
                </c:pt>
                <c:pt idx="559">
                  <c:v>0.10308999999999999</c:v>
                </c:pt>
                <c:pt idx="560">
                  <c:v>0.10336600000000001</c:v>
                </c:pt>
                <c:pt idx="561">
                  <c:v>0.10364599999999999</c:v>
                </c:pt>
                <c:pt idx="562">
                  <c:v>0.103924</c:v>
                </c:pt>
                <c:pt idx="563">
                  <c:v>0.104198</c:v>
                </c:pt>
                <c:pt idx="564">
                  <c:v>0.10447800000000002</c:v>
                </c:pt>
                <c:pt idx="565">
                  <c:v>0.104756</c:v>
                </c:pt>
                <c:pt idx="566">
                  <c:v>0.10503399999999999</c:v>
                </c:pt>
                <c:pt idx="567">
                  <c:v>0.10531</c:v>
                </c:pt>
                <c:pt idx="568">
                  <c:v>0.10558999999999999</c:v>
                </c:pt>
                <c:pt idx="569">
                  <c:v>0.105866</c:v>
                </c:pt>
                <c:pt idx="570">
                  <c:v>0.106144</c:v>
                </c:pt>
                <c:pt idx="571">
                  <c:v>0.106422</c:v>
                </c:pt>
                <c:pt idx="572">
                  <c:v>0.1067</c:v>
                </c:pt>
                <c:pt idx="573">
                  <c:v>0.10700599999999999</c:v>
                </c:pt>
                <c:pt idx="574">
                  <c:v>0.10731</c:v>
                </c:pt>
                <c:pt idx="575">
                  <c:v>0.10761599999999999</c:v>
                </c:pt>
                <c:pt idx="576">
                  <c:v>0.10792199999999999</c:v>
                </c:pt>
                <c:pt idx="577">
                  <c:v>0.10822599999999999</c:v>
                </c:pt>
                <c:pt idx="578">
                  <c:v>0.10853199999999999</c:v>
                </c:pt>
                <c:pt idx="579">
                  <c:v>0.108838</c:v>
                </c:pt>
                <c:pt idx="580">
                  <c:v>0.109144</c:v>
                </c:pt>
                <c:pt idx="581">
                  <c:v>0.10945000000000001</c:v>
                </c:pt>
                <c:pt idx="582">
                  <c:v>0.109754</c:v>
                </c:pt>
                <c:pt idx="583">
                  <c:v>0.11006199999999999</c:v>
                </c:pt>
                <c:pt idx="584">
                  <c:v>0.11039199999999999</c:v>
                </c:pt>
                <c:pt idx="585">
                  <c:v>0.11072800000000001</c:v>
                </c:pt>
                <c:pt idx="586">
                  <c:v>0.11106199999999999</c:v>
                </c:pt>
                <c:pt idx="587">
                  <c:v>0.111396</c:v>
                </c:pt>
                <c:pt idx="588">
                  <c:v>0.111702</c:v>
                </c:pt>
                <c:pt idx="589">
                  <c:v>0.11200599999999999</c:v>
                </c:pt>
                <c:pt idx="590">
                  <c:v>0.112312</c:v>
                </c:pt>
                <c:pt idx="591">
                  <c:v>0.11261599999999999</c:v>
                </c:pt>
                <c:pt idx="592">
                  <c:v>0.11294999999999999</c:v>
                </c:pt>
                <c:pt idx="593">
                  <c:v>0.113258</c:v>
                </c:pt>
                <c:pt idx="594">
                  <c:v>0.113562</c:v>
                </c:pt>
                <c:pt idx="595">
                  <c:v>0.113896</c:v>
                </c:pt>
                <c:pt idx="596">
                  <c:v>0.11422599999999999</c:v>
                </c:pt>
                <c:pt idx="597">
                  <c:v>0.11456200000000001</c:v>
                </c:pt>
                <c:pt idx="598">
                  <c:v>0.114894</c:v>
                </c:pt>
                <c:pt idx="599">
                  <c:v>0.115228</c:v>
                </c:pt>
                <c:pt idx="600">
                  <c:v>0.11559</c:v>
                </c:pt>
                <c:pt idx="601">
                  <c:v>0.11595000000000001</c:v>
                </c:pt>
                <c:pt idx="602">
                  <c:v>0.116312</c:v>
                </c:pt>
                <c:pt idx="603">
                  <c:v>0.116672</c:v>
                </c:pt>
                <c:pt idx="604">
                  <c:v>0.117006</c:v>
                </c:pt>
                <c:pt idx="605">
                  <c:v>0.117366</c:v>
                </c:pt>
                <c:pt idx="606">
                  <c:v>0.117728</c:v>
                </c:pt>
                <c:pt idx="607">
                  <c:v>0.11808999999999999</c:v>
                </c:pt>
                <c:pt idx="608">
                  <c:v>0.118448</c:v>
                </c:pt>
                <c:pt idx="609">
                  <c:v>0.11884</c:v>
                </c:pt>
                <c:pt idx="610">
                  <c:v>0.119228</c:v>
                </c:pt>
                <c:pt idx="611">
                  <c:v>0.119616</c:v>
                </c:pt>
                <c:pt idx="612">
                  <c:v>0.119978</c:v>
                </c:pt>
                <c:pt idx="613">
                  <c:v>0.120338</c:v>
                </c:pt>
                <c:pt idx="614">
                  <c:v>0.120728</c:v>
                </c:pt>
                <c:pt idx="615">
                  <c:v>0.12111599999999999</c:v>
                </c:pt>
                <c:pt idx="616">
                  <c:v>0.121506</c:v>
                </c:pt>
                <c:pt idx="617">
                  <c:v>0.121866</c:v>
                </c:pt>
                <c:pt idx="618">
                  <c:v>0.122256</c:v>
                </c:pt>
                <c:pt idx="619">
                  <c:v>0.122644</c:v>
                </c:pt>
                <c:pt idx="620">
                  <c:v>0.123034</c:v>
                </c:pt>
                <c:pt idx="621">
                  <c:v>0.12342</c:v>
                </c:pt>
                <c:pt idx="622">
                  <c:v>0.12381199999999999</c:v>
                </c:pt>
                <c:pt idx="623">
                  <c:v>0.12422800000000001</c:v>
                </c:pt>
                <c:pt idx="624">
                  <c:v>0.12461800000000001</c:v>
                </c:pt>
                <c:pt idx="625">
                  <c:v>0.12503399999999998</c:v>
                </c:pt>
                <c:pt idx="626">
                  <c:v>0.12545000000000001</c:v>
                </c:pt>
                <c:pt idx="627">
                  <c:v>0.12586600000000001</c:v>
                </c:pt>
                <c:pt idx="628">
                  <c:v>0.12628600000000001</c:v>
                </c:pt>
                <c:pt idx="629">
                  <c:v>0.12670000000000001</c:v>
                </c:pt>
                <c:pt idx="630">
                  <c:v>0.12711800000000001</c:v>
                </c:pt>
                <c:pt idx="631">
                  <c:v>0.12753399999999998</c:v>
                </c:pt>
                <c:pt idx="632">
                  <c:v>0.12795199999999998</c:v>
                </c:pt>
                <c:pt idx="633">
                  <c:v>0.12839400000000001</c:v>
                </c:pt>
                <c:pt idx="634">
                  <c:v>0.12883800000000001</c:v>
                </c:pt>
                <c:pt idx="635">
                  <c:v>0.12928400000000001</c:v>
                </c:pt>
                <c:pt idx="636">
                  <c:v>0.12972600000000001</c:v>
                </c:pt>
                <c:pt idx="637">
                  <c:v>0.13017400000000001</c:v>
                </c:pt>
                <c:pt idx="638">
                  <c:v>0.13061800000000001</c:v>
                </c:pt>
                <c:pt idx="639">
                  <c:v>0.13106199999999998</c:v>
                </c:pt>
                <c:pt idx="640">
                  <c:v>0.13150600000000001</c:v>
                </c:pt>
                <c:pt idx="641">
                  <c:v>0.13195000000000001</c:v>
                </c:pt>
                <c:pt idx="642">
                  <c:v>0.13242200000000001</c:v>
                </c:pt>
                <c:pt idx="643">
                  <c:v>0.13289600000000001</c:v>
                </c:pt>
                <c:pt idx="644">
                  <c:v>0.13336800000000001</c:v>
                </c:pt>
                <c:pt idx="645">
                  <c:v>0.13384000000000001</c:v>
                </c:pt>
                <c:pt idx="646">
                  <c:v>0.13430999999999998</c:v>
                </c:pt>
                <c:pt idx="647">
                  <c:v>0.13478400000000001</c:v>
                </c:pt>
                <c:pt idx="648">
                  <c:v>0.13525600000000002</c:v>
                </c:pt>
                <c:pt idx="649">
                  <c:v>0.13575599999999999</c:v>
                </c:pt>
                <c:pt idx="650">
                  <c:v>0.13625600000000002</c:v>
                </c:pt>
                <c:pt idx="651">
                  <c:v>0.13678399999999999</c:v>
                </c:pt>
                <c:pt idx="652">
                  <c:v>0.13730999999999999</c:v>
                </c:pt>
                <c:pt idx="653">
                  <c:v>0.13784000000000002</c:v>
                </c:pt>
                <c:pt idx="654">
                  <c:v>0.13836799999999999</c:v>
                </c:pt>
                <c:pt idx="655">
                  <c:v>0.13889399999999999</c:v>
                </c:pt>
                <c:pt idx="656">
                  <c:v>0.13944999999999999</c:v>
                </c:pt>
                <c:pt idx="657">
                  <c:v>0.13997799999999999</c:v>
                </c:pt>
                <c:pt idx="658">
                  <c:v>0.14053399999999999</c:v>
                </c:pt>
                <c:pt idx="659">
                  <c:v>0.14108799999999999</c:v>
                </c:pt>
                <c:pt idx="660">
                  <c:v>0.14164599999999999</c:v>
                </c:pt>
                <c:pt idx="661">
                  <c:v>0.14219999999999999</c:v>
                </c:pt>
                <c:pt idx="662">
                  <c:v>0.14275399999999999</c:v>
                </c:pt>
                <c:pt idx="663">
                  <c:v>0.14334</c:v>
                </c:pt>
                <c:pt idx="664">
                  <c:v>0.143952</c:v>
                </c:pt>
              </c:numCache>
            </c:numRef>
          </c:cat>
          <c:val>
            <c:numRef>
              <c:f>'A21-4'!$F$2:$F$666</c:f>
              <c:numCache>
                <c:formatCode>0.00</c:formatCode>
                <c:ptCount val="665"/>
                <c:pt idx="0">
                  <c:v>0</c:v>
                </c:pt>
                <c:pt idx="1">
                  <c:v>7.5235700817096157E-2</c:v>
                </c:pt>
                <c:pt idx="2">
                  <c:v>7.5235700817096157E-2</c:v>
                </c:pt>
                <c:pt idx="3">
                  <c:v>7.5235700817096157E-2</c:v>
                </c:pt>
                <c:pt idx="4">
                  <c:v>7.5235700817096157E-2</c:v>
                </c:pt>
                <c:pt idx="5">
                  <c:v>7.5235700817096157E-2</c:v>
                </c:pt>
                <c:pt idx="6">
                  <c:v>7.5235700817096157E-2</c:v>
                </c:pt>
                <c:pt idx="7">
                  <c:v>7.5235700817096157E-2</c:v>
                </c:pt>
                <c:pt idx="8">
                  <c:v>7.5235700817096157E-2</c:v>
                </c:pt>
                <c:pt idx="9">
                  <c:v>7.5235700817096157E-2</c:v>
                </c:pt>
                <c:pt idx="10">
                  <c:v>7.5235700817096157E-2</c:v>
                </c:pt>
                <c:pt idx="11">
                  <c:v>7.5235700817096157E-2</c:v>
                </c:pt>
                <c:pt idx="12">
                  <c:v>7.5235700817096157E-2</c:v>
                </c:pt>
                <c:pt idx="13">
                  <c:v>7.5235700817096157E-2</c:v>
                </c:pt>
                <c:pt idx="14">
                  <c:v>7.1275927089880564E-2</c:v>
                </c:pt>
                <c:pt idx="15">
                  <c:v>7.1275927089880564E-2</c:v>
                </c:pt>
                <c:pt idx="16">
                  <c:v>7.1275927089880564E-2</c:v>
                </c:pt>
                <c:pt idx="17">
                  <c:v>7.1275927089880564E-2</c:v>
                </c:pt>
                <c:pt idx="18">
                  <c:v>7.1275927089880564E-2</c:v>
                </c:pt>
                <c:pt idx="19">
                  <c:v>7.1275927089880564E-2</c:v>
                </c:pt>
                <c:pt idx="20">
                  <c:v>7.1275927089880564E-2</c:v>
                </c:pt>
                <c:pt idx="21">
                  <c:v>7.5235700817096157E-2</c:v>
                </c:pt>
                <c:pt idx="22">
                  <c:v>7.5235700817096157E-2</c:v>
                </c:pt>
                <c:pt idx="23">
                  <c:v>7.5235700817096157E-2</c:v>
                </c:pt>
                <c:pt idx="24">
                  <c:v>7.5235700817096157E-2</c:v>
                </c:pt>
                <c:pt idx="25">
                  <c:v>7.5235700817096157E-2</c:v>
                </c:pt>
                <c:pt idx="26">
                  <c:v>7.5235700817096157E-2</c:v>
                </c:pt>
                <c:pt idx="27">
                  <c:v>7.5235700817096157E-2</c:v>
                </c:pt>
                <c:pt idx="28">
                  <c:v>7.5235700817096157E-2</c:v>
                </c:pt>
                <c:pt idx="29">
                  <c:v>7.5235700817096157E-2</c:v>
                </c:pt>
                <c:pt idx="30">
                  <c:v>7.919547454431175E-2</c:v>
                </c:pt>
                <c:pt idx="31">
                  <c:v>7.919547454431175E-2</c:v>
                </c:pt>
                <c:pt idx="32">
                  <c:v>7.919547454431175E-2</c:v>
                </c:pt>
                <c:pt idx="33">
                  <c:v>7.919547454431175E-2</c:v>
                </c:pt>
                <c:pt idx="34">
                  <c:v>7.919547454431175E-2</c:v>
                </c:pt>
                <c:pt idx="35">
                  <c:v>7.919547454431175E-2</c:v>
                </c:pt>
                <c:pt idx="36">
                  <c:v>7.919547454431175E-2</c:v>
                </c:pt>
                <c:pt idx="37">
                  <c:v>8.7115021998742936E-2</c:v>
                </c:pt>
                <c:pt idx="38">
                  <c:v>9.1074795725958516E-2</c:v>
                </c:pt>
                <c:pt idx="39">
                  <c:v>9.5034569453174095E-2</c:v>
                </c:pt>
                <c:pt idx="40">
                  <c:v>9.8994343180389702E-2</c:v>
                </c:pt>
                <c:pt idx="41">
                  <c:v>9.8994343180389702E-2</c:v>
                </c:pt>
                <c:pt idx="42">
                  <c:v>0.10295411690760528</c:v>
                </c:pt>
                <c:pt idx="43">
                  <c:v>0.10691389063482086</c:v>
                </c:pt>
                <c:pt idx="44">
                  <c:v>0.11087366436203647</c:v>
                </c:pt>
                <c:pt idx="45">
                  <c:v>0.11879321181646763</c:v>
                </c:pt>
                <c:pt idx="46">
                  <c:v>0.12275298554368322</c:v>
                </c:pt>
                <c:pt idx="47">
                  <c:v>0.13463230672532997</c:v>
                </c:pt>
                <c:pt idx="48">
                  <c:v>0.14255185417976113</c:v>
                </c:pt>
                <c:pt idx="49">
                  <c:v>0.15047140163419231</c:v>
                </c:pt>
                <c:pt idx="50">
                  <c:v>0.1583909490886235</c:v>
                </c:pt>
                <c:pt idx="51">
                  <c:v>0.1702679423609656</c:v>
                </c:pt>
                <c:pt idx="52">
                  <c:v>0.17818748981539678</c:v>
                </c:pt>
                <c:pt idx="53">
                  <c:v>0.19006681099704353</c:v>
                </c:pt>
                <c:pt idx="54">
                  <c:v>0.20194613217869031</c:v>
                </c:pt>
                <c:pt idx="55">
                  <c:v>0.20986567963312147</c:v>
                </c:pt>
                <c:pt idx="56">
                  <c:v>0.22570477454198384</c:v>
                </c:pt>
                <c:pt idx="57">
                  <c:v>0.22966454826919944</c:v>
                </c:pt>
                <c:pt idx="58">
                  <c:v>0.24154386945084616</c:v>
                </c:pt>
                <c:pt idx="59">
                  <c:v>0.25341620690457894</c:v>
                </c:pt>
                <c:pt idx="60">
                  <c:v>0.26135437763344738</c:v>
                </c:pt>
                <c:pt idx="61">
                  <c:v>0.26531182345135829</c:v>
                </c:pt>
                <c:pt idx="62">
                  <c:v>0.27322671508718022</c:v>
                </c:pt>
                <c:pt idx="63">
                  <c:v>0.285099052540913</c:v>
                </c:pt>
                <c:pt idx="64">
                  <c:v>0.29301394417673482</c:v>
                </c:pt>
                <c:pt idx="65">
                  <c:v>0.30095211490560331</c:v>
                </c:pt>
                <c:pt idx="66">
                  <c:v>0.30886700654142513</c:v>
                </c:pt>
                <c:pt idx="67">
                  <c:v>0.32073934399515791</c:v>
                </c:pt>
                <c:pt idx="68">
                  <c:v>0.32865423563097984</c:v>
                </c:pt>
                <c:pt idx="69">
                  <c:v>0.34052657308471262</c:v>
                </c:pt>
                <c:pt idx="70">
                  <c:v>0.35242218963149191</c:v>
                </c:pt>
                <c:pt idx="71">
                  <c:v>0.36429452708522475</c:v>
                </c:pt>
                <c:pt idx="72">
                  <c:v>0.37616686453895753</c:v>
                </c:pt>
                <c:pt idx="73">
                  <c:v>0.38806248108573693</c:v>
                </c:pt>
                <c:pt idx="74">
                  <c:v>0.40389226435738063</c:v>
                </c:pt>
                <c:pt idx="75">
                  <c:v>0.41576460181111341</c:v>
                </c:pt>
                <c:pt idx="76">
                  <c:v>0.4276602183578927</c:v>
                </c:pt>
                <c:pt idx="77">
                  <c:v>0.43953255581162554</c:v>
                </c:pt>
                <c:pt idx="78">
                  <c:v>0.45536233908326929</c:v>
                </c:pt>
                <c:pt idx="79">
                  <c:v>0.46725795563004857</c:v>
                </c:pt>
                <c:pt idx="80">
                  <c:v>0.47913029308378141</c:v>
                </c:pt>
                <c:pt idx="81">
                  <c:v>0.49496007635542516</c:v>
                </c:pt>
                <c:pt idx="82">
                  <c:v>0.50685569290220456</c:v>
                </c:pt>
                <c:pt idx="83">
                  <c:v>0.51872803035593729</c:v>
                </c:pt>
                <c:pt idx="84">
                  <c:v>0.53455781362758115</c:v>
                </c:pt>
                <c:pt idx="85">
                  <c:v>0.54645343017436043</c:v>
                </c:pt>
                <c:pt idx="86">
                  <c:v>0.55832576762809327</c:v>
                </c:pt>
                <c:pt idx="87">
                  <c:v>0.570198105081826</c:v>
                </c:pt>
                <c:pt idx="88">
                  <c:v>0.58209372162860529</c:v>
                </c:pt>
                <c:pt idx="89">
                  <c:v>0.59396605908233813</c:v>
                </c:pt>
                <c:pt idx="90">
                  <c:v>0.60583839653607086</c:v>
                </c:pt>
                <c:pt idx="91">
                  <c:v>0.6177107339898037</c:v>
                </c:pt>
                <c:pt idx="92">
                  <c:v>0.62960635053658298</c:v>
                </c:pt>
                <c:pt idx="93">
                  <c:v>0.64147868799031582</c:v>
                </c:pt>
                <c:pt idx="94">
                  <c:v>0.65335102544404866</c:v>
                </c:pt>
                <c:pt idx="95">
                  <c:v>0.66524664199082806</c:v>
                </c:pt>
                <c:pt idx="96">
                  <c:v>0.67711897944456079</c:v>
                </c:pt>
                <c:pt idx="97">
                  <c:v>0.68899131689829363</c:v>
                </c:pt>
                <c:pt idx="98">
                  <c:v>0.70086365435202636</c:v>
                </c:pt>
                <c:pt idx="99">
                  <c:v>0.71275927089880575</c:v>
                </c:pt>
                <c:pt idx="100">
                  <c:v>0.72463160835253859</c:v>
                </c:pt>
                <c:pt idx="101">
                  <c:v>0.73254649998836041</c:v>
                </c:pt>
                <c:pt idx="102">
                  <c:v>0.74839956235305072</c:v>
                </c:pt>
                <c:pt idx="103">
                  <c:v>0.76027189980678345</c:v>
                </c:pt>
                <c:pt idx="104">
                  <c:v>0.7761016830784272</c:v>
                </c:pt>
                <c:pt idx="105">
                  <c:v>0.78799729962520659</c:v>
                </c:pt>
                <c:pt idx="106">
                  <c:v>0.79986963707893932</c:v>
                </c:pt>
                <c:pt idx="107">
                  <c:v>0.81569942035058307</c:v>
                </c:pt>
                <c:pt idx="108">
                  <c:v>0.83155248271527327</c:v>
                </c:pt>
                <c:pt idx="109">
                  <c:v>0.84342482016900622</c:v>
                </c:pt>
                <c:pt idx="110">
                  <c:v>0.85529715762273895</c:v>
                </c:pt>
                <c:pt idx="111">
                  <c:v>0.87115021998742925</c:v>
                </c:pt>
                <c:pt idx="112">
                  <c:v>0.88302255744116209</c:v>
                </c:pt>
                <c:pt idx="113">
                  <c:v>0.89489489489489482</c:v>
                </c:pt>
                <c:pt idx="114">
                  <c:v>0.90679051144167422</c:v>
                </c:pt>
                <c:pt idx="115">
                  <c:v>0.91866284889540706</c:v>
                </c:pt>
                <c:pt idx="116">
                  <c:v>0.9344926321670507</c:v>
                </c:pt>
                <c:pt idx="117">
                  <c:v>0.94243080289591918</c:v>
                </c:pt>
                <c:pt idx="118">
                  <c:v>0.95430314034965191</c:v>
                </c:pt>
                <c:pt idx="119">
                  <c:v>0.97013292362129555</c:v>
                </c:pt>
                <c:pt idx="120">
                  <c:v>0.98202854016807506</c:v>
                </c:pt>
                <c:pt idx="121">
                  <c:v>0.9939008776218079</c:v>
                </c:pt>
                <c:pt idx="122">
                  <c:v>1.0057732150755405</c:v>
                </c:pt>
                <c:pt idx="123">
                  <c:v>1.0216029983471844</c:v>
                </c:pt>
                <c:pt idx="124">
                  <c:v>1.0374560607118746</c:v>
                </c:pt>
                <c:pt idx="125">
                  <c:v>1.0493283981656074</c:v>
                </c:pt>
                <c:pt idx="126">
                  <c:v>1.0651814605302976</c:v>
                </c:pt>
                <c:pt idx="127">
                  <c:v>1.0810112438019415</c:v>
                </c:pt>
                <c:pt idx="128">
                  <c:v>1.1007984728914961</c:v>
                </c:pt>
                <c:pt idx="129">
                  <c:v>1.1166515352561865</c:v>
                </c:pt>
                <c:pt idx="130">
                  <c:v>1.13248131852783</c:v>
                </c:pt>
                <c:pt idx="131">
                  <c:v>1.1483343808925204</c:v>
                </c:pt>
                <c:pt idx="132">
                  <c:v>1.164164164164164</c:v>
                </c:pt>
                <c:pt idx="133">
                  <c:v>1.1799939474358079</c:v>
                </c:pt>
                <c:pt idx="134">
                  <c:v>1.1958470098004981</c:v>
                </c:pt>
                <c:pt idx="135">
                  <c:v>1.2116767930721417</c:v>
                </c:pt>
                <c:pt idx="136">
                  <c:v>1.2275298554368321</c:v>
                </c:pt>
                <c:pt idx="137">
                  <c:v>1.243359638708476</c:v>
                </c:pt>
                <c:pt idx="138">
                  <c:v>1.2591894219801196</c:v>
                </c:pt>
                <c:pt idx="139">
                  <c:v>1.2750424843448098</c:v>
                </c:pt>
                <c:pt idx="140">
                  <c:v>1.2908722676164537</c:v>
                </c:pt>
                <c:pt idx="141">
                  <c:v>1.3067253299811439</c:v>
                </c:pt>
                <c:pt idx="142">
                  <c:v>1.3225551132527875</c:v>
                </c:pt>
                <c:pt idx="143">
                  <c:v>1.3383848965244314</c:v>
                </c:pt>
                <c:pt idx="144">
                  <c:v>1.3542379588891216</c:v>
                </c:pt>
                <c:pt idx="145">
                  <c:v>1.3700677421607652</c:v>
                </c:pt>
                <c:pt idx="146">
                  <c:v>1.3859208045254554</c:v>
                </c:pt>
                <c:pt idx="147">
                  <c:v>1.4017505877970995</c:v>
                </c:pt>
                <c:pt idx="148">
                  <c:v>1.4175803710687431</c:v>
                </c:pt>
                <c:pt idx="149">
                  <c:v>1.4334334334334333</c:v>
                </c:pt>
                <c:pt idx="150">
                  <c:v>1.4492632167050772</c:v>
                </c:pt>
                <c:pt idx="151">
                  <c:v>1.4651162790697674</c:v>
                </c:pt>
                <c:pt idx="152">
                  <c:v>1.4809460623414112</c:v>
                </c:pt>
                <c:pt idx="153">
                  <c:v>1.4967758456130547</c:v>
                </c:pt>
                <c:pt idx="154">
                  <c:v>1.5126289079777449</c:v>
                </c:pt>
                <c:pt idx="155">
                  <c:v>1.5284586912493889</c:v>
                </c:pt>
                <c:pt idx="156">
                  <c:v>1.5443117536140789</c:v>
                </c:pt>
                <c:pt idx="157">
                  <c:v>1.560141536885723</c:v>
                </c:pt>
                <c:pt idx="158">
                  <c:v>1.5759713201573666</c:v>
                </c:pt>
                <c:pt idx="159">
                  <c:v>1.5918243825220568</c:v>
                </c:pt>
                <c:pt idx="160">
                  <c:v>1.6076541657937007</c:v>
                </c:pt>
                <c:pt idx="161">
                  <c:v>1.6235072281583909</c:v>
                </c:pt>
                <c:pt idx="162">
                  <c:v>1.6393370114300347</c:v>
                </c:pt>
                <c:pt idx="163">
                  <c:v>1.6551667947016782</c:v>
                </c:pt>
                <c:pt idx="164">
                  <c:v>1.6710198570663684</c:v>
                </c:pt>
                <c:pt idx="165">
                  <c:v>1.6868496403380124</c:v>
                </c:pt>
                <c:pt idx="166">
                  <c:v>1.7026794236096561</c:v>
                </c:pt>
                <c:pt idx="167">
                  <c:v>1.7185324859743463</c:v>
                </c:pt>
                <c:pt idx="168">
                  <c:v>1.7343622692459901</c:v>
                </c:pt>
                <c:pt idx="169">
                  <c:v>1.7502153316106803</c:v>
                </c:pt>
                <c:pt idx="170">
                  <c:v>1.7660451148823242</c:v>
                </c:pt>
                <c:pt idx="171">
                  <c:v>1.7818748981539676</c:v>
                </c:pt>
                <c:pt idx="172">
                  <c:v>1.797727960518658</c:v>
                </c:pt>
                <c:pt idx="173">
                  <c:v>1.8135577437903019</c:v>
                </c:pt>
                <c:pt idx="174">
                  <c:v>1.8294108061549921</c:v>
                </c:pt>
                <c:pt idx="175">
                  <c:v>1.8452405894266359</c:v>
                </c:pt>
                <c:pt idx="176">
                  <c:v>1.8610703726982796</c:v>
                </c:pt>
                <c:pt idx="177">
                  <c:v>1.8769234350629698</c:v>
                </c:pt>
                <c:pt idx="178">
                  <c:v>1.8927532183346136</c:v>
                </c:pt>
                <c:pt idx="179">
                  <c:v>1.9086062806993038</c:v>
                </c:pt>
                <c:pt idx="180">
                  <c:v>1.9244360639709477</c:v>
                </c:pt>
                <c:pt idx="181">
                  <c:v>1.9402658472425911</c:v>
                </c:pt>
                <c:pt idx="182">
                  <c:v>1.9561189096072815</c:v>
                </c:pt>
                <c:pt idx="183">
                  <c:v>1.9719486928789254</c:v>
                </c:pt>
                <c:pt idx="184">
                  <c:v>1.9878017552436158</c:v>
                </c:pt>
                <c:pt idx="185">
                  <c:v>2.0036315385152594</c:v>
                </c:pt>
                <c:pt idx="186">
                  <c:v>2.0194613217869031</c:v>
                </c:pt>
                <c:pt idx="187">
                  <c:v>2.0353143841515933</c:v>
                </c:pt>
                <c:pt idx="188">
                  <c:v>2.0511441674232369</c:v>
                </c:pt>
                <c:pt idx="189">
                  <c:v>2.0669972297879275</c:v>
                </c:pt>
                <c:pt idx="190">
                  <c:v>2.0828270130595707</c:v>
                </c:pt>
                <c:pt idx="191">
                  <c:v>2.0986567963312148</c:v>
                </c:pt>
                <c:pt idx="192">
                  <c:v>2.114509858695905</c:v>
                </c:pt>
                <c:pt idx="193">
                  <c:v>2.1342970877854599</c:v>
                </c:pt>
                <c:pt idx="194">
                  <c:v>2.1501501501501501</c:v>
                </c:pt>
                <c:pt idx="195">
                  <c:v>2.1659799334217937</c:v>
                </c:pt>
                <c:pt idx="196">
                  <c:v>2.1818097166934378</c:v>
                </c:pt>
                <c:pt idx="197">
                  <c:v>2.1976627790581276</c:v>
                </c:pt>
                <c:pt idx="198">
                  <c:v>2.2134925623297717</c:v>
                </c:pt>
                <c:pt idx="199">
                  <c:v>2.2293456246944618</c:v>
                </c:pt>
                <c:pt idx="200">
                  <c:v>2.2451754079661055</c:v>
                </c:pt>
                <c:pt idx="201">
                  <c:v>2.2610051912377496</c:v>
                </c:pt>
                <c:pt idx="202">
                  <c:v>2.2768582536024393</c:v>
                </c:pt>
                <c:pt idx="203">
                  <c:v>2.2926880368740834</c:v>
                </c:pt>
                <c:pt idx="204">
                  <c:v>2.3085410992387736</c:v>
                </c:pt>
                <c:pt idx="205">
                  <c:v>2.3243708825104172</c:v>
                </c:pt>
                <c:pt idx="206">
                  <c:v>2.3402472239681544</c:v>
                </c:pt>
                <c:pt idx="207">
                  <c:v>2.3560770072397976</c:v>
                </c:pt>
                <c:pt idx="208">
                  <c:v>2.3719067905114413</c:v>
                </c:pt>
                <c:pt idx="209">
                  <c:v>2.3877365737830853</c:v>
                </c:pt>
                <c:pt idx="210">
                  <c:v>2.403566357054729</c:v>
                </c:pt>
                <c:pt idx="211">
                  <c:v>2.4233535861442834</c:v>
                </c:pt>
                <c:pt idx="212">
                  <c:v>2.4431408152338383</c:v>
                </c:pt>
                <c:pt idx="213">
                  <c:v>2.4589705985054819</c:v>
                </c:pt>
                <c:pt idx="214">
                  <c:v>2.474800381777126</c:v>
                </c:pt>
                <c:pt idx="215">
                  <c:v>2.4906301650487697</c:v>
                </c:pt>
                <c:pt idx="216">
                  <c:v>2.5064599483204133</c:v>
                </c:pt>
                <c:pt idx="217">
                  <c:v>2.5222897315920569</c:v>
                </c:pt>
                <c:pt idx="218">
                  <c:v>2.5381195148637006</c:v>
                </c:pt>
                <c:pt idx="219">
                  <c:v>2.5539492981353442</c:v>
                </c:pt>
                <c:pt idx="220">
                  <c:v>2.5697790814069883</c:v>
                </c:pt>
                <c:pt idx="221">
                  <c:v>2.5856088646786319</c:v>
                </c:pt>
                <c:pt idx="222">
                  <c:v>2.601438647950276</c:v>
                </c:pt>
                <c:pt idx="223">
                  <c:v>2.6214586679702956</c:v>
                </c:pt>
                <c:pt idx="224">
                  <c:v>2.6372884512419397</c:v>
                </c:pt>
                <c:pt idx="225">
                  <c:v>2.6531182345135833</c:v>
                </c:pt>
                <c:pt idx="226">
                  <c:v>2.6729054636031377</c:v>
                </c:pt>
                <c:pt idx="227">
                  <c:v>2.6887352468747818</c:v>
                </c:pt>
                <c:pt idx="228">
                  <c:v>2.7045650301464255</c:v>
                </c:pt>
                <c:pt idx="229">
                  <c:v>2.7243522592359799</c:v>
                </c:pt>
                <c:pt idx="230">
                  <c:v>2.740182042507624</c:v>
                </c:pt>
                <c:pt idx="231">
                  <c:v>2.7560118257792676</c:v>
                </c:pt>
                <c:pt idx="232">
                  <c:v>2.7718416090509108</c:v>
                </c:pt>
                <c:pt idx="233">
                  <c:v>2.7916288381404657</c:v>
                </c:pt>
                <c:pt idx="234">
                  <c:v>2.8074586214121098</c:v>
                </c:pt>
                <c:pt idx="235">
                  <c:v>2.8272458505016647</c:v>
                </c:pt>
                <c:pt idx="236">
                  <c:v>2.8430756337733079</c:v>
                </c:pt>
                <c:pt idx="237">
                  <c:v>2.8628628628628627</c:v>
                </c:pt>
                <c:pt idx="238">
                  <c:v>2.8786926461345064</c:v>
                </c:pt>
                <c:pt idx="239">
                  <c:v>2.8984798752240613</c:v>
                </c:pt>
                <c:pt idx="240">
                  <c:v>2.9143096584957044</c:v>
                </c:pt>
                <c:pt idx="241">
                  <c:v>2.9340968875852593</c:v>
                </c:pt>
                <c:pt idx="242">
                  <c:v>2.9499266708569034</c:v>
                </c:pt>
                <c:pt idx="243">
                  <c:v>2.965756454128547</c:v>
                </c:pt>
                <c:pt idx="244">
                  <c:v>2.9815862374001907</c:v>
                </c:pt>
                <c:pt idx="245">
                  <c:v>2.9974160206718343</c:v>
                </c:pt>
                <c:pt idx="246">
                  <c:v>3.0134785948739435</c:v>
                </c:pt>
                <c:pt idx="247">
                  <c:v>3.0332658239634989</c:v>
                </c:pt>
                <c:pt idx="248">
                  <c:v>3.0490956072351416</c:v>
                </c:pt>
                <c:pt idx="249">
                  <c:v>3.0728402821426073</c:v>
                </c:pt>
                <c:pt idx="250">
                  <c:v>3.0965849570500734</c:v>
                </c:pt>
                <c:pt idx="251">
                  <c:v>3.1203296319575382</c:v>
                </c:pt>
                <c:pt idx="252">
                  <c:v>3.1440743068650043</c:v>
                </c:pt>
                <c:pt idx="253">
                  <c:v>3.1678189817724705</c:v>
                </c:pt>
                <c:pt idx="254">
                  <c:v>3.1915636566799352</c:v>
                </c:pt>
                <c:pt idx="255">
                  <c:v>3.2153083315874014</c:v>
                </c:pt>
                <c:pt idx="256">
                  <c:v>3.2430104523127778</c:v>
                </c:pt>
                <c:pt idx="257">
                  <c:v>3.2667551272202435</c:v>
                </c:pt>
                <c:pt idx="258">
                  <c:v>3.29445724794562</c:v>
                </c:pt>
                <c:pt idx="259">
                  <c:v>3.3221593686709969</c:v>
                </c:pt>
                <c:pt idx="260">
                  <c:v>3.3459040435784617</c:v>
                </c:pt>
                <c:pt idx="261">
                  <c:v>3.3736061643038382</c:v>
                </c:pt>
                <c:pt idx="262">
                  <c:v>3.4013082850292151</c:v>
                </c:pt>
                <c:pt idx="263">
                  <c:v>3.4292431966850572</c:v>
                </c:pt>
                <c:pt idx="264">
                  <c:v>3.4569453174104336</c:v>
                </c:pt>
                <c:pt idx="265">
                  <c:v>3.4846474381358101</c:v>
                </c:pt>
                <c:pt idx="266">
                  <c:v>3.5123495588611862</c:v>
                </c:pt>
                <c:pt idx="267">
                  <c:v>3.5400516795865626</c:v>
                </c:pt>
                <c:pt idx="268">
                  <c:v>3.5677538003119391</c:v>
                </c:pt>
                <c:pt idx="269">
                  <c:v>3.5914984752194052</c:v>
                </c:pt>
                <c:pt idx="270">
                  <c:v>3.6152431501268714</c:v>
                </c:pt>
                <c:pt idx="271">
                  <c:v>3.6429452708522478</c:v>
                </c:pt>
                <c:pt idx="272">
                  <c:v>3.6666899457597126</c:v>
                </c:pt>
                <c:pt idx="273">
                  <c:v>3.6904346206671788</c:v>
                </c:pt>
                <c:pt idx="274">
                  <c:v>3.7220941872104656</c:v>
                </c:pt>
                <c:pt idx="275">
                  <c:v>3.7458388621179317</c:v>
                </c:pt>
                <c:pt idx="276">
                  <c:v>3.7735409828433082</c:v>
                </c:pt>
                <c:pt idx="277">
                  <c:v>3.7972856577507739</c:v>
                </c:pt>
                <c:pt idx="278">
                  <c:v>3.8212631235887051</c:v>
                </c:pt>
                <c:pt idx="279">
                  <c:v>3.8450077984961699</c:v>
                </c:pt>
                <c:pt idx="280">
                  <c:v>3.868752473403636</c:v>
                </c:pt>
                <c:pt idx="281">
                  <c:v>3.8964545941290125</c:v>
                </c:pt>
                <c:pt idx="282">
                  <c:v>3.924156714854389</c:v>
                </c:pt>
                <c:pt idx="283">
                  <c:v>3.9479013897618547</c:v>
                </c:pt>
                <c:pt idx="284">
                  <c:v>3.9756035104872316</c:v>
                </c:pt>
                <c:pt idx="285">
                  <c:v>3.9993481853946968</c:v>
                </c:pt>
                <c:pt idx="286">
                  <c:v>4.0230928603021621</c:v>
                </c:pt>
                <c:pt idx="287">
                  <c:v>4.0468375352096286</c:v>
                </c:pt>
                <c:pt idx="288">
                  <c:v>4.0745396559350047</c:v>
                </c:pt>
                <c:pt idx="289">
                  <c:v>4.1061992224782911</c:v>
                </c:pt>
                <c:pt idx="290">
                  <c:v>4.1378587890215792</c:v>
                </c:pt>
                <c:pt idx="291">
                  <c:v>4.1734758013827777</c:v>
                </c:pt>
                <c:pt idx="292">
                  <c:v>4.205135367926065</c:v>
                </c:pt>
                <c:pt idx="293">
                  <c:v>4.2409851712177291</c:v>
                </c:pt>
                <c:pt idx="294">
                  <c:v>4.2766021835789276</c:v>
                </c:pt>
                <c:pt idx="295">
                  <c:v>4.3122191959401261</c:v>
                </c:pt>
                <c:pt idx="296">
                  <c:v>4.3438787624834134</c:v>
                </c:pt>
                <c:pt idx="297">
                  <c:v>4.3794957748446119</c:v>
                </c:pt>
                <c:pt idx="298">
                  <c:v>4.4151127872058096</c:v>
                </c:pt>
                <c:pt idx="299">
                  <c:v>4.4507297995670081</c:v>
                </c:pt>
                <c:pt idx="300">
                  <c:v>4.4903042577461179</c:v>
                </c:pt>
                <c:pt idx="301">
                  <c:v>4.5259212701073155</c:v>
                </c:pt>
                <c:pt idx="302">
                  <c:v>4.5615382824685149</c:v>
                </c:pt>
                <c:pt idx="303">
                  <c:v>4.5971552948297134</c:v>
                </c:pt>
                <c:pt idx="304">
                  <c:v>4.6330050981213775</c:v>
                </c:pt>
                <c:pt idx="305">
                  <c:v>4.6686221104825751</c:v>
                </c:pt>
                <c:pt idx="306">
                  <c:v>4.7002816770258633</c:v>
                </c:pt>
                <c:pt idx="307">
                  <c:v>4.7358986893870618</c:v>
                </c:pt>
                <c:pt idx="308">
                  <c:v>4.7675582559303491</c:v>
                </c:pt>
                <c:pt idx="309">
                  <c:v>4.8031752682915467</c:v>
                </c:pt>
                <c:pt idx="310">
                  <c:v>4.8427497264706565</c:v>
                </c:pt>
                <c:pt idx="311">
                  <c:v>4.8823241846497654</c:v>
                </c:pt>
                <c:pt idx="312">
                  <c:v>4.9218986428288751</c:v>
                </c:pt>
                <c:pt idx="313">
                  <c:v>4.9575156551900736</c:v>
                </c:pt>
                <c:pt idx="314">
                  <c:v>4.9891752217333609</c:v>
                </c:pt>
                <c:pt idx="315">
                  <c:v>5.0210675792071138</c:v>
                </c:pt>
                <c:pt idx="316">
                  <c:v>5.0606420373862226</c:v>
                </c:pt>
                <c:pt idx="317">
                  <c:v>5.0923016039295099</c:v>
                </c:pt>
                <c:pt idx="318">
                  <c:v>5.1318760621086197</c:v>
                </c:pt>
                <c:pt idx="319">
                  <c:v>5.1714505202877294</c:v>
                </c:pt>
                <c:pt idx="320">
                  <c:v>5.2110249784668383</c:v>
                </c:pt>
                <c:pt idx="321">
                  <c:v>5.2545568824638584</c:v>
                </c:pt>
                <c:pt idx="322">
                  <c:v>5.2941313406429682</c:v>
                </c:pt>
                <c:pt idx="323">
                  <c:v>5.3376632446399883</c:v>
                </c:pt>
                <c:pt idx="324">
                  <c:v>5.3772377028190981</c:v>
                </c:pt>
                <c:pt idx="325">
                  <c:v>5.4210023977465838</c:v>
                </c:pt>
                <c:pt idx="326">
                  <c:v>5.4605768559256926</c:v>
                </c:pt>
                <c:pt idx="327">
                  <c:v>5.5041087599227128</c:v>
                </c:pt>
                <c:pt idx="328">
                  <c:v>5.5476406639197338</c:v>
                </c:pt>
                <c:pt idx="329">
                  <c:v>5.5911725679167539</c:v>
                </c:pt>
                <c:pt idx="330">
                  <c:v>5.6347044719137749</c:v>
                </c:pt>
                <c:pt idx="331">
                  <c:v>5.6782363759107941</c:v>
                </c:pt>
                <c:pt idx="332">
                  <c:v>5.7178108340899039</c:v>
                </c:pt>
                <c:pt idx="333">
                  <c:v>5.761342738086924</c:v>
                </c:pt>
                <c:pt idx="334">
                  <c:v>5.804874642083945</c:v>
                </c:pt>
                <c:pt idx="335">
                  <c:v>5.8486393370114298</c:v>
                </c:pt>
                <c:pt idx="336">
                  <c:v>5.8921712410084499</c:v>
                </c:pt>
                <c:pt idx="337">
                  <c:v>5.9396605908233813</c:v>
                </c:pt>
                <c:pt idx="338">
                  <c:v>5.9831924948204014</c:v>
                </c:pt>
                <c:pt idx="339">
                  <c:v>6.0306818446353327</c:v>
                </c:pt>
                <c:pt idx="340">
                  <c:v>6.0742137486323529</c:v>
                </c:pt>
                <c:pt idx="341">
                  <c:v>6.1177456526293739</c:v>
                </c:pt>
                <c:pt idx="342">
                  <c:v>6.1652350024443034</c:v>
                </c:pt>
                <c:pt idx="343">
                  <c:v>6.2129571431897004</c:v>
                </c:pt>
                <c:pt idx="344">
                  <c:v>6.2683613846404533</c:v>
                </c:pt>
                <c:pt idx="345">
                  <c:v>6.3158507344553856</c:v>
                </c:pt>
                <c:pt idx="346">
                  <c:v>6.3633400842703169</c:v>
                </c:pt>
                <c:pt idx="347">
                  <c:v>6.4108294340852474</c:v>
                </c:pt>
                <c:pt idx="348">
                  <c:v>6.4583187839001788</c:v>
                </c:pt>
                <c:pt idx="349">
                  <c:v>6.5137230253509317</c:v>
                </c:pt>
                <c:pt idx="350">
                  <c:v>6.561212375165864</c:v>
                </c:pt>
                <c:pt idx="351">
                  <c:v>6.6087017249807936</c:v>
                </c:pt>
                <c:pt idx="352">
                  <c:v>6.6564238657261905</c:v>
                </c:pt>
                <c:pt idx="353">
                  <c:v>6.7157855529948547</c:v>
                </c:pt>
                <c:pt idx="354">
                  <c:v>6.7711897944456076</c:v>
                </c:pt>
                <c:pt idx="355">
                  <c:v>6.8186791442605399</c:v>
                </c:pt>
                <c:pt idx="356">
                  <c:v>6.8661684940754704</c:v>
                </c:pt>
                <c:pt idx="357">
                  <c:v>6.9136578438904017</c:v>
                </c:pt>
                <c:pt idx="358">
                  <c:v>6.9611471937053322</c:v>
                </c:pt>
                <c:pt idx="359">
                  <c:v>7.0086365435202644</c:v>
                </c:pt>
                <c:pt idx="360">
                  <c:v>7.0563586842656614</c:v>
                </c:pt>
                <c:pt idx="361">
                  <c:v>7.1038480340805918</c:v>
                </c:pt>
                <c:pt idx="362">
                  <c:v>7.1632097213492552</c:v>
                </c:pt>
                <c:pt idx="363">
                  <c:v>7.2265288544358315</c:v>
                </c:pt>
                <c:pt idx="364">
                  <c:v>7.2858905417044957</c:v>
                </c:pt>
                <c:pt idx="365">
                  <c:v>7.345252228973159</c:v>
                </c:pt>
                <c:pt idx="366">
                  <c:v>7.4046139162418232</c:v>
                </c:pt>
                <c:pt idx="367">
                  <c:v>7.4642083944409521</c:v>
                </c:pt>
                <c:pt idx="368">
                  <c:v>7.5235700817096163</c:v>
                </c:pt>
                <c:pt idx="369">
                  <c:v>7.5829317689782796</c:v>
                </c:pt>
                <c:pt idx="370">
                  <c:v>7.6422934562469447</c:v>
                </c:pt>
                <c:pt idx="371">
                  <c:v>7.7016551435156071</c:v>
                </c:pt>
                <c:pt idx="372">
                  <c:v>7.7610168307842713</c:v>
                </c:pt>
                <c:pt idx="373">
                  <c:v>7.8206113089834011</c:v>
                </c:pt>
                <c:pt idx="374">
                  <c:v>7.8839304420699765</c:v>
                </c:pt>
                <c:pt idx="375">
                  <c:v>7.9472495751565511</c:v>
                </c:pt>
                <c:pt idx="376">
                  <c:v>8.0105687082431274</c:v>
                </c:pt>
                <c:pt idx="377">
                  <c:v>8.0699303955117916</c:v>
                </c:pt>
                <c:pt idx="378">
                  <c:v>8.129292082780454</c:v>
                </c:pt>
                <c:pt idx="379">
                  <c:v>8.1926112158670303</c:v>
                </c:pt>
                <c:pt idx="380">
                  <c:v>8.2601205857019799</c:v>
                </c:pt>
                <c:pt idx="381">
                  <c:v>8.331354610424377</c:v>
                </c:pt>
                <c:pt idx="382">
                  <c:v>8.3946737435109515</c:v>
                </c:pt>
                <c:pt idx="383">
                  <c:v>8.4579928765975279</c:v>
                </c:pt>
                <c:pt idx="384">
                  <c:v>8.5213120096841024</c:v>
                </c:pt>
                <c:pt idx="385">
                  <c:v>8.5846311427706752</c:v>
                </c:pt>
                <c:pt idx="386">
                  <c:v>8.648183066787718</c:v>
                </c:pt>
                <c:pt idx="387">
                  <c:v>8.7115021998742925</c:v>
                </c:pt>
                <c:pt idx="388">
                  <c:v>8.7787787787787792</c:v>
                </c:pt>
                <c:pt idx="389">
                  <c:v>8.8420979118653538</c:v>
                </c:pt>
                <c:pt idx="390">
                  <c:v>8.9054170449519283</c:v>
                </c:pt>
                <c:pt idx="391">
                  <c:v>8.9687361780385029</c:v>
                </c:pt>
                <c:pt idx="392">
                  <c:v>9.0322881020555439</c:v>
                </c:pt>
                <c:pt idx="393">
                  <c:v>9.0956072351421184</c:v>
                </c:pt>
                <c:pt idx="394">
                  <c:v>9.158926368228693</c:v>
                </c:pt>
                <c:pt idx="395">
                  <c:v>9.2341178387690022</c:v>
                </c:pt>
                <c:pt idx="396">
                  <c:v>9.3093093093093078</c:v>
                </c:pt>
                <c:pt idx="397">
                  <c:v>9.3845007798496169</c:v>
                </c:pt>
                <c:pt idx="398">
                  <c:v>9.4638824871383012</c:v>
                </c:pt>
                <c:pt idx="399">
                  <c:v>9.5390739576786086</c:v>
                </c:pt>
                <c:pt idx="400">
                  <c:v>9.6182228740368281</c:v>
                </c:pt>
                <c:pt idx="401">
                  <c:v>9.6934143445771337</c:v>
                </c:pt>
                <c:pt idx="402">
                  <c:v>9.7725632609353532</c:v>
                </c:pt>
                <c:pt idx="403">
                  <c:v>9.8479875224061271</c:v>
                </c:pt>
                <c:pt idx="404">
                  <c:v>9.9231789929464345</c:v>
                </c:pt>
                <c:pt idx="405">
                  <c:v>10.002327909304654</c:v>
                </c:pt>
                <c:pt idx="406">
                  <c:v>10.081476825662872</c:v>
                </c:pt>
                <c:pt idx="407">
                  <c:v>10.156668296203179</c:v>
                </c:pt>
                <c:pt idx="408">
                  <c:v>10.240007449309774</c:v>
                </c:pt>
                <c:pt idx="409">
                  <c:v>10.323113811485904</c:v>
                </c:pt>
                <c:pt idx="410">
                  <c:v>10.402262727844123</c:v>
                </c:pt>
                <c:pt idx="411">
                  <c:v>10.485369090020253</c:v>
                </c:pt>
                <c:pt idx="412">
                  <c:v>10.568475452196383</c:v>
                </c:pt>
                <c:pt idx="413">
                  <c:v>10.651814605302976</c:v>
                </c:pt>
                <c:pt idx="414">
                  <c:v>10.734920967479106</c:v>
                </c:pt>
                <c:pt idx="415">
                  <c:v>10.818027329655235</c:v>
                </c:pt>
                <c:pt idx="416">
                  <c:v>10.901133691831365</c:v>
                </c:pt>
                <c:pt idx="417">
                  <c:v>10.984240054007497</c:v>
                </c:pt>
                <c:pt idx="418">
                  <c:v>11.063621761296179</c:v>
                </c:pt>
                <c:pt idx="419">
                  <c:v>11.146728123472309</c:v>
                </c:pt>
                <c:pt idx="420">
                  <c:v>11.229834485648439</c:v>
                </c:pt>
                <c:pt idx="421">
                  <c:v>11.328770631096212</c:v>
                </c:pt>
                <c:pt idx="422">
                  <c:v>11.427939567474452</c:v>
                </c:pt>
                <c:pt idx="423">
                  <c:v>11.526875712922225</c:v>
                </c:pt>
                <c:pt idx="424">
                  <c:v>11.625811858369998</c:v>
                </c:pt>
                <c:pt idx="425">
                  <c:v>11.720790557999861</c:v>
                </c:pt>
                <c:pt idx="426">
                  <c:v>11.807854365993901</c:v>
                </c:pt>
                <c:pt idx="427">
                  <c:v>11.903065856554226</c:v>
                </c:pt>
                <c:pt idx="428">
                  <c:v>12.002002002002003</c:v>
                </c:pt>
                <c:pt idx="429">
                  <c:v>12.100938147449776</c:v>
                </c:pt>
                <c:pt idx="430">
                  <c:v>12.195916847079637</c:v>
                </c:pt>
                <c:pt idx="431">
                  <c:v>12.295085783457875</c:v>
                </c:pt>
                <c:pt idx="432">
                  <c:v>12.39402192890565</c:v>
                </c:pt>
                <c:pt idx="433">
                  <c:v>12.492958074353421</c:v>
                </c:pt>
                <c:pt idx="434">
                  <c:v>12.591894219801196</c:v>
                </c:pt>
                <c:pt idx="435">
                  <c:v>12.691063156179434</c:v>
                </c:pt>
                <c:pt idx="436">
                  <c:v>12.786041855809298</c:v>
                </c:pt>
                <c:pt idx="437">
                  <c:v>12.884978001257071</c:v>
                </c:pt>
                <c:pt idx="438">
                  <c:v>12.983914146704842</c:v>
                </c:pt>
                <c:pt idx="439">
                  <c:v>13.083083083083082</c:v>
                </c:pt>
                <c:pt idx="440">
                  <c:v>13.182019228530855</c:v>
                </c:pt>
                <c:pt idx="441">
                  <c:v>13.284912819796538</c:v>
                </c:pt>
                <c:pt idx="442">
                  <c:v>13.399678748515958</c:v>
                </c:pt>
                <c:pt idx="443">
                  <c:v>13.514677468165839</c:v>
                </c:pt>
                <c:pt idx="444">
                  <c:v>13.617571059431524</c:v>
                </c:pt>
                <c:pt idx="445">
                  <c:v>13.732336988150941</c:v>
                </c:pt>
                <c:pt idx="446">
                  <c:v>13.835463370347092</c:v>
                </c:pt>
                <c:pt idx="447">
                  <c:v>13.938356961612774</c:v>
                </c:pt>
                <c:pt idx="448">
                  <c:v>14.041250552878457</c:v>
                </c:pt>
                <c:pt idx="449">
                  <c:v>14.144144144144144</c:v>
                </c:pt>
                <c:pt idx="450">
                  <c:v>14.247270526340293</c:v>
                </c:pt>
                <c:pt idx="451">
                  <c:v>14.365993900877621</c:v>
                </c:pt>
                <c:pt idx="452">
                  <c:v>14.484717275414949</c:v>
                </c:pt>
                <c:pt idx="453">
                  <c:v>14.603440649952278</c:v>
                </c:pt>
                <c:pt idx="454">
                  <c:v>14.722396815420069</c:v>
                </c:pt>
                <c:pt idx="455">
                  <c:v>14.841120189957397</c:v>
                </c:pt>
                <c:pt idx="456">
                  <c:v>14.959843564494728</c:v>
                </c:pt>
                <c:pt idx="457">
                  <c:v>15.082757175780431</c:v>
                </c:pt>
                <c:pt idx="458">
                  <c:v>15.205437996135668</c:v>
                </c:pt>
                <c:pt idx="459">
                  <c:v>15.328118816490909</c:v>
                </c:pt>
                <c:pt idx="460">
                  <c:v>15.451032427776614</c:v>
                </c:pt>
                <c:pt idx="461">
                  <c:v>15.577670693949763</c:v>
                </c:pt>
                <c:pt idx="462">
                  <c:v>15.700351514305003</c:v>
                </c:pt>
                <c:pt idx="463">
                  <c:v>15.826989780478151</c:v>
                </c:pt>
                <c:pt idx="464">
                  <c:v>15.953860837581768</c:v>
                </c:pt>
                <c:pt idx="465">
                  <c:v>16.076541657937007</c:v>
                </c:pt>
                <c:pt idx="466">
                  <c:v>16.207137369928066</c:v>
                </c:pt>
                <c:pt idx="467">
                  <c:v>16.33400842703168</c:v>
                </c:pt>
                <c:pt idx="468">
                  <c:v>16.460646693204833</c:v>
                </c:pt>
                <c:pt idx="469">
                  <c:v>16.591242405195892</c:v>
                </c:pt>
                <c:pt idx="470">
                  <c:v>16.718113462299506</c:v>
                </c:pt>
                <c:pt idx="471">
                  <c:v>16.848709174290569</c:v>
                </c:pt>
                <c:pt idx="472">
                  <c:v>16.975347440463718</c:v>
                </c:pt>
                <c:pt idx="473">
                  <c:v>17.102218497567332</c:v>
                </c:pt>
                <c:pt idx="474">
                  <c:v>17.228856763740485</c:v>
                </c:pt>
                <c:pt idx="475">
                  <c:v>17.355495029913634</c:v>
                </c:pt>
                <c:pt idx="476">
                  <c:v>17.502153316106803</c:v>
                </c:pt>
                <c:pt idx="477">
                  <c:v>17.644621365551597</c:v>
                </c:pt>
                <c:pt idx="478">
                  <c:v>17.787089414996395</c:v>
                </c:pt>
                <c:pt idx="479">
                  <c:v>17.92979025537165</c:v>
                </c:pt>
                <c:pt idx="480">
                  <c:v>18.068300858998533</c:v>
                </c:pt>
                <c:pt idx="481">
                  <c:v>18.202854016807503</c:v>
                </c:pt>
                <c:pt idx="482">
                  <c:v>18.341597411364852</c:v>
                </c:pt>
                <c:pt idx="483">
                  <c:v>18.484065460809646</c:v>
                </c:pt>
                <c:pt idx="484">
                  <c:v>18.62653351025444</c:v>
                </c:pt>
                <c:pt idx="485">
                  <c:v>18.769234350629699</c:v>
                </c:pt>
                <c:pt idx="486">
                  <c:v>18.915659845892403</c:v>
                </c:pt>
                <c:pt idx="487">
                  <c:v>19.070233023721396</c:v>
                </c:pt>
                <c:pt idx="488">
                  <c:v>19.212701073166187</c:v>
                </c:pt>
                <c:pt idx="489">
                  <c:v>19.359126568428891</c:v>
                </c:pt>
                <c:pt idx="490">
                  <c:v>19.517657192075795</c:v>
                </c:pt>
                <c:pt idx="491">
                  <c:v>19.675955024792234</c:v>
                </c:pt>
                <c:pt idx="492">
                  <c:v>19.838443094257048</c:v>
                </c:pt>
                <c:pt idx="493">
                  <c:v>19.996740926973484</c:v>
                </c:pt>
                <c:pt idx="494">
                  <c:v>20.158996205507833</c:v>
                </c:pt>
                <c:pt idx="495">
                  <c:v>20.309611937518913</c:v>
                </c:pt>
                <c:pt idx="496">
                  <c:v>20.471867216053262</c:v>
                </c:pt>
                <c:pt idx="497">
                  <c:v>20.634122494587611</c:v>
                </c:pt>
                <c:pt idx="498">
                  <c:v>20.796610564052425</c:v>
                </c:pt>
                <c:pt idx="499">
                  <c:v>20.958865842586775</c:v>
                </c:pt>
                <c:pt idx="500">
                  <c:v>21.125311357869499</c:v>
                </c:pt>
                <c:pt idx="501">
                  <c:v>21.291524082221756</c:v>
                </c:pt>
                <c:pt idx="502">
                  <c:v>21.457969597504476</c:v>
                </c:pt>
                <c:pt idx="503">
                  <c:v>21.62813976767465</c:v>
                </c:pt>
                <c:pt idx="504">
                  <c:v>21.79830993784482</c:v>
                </c:pt>
                <c:pt idx="505">
                  <c:v>21.968712898945459</c:v>
                </c:pt>
                <c:pt idx="506">
                  <c:v>22.134925623297718</c:v>
                </c:pt>
                <c:pt idx="507">
                  <c:v>22.301371138580443</c:v>
                </c:pt>
                <c:pt idx="508">
                  <c:v>22.487371092022254</c:v>
                </c:pt>
                <c:pt idx="509">
                  <c:v>22.673603836394534</c:v>
                </c:pt>
                <c:pt idx="510">
                  <c:v>22.859603789836346</c:v>
                </c:pt>
                <c:pt idx="511">
                  <c:v>23.049793980026536</c:v>
                </c:pt>
                <c:pt idx="512">
                  <c:v>23.235793933468351</c:v>
                </c:pt>
                <c:pt idx="513">
                  <c:v>23.421095514118768</c:v>
                </c:pt>
                <c:pt idx="514">
                  <c:v>23.607328258491048</c:v>
                </c:pt>
                <c:pt idx="515">
                  <c:v>23.793561002863328</c:v>
                </c:pt>
                <c:pt idx="516">
                  <c:v>23.979793747235604</c:v>
                </c:pt>
                <c:pt idx="517">
                  <c:v>24.166026491607884</c:v>
                </c:pt>
                <c:pt idx="518">
                  <c:v>24.356915054589471</c:v>
                </c:pt>
                <c:pt idx="519">
                  <c:v>24.545475708266409</c:v>
                </c:pt>
                <c:pt idx="520">
                  <c:v>24.736364271247989</c:v>
                </c:pt>
                <c:pt idx="521">
                  <c:v>24.938892380752844</c:v>
                </c:pt>
                <c:pt idx="522">
                  <c:v>25.127453034429781</c:v>
                </c:pt>
                <c:pt idx="523">
                  <c:v>25.318341597411361</c:v>
                </c:pt>
                <c:pt idx="524">
                  <c:v>25.520869706916216</c:v>
                </c:pt>
                <c:pt idx="525">
                  <c:v>25.72339781642107</c:v>
                </c:pt>
                <c:pt idx="526">
                  <c:v>25.92359801662127</c:v>
                </c:pt>
                <c:pt idx="527">
                  <c:v>26.126126126126124</c:v>
                </c:pt>
                <c:pt idx="528">
                  <c:v>26.333310054240286</c:v>
                </c:pt>
                <c:pt idx="529">
                  <c:v>26.538166073049791</c:v>
                </c:pt>
                <c:pt idx="530">
                  <c:v>26.743022091859299</c:v>
                </c:pt>
                <c:pt idx="531">
                  <c:v>26.950206019973461</c:v>
                </c:pt>
                <c:pt idx="532">
                  <c:v>27.159717857392273</c:v>
                </c:pt>
                <c:pt idx="533">
                  <c:v>27.369229694811089</c:v>
                </c:pt>
                <c:pt idx="534">
                  <c:v>27.59503689736248</c:v>
                </c:pt>
                <c:pt idx="535">
                  <c:v>27.825499918523171</c:v>
                </c:pt>
                <c:pt idx="536">
                  <c:v>28.051307121074561</c:v>
                </c:pt>
                <c:pt idx="537">
                  <c:v>28.265474777102682</c:v>
                </c:pt>
                <c:pt idx="538">
                  <c:v>28.479642433130806</c:v>
                </c:pt>
                <c:pt idx="539">
                  <c:v>28.707777544986847</c:v>
                </c:pt>
                <c:pt idx="540">
                  <c:v>28.94289638475685</c:v>
                </c:pt>
                <c:pt idx="541">
                  <c:v>29.171031496612887</c:v>
                </c:pt>
                <c:pt idx="542">
                  <c:v>29.401494517773589</c:v>
                </c:pt>
                <c:pt idx="543">
                  <c:v>29.629629629629626</c:v>
                </c:pt>
                <c:pt idx="544">
                  <c:v>29.871732197313591</c:v>
                </c:pt>
                <c:pt idx="545">
                  <c:v>30.102195218474282</c:v>
                </c:pt>
                <c:pt idx="546">
                  <c:v>30.344297786158247</c:v>
                </c:pt>
                <c:pt idx="547">
                  <c:v>30.584072444537558</c:v>
                </c:pt>
                <c:pt idx="548">
                  <c:v>30.830830830830831</c:v>
                </c:pt>
                <c:pt idx="549">
                  <c:v>31.072933398514792</c:v>
                </c:pt>
                <c:pt idx="550">
                  <c:v>31.310380147589449</c:v>
                </c:pt>
                <c:pt idx="551">
                  <c:v>31.550154805968759</c:v>
                </c:pt>
                <c:pt idx="552">
                  <c:v>31.808552738785298</c:v>
                </c:pt>
                <c:pt idx="553">
                  <c:v>32.06695067160183</c:v>
                </c:pt>
                <c:pt idx="554">
                  <c:v>32.323020695113719</c:v>
                </c:pt>
                <c:pt idx="555">
                  <c:v>32.583746537234909</c:v>
                </c:pt>
                <c:pt idx="556">
                  <c:v>32.846800288660752</c:v>
                </c:pt>
                <c:pt idx="557">
                  <c:v>33.112181949391257</c:v>
                </c:pt>
                <c:pt idx="558">
                  <c:v>33.368251972903138</c:v>
                </c:pt>
                <c:pt idx="559">
                  <c:v>33.633633633633629</c:v>
                </c:pt>
                <c:pt idx="560">
                  <c:v>33.903671112973434</c:v>
                </c:pt>
                <c:pt idx="561">
                  <c:v>34.169052773703932</c:v>
                </c:pt>
                <c:pt idx="562">
                  <c:v>34.434434434434436</c:v>
                </c:pt>
                <c:pt idx="563">
                  <c:v>34.702144004469588</c:v>
                </c:pt>
                <c:pt idx="564">
                  <c:v>34.972181483809386</c:v>
                </c:pt>
                <c:pt idx="565">
                  <c:v>35.25851432828177</c:v>
                </c:pt>
                <c:pt idx="566">
                  <c:v>35.526223898316921</c:v>
                </c:pt>
                <c:pt idx="567">
                  <c:v>35.807900924179997</c:v>
                </c:pt>
                <c:pt idx="568">
                  <c:v>36.089577950043058</c:v>
                </c:pt>
                <c:pt idx="569">
                  <c:v>36.37125497590614</c:v>
                </c:pt>
                <c:pt idx="570">
                  <c:v>36.648276183159901</c:v>
                </c:pt>
                <c:pt idx="571">
                  <c:v>36.9439206648509</c:v>
                </c:pt>
                <c:pt idx="572">
                  <c:v>37.2442209651512</c:v>
                </c:pt>
                <c:pt idx="573">
                  <c:v>37.537537537537538</c:v>
                </c:pt>
                <c:pt idx="574">
                  <c:v>37.830854109923877</c:v>
                </c:pt>
                <c:pt idx="575">
                  <c:v>38.128826500919523</c:v>
                </c:pt>
                <c:pt idx="576">
                  <c:v>38.422143073305861</c:v>
                </c:pt>
                <c:pt idx="577">
                  <c:v>38.715459645692199</c:v>
                </c:pt>
                <c:pt idx="578">
                  <c:v>39.022743673906461</c:v>
                </c:pt>
                <c:pt idx="579">
                  <c:v>39.332355611425378</c:v>
                </c:pt>
                <c:pt idx="580">
                  <c:v>39.641967548944294</c:v>
                </c:pt>
                <c:pt idx="581">
                  <c:v>39.949251577158549</c:v>
                </c:pt>
                <c:pt idx="582">
                  <c:v>40.263519333286773</c:v>
                </c:pt>
                <c:pt idx="583">
                  <c:v>40.580114998719651</c:v>
                </c:pt>
                <c:pt idx="584">
                  <c:v>40.896710664152515</c:v>
                </c:pt>
                <c:pt idx="585">
                  <c:v>41.22494587610867</c:v>
                </c:pt>
                <c:pt idx="586">
                  <c:v>41.553181088064804</c:v>
                </c:pt>
                <c:pt idx="587">
                  <c:v>41.879088390716291</c:v>
                </c:pt>
                <c:pt idx="588">
                  <c:v>42.21197942128174</c:v>
                </c:pt>
                <c:pt idx="589">
                  <c:v>42.542542542542542</c:v>
                </c:pt>
                <c:pt idx="590">
                  <c:v>42.880089391717298</c:v>
                </c:pt>
                <c:pt idx="591">
                  <c:v>43.217636240892055</c:v>
                </c:pt>
                <c:pt idx="592">
                  <c:v>43.54819936215285</c:v>
                </c:pt>
                <c:pt idx="593">
                  <c:v>43.885746211327607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F0-4263-AB83-D4823107136E}"/>
            </c:ext>
          </c:extLst>
        </c:ser>
        <c:ser>
          <c:idx val="4"/>
          <c:order val="4"/>
          <c:tx>
            <c:strRef>
              <c:f>{"A21-5"}</c:f>
              <c:strCache>
                <c:ptCount val="1"/>
                <c:pt idx="0">
                  <c:v>A21-5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'A21-3'!$C$2:$C$666</c:f>
              <c:numCache>
                <c:formatCode>0.00</c:formatCode>
                <c:ptCount val="665"/>
                <c:pt idx="0">
                  <c:v>0</c:v>
                </c:pt>
                <c:pt idx="1">
                  <c:v>1.16732E-2</c:v>
                </c:pt>
                <c:pt idx="2">
                  <c:v>1.1782999999999998E-2</c:v>
                </c:pt>
                <c:pt idx="3">
                  <c:v>1.18946E-2</c:v>
                </c:pt>
                <c:pt idx="4">
                  <c:v>1.2006399999999999E-2</c:v>
                </c:pt>
                <c:pt idx="5">
                  <c:v>1.2118E-2</c:v>
                </c:pt>
                <c:pt idx="6">
                  <c:v>1.22278E-2</c:v>
                </c:pt>
                <c:pt idx="7">
                  <c:v>1.23394E-2</c:v>
                </c:pt>
                <c:pt idx="8">
                  <c:v>1.2451200000000001E-2</c:v>
                </c:pt>
                <c:pt idx="9">
                  <c:v>1.2560999999999999E-2</c:v>
                </c:pt>
                <c:pt idx="10">
                  <c:v>1.2670799999999999E-2</c:v>
                </c:pt>
                <c:pt idx="11">
                  <c:v>1.2782400000000001E-2</c:v>
                </c:pt>
                <c:pt idx="12">
                  <c:v>1.28942E-2</c:v>
                </c:pt>
                <c:pt idx="13">
                  <c:v>1.3005800000000001E-2</c:v>
                </c:pt>
                <c:pt idx="14">
                  <c:v>1.31174E-2</c:v>
                </c:pt>
                <c:pt idx="15">
                  <c:v>1.32272E-2</c:v>
                </c:pt>
                <c:pt idx="16">
                  <c:v>1.3339E-2</c:v>
                </c:pt>
                <c:pt idx="17">
                  <c:v>1.34506E-2</c:v>
                </c:pt>
                <c:pt idx="18">
                  <c:v>1.35622E-2</c:v>
                </c:pt>
                <c:pt idx="19">
                  <c:v>1.3672E-2</c:v>
                </c:pt>
                <c:pt idx="20">
                  <c:v>1.3783799999999999E-2</c:v>
                </c:pt>
                <c:pt idx="21">
                  <c:v>1.38954E-2</c:v>
                </c:pt>
                <c:pt idx="22">
                  <c:v>1.4005200000000001E-2</c:v>
                </c:pt>
                <c:pt idx="23">
                  <c:v>1.4116800000000001E-2</c:v>
                </c:pt>
                <c:pt idx="24">
                  <c:v>1.42268E-2</c:v>
                </c:pt>
                <c:pt idx="25">
                  <c:v>1.4338399999999999E-2</c:v>
                </c:pt>
                <c:pt idx="26">
                  <c:v>1.4450000000000001E-2</c:v>
                </c:pt>
                <c:pt idx="27">
                  <c:v>1.4589600000000001E-2</c:v>
                </c:pt>
                <c:pt idx="28">
                  <c:v>1.47292E-2</c:v>
                </c:pt>
                <c:pt idx="29">
                  <c:v>1.4866999999999998E-2</c:v>
                </c:pt>
                <c:pt idx="30">
                  <c:v>1.50046E-2</c:v>
                </c:pt>
                <c:pt idx="31">
                  <c:v>1.5144200000000002E-2</c:v>
                </c:pt>
                <c:pt idx="32">
                  <c:v>1.5282E-2</c:v>
                </c:pt>
                <c:pt idx="33">
                  <c:v>1.54234E-2</c:v>
                </c:pt>
                <c:pt idx="34">
                  <c:v>1.5561199999999999E-2</c:v>
                </c:pt>
                <c:pt idx="35">
                  <c:v>1.5700800000000001E-2</c:v>
                </c:pt>
                <c:pt idx="36">
                  <c:v>1.5838399999999999E-2</c:v>
                </c:pt>
                <c:pt idx="37">
                  <c:v>1.5978000000000003E-2</c:v>
                </c:pt>
                <c:pt idx="38">
                  <c:v>1.61158E-2</c:v>
                </c:pt>
                <c:pt idx="39">
                  <c:v>1.62554E-2</c:v>
                </c:pt>
                <c:pt idx="40">
                  <c:v>1.6393000000000001E-2</c:v>
                </c:pt>
                <c:pt idx="41">
                  <c:v>1.6532599999999998E-2</c:v>
                </c:pt>
                <c:pt idx="42">
                  <c:v>1.6672199999999998E-2</c:v>
                </c:pt>
                <c:pt idx="43">
                  <c:v>1.6810000000000002E-2</c:v>
                </c:pt>
                <c:pt idx="44">
                  <c:v>1.6949599999999999E-2</c:v>
                </c:pt>
                <c:pt idx="45">
                  <c:v>1.7089199999999999E-2</c:v>
                </c:pt>
                <c:pt idx="46">
                  <c:v>1.72268E-2</c:v>
                </c:pt>
                <c:pt idx="47">
                  <c:v>1.7366400000000001E-2</c:v>
                </c:pt>
                <c:pt idx="48">
                  <c:v>1.7506000000000001E-2</c:v>
                </c:pt>
                <c:pt idx="49">
                  <c:v>1.7643800000000001E-2</c:v>
                </c:pt>
                <c:pt idx="50">
                  <c:v>1.7783400000000001E-2</c:v>
                </c:pt>
                <c:pt idx="51">
                  <c:v>1.7923000000000001E-2</c:v>
                </c:pt>
                <c:pt idx="52">
                  <c:v>1.80886E-2</c:v>
                </c:pt>
                <c:pt idx="53">
                  <c:v>1.82282E-2</c:v>
                </c:pt>
                <c:pt idx="54">
                  <c:v>1.83958E-2</c:v>
                </c:pt>
                <c:pt idx="55">
                  <c:v>1.8561399999999999E-2</c:v>
                </c:pt>
                <c:pt idx="56">
                  <c:v>1.8727000000000001E-2</c:v>
                </c:pt>
                <c:pt idx="57">
                  <c:v>1.8892599999999999E-2</c:v>
                </c:pt>
                <c:pt idx="58">
                  <c:v>1.9061999999999999E-2</c:v>
                </c:pt>
                <c:pt idx="59">
                  <c:v>1.9227600000000001E-2</c:v>
                </c:pt>
                <c:pt idx="60">
                  <c:v>1.9395199999999998E-2</c:v>
                </c:pt>
                <c:pt idx="61">
                  <c:v>1.95608E-2</c:v>
                </c:pt>
                <c:pt idx="62">
                  <c:v>1.9728200000000001E-2</c:v>
                </c:pt>
                <c:pt idx="63">
                  <c:v>1.9895799999999998E-2</c:v>
                </c:pt>
                <c:pt idx="64">
                  <c:v>2.0062000000000003E-2</c:v>
                </c:pt>
                <c:pt idx="65">
                  <c:v>2.0228000000000003E-2</c:v>
                </c:pt>
                <c:pt idx="66">
                  <c:v>2.0394000000000002E-2</c:v>
                </c:pt>
                <c:pt idx="67">
                  <c:v>2.0560000000000002E-2</c:v>
                </c:pt>
                <c:pt idx="68">
                  <c:v>2.0728E-2</c:v>
                </c:pt>
                <c:pt idx="69">
                  <c:v>2.0895999999999998E-2</c:v>
                </c:pt>
                <c:pt idx="70">
                  <c:v>2.1059999999999999E-2</c:v>
                </c:pt>
                <c:pt idx="71">
                  <c:v>2.1227999999999997E-2</c:v>
                </c:pt>
                <c:pt idx="72">
                  <c:v>2.1396000000000002E-2</c:v>
                </c:pt>
                <c:pt idx="73">
                  <c:v>2.1589999999999998E-2</c:v>
                </c:pt>
                <c:pt idx="74">
                  <c:v>2.1783999999999998E-2</c:v>
                </c:pt>
                <c:pt idx="75">
                  <c:v>2.1975999999999999E-2</c:v>
                </c:pt>
                <c:pt idx="76">
                  <c:v>2.2173999999999999E-2</c:v>
                </c:pt>
                <c:pt idx="77">
                  <c:v>2.2368000000000002E-2</c:v>
                </c:pt>
                <c:pt idx="78">
                  <c:v>2.2559999999999997E-2</c:v>
                </c:pt>
                <c:pt idx="79">
                  <c:v>2.2755999999999998E-2</c:v>
                </c:pt>
                <c:pt idx="80">
                  <c:v>2.2949999999999998E-2</c:v>
                </c:pt>
                <c:pt idx="81">
                  <c:v>2.3146E-2</c:v>
                </c:pt>
                <c:pt idx="82">
                  <c:v>2.3338000000000001E-2</c:v>
                </c:pt>
                <c:pt idx="83">
                  <c:v>2.3532000000000001E-2</c:v>
                </c:pt>
                <c:pt idx="84">
                  <c:v>2.3727999999999999E-2</c:v>
                </c:pt>
                <c:pt idx="85">
                  <c:v>2.3923999999999997E-2</c:v>
                </c:pt>
                <c:pt idx="86">
                  <c:v>2.4115999999999999E-2</c:v>
                </c:pt>
                <c:pt idx="87">
                  <c:v>2.4310000000000002E-2</c:v>
                </c:pt>
                <c:pt idx="88">
                  <c:v>2.4506E-2</c:v>
                </c:pt>
                <c:pt idx="89">
                  <c:v>2.4700000000000003E-2</c:v>
                </c:pt>
                <c:pt idx="90">
                  <c:v>2.4893999999999999E-2</c:v>
                </c:pt>
                <c:pt idx="91">
                  <c:v>2.5087999999999999E-2</c:v>
                </c:pt>
                <c:pt idx="92">
                  <c:v>2.5312000000000001E-2</c:v>
                </c:pt>
                <c:pt idx="93">
                  <c:v>2.5533999999999998E-2</c:v>
                </c:pt>
                <c:pt idx="94">
                  <c:v>2.5756000000000001E-2</c:v>
                </c:pt>
                <c:pt idx="95">
                  <c:v>2.5977999999999998E-2</c:v>
                </c:pt>
                <c:pt idx="96">
                  <c:v>2.6200000000000001E-2</c:v>
                </c:pt>
                <c:pt idx="97">
                  <c:v>2.6421999999999998E-2</c:v>
                </c:pt>
                <c:pt idx="98">
                  <c:v>2.6642000000000002E-2</c:v>
                </c:pt>
                <c:pt idx="99">
                  <c:v>2.6868E-2</c:v>
                </c:pt>
                <c:pt idx="100">
                  <c:v>2.7089999999999999E-2</c:v>
                </c:pt>
                <c:pt idx="101">
                  <c:v>2.7311999999999999E-2</c:v>
                </c:pt>
                <c:pt idx="102">
                  <c:v>2.7533999999999999E-2</c:v>
                </c:pt>
                <c:pt idx="103">
                  <c:v>2.7755999999999999E-2</c:v>
                </c:pt>
                <c:pt idx="104">
                  <c:v>2.7976000000000001E-2</c:v>
                </c:pt>
                <c:pt idx="105">
                  <c:v>2.8197999999999997E-2</c:v>
                </c:pt>
                <c:pt idx="106">
                  <c:v>2.8421999999999999E-2</c:v>
                </c:pt>
                <c:pt idx="107">
                  <c:v>2.8645999999999998E-2</c:v>
                </c:pt>
                <c:pt idx="108">
                  <c:v>2.8868000000000001E-2</c:v>
                </c:pt>
                <c:pt idx="109">
                  <c:v>2.9116E-2</c:v>
                </c:pt>
                <c:pt idx="110">
                  <c:v>2.9367999999999998E-2</c:v>
                </c:pt>
                <c:pt idx="111">
                  <c:v>2.9618000000000002E-2</c:v>
                </c:pt>
                <c:pt idx="112">
                  <c:v>2.9866E-2</c:v>
                </c:pt>
                <c:pt idx="113">
                  <c:v>3.0117999999999999E-2</c:v>
                </c:pt>
                <c:pt idx="114">
                  <c:v>3.0363999999999999E-2</c:v>
                </c:pt>
                <c:pt idx="115">
                  <c:v>3.0617999999999999E-2</c:v>
                </c:pt>
                <c:pt idx="116">
                  <c:v>3.0868000000000003E-2</c:v>
                </c:pt>
                <c:pt idx="117">
                  <c:v>3.1116000000000001E-2</c:v>
                </c:pt>
                <c:pt idx="118">
                  <c:v>3.1368E-2</c:v>
                </c:pt>
                <c:pt idx="119">
                  <c:v>3.1615999999999998E-2</c:v>
                </c:pt>
                <c:pt idx="120">
                  <c:v>3.1865999999999998E-2</c:v>
                </c:pt>
                <c:pt idx="121">
                  <c:v>3.2115999999999999E-2</c:v>
                </c:pt>
                <c:pt idx="122">
                  <c:v>3.2368000000000001E-2</c:v>
                </c:pt>
                <c:pt idx="123">
                  <c:v>3.2643999999999999E-2</c:v>
                </c:pt>
                <c:pt idx="124">
                  <c:v>3.2922E-2</c:v>
                </c:pt>
                <c:pt idx="125">
                  <c:v>3.3201999999999995E-2</c:v>
                </c:pt>
                <c:pt idx="126">
                  <c:v>3.3475999999999999E-2</c:v>
                </c:pt>
                <c:pt idx="127">
                  <c:v>3.3756000000000001E-2</c:v>
                </c:pt>
                <c:pt idx="128">
                  <c:v>3.4034000000000002E-2</c:v>
                </c:pt>
                <c:pt idx="129">
                  <c:v>3.4312000000000002E-2</c:v>
                </c:pt>
                <c:pt idx="130">
                  <c:v>3.4588000000000001E-2</c:v>
                </c:pt>
                <c:pt idx="131">
                  <c:v>3.4866000000000001E-2</c:v>
                </c:pt>
                <c:pt idx="132">
                  <c:v>3.5144000000000002E-2</c:v>
                </c:pt>
                <c:pt idx="133">
                  <c:v>3.5421999999999995E-2</c:v>
                </c:pt>
                <c:pt idx="134">
                  <c:v>3.5699999999999996E-2</c:v>
                </c:pt>
                <c:pt idx="135">
                  <c:v>3.5977999999999996E-2</c:v>
                </c:pt>
                <c:pt idx="136">
                  <c:v>3.6284000000000004E-2</c:v>
                </c:pt>
                <c:pt idx="137">
                  <c:v>3.6587999999999996E-2</c:v>
                </c:pt>
                <c:pt idx="138">
                  <c:v>3.6894000000000003E-2</c:v>
                </c:pt>
                <c:pt idx="139">
                  <c:v>3.7200000000000004E-2</c:v>
                </c:pt>
                <c:pt idx="140">
                  <c:v>3.7504000000000003E-2</c:v>
                </c:pt>
                <c:pt idx="141">
                  <c:v>3.7810000000000003E-2</c:v>
                </c:pt>
                <c:pt idx="142">
                  <c:v>3.8114000000000002E-2</c:v>
                </c:pt>
                <c:pt idx="143">
                  <c:v>3.8420000000000003E-2</c:v>
                </c:pt>
                <c:pt idx="144">
                  <c:v>3.8727999999999999E-2</c:v>
                </c:pt>
                <c:pt idx="145">
                  <c:v>3.9031999999999997E-2</c:v>
                </c:pt>
                <c:pt idx="146">
                  <c:v>3.934E-2</c:v>
                </c:pt>
                <c:pt idx="147">
                  <c:v>3.9670000000000004E-2</c:v>
                </c:pt>
                <c:pt idx="148">
                  <c:v>4.0006000000000007E-2</c:v>
                </c:pt>
                <c:pt idx="149">
                  <c:v>4.0338000000000006E-2</c:v>
                </c:pt>
                <c:pt idx="150">
                  <c:v>4.0674000000000002E-2</c:v>
                </c:pt>
                <c:pt idx="151">
                  <c:v>4.1006000000000001E-2</c:v>
                </c:pt>
                <c:pt idx="152">
                  <c:v>4.1338E-2</c:v>
                </c:pt>
                <c:pt idx="153">
                  <c:v>4.1672000000000001E-2</c:v>
                </c:pt>
                <c:pt idx="154">
                  <c:v>4.2005999999999995E-2</c:v>
                </c:pt>
                <c:pt idx="155">
                  <c:v>4.2340000000000003E-2</c:v>
                </c:pt>
                <c:pt idx="156">
                  <c:v>4.2644000000000001E-2</c:v>
                </c:pt>
                <c:pt idx="157">
                  <c:v>4.2977999999999995E-2</c:v>
                </c:pt>
                <c:pt idx="158">
                  <c:v>4.3311999999999996E-2</c:v>
                </c:pt>
                <c:pt idx="159">
                  <c:v>4.3643999999999995E-2</c:v>
                </c:pt>
                <c:pt idx="160">
                  <c:v>4.3951999999999998E-2</c:v>
                </c:pt>
                <c:pt idx="161">
                  <c:v>4.4172000000000003E-2</c:v>
                </c:pt>
                <c:pt idx="162">
                  <c:v>4.4421999999999996E-2</c:v>
                </c:pt>
                <c:pt idx="163">
                  <c:v>4.4673999999999998E-2</c:v>
                </c:pt>
                <c:pt idx="164">
                  <c:v>4.4893999999999996E-2</c:v>
                </c:pt>
                <c:pt idx="165">
                  <c:v>4.5171999999999997E-2</c:v>
                </c:pt>
                <c:pt idx="166">
                  <c:v>4.5533999999999998E-2</c:v>
                </c:pt>
                <c:pt idx="167">
                  <c:v>4.5838000000000004E-2</c:v>
                </c:pt>
                <c:pt idx="168">
                  <c:v>4.6062000000000006E-2</c:v>
                </c:pt>
                <c:pt idx="169">
                  <c:v>4.6311999999999999E-2</c:v>
                </c:pt>
                <c:pt idx="170">
                  <c:v>4.6561999999999999E-2</c:v>
                </c:pt>
                <c:pt idx="171">
                  <c:v>4.6809999999999997E-2</c:v>
                </c:pt>
                <c:pt idx="172">
                  <c:v>4.7033999999999999E-2</c:v>
                </c:pt>
                <c:pt idx="173">
                  <c:v>4.7284E-2</c:v>
                </c:pt>
                <c:pt idx="174">
                  <c:v>4.7477999999999999E-2</c:v>
                </c:pt>
                <c:pt idx="175">
                  <c:v>4.7699999999999992E-2</c:v>
                </c:pt>
                <c:pt idx="176">
                  <c:v>4.7923999999999994E-2</c:v>
                </c:pt>
                <c:pt idx="177">
                  <c:v>4.8143999999999999E-2</c:v>
                </c:pt>
                <c:pt idx="178">
                  <c:v>4.8365999999999999E-2</c:v>
                </c:pt>
                <c:pt idx="179">
                  <c:v>4.8590000000000001E-2</c:v>
                </c:pt>
                <c:pt idx="180">
                  <c:v>4.8809999999999999E-2</c:v>
                </c:pt>
                <c:pt idx="181">
                  <c:v>4.9006000000000001E-2</c:v>
                </c:pt>
                <c:pt idx="182">
                  <c:v>4.9200000000000001E-2</c:v>
                </c:pt>
                <c:pt idx="183">
                  <c:v>4.9367999999999995E-2</c:v>
                </c:pt>
                <c:pt idx="184">
                  <c:v>4.9560000000000007E-2</c:v>
                </c:pt>
                <c:pt idx="185">
                  <c:v>4.9728000000000001E-2</c:v>
                </c:pt>
                <c:pt idx="186">
                  <c:v>4.9894000000000001E-2</c:v>
                </c:pt>
                <c:pt idx="187">
                  <c:v>5.0061999999999995E-2</c:v>
                </c:pt>
                <c:pt idx="188">
                  <c:v>5.0228000000000002E-2</c:v>
                </c:pt>
                <c:pt idx="189">
                  <c:v>5.0366000000000001E-2</c:v>
                </c:pt>
                <c:pt idx="190">
                  <c:v>5.0532000000000001E-2</c:v>
                </c:pt>
                <c:pt idx="191">
                  <c:v>5.0700000000000002E-2</c:v>
                </c:pt>
                <c:pt idx="192">
                  <c:v>5.0838000000000001E-2</c:v>
                </c:pt>
                <c:pt idx="193">
                  <c:v>5.1006000000000003E-2</c:v>
                </c:pt>
                <c:pt idx="194">
                  <c:v>5.1142E-2</c:v>
                </c:pt>
                <c:pt idx="195">
                  <c:v>5.1310000000000001E-2</c:v>
                </c:pt>
                <c:pt idx="196">
                  <c:v>5.1478000000000003E-2</c:v>
                </c:pt>
                <c:pt idx="197">
                  <c:v>5.1645999999999997E-2</c:v>
                </c:pt>
                <c:pt idx="198">
                  <c:v>5.1840000000000004E-2</c:v>
                </c:pt>
                <c:pt idx="199">
                  <c:v>5.2005999999999997E-2</c:v>
                </c:pt>
                <c:pt idx="200">
                  <c:v>5.2172000000000003E-2</c:v>
                </c:pt>
                <c:pt idx="201">
                  <c:v>5.2339999999999998E-2</c:v>
                </c:pt>
                <c:pt idx="202">
                  <c:v>5.2506000000000004E-2</c:v>
                </c:pt>
                <c:pt idx="203">
                  <c:v>5.2671999999999997E-2</c:v>
                </c:pt>
                <c:pt idx="204">
                  <c:v>5.2809999999999996E-2</c:v>
                </c:pt>
                <c:pt idx="205">
                  <c:v>5.2949999999999997E-2</c:v>
                </c:pt>
                <c:pt idx="206">
                  <c:v>5.3116000000000003E-2</c:v>
                </c:pt>
                <c:pt idx="207">
                  <c:v>5.3284000000000005E-2</c:v>
                </c:pt>
                <c:pt idx="208">
                  <c:v>5.3419999999999995E-2</c:v>
                </c:pt>
                <c:pt idx="209">
                  <c:v>5.3562000000000005E-2</c:v>
                </c:pt>
                <c:pt idx="210">
                  <c:v>5.3699999999999998E-2</c:v>
                </c:pt>
                <c:pt idx="211">
                  <c:v>5.3840000000000006E-2</c:v>
                </c:pt>
                <c:pt idx="212">
                  <c:v>5.398E-2</c:v>
                </c:pt>
                <c:pt idx="213">
                  <c:v>5.4115999999999997E-2</c:v>
                </c:pt>
                <c:pt idx="214">
                  <c:v>5.4253999999999997E-2</c:v>
                </c:pt>
                <c:pt idx="215">
                  <c:v>5.4393999999999998E-2</c:v>
                </c:pt>
                <c:pt idx="216">
                  <c:v>5.4533999999999999E-2</c:v>
                </c:pt>
                <c:pt idx="217">
                  <c:v>5.4671999999999998E-2</c:v>
                </c:pt>
                <c:pt idx="218">
                  <c:v>5.4783999999999999E-2</c:v>
                </c:pt>
                <c:pt idx="219">
                  <c:v>5.4922000000000006E-2</c:v>
                </c:pt>
                <c:pt idx="220">
                  <c:v>5.5060000000000005E-2</c:v>
                </c:pt>
                <c:pt idx="221">
                  <c:v>5.5170000000000004E-2</c:v>
                </c:pt>
                <c:pt idx="222">
                  <c:v>5.5312E-2</c:v>
                </c:pt>
                <c:pt idx="223">
                  <c:v>5.5424000000000001E-2</c:v>
                </c:pt>
                <c:pt idx="224">
                  <c:v>5.5564000000000002E-2</c:v>
                </c:pt>
                <c:pt idx="225">
                  <c:v>5.5671999999999999E-2</c:v>
                </c:pt>
                <c:pt idx="226">
                  <c:v>5.5781999999999998E-2</c:v>
                </c:pt>
                <c:pt idx="227">
                  <c:v>5.5894000000000006E-2</c:v>
                </c:pt>
                <c:pt idx="228">
                  <c:v>5.6034E-2</c:v>
                </c:pt>
                <c:pt idx="229">
                  <c:v>5.6146000000000001E-2</c:v>
                </c:pt>
                <c:pt idx="230">
                  <c:v>5.6256E-2</c:v>
                </c:pt>
                <c:pt idx="231">
                  <c:v>5.6368000000000001E-2</c:v>
                </c:pt>
                <c:pt idx="232">
                  <c:v>5.6478E-2</c:v>
                </c:pt>
                <c:pt idx="233">
                  <c:v>5.6587999999999999E-2</c:v>
                </c:pt>
                <c:pt idx="234">
                  <c:v>5.67E-2</c:v>
                </c:pt>
                <c:pt idx="235">
                  <c:v>5.6811999999999994E-2</c:v>
                </c:pt>
                <c:pt idx="236">
                  <c:v>5.6922E-2</c:v>
                </c:pt>
                <c:pt idx="237">
                  <c:v>5.7005999999999994E-2</c:v>
                </c:pt>
                <c:pt idx="238">
                  <c:v>5.7118000000000002E-2</c:v>
                </c:pt>
                <c:pt idx="239">
                  <c:v>5.7225999999999999E-2</c:v>
                </c:pt>
                <c:pt idx="240">
                  <c:v>5.7337999999999993E-2</c:v>
                </c:pt>
                <c:pt idx="241">
                  <c:v>5.7450000000000001E-2</c:v>
                </c:pt>
                <c:pt idx="242">
                  <c:v>5.7561999999999995E-2</c:v>
                </c:pt>
                <c:pt idx="243">
                  <c:v>5.7644000000000001E-2</c:v>
                </c:pt>
                <c:pt idx="244">
                  <c:v>5.7756000000000002E-2</c:v>
                </c:pt>
                <c:pt idx="245">
                  <c:v>5.7868000000000003E-2</c:v>
                </c:pt>
                <c:pt idx="246">
                  <c:v>5.7976E-2</c:v>
                </c:pt>
                <c:pt idx="247">
                  <c:v>5.806E-2</c:v>
                </c:pt>
                <c:pt idx="248">
                  <c:v>5.8171999999999995E-2</c:v>
                </c:pt>
                <c:pt idx="249">
                  <c:v>5.8282E-2</c:v>
                </c:pt>
                <c:pt idx="250">
                  <c:v>5.8394000000000001E-2</c:v>
                </c:pt>
                <c:pt idx="251">
                  <c:v>5.8478000000000002E-2</c:v>
                </c:pt>
                <c:pt idx="252">
                  <c:v>5.8587999999999994E-2</c:v>
                </c:pt>
                <c:pt idx="253">
                  <c:v>5.8700000000000002E-2</c:v>
                </c:pt>
                <c:pt idx="254">
                  <c:v>5.8810000000000001E-2</c:v>
                </c:pt>
                <c:pt idx="255">
                  <c:v>5.8922000000000002E-2</c:v>
                </c:pt>
                <c:pt idx="256">
                  <c:v>5.9034000000000003E-2</c:v>
                </c:pt>
                <c:pt idx="257">
                  <c:v>5.9146000000000004E-2</c:v>
                </c:pt>
                <c:pt idx="258">
                  <c:v>5.9256000000000003E-2</c:v>
                </c:pt>
                <c:pt idx="259">
                  <c:v>5.9340000000000004E-2</c:v>
                </c:pt>
                <c:pt idx="260">
                  <c:v>5.9451999999999998E-2</c:v>
                </c:pt>
                <c:pt idx="261">
                  <c:v>5.9561999999999997E-2</c:v>
                </c:pt>
                <c:pt idx="262">
                  <c:v>5.9644000000000003E-2</c:v>
                </c:pt>
                <c:pt idx="263">
                  <c:v>5.9756000000000004E-2</c:v>
                </c:pt>
                <c:pt idx="264">
                  <c:v>5.9837999999999995E-2</c:v>
                </c:pt>
                <c:pt idx="265">
                  <c:v>5.9922000000000003E-2</c:v>
                </c:pt>
                <c:pt idx="266">
                  <c:v>6.0006000000000004E-2</c:v>
                </c:pt>
                <c:pt idx="267">
                  <c:v>6.0090000000000005E-2</c:v>
                </c:pt>
                <c:pt idx="268">
                  <c:v>6.0171999999999996E-2</c:v>
                </c:pt>
                <c:pt idx="269">
                  <c:v>6.0282000000000002E-2</c:v>
                </c:pt>
                <c:pt idx="270">
                  <c:v>6.0366000000000003E-2</c:v>
                </c:pt>
                <c:pt idx="271">
                  <c:v>6.0477999999999997E-2</c:v>
                </c:pt>
                <c:pt idx="272">
                  <c:v>6.0560000000000003E-2</c:v>
                </c:pt>
                <c:pt idx="273">
                  <c:v>6.0644000000000003E-2</c:v>
                </c:pt>
                <c:pt idx="274">
                  <c:v>6.0754000000000002E-2</c:v>
                </c:pt>
                <c:pt idx="275">
                  <c:v>6.0865999999999996E-2</c:v>
                </c:pt>
                <c:pt idx="276">
                  <c:v>6.0978000000000004E-2</c:v>
                </c:pt>
                <c:pt idx="277">
                  <c:v>6.1087999999999996E-2</c:v>
                </c:pt>
                <c:pt idx="278">
                  <c:v>6.1200000000000004E-2</c:v>
                </c:pt>
                <c:pt idx="279">
                  <c:v>6.1311999999999998E-2</c:v>
                </c:pt>
                <c:pt idx="280">
                  <c:v>6.1394000000000004E-2</c:v>
                </c:pt>
                <c:pt idx="281">
                  <c:v>6.1505999999999998E-2</c:v>
                </c:pt>
                <c:pt idx="282">
                  <c:v>6.1588000000000004E-2</c:v>
                </c:pt>
                <c:pt idx="283">
                  <c:v>6.1672000000000005E-2</c:v>
                </c:pt>
                <c:pt idx="284">
                  <c:v>6.1758E-2</c:v>
                </c:pt>
                <c:pt idx="285">
                  <c:v>6.1837999999999997E-2</c:v>
                </c:pt>
                <c:pt idx="286">
                  <c:v>6.1921999999999998E-2</c:v>
                </c:pt>
                <c:pt idx="287">
                  <c:v>6.2004000000000004E-2</c:v>
                </c:pt>
                <c:pt idx="288">
                  <c:v>6.2088000000000004E-2</c:v>
                </c:pt>
                <c:pt idx="289">
                  <c:v>6.2171999999999998E-2</c:v>
                </c:pt>
                <c:pt idx="290">
                  <c:v>6.2255999999999999E-2</c:v>
                </c:pt>
                <c:pt idx="291">
                  <c:v>6.234E-2</c:v>
                </c:pt>
                <c:pt idx="292">
                  <c:v>6.2422000000000005E-2</c:v>
                </c:pt>
                <c:pt idx="293">
                  <c:v>6.2506000000000006E-2</c:v>
                </c:pt>
                <c:pt idx="294">
                  <c:v>6.2588000000000005E-2</c:v>
                </c:pt>
                <c:pt idx="295">
                  <c:v>6.2672000000000005E-2</c:v>
                </c:pt>
                <c:pt idx="296">
                  <c:v>6.2755999999999992E-2</c:v>
                </c:pt>
                <c:pt idx="297">
                  <c:v>6.2838000000000005E-2</c:v>
                </c:pt>
                <c:pt idx="298">
                  <c:v>6.2922000000000006E-2</c:v>
                </c:pt>
                <c:pt idx="299">
                  <c:v>6.3007999999999995E-2</c:v>
                </c:pt>
                <c:pt idx="300">
                  <c:v>6.3090000000000007E-2</c:v>
                </c:pt>
                <c:pt idx="301">
                  <c:v>6.3174000000000008E-2</c:v>
                </c:pt>
                <c:pt idx="302">
                  <c:v>6.3255999999999993E-2</c:v>
                </c:pt>
                <c:pt idx="303">
                  <c:v>6.3338000000000005E-2</c:v>
                </c:pt>
                <c:pt idx="304">
                  <c:v>6.3422000000000006E-2</c:v>
                </c:pt>
                <c:pt idx="305">
                  <c:v>6.3506000000000007E-2</c:v>
                </c:pt>
                <c:pt idx="306">
                  <c:v>6.3587999999999992E-2</c:v>
                </c:pt>
                <c:pt idx="307">
                  <c:v>6.3672000000000006E-2</c:v>
                </c:pt>
                <c:pt idx="308">
                  <c:v>6.3756000000000007E-2</c:v>
                </c:pt>
                <c:pt idx="309">
                  <c:v>6.3840000000000008E-2</c:v>
                </c:pt>
                <c:pt idx="310">
                  <c:v>6.3894000000000006E-2</c:v>
                </c:pt>
                <c:pt idx="311">
                  <c:v>6.3978000000000007E-2</c:v>
                </c:pt>
                <c:pt idx="312">
                  <c:v>6.4062000000000008E-2</c:v>
                </c:pt>
                <c:pt idx="313">
                  <c:v>6.4143999999999993E-2</c:v>
                </c:pt>
                <c:pt idx="314">
                  <c:v>6.4227999999999993E-2</c:v>
                </c:pt>
                <c:pt idx="315">
                  <c:v>6.4310000000000006E-2</c:v>
                </c:pt>
                <c:pt idx="316">
                  <c:v>6.4394000000000007E-2</c:v>
                </c:pt>
                <c:pt idx="317">
                  <c:v>6.4450000000000007E-2</c:v>
                </c:pt>
                <c:pt idx="318">
                  <c:v>6.4534000000000008E-2</c:v>
                </c:pt>
                <c:pt idx="319">
                  <c:v>6.4615999999999993E-2</c:v>
                </c:pt>
                <c:pt idx="320">
                  <c:v>6.4728000000000008E-2</c:v>
                </c:pt>
                <c:pt idx="321">
                  <c:v>6.4839999999999995E-2</c:v>
                </c:pt>
                <c:pt idx="322">
                  <c:v>6.4950000000000008E-2</c:v>
                </c:pt>
                <c:pt idx="323">
                  <c:v>6.5061999999999995E-2</c:v>
                </c:pt>
                <c:pt idx="324">
                  <c:v>6.517400000000001E-2</c:v>
                </c:pt>
                <c:pt idx="325">
                  <c:v>6.5284000000000009E-2</c:v>
                </c:pt>
                <c:pt idx="326">
                  <c:v>6.5393999999999994E-2</c:v>
                </c:pt>
                <c:pt idx="327">
                  <c:v>6.5506000000000009E-2</c:v>
                </c:pt>
                <c:pt idx="328">
                  <c:v>6.5617999999999996E-2</c:v>
                </c:pt>
                <c:pt idx="329">
                  <c:v>6.5726000000000007E-2</c:v>
                </c:pt>
                <c:pt idx="330">
                  <c:v>6.5838000000000008E-2</c:v>
                </c:pt>
                <c:pt idx="331">
                  <c:v>6.5949999999999995E-2</c:v>
                </c:pt>
                <c:pt idx="332">
                  <c:v>6.606200000000001E-2</c:v>
                </c:pt>
                <c:pt idx="333">
                  <c:v>6.6172000000000009E-2</c:v>
                </c:pt>
                <c:pt idx="334">
                  <c:v>6.6283999999999996E-2</c:v>
                </c:pt>
                <c:pt idx="335">
                  <c:v>6.6395999999999997E-2</c:v>
                </c:pt>
                <c:pt idx="336">
                  <c:v>6.6505999999999996E-2</c:v>
                </c:pt>
                <c:pt idx="337">
                  <c:v>6.6615999999999995E-2</c:v>
                </c:pt>
                <c:pt idx="338">
                  <c:v>6.6727999999999996E-2</c:v>
                </c:pt>
                <c:pt idx="339">
                  <c:v>6.6839999999999997E-2</c:v>
                </c:pt>
                <c:pt idx="340">
                  <c:v>6.695000000000001E-2</c:v>
                </c:pt>
                <c:pt idx="341">
                  <c:v>6.7061999999999997E-2</c:v>
                </c:pt>
                <c:pt idx="342">
                  <c:v>6.7171999999999996E-2</c:v>
                </c:pt>
                <c:pt idx="343">
                  <c:v>6.7282000000000008E-2</c:v>
                </c:pt>
                <c:pt idx="344">
                  <c:v>6.7393999999999996E-2</c:v>
                </c:pt>
                <c:pt idx="345">
                  <c:v>6.750600000000001E-2</c:v>
                </c:pt>
                <c:pt idx="346">
                  <c:v>6.7615999999999996E-2</c:v>
                </c:pt>
                <c:pt idx="347">
                  <c:v>6.7727999999999997E-2</c:v>
                </c:pt>
                <c:pt idx="348">
                  <c:v>6.7811999999999997E-2</c:v>
                </c:pt>
                <c:pt idx="349">
                  <c:v>6.7923999999999998E-2</c:v>
                </c:pt>
                <c:pt idx="350">
                  <c:v>6.8032000000000009E-2</c:v>
                </c:pt>
                <c:pt idx="351">
                  <c:v>6.8143999999999996E-2</c:v>
                </c:pt>
                <c:pt idx="352">
                  <c:v>6.8255999999999997E-2</c:v>
                </c:pt>
                <c:pt idx="353">
                  <c:v>6.8337999999999996E-2</c:v>
                </c:pt>
                <c:pt idx="354">
                  <c:v>6.8449999999999997E-2</c:v>
                </c:pt>
                <c:pt idx="355">
                  <c:v>6.8561999999999998E-2</c:v>
                </c:pt>
                <c:pt idx="356">
                  <c:v>6.8643999999999997E-2</c:v>
                </c:pt>
                <c:pt idx="357">
                  <c:v>6.8755999999999998E-2</c:v>
                </c:pt>
                <c:pt idx="358">
                  <c:v>6.8867999999999999E-2</c:v>
                </c:pt>
                <c:pt idx="359">
                  <c:v>6.8977999999999998E-2</c:v>
                </c:pt>
                <c:pt idx="360">
                  <c:v>6.9115999999999997E-2</c:v>
                </c:pt>
                <c:pt idx="361">
                  <c:v>6.9227999999999998E-2</c:v>
                </c:pt>
                <c:pt idx="362">
                  <c:v>6.9367999999999999E-2</c:v>
                </c:pt>
                <c:pt idx="363">
                  <c:v>6.9477999999999998E-2</c:v>
                </c:pt>
                <c:pt idx="364">
                  <c:v>6.9587999999999997E-2</c:v>
                </c:pt>
                <c:pt idx="365">
                  <c:v>6.9727999999999998E-2</c:v>
                </c:pt>
                <c:pt idx="366">
                  <c:v>6.9839999999999999E-2</c:v>
                </c:pt>
                <c:pt idx="367">
                  <c:v>6.9977999999999999E-2</c:v>
                </c:pt>
                <c:pt idx="368">
                  <c:v>7.009E-2</c:v>
                </c:pt>
                <c:pt idx="369">
                  <c:v>7.0227999999999999E-2</c:v>
                </c:pt>
                <c:pt idx="370">
                  <c:v>7.0337999999999998E-2</c:v>
                </c:pt>
                <c:pt idx="371">
                  <c:v>7.0449999999999999E-2</c:v>
                </c:pt>
                <c:pt idx="372">
                  <c:v>7.059E-2</c:v>
                </c:pt>
                <c:pt idx="373">
                  <c:v>7.0699999999999999E-2</c:v>
                </c:pt>
                <c:pt idx="374">
                  <c:v>7.0812E-2</c:v>
                </c:pt>
                <c:pt idx="375">
                  <c:v>7.0924000000000001E-2</c:v>
                </c:pt>
                <c:pt idx="376">
                  <c:v>7.1034E-2</c:v>
                </c:pt>
                <c:pt idx="377">
                  <c:v>7.1143999999999999E-2</c:v>
                </c:pt>
                <c:pt idx="378">
                  <c:v>7.1256E-2</c:v>
                </c:pt>
                <c:pt idx="379">
                  <c:v>7.1368000000000001E-2</c:v>
                </c:pt>
                <c:pt idx="380">
                  <c:v>7.1478E-2</c:v>
                </c:pt>
                <c:pt idx="381">
                  <c:v>7.1590000000000001E-2</c:v>
                </c:pt>
                <c:pt idx="382">
                  <c:v>7.1702000000000002E-2</c:v>
                </c:pt>
                <c:pt idx="383">
                  <c:v>7.1809999999999999E-2</c:v>
                </c:pt>
                <c:pt idx="384">
                  <c:v>7.1919999999999998E-2</c:v>
                </c:pt>
                <c:pt idx="385">
                  <c:v>7.2031999999999999E-2</c:v>
                </c:pt>
                <c:pt idx="386">
                  <c:v>7.2144E-2</c:v>
                </c:pt>
                <c:pt idx="387">
                  <c:v>7.2253999999999999E-2</c:v>
                </c:pt>
                <c:pt idx="388">
                  <c:v>7.2368000000000002E-2</c:v>
                </c:pt>
                <c:pt idx="389">
                  <c:v>7.2508000000000003E-2</c:v>
                </c:pt>
                <c:pt idx="390">
                  <c:v>7.2644E-2</c:v>
                </c:pt>
                <c:pt idx="391">
                  <c:v>7.2784000000000001E-2</c:v>
                </c:pt>
                <c:pt idx="392">
                  <c:v>7.2924000000000003E-2</c:v>
                </c:pt>
                <c:pt idx="393">
                  <c:v>7.306E-2</c:v>
                </c:pt>
                <c:pt idx="394">
                  <c:v>7.3200000000000001E-2</c:v>
                </c:pt>
                <c:pt idx="395">
                  <c:v>7.3340000000000002E-2</c:v>
                </c:pt>
                <c:pt idx="396">
                  <c:v>7.3476E-2</c:v>
                </c:pt>
                <c:pt idx="397">
                  <c:v>7.3616000000000001E-2</c:v>
                </c:pt>
                <c:pt idx="398">
                  <c:v>7.3728000000000002E-2</c:v>
                </c:pt>
                <c:pt idx="399">
                  <c:v>7.3868000000000003E-2</c:v>
                </c:pt>
                <c:pt idx="400">
                  <c:v>7.4006000000000002E-2</c:v>
                </c:pt>
                <c:pt idx="401">
                  <c:v>7.4116000000000001E-2</c:v>
                </c:pt>
                <c:pt idx="402">
                  <c:v>7.4256000000000003E-2</c:v>
                </c:pt>
                <c:pt idx="403">
                  <c:v>7.4394000000000002E-2</c:v>
                </c:pt>
                <c:pt idx="404">
                  <c:v>7.4506000000000003E-2</c:v>
                </c:pt>
                <c:pt idx="405">
                  <c:v>7.4644000000000002E-2</c:v>
                </c:pt>
                <c:pt idx="406">
                  <c:v>7.4786000000000005E-2</c:v>
                </c:pt>
                <c:pt idx="407">
                  <c:v>7.4894000000000002E-2</c:v>
                </c:pt>
                <c:pt idx="408">
                  <c:v>7.5032000000000001E-2</c:v>
                </c:pt>
                <c:pt idx="409">
                  <c:v>7.5144000000000002E-2</c:v>
                </c:pt>
                <c:pt idx="410">
                  <c:v>7.5284000000000004E-2</c:v>
                </c:pt>
                <c:pt idx="411">
                  <c:v>7.5396000000000005E-2</c:v>
                </c:pt>
                <c:pt idx="412">
                  <c:v>7.5534000000000004E-2</c:v>
                </c:pt>
                <c:pt idx="413">
                  <c:v>7.5700000000000003E-2</c:v>
                </c:pt>
                <c:pt idx="414">
                  <c:v>7.5838000000000003E-2</c:v>
                </c:pt>
                <c:pt idx="415">
                  <c:v>7.5976000000000002E-2</c:v>
                </c:pt>
                <c:pt idx="416">
                  <c:v>7.6144000000000003E-2</c:v>
                </c:pt>
                <c:pt idx="417">
                  <c:v>7.6284000000000005E-2</c:v>
                </c:pt>
                <c:pt idx="418">
                  <c:v>7.6422000000000004E-2</c:v>
                </c:pt>
                <c:pt idx="419">
                  <c:v>7.6560000000000003E-2</c:v>
                </c:pt>
                <c:pt idx="420">
                  <c:v>7.6700000000000004E-2</c:v>
                </c:pt>
                <c:pt idx="421">
                  <c:v>7.6840000000000006E-2</c:v>
                </c:pt>
                <c:pt idx="422">
                  <c:v>7.6978000000000005E-2</c:v>
                </c:pt>
                <c:pt idx="423">
                  <c:v>7.7118000000000006E-2</c:v>
                </c:pt>
                <c:pt idx="424">
                  <c:v>7.7256000000000005E-2</c:v>
                </c:pt>
                <c:pt idx="425">
                  <c:v>7.7394000000000004E-2</c:v>
                </c:pt>
                <c:pt idx="426">
                  <c:v>7.753199999999999E-2</c:v>
                </c:pt>
                <c:pt idx="427">
                  <c:v>7.7672000000000005E-2</c:v>
                </c:pt>
                <c:pt idx="428">
                  <c:v>7.780999999999999E-2</c:v>
                </c:pt>
                <c:pt idx="429">
                  <c:v>7.7950000000000005E-2</c:v>
                </c:pt>
                <c:pt idx="430">
                  <c:v>7.8090000000000007E-2</c:v>
                </c:pt>
                <c:pt idx="431">
                  <c:v>7.8228000000000006E-2</c:v>
                </c:pt>
                <c:pt idx="432">
                  <c:v>7.8368000000000007E-2</c:v>
                </c:pt>
                <c:pt idx="433">
                  <c:v>7.8533999999999993E-2</c:v>
                </c:pt>
                <c:pt idx="434">
                  <c:v>7.8701999999999994E-2</c:v>
                </c:pt>
                <c:pt idx="435">
                  <c:v>7.8838000000000005E-2</c:v>
                </c:pt>
                <c:pt idx="436">
                  <c:v>7.9005999999999993E-2</c:v>
                </c:pt>
                <c:pt idx="437">
                  <c:v>7.9143999999999992E-2</c:v>
                </c:pt>
                <c:pt idx="438">
                  <c:v>7.9311999999999994E-2</c:v>
                </c:pt>
                <c:pt idx="439">
                  <c:v>7.9451999999999995E-2</c:v>
                </c:pt>
                <c:pt idx="440">
                  <c:v>7.9615999999999992E-2</c:v>
                </c:pt>
                <c:pt idx="441">
                  <c:v>7.9755999999999994E-2</c:v>
                </c:pt>
                <c:pt idx="442">
                  <c:v>7.9893999999999993E-2</c:v>
                </c:pt>
                <c:pt idx="443">
                  <c:v>8.0061999999999994E-2</c:v>
                </c:pt>
                <c:pt idx="444">
                  <c:v>8.0199999999999994E-2</c:v>
                </c:pt>
                <c:pt idx="445">
                  <c:v>8.0337999999999993E-2</c:v>
                </c:pt>
                <c:pt idx="446">
                  <c:v>8.0478000000000008E-2</c:v>
                </c:pt>
                <c:pt idx="447">
                  <c:v>8.0616000000000007E-2</c:v>
                </c:pt>
                <c:pt idx="448">
                  <c:v>8.0755999999999994E-2</c:v>
                </c:pt>
                <c:pt idx="449">
                  <c:v>8.089600000000001E-2</c:v>
                </c:pt>
                <c:pt idx="450">
                  <c:v>8.1059999999999993E-2</c:v>
                </c:pt>
                <c:pt idx="451">
                  <c:v>8.1226000000000007E-2</c:v>
                </c:pt>
                <c:pt idx="452">
                  <c:v>8.1394000000000008E-2</c:v>
                </c:pt>
                <c:pt idx="453">
                  <c:v>8.1560000000000007E-2</c:v>
                </c:pt>
                <c:pt idx="454">
                  <c:v>8.1729999999999997E-2</c:v>
                </c:pt>
                <c:pt idx="455">
                  <c:v>8.189600000000001E-2</c:v>
                </c:pt>
                <c:pt idx="456">
                  <c:v>8.2059999999999994E-2</c:v>
                </c:pt>
                <c:pt idx="457">
                  <c:v>8.2227999999999996E-2</c:v>
                </c:pt>
                <c:pt idx="458">
                  <c:v>8.2395999999999997E-2</c:v>
                </c:pt>
                <c:pt idx="459">
                  <c:v>8.2533999999999996E-2</c:v>
                </c:pt>
                <c:pt idx="460">
                  <c:v>8.2699999999999996E-2</c:v>
                </c:pt>
                <c:pt idx="461">
                  <c:v>8.2840000000000011E-2</c:v>
                </c:pt>
                <c:pt idx="462">
                  <c:v>8.3005999999999996E-2</c:v>
                </c:pt>
                <c:pt idx="463">
                  <c:v>8.3145999999999998E-2</c:v>
                </c:pt>
                <c:pt idx="464">
                  <c:v>8.3312000000000011E-2</c:v>
                </c:pt>
                <c:pt idx="465">
                  <c:v>8.3477999999999997E-2</c:v>
                </c:pt>
                <c:pt idx="466">
                  <c:v>8.3643999999999996E-2</c:v>
                </c:pt>
                <c:pt idx="467">
                  <c:v>8.3811999999999998E-2</c:v>
                </c:pt>
                <c:pt idx="468">
                  <c:v>8.3977999999999997E-2</c:v>
                </c:pt>
                <c:pt idx="469">
                  <c:v>8.414400000000001E-2</c:v>
                </c:pt>
                <c:pt idx="470">
                  <c:v>8.4309999999999996E-2</c:v>
                </c:pt>
                <c:pt idx="471">
                  <c:v>8.4478000000000011E-2</c:v>
                </c:pt>
                <c:pt idx="472">
                  <c:v>8.4643999999999997E-2</c:v>
                </c:pt>
                <c:pt idx="473">
                  <c:v>8.4811999999999999E-2</c:v>
                </c:pt>
                <c:pt idx="474">
                  <c:v>8.4975999999999996E-2</c:v>
                </c:pt>
                <c:pt idx="475">
                  <c:v>8.5143999999999997E-2</c:v>
                </c:pt>
                <c:pt idx="476">
                  <c:v>8.5311999999999999E-2</c:v>
                </c:pt>
                <c:pt idx="477">
                  <c:v>8.5477999999999998E-2</c:v>
                </c:pt>
                <c:pt idx="478">
                  <c:v>8.5671999999999998E-2</c:v>
                </c:pt>
                <c:pt idx="479">
                  <c:v>8.5866000000000012E-2</c:v>
                </c:pt>
                <c:pt idx="480">
                  <c:v>8.6033999999999999E-2</c:v>
                </c:pt>
                <c:pt idx="481">
                  <c:v>8.6227999999999999E-2</c:v>
                </c:pt>
                <c:pt idx="482">
                  <c:v>8.6396000000000001E-2</c:v>
                </c:pt>
                <c:pt idx="483">
                  <c:v>8.6562E-2</c:v>
                </c:pt>
                <c:pt idx="484">
                  <c:v>8.6728E-2</c:v>
                </c:pt>
                <c:pt idx="485">
                  <c:v>8.6896000000000001E-2</c:v>
                </c:pt>
                <c:pt idx="486">
                  <c:v>8.7062000000000014E-2</c:v>
                </c:pt>
                <c:pt idx="487">
                  <c:v>8.7225999999999998E-2</c:v>
                </c:pt>
                <c:pt idx="488">
                  <c:v>8.7395999999999988E-2</c:v>
                </c:pt>
                <c:pt idx="489">
                  <c:v>8.7559999999999999E-2</c:v>
                </c:pt>
                <c:pt idx="490">
                  <c:v>8.7728E-2</c:v>
                </c:pt>
                <c:pt idx="491">
                  <c:v>8.7924000000000002E-2</c:v>
                </c:pt>
                <c:pt idx="492">
                  <c:v>8.8116E-2</c:v>
                </c:pt>
                <c:pt idx="493">
                  <c:v>8.8312000000000002E-2</c:v>
                </c:pt>
                <c:pt idx="494">
                  <c:v>8.8506000000000001E-2</c:v>
                </c:pt>
                <c:pt idx="495">
                  <c:v>8.8699999999999987E-2</c:v>
                </c:pt>
                <c:pt idx="496">
                  <c:v>8.8894000000000001E-2</c:v>
                </c:pt>
                <c:pt idx="497">
                  <c:v>8.9090000000000003E-2</c:v>
                </c:pt>
                <c:pt idx="498">
                  <c:v>8.9284000000000002E-2</c:v>
                </c:pt>
                <c:pt idx="499">
                  <c:v>8.9478000000000002E-2</c:v>
                </c:pt>
                <c:pt idx="500">
                  <c:v>8.9672000000000002E-2</c:v>
                </c:pt>
                <c:pt idx="501">
                  <c:v>8.9868000000000003E-2</c:v>
                </c:pt>
                <c:pt idx="502">
                  <c:v>9.0062000000000003E-2</c:v>
                </c:pt>
                <c:pt idx="503">
                  <c:v>9.0256000000000003E-2</c:v>
                </c:pt>
                <c:pt idx="504">
                  <c:v>9.0450000000000003E-2</c:v>
                </c:pt>
                <c:pt idx="505">
                  <c:v>9.0643999999999988E-2</c:v>
                </c:pt>
                <c:pt idx="506">
                  <c:v>9.0838000000000002E-2</c:v>
                </c:pt>
                <c:pt idx="507">
                  <c:v>9.1034000000000004E-2</c:v>
                </c:pt>
                <c:pt idx="508">
                  <c:v>9.1228000000000004E-2</c:v>
                </c:pt>
                <c:pt idx="509">
                  <c:v>9.1422000000000003E-2</c:v>
                </c:pt>
                <c:pt idx="510">
                  <c:v>9.1617999999999991E-2</c:v>
                </c:pt>
                <c:pt idx="511">
                  <c:v>9.1812000000000005E-2</c:v>
                </c:pt>
                <c:pt idx="512">
                  <c:v>9.2005999999999991E-2</c:v>
                </c:pt>
                <c:pt idx="513">
                  <c:v>9.2227999999999991E-2</c:v>
                </c:pt>
                <c:pt idx="514">
                  <c:v>9.2452000000000006E-2</c:v>
                </c:pt>
                <c:pt idx="515">
                  <c:v>9.2672000000000004E-2</c:v>
                </c:pt>
                <c:pt idx="516">
                  <c:v>9.2867999999999992E-2</c:v>
                </c:pt>
                <c:pt idx="517">
                  <c:v>9.3089999999999992E-2</c:v>
                </c:pt>
                <c:pt idx="518">
                  <c:v>9.3312000000000006E-2</c:v>
                </c:pt>
                <c:pt idx="519">
                  <c:v>9.3506000000000006E-2</c:v>
                </c:pt>
                <c:pt idx="520">
                  <c:v>9.3699999999999992E-2</c:v>
                </c:pt>
                <c:pt idx="521">
                  <c:v>9.3924000000000007E-2</c:v>
                </c:pt>
                <c:pt idx="522">
                  <c:v>9.4144000000000005E-2</c:v>
                </c:pt>
                <c:pt idx="523">
                  <c:v>9.4366000000000005E-2</c:v>
                </c:pt>
                <c:pt idx="524">
                  <c:v>9.4588000000000005E-2</c:v>
                </c:pt>
                <c:pt idx="525">
                  <c:v>9.4811999999999994E-2</c:v>
                </c:pt>
                <c:pt idx="526">
                  <c:v>9.5031999999999991E-2</c:v>
                </c:pt>
                <c:pt idx="527">
                  <c:v>9.5256000000000007E-2</c:v>
                </c:pt>
                <c:pt idx="528">
                  <c:v>9.5478000000000007E-2</c:v>
                </c:pt>
                <c:pt idx="529">
                  <c:v>9.5698000000000005E-2</c:v>
                </c:pt>
                <c:pt idx="530">
                  <c:v>9.5950000000000008E-2</c:v>
                </c:pt>
                <c:pt idx="531">
                  <c:v>9.620200000000001E-2</c:v>
                </c:pt>
                <c:pt idx="532">
                  <c:v>9.6422000000000008E-2</c:v>
                </c:pt>
                <c:pt idx="533">
                  <c:v>9.667400000000001E-2</c:v>
                </c:pt>
                <c:pt idx="534">
                  <c:v>9.6921999999999994E-2</c:v>
                </c:pt>
                <c:pt idx="535">
                  <c:v>9.714600000000001E-2</c:v>
                </c:pt>
                <c:pt idx="536">
                  <c:v>9.7363999999999992E-2</c:v>
                </c:pt>
                <c:pt idx="537">
                  <c:v>9.759000000000001E-2</c:v>
                </c:pt>
                <c:pt idx="538">
                  <c:v>9.784000000000001E-2</c:v>
                </c:pt>
                <c:pt idx="539">
                  <c:v>9.8087999999999995E-2</c:v>
                </c:pt>
                <c:pt idx="540">
                  <c:v>9.8339999999999997E-2</c:v>
                </c:pt>
                <c:pt idx="541">
                  <c:v>9.8588000000000009E-2</c:v>
                </c:pt>
                <c:pt idx="542">
                  <c:v>9.8838000000000009E-2</c:v>
                </c:pt>
                <c:pt idx="543">
                  <c:v>9.9090000000000011E-2</c:v>
                </c:pt>
                <c:pt idx="544">
                  <c:v>9.9339999999999998E-2</c:v>
                </c:pt>
                <c:pt idx="545">
                  <c:v>9.9589999999999998E-2</c:v>
                </c:pt>
                <c:pt idx="546">
                  <c:v>9.983800000000001E-2</c:v>
                </c:pt>
                <c:pt idx="547">
                  <c:v>0.10009</c:v>
                </c:pt>
                <c:pt idx="548">
                  <c:v>0.10034000000000001</c:v>
                </c:pt>
                <c:pt idx="549">
                  <c:v>0.100588</c:v>
                </c:pt>
                <c:pt idx="550">
                  <c:v>0.10084</c:v>
                </c:pt>
                <c:pt idx="551">
                  <c:v>0.10108800000000001</c:v>
                </c:pt>
                <c:pt idx="552">
                  <c:v>0.10134</c:v>
                </c:pt>
                <c:pt idx="553">
                  <c:v>0.10159000000000001</c:v>
                </c:pt>
                <c:pt idx="554">
                  <c:v>0.101838</c:v>
                </c:pt>
                <c:pt idx="555">
                  <c:v>0.10209</c:v>
                </c:pt>
                <c:pt idx="556">
                  <c:v>0.10234</c:v>
                </c:pt>
                <c:pt idx="557">
                  <c:v>0.10258800000000001</c:v>
                </c:pt>
                <c:pt idx="558">
                  <c:v>0.102838</c:v>
                </c:pt>
                <c:pt idx="559">
                  <c:v>0.10308999999999999</c:v>
                </c:pt>
                <c:pt idx="560">
                  <c:v>0.10336600000000001</c:v>
                </c:pt>
                <c:pt idx="561">
                  <c:v>0.10364599999999999</c:v>
                </c:pt>
                <c:pt idx="562">
                  <c:v>0.103924</c:v>
                </c:pt>
                <c:pt idx="563">
                  <c:v>0.104198</c:v>
                </c:pt>
                <c:pt idx="564">
                  <c:v>0.10447800000000002</c:v>
                </c:pt>
                <c:pt idx="565">
                  <c:v>0.104756</c:v>
                </c:pt>
                <c:pt idx="566">
                  <c:v>0.10503399999999999</c:v>
                </c:pt>
                <c:pt idx="567">
                  <c:v>0.10531</c:v>
                </c:pt>
                <c:pt idx="568">
                  <c:v>0.10558999999999999</c:v>
                </c:pt>
                <c:pt idx="569">
                  <c:v>0.105866</c:v>
                </c:pt>
                <c:pt idx="570">
                  <c:v>0.106144</c:v>
                </c:pt>
                <c:pt idx="571">
                  <c:v>0.106422</c:v>
                </c:pt>
                <c:pt idx="572">
                  <c:v>0.1067</c:v>
                </c:pt>
                <c:pt idx="573">
                  <c:v>0.10700599999999999</c:v>
                </c:pt>
                <c:pt idx="574">
                  <c:v>0.10731</c:v>
                </c:pt>
                <c:pt idx="575">
                  <c:v>0.10761599999999999</c:v>
                </c:pt>
                <c:pt idx="576">
                  <c:v>0.10792199999999999</c:v>
                </c:pt>
                <c:pt idx="577">
                  <c:v>0.10822599999999999</c:v>
                </c:pt>
                <c:pt idx="578">
                  <c:v>0.10853199999999999</c:v>
                </c:pt>
                <c:pt idx="579">
                  <c:v>0.108838</c:v>
                </c:pt>
                <c:pt idx="580">
                  <c:v>0.109144</c:v>
                </c:pt>
                <c:pt idx="581">
                  <c:v>0.10945000000000001</c:v>
                </c:pt>
                <c:pt idx="582">
                  <c:v>0.109754</c:v>
                </c:pt>
                <c:pt idx="583">
                  <c:v>0.11006199999999999</c:v>
                </c:pt>
                <c:pt idx="584">
                  <c:v>0.11039199999999999</c:v>
                </c:pt>
                <c:pt idx="585">
                  <c:v>0.11072800000000001</c:v>
                </c:pt>
                <c:pt idx="586">
                  <c:v>0.11106199999999999</c:v>
                </c:pt>
                <c:pt idx="587">
                  <c:v>0.111396</c:v>
                </c:pt>
                <c:pt idx="588">
                  <c:v>0.111702</c:v>
                </c:pt>
                <c:pt idx="589">
                  <c:v>0.11200599999999999</c:v>
                </c:pt>
                <c:pt idx="590">
                  <c:v>0.112312</c:v>
                </c:pt>
                <c:pt idx="591">
                  <c:v>0.11261599999999999</c:v>
                </c:pt>
                <c:pt idx="592">
                  <c:v>0.11294999999999999</c:v>
                </c:pt>
                <c:pt idx="593">
                  <c:v>0.113258</c:v>
                </c:pt>
                <c:pt idx="594">
                  <c:v>0.113562</c:v>
                </c:pt>
                <c:pt idx="595">
                  <c:v>0.113896</c:v>
                </c:pt>
                <c:pt idx="596">
                  <c:v>0.11422599999999999</c:v>
                </c:pt>
                <c:pt idx="597">
                  <c:v>0.11456200000000001</c:v>
                </c:pt>
                <c:pt idx="598">
                  <c:v>0.114894</c:v>
                </c:pt>
                <c:pt idx="599">
                  <c:v>0.115228</c:v>
                </c:pt>
                <c:pt idx="600">
                  <c:v>0.11559</c:v>
                </c:pt>
                <c:pt idx="601">
                  <c:v>0.11595000000000001</c:v>
                </c:pt>
                <c:pt idx="602">
                  <c:v>0.116312</c:v>
                </c:pt>
                <c:pt idx="603">
                  <c:v>0.116672</c:v>
                </c:pt>
                <c:pt idx="604">
                  <c:v>0.117006</c:v>
                </c:pt>
                <c:pt idx="605">
                  <c:v>0.117366</c:v>
                </c:pt>
                <c:pt idx="606">
                  <c:v>0.117728</c:v>
                </c:pt>
                <c:pt idx="607">
                  <c:v>0.11808999999999999</c:v>
                </c:pt>
                <c:pt idx="608">
                  <c:v>0.118448</c:v>
                </c:pt>
                <c:pt idx="609">
                  <c:v>0.11884</c:v>
                </c:pt>
                <c:pt idx="610">
                  <c:v>0.119228</c:v>
                </c:pt>
                <c:pt idx="611">
                  <c:v>0.119616</c:v>
                </c:pt>
                <c:pt idx="612">
                  <c:v>0.119978</c:v>
                </c:pt>
                <c:pt idx="613">
                  <c:v>0.120338</c:v>
                </c:pt>
                <c:pt idx="614">
                  <c:v>0.120728</c:v>
                </c:pt>
                <c:pt idx="615">
                  <c:v>0.12111599999999999</c:v>
                </c:pt>
                <c:pt idx="616">
                  <c:v>0.121506</c:v>
                </c:pt>
                <c:pt idx="617">
                  <c:v>0.121866</c:v>
                </c:pt>
                <c:pt idx="618">
                  <c:v>0.122256</c:v>
                </c:pt>
                <c:pt idx="619">
                  <c:v>0.122644</c:v>
                </c:pt>
                <c:pt idx="620">
                  <c:v>0.123034</c:v>
                </c:pt>
                <c:pt idx="621">
                  <c:v>0.12342</c:v>
                </c:pt>
                <c:pt idx="622">
                  <c:v>0.12381199999999999</c:v>
                </c:pt>
                <c:pt idx="623">
                  <c:v>0.12422800000000001</c:v>
                </c:pt>
                <c:pt idx="624">
                  <c:v>0.12461800000000001</c:v>
                </c:pt>
                <c:pt idx="625">
                  <c:v>0.12503399999999998</c:v>
                </c:pt>
                <c:pt idx="626">
                  <c:v>0.12545000000000001</c:v>
                </c:pt>
                <c:pt idx="627">
                  <c:v>0.12586600000000001</c:v>
                </c:pt>
                <c:pt idx="628">
                  <c:v>0.12628600000000001</c:v>
                </c:pt>
                <c:pt idx="629">
                  <c:v>0.12670000000000001</c:v>
                </c:pt>
                <c:pt idx="630">
                  <c:v>0.12711800000000001</c:v>
                </c:pt>
                <c:pt idx="631">
                  <c:v>0.12753399999999998</c:v>
                </c:pt>
                <c:pt idx="632">
                  <c:v>0.12795199999999998</c:v>
                </c:pt>
                <c:pt idx="633">
                  <c:v>0.12839400000000001</c:v>
                </c:pt>
                <c:pt idx="634">
                  <c:v>0.12883800000000001</c:v>
                </c:pt>
                <c:pt idx="635">
                  <c:v>0.12928400000000001</c:v>
                </c:pt>
                <c:pt idx="636">
                  <c:v>0.12972600000000001</c:v>
                </c:pt>
                <c:pt idx="637">
                  <c:v>0.13017400000000001</c:v>
                </c:pt>
                <c:pt idx="638">
                  <c:v>0.13061800000000001</c:v>
                </c:pt>
                <c:pt idx="639">
                  <c:v>0.13106199999999998</c:v>
                </c:pt>
                <c:pt idx="640">
                  <c:v>0.13150600000000001</c:v>
                </c:pt>
                <c:pt idx="641">
                  <c:v>0.13195000000000001</c:v>
                </c:pt>
                <c:pt idx="642">
                  <c:v>0.13242200000000001</c:v>
                </c:pt>
                <c:pt idx="643">
                  <c:v>0.13289600000000001</c:v>
                </c:pt>
                <c:pt idx="644">
                  <c:v>0.13336800000000001</c:v>
                </c:pt>
                <c:pt idx="645">
                  <c:v>0.13384000000000001</c:v>
                </c:pt>
                <c:pt idx="646">
                  <c:v>0.13430999999999998</c:v>
                </c:pt>
                <c:pt idx="647">
                  <c:v>0.13478400000000001</c:v>
                </c:pt>
                <c:pt idx="648">
                  <c:v>0.13525600000000002</c:v>
                </c:pt>
                <c:pt idx="649">
                  <c:v>0.13575599999999999</c:v>
                </c:pt>
                <c:pt idx="650">
                  <c:v>0.13625600000000002</c:v>
                </c:pt>
                <c:pt idx="651">
                  <c:v>0.13678399999999999</c:v>
                </c:pt>
                <c:pt idx="652">
                  <c:v>0.13730999999999999</c:v>
                </c:pt>
                <c:pt idx="653">
                  <c:v>0.13784000000000002</c:v>
                </c:pt>
                <c:pt idx="654">
                  <c:v>0.13836799999999999</c:v>
                </c:pt>
                <c:pt idx="655">
                  <c:v>0.13889399999999999</c:v>
                </c:pt>
                <c:pt idx="656">
                  <c:v>0.13944999999999999</c:v>
                </c:pt>
                <c:pt idx="657">
                  <c:v>0.13997799999999999</c:v>
                </c:pt>
                <c:pt idx="658">
                  <c:v>0.14053399999999999</c:v>
                </c:pt>
                <c:pt idx="659">
                  <c:v>0.14108799999999999</c:v>
                </c:pt>
                <c:pt idx="660">
                  <c:v>0.14164599999999999</c:v>
                </c:pt>
                <c:pt idx="661">
                  <c:v>0.14219999999999999</c:v>
                </c:pt>
                <c:pt idx="662">
                  <c:v>0.14275399999999999</c:v>
                </c:pt>
                <c:pt idx="663">
                  <c:v>0.14334</c:v>
                </c:pt>
                <c:pt idx="664">
                  <c:v>0.143952</c:v>
                </c:pt>
              </c:numCache>
            </c:numRef>
          </c:cat>
          <c:val>
            <c:numRef>
              <c:f>'A21-5'!$F$2:$F$666</c:f>
              <c:numCache>
                <c:formatCode>0.00</c:formatCode>
                <c:ptCount val="665"/>
                <c:pt idx="0">
                  <c:v>0</c:v>
                </c:pt>
                <c:pt idx="1">
                  <c:v>1.6055652042588537E-2</c:v>
                </c:pt>
                <c:pt idx="2">
                  <c:v>1.6055652042588537E-2</c:v>
                </c:pt>
                <c:pt idx="3">
                  <c:v>1.6055652042588537E-2</c:v>
                </c:pt>
                <c:pt idx="4">
                  <c:v>2.0069329079513705E-2</c:v>
                </c:pt>
                <c:pt idx="5">
                  <c:v>2.0069329079513705E-2</c:v>
                </c:pt>
                <c:pt idx="6">
                  <c:v>2.0069329079513705E-2</c:v>
                </c:pt>
                <c:pt idx="7">
                  <c:v>2.0069329079513705E-2</c:v>
                </c:pt>
                <c:pt idx="8">
                  <c:v>2.0069329079513705E-2</c:v>
                </c:pt>
                <c:pt idx="9">
                  <c:v>2.0069329079513705E-2</c:v>
                </c:pt>
                <c:pt idx="10">
                  <c:v>2.0069329079513705E-2</c:v>
                </c:pt>
                <c:pt idx="11">
                  <c:v>2.0069329079513705E-2</c:v>
                </c:pt>
                <c:pt idx="12">
                  <c:v>2.0069329079513705E-2</c:v>
                </c:pt>
                <c:pt idx="13">
                  <c:v>2.0069329079513705E-2</c:v>
                </c:pt>
                <c:pt idx="14">
                  <c:v>2.0069329079513705E-2</c:v>
                </c:pt>
                <c:pt idx="15">
                  <c:v>2.0069329079513705E-2</c:v>
                </c:pt>
                <c:pt idx="16">
                  <c:v>2.4083478063882804E-2</c:v>
                </c:pt>
                <c:pt idx="17">
                  <c:v>2.0069329079513705E-2</c:v>
                </c:pt>
                <c:pt idx="18">
                  <c:v>2.4083478063882804E-2</c:v>
                </c:pt>
                <c:pt idx="19">
                  <c:v>2.4083478063882804E-2</c:v>
                </c:pt>
                <c:pt idx="20">
                  <c:v>2.0069329079513705E-2</c:v>
                </c:pt>
                <c:pt idx="21">
                  <c:v>2.4083478063882804E-2</c:v>
                </c:pt>
                <c:pt idx="22">
                  <c:v>2.4083478063882804E-2</c:v>
                </c:pt>
                <c:pt idx="23">
                  <c:v>2.4083478063882804E-2</c:v>
                </c:pt>
                <c:pt idx="24">
                  <c:v>2.8097391074529944E-2</c:v>
                </c:pt>
                <c:pt idx="25">
                  <c:v>3.2111304085177074E-2</c:v>
                </c:pt>
                <c:pt idx="26">
                  <c:v>3.2111304085177074E-2</c:v>
                </c:pt>
                <c:pt idx="27">
                  <c:v>3.6125217095824204E-2</c:v>
                </c:pt>
                <c:pt idx="28">
                  <c:v>3.6125217095824204E-2</c:v>
                </c:pt>
                <c:pt idx="29">
                  <c:v>4.0139130106471348E-2</c:v>
                </c:pt>
                <c:pt idx="30">
                  <c:v>4.0139130106471348E-2</c:v>
                </c:pt>
                <c:pt idx="31">
                  <c:v>4.0139130106471348E-2</c:v>
                </c:pt>
                <c:pt idx="32">
                  <c:v>4.4153043117118478E-2</c:v>
                </c:pt>
                <c:pt idx="33">
                  <c:v>4.4153043117118478E-2</c:v>
                </c:pt>
                <c:pt idx="34">
                  <c:v>4.4153043117118478E-2</c:v>
                </c:pt>
                <c:pt idx="35">
                  <c:v>4.4153043117118478E-2</c:v>
                </c:pt>
                <c:pt idx="36">
                  <c:v>4.8166956127765607E-2</c:v>
                </c:pt>
                <c:pt idx="37">
                  <c:v>4.8166956127765607E-2</c:v>
                </c:pt>
                <c:pt idx="38">
                  <c:v>5.2180869138412744E-2</c:v>
                </c:pt>
                <c:pt idx="39">
                  <c:v>6.0208695159707018E-2</c:v>
                </c:pt>
                <c:pt idx="40">
                  <c:v>6.8236521181001278E-2</c:v>
                </c:pt>
                <c:pt idx="41">
                  <c:v>7.6264347202295552E-2</c:v>
                </c:pt>
                <c:pt idx="42">
                  <c:v>8.4292173223589825E-2</c:v>
                </c:pt>
                <c:pt idx="43">
                  <c:v>9.6333912255531215E-2</c:v>
                </c:pt>
                <c:pt idx="44">
                  <c:v>0.10436173827682549</c:v>
                </c:pt>
                <c:pt idx="45">
                  <c:v>0.11238956429811978</c:v>
                </c:pt>
                <c:pt idx="46">
                  <c:v>0.12443130333006117</c:v>
                </c:pt>
                <c:pt idx="47">
                  <c:v>0.1284452163407083</c:v>
                </c:pt>
                <c:pt idx="48">
                  <c:v>0.14048695537264971</c:v>
                </c:pt>
                <c:pt idx="49">
                  <c:v>0.148514781393944</c:v>
                </c:pt>
                <c:pt idx="50">
                  <c:v>0.15654260741523826</c:v>
                </c:pt>
                <c:pt idx="51">
                  <c:v>0.16457043343653249</c:v>
                </c:pt>
                <c:pt idx="52">
                  <c:v>0.16858434644717965</c:v>
                </c:pt>
                <c:pt idx="53">
                  <c:v>0.16858434644717965</c:v>
                </c:pt>
                <c:pt idx="54">
                  <c:v>0.18062372574190139</c:v>
                </c:pt>
                <c:pt idx="55">
                  <c:v>0.18062372574190139</c:v>
                </c:pt>
                <c:pt idx="56">
                  <c:v>0.18865155176319567</c:v>
                </c:pt>
                <c:pt idx="57">
                  <c:v>0.19266546477384278</c:v>
                </c:pt>
                <c:pt idx="58">
                  <c:v>0.19667937778448991</c:v>
                </c:pt>
                <c:pt idx="59">
                  <c:v>0.20069329079513704</c:v>
                </c:pt>
                <c:pt idx="60">
                  <c:v>0.20872111681643135</c:v>
                </c:pt>
                <c:pt idx="61">
                  <c:v>0.21273502982707845</c:v>
                </c:pt>
                <c:pt idx="62">
                  <c:v>0.21674894283772558</c:v>
                </c:pt>
                <c:pt idx="63">
                  <c:v>0.22879068186966703</c:v>
                </c:pt>
                <c:pt idx="64">
                  <c:v>0.23280459488031413</c:v>
                </c:pt>
                <c:pt idx="65">
                  <c:v>0.2368232273654006</c:v>
                </c:pt>
                <c:pt idx="66">
                  <c:v>0.24083478063882807</c:v>
                </c:pt>
                <c:pt idx="67">
                  <c:v>0.25286944045911047</c:v>
                </c:pt>
                <c:pt idx="68">
                  <c:v>0.26089254700596543</c:v>
                </c:pt>
                <c:pt idx="69">
                  <c:v>0.26893925092501697</c:v>
                </c:pt>
                <c:pt idx="70">
                  <c:v>0.27295080419844447</c:v>
                </c:pt>
                <c:pt idx="71">
                  <c:v>0.28097391074529943</c:v>
                </c:pt>
                <c:pt idx="72">
                  <c:v>0.28498546401872688</c:v>
                </c:pt>
                <c:pt idx="73">
                  <c:v>0.29702012383900928</c:v>
                </c:pt>
                <c:pt idx="74">
                  <c:v>0.30103167711243672</c:v>
                </c:pt>
                <c:pt idx="75">
                  <c:v>0.30907838103148838</c:v>
                </c:pt>
                <c:pt idx="76">
                  <c:v>0.31710148757834333</c:v>
                </c:pt>
                <c:pt idx="77">
                  <c:v>0.32512459412519829</c:v>
                </c:pt>
                <c:pt idx="78">
                  <c:v>0.33314770067205313</c:v>
                </c:pt>
                <c:pt idx="79">
                  <c:v>0.34117080721890808</c:v>
                </c:pt>
                <c:pt idx="80">
                  <c:v>0.34921751113795968</c:v>
                </c:pt>
                <c:pt idx="81">
                  <c:v>0.36125217095824208</c:v>
                </c:pt>
                <c:pt idx="82">
                  <c:v>0.37328683077852454</c:v>
                </c:pt>
                <c:pt idx="83">
                  <c:v>0.38532149059880694</c:v>
                </c:pt>
                <c:pt idx="84">
                  <c:v>0.39737974779128599</c:v>
                </c:pt>
                <c:pt idx="85">
                  <c:v>0.40540285433814094</c:v>
                </c:pt>
                <c:pt idx="86">
                  <c:v>0.41743751415842334</c:v>
                </c:pt>
                <c:pt idx="87">
                  <c:v>0.42949577135090239</c:v>
                </c:pt>
                <c:pt idx="88">
                  <c:v>0.44153043117118473</c:v>
                </c:pt>
                <c:pt idx="89">
                  <c:v>0.45356509099146719</c:v>
                </c:pt>
                <c:pt idx="90">
                  <c:v>0.46559975081174965</c:v>
                </c:pt>
                <c:pt idx="91">
                  <c:v>0.4776580080042287</c:v>
                </c:pt>
                <c:pt idx="92">
                  <c:v>0.48969266782451104</c:v>
                </c:pt>
                <c:pt idx="93">
                  <c:v>0.50172732764479344</c:v>
                </c:pt>
                <c:pt idx="94">
                  <c:v>0.51378558483727255</c:v>
                </c:pt>
                <c:pt idx="95">
                  <c:v>0.52582024465755506</c:v>
                </c:pt>
                <c:pt idx="96">
                  <c:v>0.54186645775126496</c:v>
                </c:pt>
                <c:pt idx="97">
                  <c:v>0.55392471494374385</c:v>
                </c:pt>
                <c:pt idx="98">
                  <c:v>0.56595937476402636</c:v>
                </c:pt>
                <c:pt idx="99">
                  <c:v>0.57799403458430876</c:v>
                </c:pt>
                <c:pt idx="100">
                  <c:v>0.59005229177678775</c:v>
                </c:pt>
                <c:pt idx="101">
                  <c:v>0.60609850487049766</c:v>
                </c:pt>
                <c:pt idx="102">
                  <c:v>0.61813316469078006</c:v>
                </c:pt>
                <c:pt idx="103">
                  <c:v>0.63019142188325905</c:v>
                </c:pt>
                <c:pt idx="104">
                  <c:v>0.64222608170354156</c:v>
                </c:pt>
                <c:pt idx="105">
                  <c:v>0.65827229479725147</c:v>
                </c:pt>
                <c:pt idx="106">
                  <c:v>0.67033055198973046</c:v>
                </c:pt>
                <c:pt idx="107">
                  <c:v>0.68236521181001297</c:v>
                </c:pt>
                <c:pt idx="108">
                  <c:v>0.69439987163029526</c:v>
                </c:pt>
                <c:pt idx="109">
                  <c:v>0.71044608472400506</c:v>
                </c:pt>
                <c:pt idx="110">
                  <c:v>0.72250434191648416</c:v>
                </c:pt>
                <c:pt idx="111">
                  <c:v>0.73453900173676667</c:v>
                </c:pt>
                <c:pt idx="112">
                  <c:v>0.75058521483047647</c:v>
                </c:pt>
                <c:pt idx="113">
                  <c:v>0.76264347202295568</c:v>
                </c:pt>
                <c:pt idx="114">
                  <c:v>0.77868968511666548</c:v>
                </c:pt>
                <c:pt idx="115">
                  <c:v>0.79475949558257197</c:v>
                </c:pt>
                <c:pt idx="116">
                  <c:v>0.81080570867628188</c:v>
                </c:pt>
                <c:pt idx="117">
                  <c:v>0.82685192176999178</c:v>
                </c:pt>
                <c:pt idx="118">
                  <c:v>0.84292173223589817</c:v>
                </c:pt>
                <c:pt idx="119">
                  <c:v>0.85896794532960818</c:v>
                </c:pt>
                <c:pt idx="120">
                  <c:v>0.87503775579551468</c:v>
                </c:pt>
                <c:pt idx="121">
                  <c:v>0.89108396888922459</c:v>
                </c:pt>
                <c:pt idx="122">
                  <c:v>0.90713018198293438</c:v>
                </c:pt>
                <c:pt idx="123">
                  <c:v>0.92319999244884088</c:v>
                </c:pt>
                <c:pt idx="124">
                  <c:v>0.93924620554255078</c:v>
                </c:pt>
                <c:pt idx="125">
                  <c:v>0.95531601600845739</c:v>
                </c:pt>
                <c:pt idx="126">
                  <c:v>0.97136222910216719</c:v>
                </c:pt>
                <c:pt idx="127">
                  <c:v>0.98740844219587709</c:v>
                </c:pt>
                <c:pt idx="128">
                  <c:v>1.0034782526617836</c:v>
                </c:pt>
                <c:pt idx="129">
                  <c:v>1.0195244657554936</c:v>
                </c:pt>
                <c:pt idx="130">
                  <c:v>1.0355706788492032</c:v>
                </c:pt>
                <c:pt idx="131">
                  <c:v>1.0516404893151101</c:v>
                </c:pt>
                <c:pt idx="132">
                  <c:v>1.0676867024088199</c:v>
                </c:pt>
                <c:pt idx="133">
                  <c:v>1.0837565128747262</c:v>
                </c:pt>
                <c:pt idx="134">
                  <c:v>1.0998027259684362</c:v>
                </c:pt>
                <c:pt idx="135">
                  <c:v>1.115848939062146</c:v>
                </c:pt>
                <c:pt idx="136">
                  <c:v>1.1319187495280527</c:v>
                </c:pt>
                <c:pt idx="137">
                  <c:v>1.1479649626217627</c:v>
                </c:pt>
                <c:pt idx="138">
                  <c:v>1.164034773087669</c:v>
                </c:pt>
                <c:pt idx="139">
                  <c:v>1.1800809861813788</c:v>
                </c:pt>
                <c:pt idx="140">
                  <c:v>1.1961271992750888</c:v>
                </c:pt>
                <c:pt idx="141">
                  <c:v>1.2121970097409953</c:v>
                </c:pt>
                <c:pt idx="142">
                  <c:v>1.2282432228347051</c:v>
                </c:pt>
                <c:pt idx="143">
                  <c:v>1.2443130333006116</c:v>
                </c:pt>
                <c:pt idx="144">
                  <c:v>1.2643707996677491</c:v>
                </c:pt>
                <c:pt idx="145">
                  <c:v>1.2804406101336556</c:v>
                </c:pt>
                <c:pt idx="146">
                  <c:v>1.2964868232273654</c:v>
                </c:pt>
                <c:pt idx="147">
                  <c:v>1.3125330363210754</c:v>
                </c:pt>
                <c:pt idx="148">
                  <c:v>1.3326144000604092</c:v>
                </c:pt>
                <c:pt idx="149">
                  <c:v>1.348660613154119</c:v>
                </c:pt>
                <c:pt idx="150">
                  <c:v>1.3647304236200259</c:v>
                </c:pt>
                <c:pt idx="151">
                  <c:v>1.3807766367137357</c:v>
                </c:pt>
                <c:pt idx="152">
                  <c:v>1.400834403080873</c:v>
                </c:pt>
                <c:pt idx="153">
                  <c:v>1.420915766820207</c:v>
                </c:pt>
                <c:pt idx="154">
                  <c:v>1.4409735331873441</c:v>
                </c:pt>
                <c:pt idx="155">
                  <c:v>1.4610548969266783</c:v>
                </c:pt>
                <c:pt idx="156">
                  <c:v>1.4811126632938156</c:v>
                </c:pt>
                <c:pt idx="157">
                  <c:v>1.5011940270331494</c:v>
                </c:pt>
                <c:pt idx="158">
                  <c:v>1.5172402401268594</c:v>
                </c:pt>
                <c:pt idx="159">
                  <c:v>1.5333100505927659</c:v>
                </c:pt>
                <c:pt idx="160">
                  <c:v>1.5493562636864759</c:v>
                </c:pt>
                <c:pt idx="161">
                  <c:v>1.5654260741523822</c:v>
                </c:pt>
                <c:pt idx="162">
                  <c:v>1.5814722872460925</c:v>
                </c:pt>
                <c:pt idx="163">
                  <c:v>1.597518500339802</c:v>
                </c:pt>
                <c:pt idx="164">
                  <c:v>1.6135883108057085</c:v>
                </c:pt>
                <c:pt idx="165">
                  <c:v>1.6296345238994188</c:v>
                </c:pt>
                <c:pt idx="166">
                  <c:v>1.645704334365325</c:v>
                </c:pt>
                <c:pt idx="167">
                  <c:v>1.6617505474590353</c:v>
                </c:pt>
                <c:pt idx="168">
                  <c:v>1.6777967605527448</c:v>
                </c:pt>
                <c:pt idx="169">
                  <c:v>1.6938665710186513</c:v>
                </c:pt>
                <c:pt idx="170">
                  <c:v>1.7099127841123614</c:v>
                </c:pt>
                <c:pt idx="171">
                  <c:v>1.7259589972060712</c:v>
                </c:pt>
                <c:pt idx="172">
                  <c:v>1.7420288076719774</c:v>
                </c:pt>
                <c:pt idx="173">
                  <c:v>1.7580750207656877</c:v>
                </c:pt>
                <c:pt idx="174">
                  <c:v>1.7741448312315942</c:v>
                </c:pt>
                <c:pt idx="175">
                  <c:v>1.7942025975987315</c:v>
                </c:pt>
                <c:pt idx="176">
                  <c:v>1.810272408064638</c:v>
                </c:pt>
                <c:pt idx="177">
                  <c:v>1.8263186211583478</c:v>
                </c:pt>
                <c:pt idx="178">
                  <c:v>1.8423648342520578</c:v>
                </c:pt>
                <c:pt idx="179">
                  <c:v>1.8584346447179643</c:v>
                </c:pt>
                <c:pt idx="180">
                  <c:v>1.8744808578116743</c:v>
                </c:pt>
                <c:pt idx="181">
                  <c:v>1.8945622215510083</c:v>
                </c:pt>
                <c:pt idx="182">
                  <c:v>1.9106084346447179</c:v>
                </c:pt>
                <c:pt idx="183">
                  <c:v>1.9266546477384281</c:v>
                </c:pt>
                <c:pt idx="184">
                  <c:v>1.9467360114777619</c:v>
                </c:pt>
                <c:pt idx="185">
                  <c:v>1.9627822245714719</c:v>
                </c:pt>
                <c:pt idx="186">
                  <c:v>1.9788520350373782</c:v>
                </c:pt>
                <c:pt idx="187">
                  <c:v>1.9989098014045157</c:v>
                </c:pt>
                <c:pt idx="188">
                  <c:v>2.0149796118704222</c:v>
                </c:pt>
                <c:pt idx="189">
                  <c:v>2.0310258249641318</c:v>
                </c:pt>
                <c:pt idx="190">
                  <c:v>2.0510835913312695</c:v>
                </c:pt>
                <c:pt idx="191">
                  <c:v>2.0671534017971758</c:v>
                </c:pt>
                <c:pt idx="192">
                  <c:v>2.0831996148908858</c:v>
                </c:pt>
                <c:pt idx="193">
                  <c:v>2.1032809786302202</c:v>
                </c:pt>
                <c:pt idx="194">
                  <c:v>2.1193271917239298</c:v>
                </c:pt>
                <c:pt idx="195">
                  <c:v>2.1353970021898361</c:v>
                </c:pt>
                <c:pt idx="196">
                  <c:v>2.1514432152835461</c:v>
                </c:pt>
                <c:pt idx="197">
                  <c:v>2.1715009816506834</c:v>
                </c:pt>
                <c:pt idx="198">
                  <c:v>2.1875707921165897</c:v>
                </c:pt>
                <c:pt idx="199">
                  <c:v>2.2036170052103001</c:v>
                </c:pt>
                <c:pt idx="200">
                  <c:v>2.2236983689496341</c:v>
                </c:pt>
                <c:pt idx="201">
                  <c:v>2.2397445820433437</c:v>
                </c:pt>
                <c:pt idx="202">
                  <c:v>2.2598259457826777</c:v>
                </c:pt>
                <c:pt idx="203">
                  <c:v>2.2758721588763873</c:v>
                </c:pt>
                <c:pt idx="204">
                  <c:v>2.2959535226157213</c:v>
                </c:pt>
                <c:pt idx="205">
                  <c:v>2.3119997357094317</c:v>
                </c:pt>
                <c:pt idx="206">
                  <c:v>2.3320575020765686</c:v>
                </c:pt>
                <c:pt idx="207">
                  <c:v>2.3521388658159026</c:v>
                </c:pt>
                <c:pt idx="208">
                  <c:v>2.368232273654006</c:v>
                </c:pt>
                <c:pt idx="209">
                  <c:v>2.384278486747716</c:v>
                </c:pt>
                <c:pt idx="210">
                  <c:v>2.4003246998414256</c:v>
                </c:pt>
                <c:pt idx="211">
                  <c:v>2.4163709129351361</c:v>
                </c:pt>
                <c:pt idx="212">
                  <c:v>2.4364286793022729</c:v>
                </c:pt>
                <c:pt idx="213">
                  <c:v>2.4524748923959829</c:v>
                </c:pt>
                <c:pt idx="214">
                  <c:v>2.4685211054896925</c:v>
                </c:pt>
                <c:pt idx="215">
                  <c:v>2.4885788718568302</c:v>
                </c:pt>
                <c:pt idx="216">
                  <c:v>2.5086366382239675</c:v>
                </c:pt>
                <c:pt idx="217">
                  <c:v>2.5286944045911048</c:v>
                </c:pt>
                <c:pt idx="218">
                  <c:v>2.5487521709582426</c:v>
                </c:pt>
                <c:pt idx="219">
                  <c:v>2.5688099373253794</c:v>
                </c:pt>
                <c:pt idx="220">
                  <c:v>2.5888677036925167</c:v>
                </c:pt>
                <c:pt idx="221">
                  <c:v>2.608925470059654</c:v>
                </c:pt>
                <c:pt idx="222">
                  <c:v>2.624971683153364</c:v>
                </c:pt>
                <c:pt idx="223">
                  <c:v>2.6452654232424675</c:v>
                </c:pt>
                <c:pt idx="224">
                  <c:v>2.6653231896096052</c:v>
                </c:pt>
                <c:pt idx="225">
                  <c:v>2.6853809559767425</c:v>
                </c:pt>
                <c:pt idx="226">
                  <c:v>2.7014271690704525</c:v>
                </c:pt>
                <c:pt idx="227">
                  <c:v>2.7214849354375898</c:v>
                </c:pt>
                <c:pt idx="228">
                  <c:v>2.7415427018047271</c:v>
                </c:pt>
                <c:pt idx="229">
                  <c:v>2.7575889148984372</c:v>
                </c:pt>
                <c:pt idx="230">
                  <c:v>2.7736351279921472</c:v>
                </c:pt>
                <c:pt idx="231">
                  <c:v>2.793692894359284</c:v>
                </c:pt>
                <c:pt idx="232">
                  <c:v>2.8097391074529936</c:v>
                </c:pt>
                <c:pt idx="233">
                  <c:v>2.8297968738201318</c:v>
                </c:pt>
                <c:pt idx="234">
                  <c:v>2.8458430869138414</c:v>
                </c:pt>
                <c:pt idx="235">
                  <c:v>2.8659008532809787</c:v>
                </c:pt>
                <c:pt idx="236">
                  <c:v>2.8819470663746882</c:v>
                </c:pt>
                <c:pt idx="237">
                  <c:v>2.8979932794683987</c:v>
                </c:pt>
                <c:pt idx="238">
                  <c:v>2.918051045835536</c:v>
                </c:pt>
                <c:pt idx="239">
                  <c:v>2.9340972589292456</c:v>
                </c:pt>
                <c:pt idx="240">
                  <c:v>2.9501434720229551</c:v>
                </c:pt>
                <c:pt idx="241">
                  <c:v>2.9702012383900933</c:v>
                </c:pt>
                <c:pt idx="242">
                  <c:v>2.9862474514838029</c:v>
                </c:pt>
                <c:pt idx="243">
                  <c:v>3.0063052178509402</c:v>
                </c:pt>
                <c:pt idx="244">
                  <c:v>3.0223514309446506</c:v>
                </c:pt>
                <c:pt idx="245">
                  <c:v>3.0383976440383598</c:v>
                </c:pt>
                <c:pt idx="246">
                  <c:v>3.0586913841274637</c:v>
                </c:pt>
                <c:pt idx="247">
                  <c:v>3.0747375972211737</c:v>
                </c:pt>
                <c:pt idx="248">
                  <c:v>3.0907838103148828</c:v>
                </c:pt>
                <c:pt idx="249">
                  <c:v>3.1188646832288756</c:v>
                </c:pt>
                <c:pt idx="250">
                  <c:v>3.1429340028694406</c:v>
                </c:pt>
                <c:pt idx="251">
                  <c:v>3.1670033225100056</c:v>
                </c:pt>
                <c:pt idx="252">
                  <c:v>3.1950841954239979</c:v>
                </c:pt>
                <c:pt idx="253">
                  <c:v>3.219153515064562</c:v>
                </c:pt>
                <c:pt idx="254">
                  <c:v>3.2432228347051275</c:v>
                </c:pt>
                <c:pt idx="255">
                  <c:v>3.2672921543456921</c:v>
                </c:pt>
                <c:pt idx="256">
                  <c:v>3.2953730272596848</c:v>
                </c:pt>
                <c:pt idx="257">
                  <c:v>3.319442346900249</c:v>
                </c:pt>
                <c:pt idx="258">
                  <c:v>3.343511666540814</c:v>
                </c:pt>
                <c:pt idx="259">
                  <c:v>3.3675809861813795</c:v>
                </c:pt>
                <c:pt idx="260">
                  <c:v>3.3916503058219436</c:v>
                </c:pt>
                <c:pt idx="261">
                  <c:v>3.4157196254625086</c:v>
                </c:pt>
                <c:pt idx="262">
                  <c:v>3.4397889451030736</c:v>
                </c:pt>
                <c:pt idx="263">
                  <c:v>3.4640942384656048</c:v>
                </c:pt>
                <c:pt idx="264">
                  <c:v>3.488163558106169</c:v>
                </c:pt>
                <c:pt idx="265">
                  <c:v>3.5122328777467344</c:v>
                </c:pt>
                <c:pt idx="266">
                  <c:v>3.5363021973872995</c:v>
                </c:pt>
                <c:pt idx="267">
                  <c:v>3.5603715170278636</c:v>
                </c:pt>
                <c:pt idx="268">
                  <c:v>3.5884523899418559</c:v>
                </c:pt>
                <c:pt idx="269">
                  <c:v>3.6125217095824209</c:v>
                </c:pt>
                <c:pt idx="270">
                  <c:v>3.6365910292229864</c:v>
                </c:pt>
                <c:pt idx="271">
                  <c:v>3.6646719021369782</c:v>
                </c:pt>
                <c:pt idx="272">
                  <c:v>3.6887412217775428</c:v>
                </c:pt>
                <c:pt idx="273">
                  <c:v>3.7128105414181078</c:v>
                </c:pt>
                <c:pt idx="274">
                  <c:v>3.7408914143321002</c:v>
                </c:pt>
                <c:pt idx="275">
                  <c:v>3.7649607339726652</c:v>
                </c:pt>
                <c:pt idx="276">
                  <c:v>3.7890300536132298</c:v>
                </c:pt>
                <c:pt idx="277">
                  <c:v>3.8171109265272216</c:v>
                </c:pt>
                <c:pt idx="278">
                  <c:v>3.8411802461677871</c:v>
                </c:pt>
                <c:pt idx="279">
                  <c:v>3.8694970928037451</c:v>
                </c:pt>
                <c:pt idx="280">
                  <c:v>3.8935664124443101</c:v>
                </c:pt>
                <c:pt idx="281">
                  <c:v>3.9176357320848756</c:v>
                </c:pt>
                <c:pt idx="282">
                  <c:v>3.9457166049988674</c:v>
                </c:pt>
                <c:pt idx="283">
                  <c:v>3.9737974779128602</c:v>
                </c:pt>
                <c:pt idx="284">
                  <c:v>3.9978667975534243</c:v>
                </c:pt>
                <c:pt idx="285">
                  <c:v>4.0259476704674171</c:v>
                </c:pt>
                <c:pt idx="286">
                  <c:v>4.0500169901079817</c:v>
                </c:pt>
                <c:pt idx="287">
                  <c:v>4.0780978630219744</c:v>
                </c:pt>
                <c:pt idx="288">
                  <c:v>4.1061787359359663</c:v>
                </c:pt>
                <c:pt idx="289">
                  <c:v>4.1302480555765309</c:v>
                </c:pt>
                <c:pt idx="290">
                  <c:v>4.1663520350373782</c:v>
                </c:pt>
                <c:pt idx="291">
                  <c:v>4.2024560144982255</c:v>
                </c:pt>
                <c:pt idx="292">
                  <c:v>4.2385599939590728</c:v>
                </c:pt>
                <c:pt idx="293">
                  <c:v>4.2748999471418863</c:v>
                </c:pt>
                <c:pt idx="294">
                  <c:v>4.3110039266027336</c:v>
                </c:pt>
                <c:pt idx="295">
                  <c:v>4.3471079060635809</c:v>
                </c:pt>
                <c:pt idx="296">
                  <c:v>4.3832118855244282</c:v>
                </c:pt>
                <c:pt idx="297">
                  <c:v>4.4193158649852755</c:v>
                </c:pt>
                <c:pt idx="298">
                  <c:v>4.4554198444461228</c:v>
                </c:pt>
                <c:pt idx="299">
                  <c:v>4.4915238239069701</c:v>
                </c:pt>
                <c:pt idx="300">
                  <c:v>4.5276278033678166</c:v>
                </c:pt>
                <c:pt idx="301">
                  <c:v>4.5637317828286648</c:v>
                </c:pt>
                <c:pt idx="302">
                  <c:v>4.5998357622895121</c:v>
                </c:pt>
                <c:pt idx="303">
                  <c:v>4.6359397417503585</c:v>
                </c:pt>
                <c:pt idx="304">
                  <c:v>4.672279694933172</c:v>
                </c:pt>
                <c:pt idx="305">
                  <c:v>4.7083836743940202</c:v>
                </c:pt>
                <c:pt idx="306">
                  <c:v>4.7444876538548666</c:v>
                </c:pt>
                <c:pt idx="307">
                  <c:v>4.7805916333157139</c:v>
                </c:pt>
                <c:pt idx="308">
                  <c:v>4.8166956127765612</c:v>
                </c:pt>
                <c:pt idx="309">
                  <c:v>4.8527995922374085</c:v>
                </c:pt>
                <c:pt idx="310">
                  <c:v>4.8889035716982558</c:v>
                </c:pt>
                <c:pt idx="311">
                  <c:v>4.9290191044325304</c:v>
                </c:pt>
                <c:pt idx="312">
                  <c:v>4.9651230838933778</c:v>
                </c:pt>
                <c:pt idx="313">
                  <c:v>5.0012270633542251</c:v>
                </c:pt>
                <c:pt idx="314">
                  <c:v>5.0373310428150724</c:v>
                </c:pt>
                <c:pt idx="315">
                  <c:v>5.0776825492713131</c:v>
                </c:pt>
                <c:pt idx="316">
                  <c:v>5.1137865287321613</c:v>
                </c:pt>
                <c:pt idx="317">
                  <c:v>5.1498905081930078</c:v>
                </c:pt>
                <c:pt idx="318">
                  <c:v>5.1900060409272823</c:v>
                </c:pt>
                <c:pt idx="319">
                  <c:v>5.2381446802084124</c:v>
                </c:pt>
                <c:pt idx="320">
                  <c:v>5.2862833194895424</c:v>
                </c:pt>
                <c:pt idx="321">
                  <c:v>5.3344219587706716</c:v>
                </c:pt>
                <c:pt idx="322">
                  <c:v>5.3785490447783744</c:v>
                </c:pt>
                <c:pt idx="323">
                  <c:v>5.4186645775126481</c:v>
                </c:pt>
                <c:pt idx="324">
                  <c:v>5.4668032167937772</c:v>
                </c:pt>
                <c:pt idx="325">
                  <c:v>5.5151778297968743</c:v>
                </c:pt>
                <c:pt idx="326">
                  <c:v>5.5633164690780035</c:v>
                </c:pt>
                <c:pt idx="327">
                  <c:v>5.6114551083591335</c:v>
                </c:pt>
                <c:pt idx="328">
                  <c:v>5.6595937476402636</c:v>
                </c:pt>
                <c:pt idx="329">
                  <c:v>5.7077323869213927</c:v>
                </c:pt>
                <c:pt idx="330">
                  <c:v>5.7478479196556673</c:v>
                </c:pt>
                <c:pt idx="331">
                  <c:v>5.7959865589367974</c:v>
                </c:pt>
                <c:pt idx="332">
                  <c:v>5.836102091671072</c:v>
                </c:pt>
                <c:pt idx="333">
                  <c:v>5.8762176244053466</c:v>
                </c:pt>
                <c:pt idx="334">
                  <c:v>5.9165691308615873</c:v>
                </c:pt>
                <c:pt idx="335">
                  <c:v>5.9606962168692892</c:v>
                </c:pt>
                <c:pt idx="336">
                  <c:v>6.0088348561504183</c:v>
                </c:pt>
                <c:pt idx="337">
                  <c:v>6.0489503888846929</c:v>
                </c:pt>
                <c:pt idx="338">
                  <c:v>6.0970890281658239</c:v>
                </c:pt>
                <c:pt idx="339">
                  <c:v>6.1372045609000976</c:v>
                </c:pt>
                <c:pt idx="340">
                  <c:v>6.1773200936343722</c:v>
                </c:pt>
                <c:pt idx="341">
                  <c:v>6.2294702861889304</c:v>
                </c:pt>
                <c:pt idx="342">
                  <c:v>6.2816204787434868</c:v>
                </c:pt>
                <c:pt idx="343">
                  <c:v>6.3340066450200112</c:v>
                </c:pt>
                <c:pt idx="344">
                  <c:v>6.3861568375745676</c:v>
                </c:pt>
                <c:pt idx="345">
                  <c:v>6.4342954768556977</c:v>
                </c:pt>
                <c:pt idx="346">
                  <c:v>6.4824341161368269</c:v>
                </c:pt>
                <c:pt idx="347">
                  <c:v>6.5305727554179569</c:v>
                </c:pt>
                <c:pt idx="348">
                  <c:v>6.5867345012459406</c:v>
                </c:pt>
                <c:pt idx="349">
                  <c:v>6.6348731405270716</c:v>
                </c:pt>
                <c:pt idx="350">
                  <c:v>6.6830117798081998</c:v>
                </c:pt>
                <c:pt idx="351">
                  <c:v>6.7313863928112969</c:v>
                </c:pt>
                <c:pt idx="352">
                  <c:v>6.779525032092427</c:v>
                </c:pt>
                <c:pt idx="353">
                  <c:v>6.8356867779204107</c:v>
                </c:pt>
                <c:pt idx="354">
                  <c:v>6.8838254172015416</c:v>
                </c:pt>
                <c:pt idx="355">
                  <c:v>6.9319640564826699</c:v>
                </c:pt>
                <c:pt idx="356">
                  <c:v>6.9801026957637999</c:v>
                </c:pt>
                <c:pt idx="357">
                  <c:v>7.0282413350449291</c:v>
                </c:pt>
                <c:pt idx="358">
                  <c:v>7.0763799743260591</c:v>
                </c:pt>
                <c:pt idx="359">
                  <c:v>7.1247545873291553</c:v>
                </c:pt>
                <c:pt idx="360">
                  <c:v>7.1769047798837118</c:v>
                </c:pt>
                <c:pt idx="361">
                  <c:v>7.2250434191648418</c:v>
                </c:pt>
                <c:pt idx="362">
                  <c:v>7.2852167182662546</c:v>
                </c:pt>
                <c:pt idx="363">
                  <c:v>7.3494015706410929</c:v>
                </c:pt>
                <c:pt idx="364">
                  <c:v>7.4095748697425057</c:v>
                </c:pt>
                <c:pt idx="365">
                  <c:v>7.4697481688439176</c:v>
                </c:pt>
                <c:pt idx="366">
                  <c:v>7.5341689949407229</c:v>
                </c:pt>
                <c:pt idx="367">
                  <c:v>7.598353847315563</c:v>
                </c:pt>
                <c:pt idx="368">
                  <c:v>7.6585271464169749</c:v>
                </c:pt>
                <c:pt idx="369">
                  <c:v>7.7187004455183876</c:v>
                </c:pt>
                <c:pt idx="370">
                  <c:v>7.7828852978932268</c:v>
                </c:pt>
                <c:pt idx="371">
                  <c:v>7.8430585969946396</c:v>
                </c:pt>
                <c:pt idx="372">
                  <c:v>7.9072434493694779</c:v>
                </c:pt>
                <c:pt idx="373">
                  <c:v>7.9716642754662841</c:v>
                </c:pt>
                <c:pt idx="374">
                  <c:v>8.035849127841125</c:v>
                </c:pt>
                <c:pt idx="375">
                  <c:v>8.1000339802159633</c:v>
                </c:pt>
                <c:pt idx="376">
                  <c:v>8.1642188325908034</c:v>
                </c:pt>
                <c:pt idx="377">
                  <c:v>8.2284036849656417</c:v>
                </c:pt>
                <c:pt idx="378">
                  <c:v>8.2925885373404835</c:v>
                </c:pt>
                <c:pt idx="379">
                  <c:v>8.3570093634372871</c:v>
                </c:pt>
                <c:pt idx="380">
                  <c:v>8.4211942158121289</c:v>
                </c:pt>
                <c:pt idx="381">
                  <c:v>8.4853790681869672</c:v>
                </c:pt>
                <c:pt idx="382">
                  <c:v>8.5495639205618073</c:v>
                </c:pt>
                <c:pt idx="383">
                  <c:v>8.6137487729366455</c:v>
                </c:pt>
                <c:pt idx="384">
                  <c:v>8.6779336253114856</c:v>
                </c:pt>
                <c:pt idx="385">
                  <c:v>8.7423544514082909</c:v>
                </c:pt>
                <c:pt idx="386">
                  <c:v>8.8065393037831292</c:v>
                </c:pt>
                <c:pt idx="387">
                  <c:v>8.8747357094313966</c:v>
                </c:pt>
                <c:pt idx="388">
                  <c:v>8.9389205618062366</c:v>
                </c:pt>
                <c:pt idx="389">
                  <c:v>9.0031054141810767</c:v>
                </c:pt>
                <c:pt idx="390">
                  <c:v>9.0672902665559167</c:v>
                </c:pt>
                <c:pt idx="391">
                  <c:v>9.1354866722041841</c:v>
                </c:pt>
                <c:pt idx="392">
                  <c:v>9.1999074983009894</c:v>
                </c:pt>
                <c:pt idx="393">
                  <c:v>9.2640923506758295</c:v>
                </c:pt>
                <c:pt idx="394">
                  <c:v>9.3443234161443787</c:v>
                </c:pt>
                <c:pt idx="395">
                  <c:v>9.4245544816129279</c:v>
                </c:pt>
                <c:pt idx="396">
                  <c:v>9.5047855470814788</c:v>
                </c:pt>
                <c:pt idx="397">
                  <c:v>9.5852525862719915</c:v>
                </c:pt>
                <c:pt idx="398">
                  <c:v>9.6654836517405442</c:v>
                </c:pt>
                <c:pt idx="399">
                  <c:v>9.7457147172090917</c:v>
                </c:pt>
                <c:pt idx="400">
                  <c:v>9.8259457826776408</c:v>
                </c:pt>
                <c:pt idx="401">
                  <c:v>9.90617684814619</c:v>
                </c:pt>
                <c:pt idx="402">
                  <c:v>9.9906554406101336</c:v>
                </c:pt>
                <c:pt idx="403">
                  <c:v>10.070886506078683</c:v>
                </c:pt>
                <c:pt idx="404">
                  <c:v>10.151117571547232</c:v>
                </c:pt>
                <c:pt idx="405">
                  <c:v>10.231348637015783</c:v>
                </c:pt>
                <c:pt idx="406">
                  <c:v>10.311579702484332</c:v>
                </c:pt>
                <c:pt idx="407">
                  <c:v>10.396058294948274</c:v>
                </c:pt>
                <c:pt idx="408">
                  <c:v>10.476289360416825</c:v>
                </c:pt>
                <c:pt idx="409">
                  <c:v>10.560531979158799</c:v>
                </c:pt>
                <c:pt idx="410">
                  <c:v>10.644774597900778</c:v>
                </c:pt>
                <c:pt idx="411">
                  <c:v>10.725005663369327</c:v>
                </c:pt>
                <c:pt idx="412">
                  <c:v>10.80948425583327</c:v>
                </c:pt>
                <c:pt idx="413">
                  <c:v>10.893726874575247</c:v>
                </c:pt>
                <c:pt idx="414">
                  <c:v>10.977969493317225</c:v>
                </c:pt>
                <c:pt idx="415">
                  <c:v>11.062212112059202</c:v>
                </c:pt>
                <c:pt idx="416">
                  <c:v>11.146454730801178</c:v>
                </c:pt>
                <c:pt idx="417">
                  <c:v>11.234944876538549</c:v>
                </c:pt>
                <c:pt idx="418">
                  <c:v>11.319187495280527</c:v>
                </c:pt>
                <c:pt idx="419">
                  <c:v>11.407441667295931</c:v>
                </c:pt>
                <c:pt idx="420">
                  <c:v>11.507730499131618</c:v>
                </c:pt>
                <c:pt idx="421">
                  <c:v>11.596220644868989</c:v>
                </c:pt>
                <c:pt idx="422">
                  <c:v>11.684474816884393</c:v>
                </c:pt>
                <c:pt idx="423">
                  <c:v>11.772728988899795</c:v>
                </c:pt>
                <c:pt idx="424">
                  <c:v>11.8609831609152</c:v>
                </c:pt>
                <c:pt idx="425">
                  <c:v>11.949237332930606</c:v>
                </c:pt>
                <c:pt idx="426">
                  <c:v>12.037727478667977</c:v>
                </c:pt>
                <c:pt idx="427">
                  <c:v>12.12598165068338</c:v>
                </c:pt>
                <c:pt idx="428">
                  <c:v>12.218247375972211</c:v>
                </c:pt>
                <c:pt idx="429">
                  <c:v>12.306501547987615</c:v>
                </c:pt>
                <c:pt idx="430">
                  <c:v>12.394991693724986</c:v>
                </c:pt>
                <c:pt idx="431">
                  <c:v>12.50330363210753</c:v>
                </c:pt>
                <c:pt idx="432">
                  <c:v>12.607604017216643</c:v>
                </c:pt>
                <c:pt idx="433">
                  <c:v>12.711904402325759</c:v>
                </c:pt>
                <c:pt idx="434">
                  <c:v>12.816440761156839</c:v>
                </c:pt>
                <c:pt idx="435">
                  <c:v>12.920741146265952</c:v>
                </c:pt>
                <c:pt idx="436">
                  <c:v>13.021029978101637</c:v>
                </c:pt>
                <c:pt idx="437">
                  <c:v>13.125330363210754</c:v>
                </c:pt>
                <c:pt idx="438">
                  <c:v>13.229866722041834</c:v>
                </c:pt>
                <c:pt idx="439">
                  <c:v>13.330155553877519</c:v>
                </c:pt>
                <c:pt idx="440">
                  <c:v>13.430444385713207</c:v>
                </c:pt>
                <c:pt idx="441">
                  <c:v>13.534744770822321</c:v>
                </c:pt>
                <c:pt idx="442">
                  <c:v>13.639281129653401</c:v>
                </c:pt>
                <c:pt idx="443">
                  <c:v>13.743581514762516</c:v>
                </c:pt>
                <c:pt idx="444">
                  <c:v>13.847881899871631</c:v>
                </c:pt>
                <c:pt idx="445">
                  <c:v>13.956193838254171</c:v>
                </c:pt>
                <c:pt idx="446">
                  <c:v>14.060730197085254</c:v>
                </c:pt>
                <c:pt idx="447">
                  <c:v>14.169042135467796</c:v>
                </c:pt>
                <c:pt idx="448">
                  <c:v>14.273342520576909</c:v>
                </c:pt>
                <c:pt idx="449">
                  <c:v>14.381654458959451</c:v>
                </c:pt>
                <c:pt idx="450">
                  <c:v>14.486190817790531</c:v>
                </c:pt>
                <c:pt idx="451">
                  <c:v>14.610548969266782</c:v>
                </c:pt>
                <c:pt idx="452">
                  <c:v>14.734907120743033</c:v>
                </c:pt>
                <c:pt idx="453">
                  <c:v>14.855489692667824</c:v>
                </c:pt>
                <c:pt idx="454">
                  <c:v>14.979847844144077</c:v>
                </c:pt>
                <c:pt idx="455">
                  <c:v>15.100194442346901</c:v>
                </c:pt>
                <c:pt idx="456">
                  <c:v>15.220541040549726</c:v>
                </c:pt>
                <c:pt idx="457">
                  <c:v>15.341123612474515</c:v>
                </c:pt>
                <c:pt idx="458">
                  <c:v>15.461470210677341</c:v>
                </c:pt>
                <c:pt idx="459">
                  <c:v>15.585828362153592</c:v>
                </c:pt>
                <c:pt idx="460">
                  <c:v>15.710422487351808</c:v>
                </c:pt>
                <c:pt idx="461">
                  <c:v>15.83879219210149</c:v>
                </c:pt>
                <c:pt idx="462">
                  <c:v>15.971173450124596</c:v>
                </c:pt>
                <c:pt idx="463">
                  <c:v>16.099779128596239</c:v>
                </c:pt>
                <c:pt idx="464">
                  <c:v>16.22413728007249</c:v>
                </c:pt>
                <c:pt idx="465">
                  <c:v>16.348495431548741</c:v>
                </c:pt>
                <c:pt idx="466">
                  <c:v>16.477101110020389</c:v>
                </c:pt>
                <c:pt idx="467">
                  <c:v>16.609482368043494</c:v>
                </c:pt>
                <c:pt idx="468">
                  <c:v>16.737852072793174</c:v>
                </c:pt>
                <c:pt idx="469">
                  <c:v>16.866457751264818</c:v>
                </c:pt>
                <c:pt idx="470">
                  <c:v>16.998839009287927</c:v>
                </c:pt>
                <c:pt idx="471">
                  <c:v>17.127208714037604</c:v>
                </c:pt>
                <c:pt idx="472">
                  <c:v>17.255578418787287</c:v>
                </c:pt>
                <c:pt idx="473">
                  <c:v>17.384184097258927</c:v>
                </c:pt>
                <c:pt idx="474">
                  <c:v>17.512553802008611</c:v>
                </c:pt>
                <c:pt idx="475">
                  <c:v>17.656969719851997</c:v>
                </c:pt>
                <c:pt idx="476">
                  <c:v>17.805633164690779</c:v>
                </c:pt>
                <c:pt idx="477">
                  <c:v>17.950049082534168</c:v>
                </c:pt>
                <c:pt idx="478">
                  <c:v>18.098712527372953</c:v>
                </c:pt>
                <c:pt idx="479">
                  <c:v>18.243128445216342</c:v>
                </c:pt>
                <c:pt idx="480">
                  <c:v>18.391555916333157</c:v>
                </c:pt>
                <c:pt idx="481">
                  <c:v>18.536207807898514</c:v>
                </c:pt>
                <c:pt idx="482">
                  <c:v>18.680623725741899</c:v>
                </c:pt>
                <c:pt idx="483">
                  <c:v>18.829051196858714</c:v>
                </c:pt>
                <c:pt idx="484">
                  <c:v>18.97370308842407</c:v>
                </c:pt>
                <c:pt idx="485">
                  <c:v>19.122130559540889</c:v>
                </c:pt>
                <c:pt idx="486">
                  <c:v>19.270558030657703</c:v>
                </c:pt>
                <c:pt idx="487">
                  <c:v>19.41520992222306</c:v>
                </c:pt>
                <c:pt idx="488">
                  <c:v>19.563637393339874</c:v>
                </c:pt>
                <c:pt idx="489">
                  <c:v>19.724335497998943</c:v>
                </c:pt>
                <c:pt idx="490">
                  <c:v>19.884797628936042</c:v>
                </c:pt>
                <c:pt idx="491">
                  <c:v>20.037236653326286</c:v>
                </c:pt>
                <c:pt idx="492">
                  <c:v>20.201946311258776</c:v>
                </c:pt>
                <c:pt idx="493">
                  <c:v>20.366419995469304</c:v>
                </c:pt>
                <c:pt idx="494">
                  <c:v>20.531129653401795</c:v>
                </c:pt>
                <c:pt idx="495">
                  <c:v>20.691591784338897</c:v>
                </c:pt>
                <c:pt idx="496">
                  <c:v>20.856065468549424</c:v>
                </c:pt>
                <c:pt idx="497">
                  <c:v>21.020775126481912</c:v>
                </c:pt>
                <c:pt idx="498">
                  <c:v>21.185248810692439</c:v>
                </c:pt>
                <c:pt idx="499">
                  <c:v>21.349958468624934</c:v>
                </c:pt>
                <c:pt idx="500">
                  <c:v>21.518443706108886</c:v>
                </c:pt>
                <c:pt idx="501">
                  <c:v>21.690940496866272</c:v>
                </c:pt>
                <c:pt idx="502">
                  <c:v>21.859661708072188</c:v>
                </c:pt>
                <c:pt idx="503">
                  <c:v>22.028146945556145</c:v>
                </c:pt>
                <c:pt idx="504">
                  <c:v>22.196868156762065</c:v>
                </c:pt>
                <c:pt idx="505">
                  <c:v>22.369364947519443</c:v>
                </c:pt>
                <c:pt idx="506">
                  <c:v>22.541861738276825</c:v>
                </c:pt>
                <c:pt idx="507">
                  <c:v>22.710582949482745</c:v>
                </c:pt>
                <c:pt idx="508">
                  <c:v>22.899125953333836</c:v>
                </c:pt>
                <c:pt idx="509">
                  <c:v>23.075870271086611</c:v>
                </c:pt>
                <c:pt idx="510">
                  <c:v>23.268424828211128</c:v>
                </c:pt>
                <c:pt idx="511">
                  <c:v>23.445169145963902</c:v>
                </c:pt>
                <c:pt idx="512">
                  <c:v>23.620969568828816</c:v>
                </c:pt>
                <c:pt idx="513">
                  <c:v>23.797949860303557</c:v>
                </c:pt>
                <c:pt idx="514">
                  <c:v>23.986728837876615</c:v>
                </c:pt>
                <c:pt idx="515">
                  <c:v>24.180227289889</c:v>
                </c:pt>
                <c:pt idx="516">
                  <c:v>24.371366004681718</c:v>
                </c:pt>
                <c:pt idx="517">
                  <c:v>24.564864456694103</c:v>
                </c:pt>
                <c:pt idx="518">
                  <c:v>24.758362908706491</c:v>
                </c:pt>
                <c:pt idx="519">
                  <c:v>24.949501623499206</c:v>
                </c:pt>
                <c:pt idx="520">
                  <c:v>25.159518236049234</c:v>
                </c:pt>
                <c:pt idx="521">
                  <c:v>25.364815374159935</c:v>
                </c:pt>
                <c:pt idx="522">
                  <c:v>25.567752775050973</c:v>
                </c:pt>
                <c:pt idx="523">
                  <c:v>25.768330438722344</c:v>
                </c:pt>
                <c:pt idx="524">
                  <c:v>25.973627576833046</c:v>
                </c:pt>
                <c:pt idx="525">
                  <c:v>26.183644189383067</c:v>
                </c:pt>
                <c:pt idx="526">
                  <c:v>26.386581590274112</c:v>
                </c:pt>
                <c:pt idx="527">
                  <c:v>26.596598202824129</c:v>
                </c:pt>
                <c:pt idx="528">
                  <c:v>26.799535603715171</c:v>
                </c:pt>
                <c:pt idx="529">
                  <c:v>27.021350902363512</c:v>
                </c:pt>
                <c:pt idx="530">
                  <c:v>27.23136751491354</c:v>
                </c:pt>
                <c:pt idx="531">
                  <c:v>27.450823076342218</c:v>
                </c:pt>
                <c:pt idx="532">
                  <c:v>27.660839688892246</c:v>
                </c:pt>
                <c:pt idx="533">
                  <c:v>27.868496564222607</c:v>
                </c:pt>
                <c:pt idx="534">
                  <c:v>28.102110548969268</c:v>
                </c:pt>
                <c:pt idx="535">
                  <c:v>28.333364796496266</c:v>
                </c:pt>
                <c:pt idx="536">
                  <c:v>28.5622593068036</c:v>
                </c:pt>
                <c:pt idx="537">
                  <c:v>28.795873291550251</c:v>
                </c:pt>
                <c:pt idx="538">
                  <c:v>29.031847013516575</c:v>
                </c:pt>
                <c:pt idx="539">
                  <c:v>29.270180472702563</c:v>
                </c:pt>
                <c:pt idx="540">
                  <c:v>29.494355508570568</c:v>
                </c:pt>
                <c:pt idx="541">
                  <c:v>29.730329230536888</c:v>
                </c:pt>
                <c:pt idx="542">
                  <c:v>29.968662689722873</c:v>
                </c:pt>
                <c:pt idx="543">
                  <c:v>30.204636411689197</c:v>
                </c:pt>
                <c:pt idx="544">
                  <c:v>30.440610133655518</c:v>
                </c:pt>
                <c:pt idx="545">
                  <c:v>30.678943592841499</c:v>
                </c:pt>
                <c:pt idx="546">
                  <c:v>30.910197840368497</c:v>
                </c:pt>
                <c:pt idx="547">
                  <c:v>31.162689722872457</c:v>
                </c:pt>
                <c:pt idx="548">
                  <c:v>31.412821868156765</c:v>
                </c:pt>
                <c:pt idx="549">
                  <c:v>31.665313750660729</c:v>
                </c:pt>
                <c:pt idx="550">
                  <c:v>31.91780563316469</c:v>
                </c:pt>
                <c:pt idx="551">
                  <c:v>32.170297515668658</c:v>
                </c:pt>
                <c:pt idx="552">
                  <c:v>32.425149135392282</c:v>
                </c:pt>
                <c:pt idx="553">
                  <c:v>32.677641017896249</c:v>
                </c:pt>
                <c:pt idx="554">
                  <c:v>32.930132900400217</c:v>
                </c:pt>
                <c:pt idx="555">
                  <c:v>33.199142943441821</c:v>
                </c:pt>
                <c:pt idx="556">
                  <c:v>33.468152986483425</c:v>
                </c:pt>
                <c:pt idx="557">
                  <c:v>33.732443555085702</c:v>
                </c:pt>
                <c:pt idx="558">
                  <c:v>33.996734123687993</c:v>
                </c:pt>
                <c:pt idx="559">
                  <c:v>34.26574416672959</c:v>
                </c:pt>
                <c:pt idx="560">
                  <c:v>34.539473684210535</c:v>
                </c:pt>
                <c:pt idx="561">
                  <c:v>34.813203201691458</c:v>
                </c:pt>
                <c:pt idx="562">
                  <c:v>35.082213244733069</c:v>
                </c:pt>
                <c:pt idx="563">
                  <c:v>35.353583024994336</c:v>
                </c:pt>
                <c:pt idx="564">
                  <c:v>35.6320320169146</c:v>
                </c:pt>
                <c:pt idx="565">
                  <c:v>35.903401797175867</c:v>
                </c:pt>
                <c:pt idx="566">
                  <c:v>36.181850789096124</c:v>
                </c:pt>
                <c:pt idx="567">
                  <c:v>36.462659518236052</c:v>
                </c:pt>
                <c:pt idx="568">
                  <c:v>36.759986407913615</c:v>
                </c:pt>
                <c:pt idx="569">
                  <c:v>37.052593823151859</c:v>
                </c:pt>
                <c:pt idx="570">
                  <c:v>37.34048176395077</c:v>
                </c:pt>
                <c:pt idx="571">
                  <c:v>37.64252812806766</c:v>
                </c:pt>
                <c:pt idx="572">
                  <c:v>37.939855017745224</c:v>
                </c:pt>
                <c:pt idx="573">
                  <c:v>38.237181907422794</c:v>
                </c:pt>
                <c:pt idx="574">
                  <c:v>38.532149059880695</c:v>
                </c:pt>
                <c:pt idx="575">
                  <c:v>38.834195423997592</c:v>
                </c:pt>
                <c:pt idx="576">
                  <c:v>39.136241788114475</c:v>
                </c:pt>
                <c:pt idx="577">
                  <c:v>39.452446575549352</c:v>
                </c:pt>
                <c:pt idx="578">
                  <c:v>39.766291625764559</c:v>
                </c:pt>
                <c:pt idx="579">
                  <c:v>40.077776938760103</c:v>
                </c:pt>
                <c:pt idx="580">
                  <c:v>40.391621988975309</c:v>
                </c:pt>
                <c:pt idx="581">
                  <c:v>40.712546250849506</c:v>
                </c:pt>
                <c:pt idx="582">
                  <c:v>41.03818998716303</c:v>
                </c:pt>
                <c:pt idx="583">
                  <c:v>41.3543947745979</c:v>
                </c:pt>
                <c:pt idx="584">
                  <c:v>41.68003851091143</c:v>
                </c:pt>
                <c:pt idx="585">
                  <c:v>42.005682247224946</c:v>
                </c:pt>
                <c:pt idx="586">
                  <c:v>42.343124669636794</c:v>
                </c:pt>
                <c:pt idx="587">
                  <c:v>42.675847617609307</c:v>
                </c:pt>
                <c:pt idx="588">
                  <c:v>43.008570565581813</c:v>
                </c:pt>
                <c:pt idx="589">
                  <c:v>43.338933776334663</c:v>
                </c:pt>
                <c:pt idx="590">
                  <c:v>43.6834554104055</c:v>
                </c:pt>
                <c:pt idx="591">
                  <c:v>44.02089783281734</c:v>
                </c:pt>
                <c:pt idx="592">
                  <c:v>44.370138941327497</c:v>
                </c:pt>
                <c:pt idx="593">
                  <c:v>44.714660575398327</c:v>
                </c:pt>
                <c:pt idx="594">
                  <c:v>45.063901683908483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F0-4263-AB83-D48231071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45832"/>
        <c:axId val="125647880"/>
      </c:lineChart>
      <c:catAx>
        <c:axId val="125645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Deformação (mm/mm)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47880"/>
        <c:crosses val="autoZero"/>
        <c:auto val="1"/>
        <c:lblAlgn val="ctr"/>
        <c:lblOffset val="100"/>
        <c:noMultiLvlLbl val="0"/>
      </c:catAx>
      <c:valAx>
        <c:axId val="12564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Tesnão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4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6</xdr:row>
      <xdr:rowOff>11430</xdr:rowOff>
    </xdr:from>
    <xdr:to>
      <xdr:col>12</xdr:col>
      <xdr:colOff>563880</xdr:colOff>
      <xdr:row>21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41044C-E2BF-AC24-5245-6C1D92316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5</xdr:row>
      <xdr:rowOff>171450</xdr:rowOff>
    </xdr:from>
    <xdr:to>
      <xdr:col>12</xdr:col>
      <xdr:colOff>563880</xdr:colOff>
      <xdr:row>20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8932EE2-DDDF-D2ED-550E-590BD7D75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154305</xdr:colOff>
      <xdr:row>11</xdr:row>
      <xdr:rowOff>81915</xdr:rowOff>
    </xdr:from>
    <xdr:to>
      <xdr:col>13</xdr:col>
      <xdr:colOff>123825</xdr:colOff>
      <xdr:row>26</xdr:row>
      <xdr:rowOff>81915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248A61-0E9D-DA80-FC07-3A99A09EF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171450</xdr:rowOff>
    </xdr:from>
    <xdr:to>
      <xdr:col>12</xdr:col>
      <xdr:colOff>579120</xdr:colOff>
      <xdr:row>20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C6C427-EA95-7E80-BE85-8645BB586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5</xdr:row>
      <xdr:rowOff>163830</xdr:rowOff>
    </xdr:from>
    <xdr:to>
      <xdr:col>12</xdr:col>
      <xdr:colOff>586740</xdr:colOff>
      <xdr:row>20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1095BB-83E5-A4DD-D23E-EB9EF7886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361949</xdr:colOff>
      <xdr:row>4</xdr:row>
      <xdr:rowOff>171450</xdr:rowOff>
    </xdr:from>
    <xdr:to>
      <xdr:col>20</xdr:col>
      <xdr:colOff>322499</xdr:colOff>
      <xdr:row>23</xdr:row>
      <xdr:rowOff>151950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27DE66-4411-FEF8-84BA-3C2A531B8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D76CD-28B7-4A75-AB46-77A3FFFA61D5}" name="Tabela1" displayName="Tabela1" ref="A1:F583" totalsRowShown="0" headerRowDxfId="40" dataDxfId="39">
  <autoFilter ref="A1:F583" xr:uid="{D7DD76CD-28B7-4A75-AB46-77A3FFFA61D5}"/>
  <tableColumns count="6">
    <tableColumn id="1" xr3:uid="{E94C0316-CE9B-49C7-8974-FB68010187B4}" name="Tempo(s)" dataDxfId="38"/>
    <tableColumn id="2" xr3:uid="{98B0DBC3-7185-44DE-8220-783465C26230}" name="Alongamento (mm/mm)" dataDxfId="37"/>
    <tableColumn id="3" xr3:uid="{3E2A7381-ECB6-49AC-9FED-F7A490478B9B}" name="Deformação (mm/mm)" dataDxfId="36">
      <calculatedColumnFormula>Tabela1[[#This Row],[Alongamento (mm/mm)]]/$I$2</calculatedColumnFormula>
    </tableColumn>
    <tableColumn id="4" xr3:uid="{1E2D5036-791D-43A6-B436-4B92F1A1B80E}" name="Força (N)" dataDxfId="35"/>
    <tableColumn id="5" xr3:uid="{336E1B84-AC7D-4AC4-B7AF-E9A34FCF6E4F}" name="Tensão (Pa)" dataDxfId="34">
      <calculatedColumnFormula>Tabela1[[#This Row],[Força (N)]]/$I$5</calculatedColumnFormula>
    </tableColumn>
    <tableColumn id="6" xr3:uid="{7302FCE3-AF1C-4C00-9D8D-1DEC16366D6C}" name="Tensão (MPa)" dataDxfId="33">
      <calculatedColumnFormula>Tabela1[[#This Row],[Tensão (Pa)]]/1000000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C9A6E7-47E4-4220-B22A-098AFB597FAE}" name="Tabela2" displayName="Tabela2" ref="H1:K3" totalsRowShown="0">
  <autoFilter ref="H1:K3" xr:uid="{2EC9A6E7-47E4-4220-B22A-098AFB597FAE}"/>
  <tableColumns count="4">
    <tableColumn id="1" xr3:uid="{66189366-717F-405C-9887-EF3A477A9873}" name="Unidade"/>
    <tableColumn id="2" xr3:uid="{55C5495C-7E64-4489-AC3A-8EF1DA5E8165}" name="Comprimento"/>
    <tableColumn id="3" xr3:uid="{FF3E359F-2F5B-4C97-BCDA-0CDA4F85371F}" name="Largura"/>
    <tableColumn id="4" xr3:uid="{82A93033-E7A6-4EA7-AC60-19B282FC4C3D}" name="Espess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15220E-84E3-4EEB-8483-1E9EA197A3CB}" name="Tabela3" displayName="Tabela3" ref="A1:F663" totalsRowShown="0" headerRowDxfId="32" dataDxfId="31">
  <autoFilter ref="A1:F663" xr:uid="{6F15220E-84E3-4EEB-8483-1E9EA197A3CB}"/>
  <tableColumns count="6">
    <tableColumn id="1" xr3:uid="{BF32B181-E676-431D-AE85-2C1F453EA50B}" name="Tempo(s)" dataDxfId="30"/>
    <tableColumn id="2" xr3:uid="{D8CFE97D-DB70-4A25-8DD6-D174A69DC8B5}" name="Alongamento (mm/mm)" dataDxfId="29"/>
    <tableColumn id="3" xr3:uid="{6BFBA22D-0B4A-46BA-8472-C24861EC7614}" name="Deformação (mm/mm)" dataDxfId="28">
      <calculatedColumnFormula>Tabela3[[#This Row],[Alongamento (mm/mm)]]/$I$2</calculatedColumnFormula>
    </tableColumn>
    <tableColumn id="4" xr3:uid="{D02827A9-B206-4EDC-BC7C-8D662A90E522}" name="Força (N)" dataDxfId="27"/>
    <tableColumn id="5" xr3:uid="{23A01EBC-EFE2-43D3-BC9F-67A9E30F9BFA}" name="Tensão (Pa)" dataDxfId="26">
      <calculatedColumnFormula>Tabela3[[#This Row],[Força (N)]]/$I$5</calculatedColumnFormula>
    </tableColumn>
    <tableColumn id="6" xr3:uid="{81A83AEB-9527-422F-83E4-5EA9AE1A92DE}" name="Tensão (MPa)" dataDxfId="25">
      <calculatedColumnFormula>Tabela3[[#This Row],[Tensão (Pa)]]/1000000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3315DD-F48D-47E8-AA35-C71B844A65D6}" name="Tabela4" displayName="Tabela4" ref="H1:K3" totalsRowShown="0">
  <autoFilter ref="H1:K3" xr:uid="{323315DD-F48D-47E8-AA35-C71B844A65D6}"/>
  <tableColumns count="4">
    <tableColumn id="1" xr3:uid="{B12F43D3-58E2-4F9F-AC29-DE2E0AC73F3D}" name="Unidade"/>
    <tableColumn id="2" xr3:uid="{FFD9480E-82D0-4A1F-803E-861A85731C80}" name="Comprimento"/>
    <tableColumn id="3" xr3:uid="{3EA5D264-69E0-4CA2-86BF-6C333C1ABFFD}" name="Largura"/>
    <tableColumn id="4" xr3:uid="{57980F05-2BF1-490B-8349-E0C971D80B37}" name="Espessura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E52A66-F9F3-4B9D-A0A1-23A0A109252B}" name="Tabela5" displayName="Tabela5" ref="A1:F666" totalsRowShown="0" headerRowDxfId="24" dataDxfId="23">
  <autoFilter ref="A1:F666" xr:uid="{18E52A66-F9F3-4B9D-A0A1-23A0A109252B}"/>
  <tableColumns count="6">
    <tableColumn id="1" xr3:uid="{7574668B-5B04-4297-8FD3-29A2CFAD34B8}" name="Tempo(s)" dataDxfId="22"/>
    <tableColumn id="2" xr3:uid="{4001BC54-DA1F-4E84-B026-DE0536B1CF2C}" name="Alongamento (mm/mm)" dataDxfId="21"/>
    <tableColumn id="3" xr3:uid="{F90A4676-D5DB-495B-94B7-8532A1798AE0}" name="Deformação (mm/mm)" dataDxfId="20">
      <calculatedColumnFormula>Tabela5[[#This Row],[Alongamento (mm/mm)]]/$I$2</calculatedColumnFormula>
    </tableColumn>
    <tableColumn id="4" xr3:uid="{E835C10E-B798-4EB7-B05E-940A85CE56A2}" name="Força (N)" dataDxfId="19"/>
    <tableColumn id="5" xr3:uid="{7E7E2EE9-EBB4-4369-811F-B83F9CA23E4A}" name="Tensão (Pa)" dataDxfId="18">
      <calculatedColumnFormula>Tabela5[[#This Row],[Força (N)]]/$I$5</calculatedColumnFormula>
    </tableColumn>
    <tableColumn id="6" xr3:uid="{84E851C1-51AB-4554-B06D-3632ABFD82AB}" name="Tensão (MPa)" dataDxfId="17">
      <calculatedColumnFormula>Tabela5[[#This Row],[Tensão (Pa)]]/1000000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A5198E-9A81-435A-8B28-145059079AFA}" name="Tabela6" displayName="Tabela6" ref="H1:K3" totalsRowShown="0">
  <autoFilter ref="H1:K3" xr:uid="{4BA5198E-9A81-435A-8B28-145059079AFA}"/>
  <tableColumns count="4">
    <tableColumn id="1" xr3:uid="{8ABDC02D-4E50-4F4C-86F0-6E5D48E9E086}" name="Unidade"/>
    <tableColumn id="2" xr3:uid="{B4DD261F-EEA2-4B3A-ADF8-5E4B17E359D9}" name="Comprimento"/>
    <tableColumn id="3" xr3:uid="{76AC6EE0-88B8-40A5-AADB-154FF2A443A5}" name="Largura"/>
    <tableColumn id="4" xr3:uid="{E999839F-830B-4D26-B02A-63DC0BBCBFEB}" name="Espessura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94A104-1F93-47C6-A25C-474EC47A53C5}" name="Tabela7" displayName="Tabela7" ref="A1:F595" totalsRowShown="0" headerRowDxfId="16" dataDxfId="15">
  <autoFilter ref="A1:F595" xr:uid="{C194A104-1F93-47C6-A25C-474EC47A53C5}"/>
  <tableColumns count="6">
    <tableColumn id="1" xr3:uid="{0E476578-83E7-4521-9546-154EA100FDFD}" name="Tempo(s)" dataDxfId="14"/>
    <tableColumn id="2" xr3:uid="{E581F353-4879-4D2C-AD5A-229B8214148E}" name="Alongamento (mm/mm)" dataDxfId="13"/>
    <tableColumn id="3" xr3:uid="{ED633FEF-E5D8-4C75-BD6D-E7B5EB4BC19D}" name="Deformação (mm/mm)" dataDxfId="12">
      <calculatedColumnFormula>Tabela7[[#This Row],[Alongamento (mm/mm)]]/$I$2</calculatedColumnFormula>
    </tableColumn>
    <tableColumn id="4" xr3:uid="{1CCB8D83-E2E5-4842-ACE8-95D5A0B9DBDB}" name="Força (N)" dataDxfId="11"/>
    <tableColumn id="5" xr3:uid="{BE6C1064-C530-49BD-BCB9-5ABED56DD510}" name="Tensão (Pa)" dataDxfId="10">
      <calculatedColumnFormula>Tabela7[[#This Row],[Força (N)]]/$I$5</calculatedColumnFormula>
    </tableColumn>
    <tableColumn id="6" xr3:uid="{20AD5665-5DC5-4AEA-8CC1-7485D6C56E09}" name="Tensão (MPa)" dataDxfId="9">
      <calculatedColumnFormula>Tabela7[[#This Row],[Tensão (Pa)]]/1000000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504C13-2D25-4EC7-8A97-5234B3CA9FEF}" name="Tabela8" displayName="Tabela8" ref="H1:K3" totalsRowShown="0">
  <autoFilter ref="H1:K3" xr:uid="{F3504C13-2D25-4EC7-8A97-5234B3CA9FEF}"/>
  <tableColumns count="4">
    <tableColumn id="1" xr3:uid="{4EE1E0E3-16D7-4CFA-9F5E-F23A2BCD7BBB}" name="Unidade"/>
    <tableColumn id="2" xr3:uid="{39636413-9C8C-477C-8C77-541AC8E95829}" name="Comprimento"/>
    <tableColumn id="3" xr3:uid="{DAFF06DC-E322-4982-BC40-09C2AA7F9EE1}" name="Largura"/>
    <tableColumn id="4" xr3:uid="{FCAA8D67-AB6E-479C-AEE9-51BBACC2C6C2}" name="Espessura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E3A616-5DAC-41F2-859E-D123A44A4076}" name="Tabela9" displayName="Tabela9" ref="A1:F596" totalsRowShown="0" headerRowDxfId="8" dataDxfId="7">
  <autoFilter ref="A1:F596" xr:uid="{07E3A616-5DAC-41F2-859E-D123A44A4076}"/>
  <tableColumns count="6">
    <tableColumn id="1" xr3:uid="{5A4684F2-6C10-4D81-A8E4-AAD2D315CA62}" name="Tempo(s)" dataDxfId="6"/>
    <tableColumn id="2" xr3:uid="{75DC33CC-150D-47F9-A708-52E778D6D438}" name="Alongamento (mm/mm)" dataDxfId="5"/>
    <tableColumn id="3" xr3:uid="{6379FCEB-D6CB-4D45-B2A6-1890D3A7582C}" name="Deformação (mm/mm)" dataDxfId="4">
      <calculatedColumnFormula>Tabela9[[#This Row],[Alongamento (mm/mm)]]/$I$2</calculatedColumnFormula>
    </tableColumn>
    <tableColumn id="4" xr3:uid="{CD451648-6554-4D28-9417-E5A6F001038C}" name="Força (N)" dataDxfId="3"/>
    <tableColumn id="5" xr3:uid="{5F5A9E44-E283-4EE3-9910-2D3A89C98AD1}" name="Tensão (Pa)" dataDxfId="2">
      <calculatedColumnFormula>Tabela9[[#This Row],[Força (N)]]/$I$5</calculatedColumnFormula>
    </tableColumn>
    <tableColumn id="6" xr3:uid="{5D0986A1-7C7B-4407-A098-1B751A19F562}" name="Tensão (MPa)" dataDxfId="1">
      <calculatedColumnFormula>Tabela9[[#This Row],[Tensão (Pa)]]/1000000</calculatedColumnFormula>
    </tableColumn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B5BEAD9-855A-4528-97CD-908A940372A5}" name="Tabela10" displayName="Tabela10" ref="H1:K3" totalsRowShown="0">
  <autoFilter ref="H1:K3" xr:uid="{7B5BEAD9-855A-4528-97CD-908A940372A5}"/>
  <tableColumns count="4">
    <tableColumn id="1" xr3:uid="{00274841-D59C-4C55-8840-1E672E1DEBD5}" name="Unidade"/>
    <tableColumn id="2" xr3:uid="{2B656C51-277C-454D-9C6D-A7F1687D4441}" name="Comprimento"/>
    <tableColumn id="3" xr3:uid="{6566CE96-F439-4859-B101-75D2DDE9BCCA}" name="Largura"/>
    <tableColumn id="4" xr3:uid="{0A4F3F96-ABEC-426A-860D-0D0DDA1835A3}" name="Espessura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FC3DED-D630-4610-B6D2-35CCDB88E86C}" name="Tabela11" displayName="Tabela11" ref="F25:H26" totalsRowShown="0">
  <autoFilter ref="F25:H26" xr:uid="{EAFC3DED-D630-4610-B6D2-35CCDB88E86C}"/>
  <tableColumns count="3">
    <tableColumn id="1" xr3:uid="{431BB4A0-FF26-4D61-83DE-582DF9698884}" name="Desvio Padrão">
      <calculatedColumnFormula>STDEV('A21-1'!F583,'A21-2'!F663,'A21-3'!F666,'A21-4'!F595,'A21-5'!F596)</calculatedColumnFormula>
    </tableColumn>
    <tableColumn id="2" xr3:uid="{7369B6D2-4B6D-4101-A9D0-1B567BE0DB87}" name="Média" dataDxfId="0">
      <calculatedColumnFormula>AVERAGE('A21-1'!F583,'A21-2'!F663,'A21-3'!F666,'A21-4'!F595,'A21-5'!F596)</calculatedColumnFormula>
    </tableColumn>
    <tableColumn id="3" xr3:uid="{45516523-A79A-4237-9D0D-F460702B466C}" name="media força maxima">
      <calculatedColumnFormula>AVERAGE('A21-1'!D583,'A21-2'!D663,'A21-3'!D666,'A21-4'!D595,'A21-5'!D596)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3"/>
  <sheetViews>
    <sheetView workbookViewId="0">
      <selection sqref="A1:K1048576"/>
    </sheetView>
  </sheetViews>
  <sheetFormatPr defaultRowHeight="14.4" x14ac:dyDescent="0.3"/>
  <cols>
    <col min="1" max="1" width="11.88671875" style="3" bestFit="1" customWidth="1"/>
    <col min="2" max="2" width="25.5546875" style="3" bestFit="1" customWidth="1"/>
    <col min="3" max="3" width="24.44140625" style="2" bestFit="1" customWidth="1"/>
    <col min="4" max="4" width="11.44140625" style="3" bestFit="1" customWidth="1"/>
    <col min="5" max="5" width="13.5546875" style="2" bestFit="1" customWidth="1"/>
    <col min="6" max="6" width="15.5546875" style="2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5">
        <v>0.11667</v>
      </c>
      <c r="B2" s="5">
        <v>3.5362000000000002E-3</v>
      </c>
      <c r="C2" s="1">
        <f>Tabela1[[#This Row],[Alongamento (mm/mm)]]/$I$2</f>
        <v>7.0724000000000009E-5</v>
      </c>
      <c r="D2" s="5">
        <v>0</v>
      </c>
      <c r="E2" s="1">
        <f>Tabela1[[#This Row],[Força (N)]]/$I$5</f>
        <v>0</v>
      </c>
      <c r="F2" s="1">
        <f>Tabela1[[#This Row],[Tensão (Pa)]]/1000000</f>
        <v>0</v>
      </c>
      <c r="H2" t="s">
        <v>10</v>
      </c>
      <c r="I2">
        <v>50</v>
      </c>
      <c r="J2">
        <v>12.92</v>
      </c>
      <c r="K2">
        <v>3.28</v>
      </c>
    </row>
    <row r="3" spans="1:11" x14ac:dyDescent="0.3">
      <c r="A3" s="5">
        <v>3.4167000000000001</v>
      </c>
      <c r="B3" s="5">
        <v>0.27675</v>
      </c>
      <c r="C3" s="1">
        <f>Tabela1[[#This Row],[Alongamento (mm/mm)]]/$I$2</f>
        <v>5.535E-3</v>
      </c>
      <c r="D3" s="5">
        <v>2.3814000000000002</v>
      </c>
      <c r="E3" s="1">
        <f>Tabela1[[#This Row],[Força (N)]]/$I$5</f>
        <v>56194.782149059887</v>
      </c>
      <c r="F3" s="1">
        <f>Tabela1[[#This Row],[Tensão (Pa)]]/1000000</f>
        <v>5.6194782149059888E-2</v>
      </c>
      <c r="H3" t="s">
        <v>11</v>
      </c>
      <c r="I3">
        <f>I2/1000</f>
        <v>0.05</v>
      </c>
      <c r="J3">
        <f t="shared" ref="J3:K3" si="0">J2/1000</f>
        <v>1.2919999999999999E-2</v>
      </c>
      <c r="K3">
        <f t="shared" si="0"/>
        <v>3.2799999999999999E-3</v>
      </c>
    </row>
    <row r="4" spans="1:11" x14ac:dyDescent="0.3">
      <c r="A4" s="5">
        <v>3.45</v>
      </c>
      <c r="B4" s="5">
        <v>0.27944999999999998</v>
      </c>
      <c r="C4" s="1">
        <f>Tabela1[[#This Row],[Alongamento (mm/mm)]]/$I$2</f>
        <v>5.5889999999999994E-3</v>
      </c>
      <c r="D4" s="5">
        <v>2.3814000000000002</v>
      </c>
      <c r="E4" s="1">
        <f>Tabela1[[#This Row],[Força (N)]]/$I$5</f>
        <v>56194.782149059887</v>
      </c>
      <c r="F4" s="1">
        <f>Tabela1[[#This Row],[Tensão (Pa)]]/1000000</f>
        <v>5.6194782149059888E-2</v>
      </c>
    </row>
    <row r="5" spans="1:11" x14ac:dyDescent="0.3">
      <c r="A5" s="5">
        <v>3.4832999999999998</v>
      </c>
      <c r="B5" s="5">
        <v>0.28233999999999998</v>
      </c>
      <c r="C5" s="1">
        <f>Tabela1[[#This Row],[Alongamento (mm/mm)]]/$I$2</f>
        <v>5.6467999999999996E-3</v>
      </c>
      <c r="D5" s="5">
        <v>2.3814000000000002</v>
      </c>
      <c r="E5" s="1">
        <f>Tabela1[[#This Row],[Força (N)]]/$I$5</f>
        <v>56194.782149059887</v>
      </c>
      <c r="F5" s="1">
        <f>Tabela1[[#This Row],[Tensão (Pa)]]/1000000</f>
        <v>5.6194782149059888E-2</v>
      </c>
      <c r="H5" t="s">
        <v>12</v>
      </c>
      <c r="I5">
        <f>J3*K3</f>
        <v>4.2377599999999999E-5</v>
      </c>
    </row>
    <row r="6" spans="1:11" x14ac:dyDescent="0.3">
      <c r="A6" s="5">
        <v>3.5167000000000002</v>
      </c>
      <c r="B6" s="5">
        <v>0.28504000000000002</v>
      </c>
      <c r="C6" s="1">
        <f>Tabela1[[#This Row],[Alongamento (mm/mm)]]/$I$2</f>
        <v>5.7008000000000007E-3</v>
      </c>
      <c r="D6" s="5">
        <v>2.3814000000000002</v>
      </c>
      <c r="E6" s="1">
        <f>Tabela1[[#This Row],[Força (N)]]/$I$5</f>
        <v>56194.782149059887</v>
      </c>
      <c r="F6" s="1">
        <f>Tabela1[[#This Row],[Tensão (Pa)]]/1000000</f>
        <v>5.6194782149059888E-2</v>
      </c>
    </row>
    <row r="7" spans="1:11" x14ac:dyDescent="0.3">
      <c r="A7" s="5">
        <v>3.55</v>
      </c>
      <c r="B7" s="5">
        <v>0.28782999999999997</v>
      </c>
      <c r="C7" s="1">
        <f>Tabela1[[#This Row],[Alongamento (mm/mm)]]/$I$2</f>
        <v>5.7565999999999997E-3</v>
      </c>
      <c r="D7" s="5">
        <v>2.3814000000000002</v>
      </c>
      <c r="E7" s="1">
        <f>Tabela1[[#This Row],[Força (N)]]/$I$5</f>
        <v>56194.782149059887</v>
      </c>
      <c r="F7" s="1">
        <f>Tabela1[[#This Row],[Tensão (Pa)]]/1000000</f>
        <v>5.6194782149059888E-2</v>
      </c>
    </row>
    <row r="8" spans="1:11" x14ac:dyDescent="0.3">
      <c r="A8" s="5">
        <v>3.5832999999999999</v>
      </c>
      <c r="B8" s="5">
        <v>0.29061999999999999</v>
      </c>
      <c r="C8" s="1">
        <f>Tabela1[[#This Row],[Alongamento (mm/mm)]]/$I$2</f>
        <v>5.8123999999999997E-3</v>
      </c>
      <c r="D8" s="5">
        <v>2.3814000000000002</v>
      </c>
      <c r="E8" s="1">
        <f>Tabela1[[#This Row],[Força (N)]]/$I$5</f>
        <v>56194.782149059887</v>
      </c>
      <c r="F8" s="1">
        <f>Tabela1[[#This Row],[Tensão (Pa)]]/1000000</f>
        <v>5.6194782149059888E-2</v>
      </c>
    </row>
    <row r="9" spans="1:11" x14ac:dyDescent="0.3">
      <c r="A9" s="5">
        <v>3.6166999999999998</v>
      </c>
      <c r="B9" s="5">
        <v>0.29341</v>
      </c>
      <c r="C9" s="1">
        <f>Tabela1[[#This Row],[Alongamento (mm/mm)]]/$I$2</f>
        <v>5.8682000000000005E-3</v>
      </c>
      <c r="D9" s="5">
        <v>2.3814000000000002</v>
      </c>
      <c r="E9" s="1">
        <f>Tabela1[[#This Row],[Força (N)]]/$I$5</f>
        <v>56194.782149059887</v>
      </c>
      <c r="F9" s="1">
        <f>Tabela1[[#This Row],[Tensão (Pa)]]/1000000</f>
        <v>5.6194782149059888E-2</v>
      </c>
    </row>
    <row r="10" spans="1:11" x14ac:dyDescent="0.3">
      <c r="A10" s="5">
        <v>3.65</v>
      </c>
      <c r="B10" s="5">
        <v>0.29610999999999998</v>
      </c>
      <c r="C10" s="1">
        <f>Tabela1[[#This Row],[Alongamento (mm/mm)]]/$I$2</f>
        <v>5.9221999999999999E-3</v>
      </c>
      <c r="D10" s="5">
        <v>2.3814000000000002</v>
      </c>
      <c r="E10" s="1">
        <f>Tabela1[[#This Row],[Força (N)]]/$I$5</f>
        <v>56194.782149059887</v>
      </c>
      <c r="F10" s="1">
        <f>Tabela1[[#This Row],[Tensão (Pa)]]/1000000</f>
        <v>5.6194782149059888E-2</v>
      </c>
    </row>
    <row r="11" spans="1:11" x14ac:dyDescent="0.3">
      <c r="A11" s="5">
        <v>3.6833</v>
      </c>
      <c r="B11" s="5">
        <v>0.29899999999999999</v>
      </c>
      <c r="C11" s="1">
        <f>Tabela1[[#This Row],[Alongamento (mm/mm)]]/$I$2</f>
        <v>5.9800000000000001E-3</v>
      </c>
      <c r="D11" s="5">
        <v>2.5514999999999999</v>
      </c>
      <c r="E11" s="1">
        <f>Tabela1[[#This Row],[Força (N)]]/$I$5</f>
        <v>60208.695159707015</v>
      </c>
      <c r="F11" s="1">
        <f>Tabela1[[#This Row],[Tensão (Pa)]]/1000000</f>
        <v>6.0208695159707018E-2</v>
      </c>
    </row>
    <row r="12" spans="1:11" x14ac:dyDescent="0.3">
      <c r="A12" s="5">
        <v>3.7166999999999999</v>
      </c>
      <c r="B12" s="5">
        <v>0.30179</v>
      </c>
      <c r="C12" s="1">
        <f>Tabela1[[#This Row],[Alongamento (mm/mm)]]/$I$2</f>
        <v>6.0358E-3</v>
      </c>
      <c r="D12" s="5">
        <v>2.5514999999999999</v>
      </c>
      <c r="E12" s="1">
        <f>Tabela1[[#This Row],[Força (N)]]/$I$5</f>
        <v>60208.695159707015</v>
      </c>
      <c r="F12" s="1">
        <f>Tabela1[[#This Row],[Tensão (Pa)]]/1000000</f>
        <v>6.0208695159707018E-2</v>
      </c>
    </row>
    <row r="13" spans="1:11" x14ac:dyDescent="0.3">
      <c r="A13" s="5">
        <v>3.75</v>
      </c>
      <c r="B13" s="5">
        <v>0.30458000000000002</v>
      </c>
      <c r="C13" s="1">
        <f>Tabela1[[#This Row],[Alongamento (mm/mm)]]/$I$2</f>
        <v>6.0916E-3</v>
      </c>
      <c r="D13" s="5">
        <v>2.5514999999999999</v>
      </c>
      <c r="E13" s="1">
        <f>Tabela1[[#This Row],[Força (N)]]/$I$5</f>
        <v>60208.695159707015</v>
      </c>
      <c r="F13" s="1">
        <f>Tabela1[[#This Row],[Tensão (Pa)]]/1000000</f>
        <v>6.0208695159707018E-2</v>
      </c>
    </row>
    <row r="14" spans="1:11" x14ac:dyDescent="0.3">
      <c r="A14" s="5">
        <v>3.7833000000000001</v>
      </c>
      <c r="B14" s="5">
        <v>0.30728</v>
      </c>
      <c r="C14" s="1">
        <f>Tabela1[[#This Row],[Alongamento (mm/mm)]]/$I$2</f>
        <v>6.1456000000000002E-3</v>
      </c>
      <c r="D14" s="5">
        <v>2.5514999999999999</v>
      </c>
      <c r="E14" s="1">
        <f>Tabela1[[#This Row],[Força (N)]]/$I$5</f>
        <v>60208.695159707015</v>
      </c>
      <c r="F14" s="1">
        <f>Tabela1[[#This Row],[Tensão (Pa)]]/1000000</f>
        <v>6.0208695159707018E-2</v>
      </c>
    </row>
    <row r="15" spans="1:11" x14ac:dyDescent="0.3">
      <c r="A15" s="5">
        <v>3.8167</v>
      </c>
      <c r="B15" s="5">
        <v>0.31007000000000001</v>
      </c>
      <c r="C15" s="1">
        <f>Tabela1[[#This Row],[Alongamento (mm/mm)]]/$I$2</f>
        <v>6.2014000000000001E-3</v>
      </c>
      <c r="D15" s="5">
        <v>2.5514999999999999</v>
      </c>
      <c r="E15" s="1">
        <f>Tabela1[[#This Row],[Força (N)]]/$I$5</f>
        <v>60208.695159707015</v>
      </c>
      <c r="F15" s="1">
        <f>Tabela1[[#This Row],[Tensão (Pa)]]/1000000</f>
        <v>6.0208695159707018E-2</v>
      </c>
    </row>
    <row r="16" spans="1:11" x14ac:dyDescent="0.3">
      <c r="A16" s="5">
        <v>3.85</v>
      </c>
      <c r="B16" s="5">
        <v>0.31286000000000003</v>
      </c>
      <c r="C16" s="1">
        <f>Tabela1[[#This Row],[Alongamento (mm/mm)]]/$I$2</f>
        <v>6.257200000000001E-3</v>
      </c>
      <c r="D16" s="5">
        <v>2.5514999999999999</v>
      </c>
      <c r="E16" s="1">
        <f>Tabela1[[#This Row],[Força (N)]]/$I$5</f>
        <v>60208.695159707015</v>
      </c>
      <c r="F16" s="1">
        <f>Tabela1[[#This Row],[Tensão (Pa)]]/1000000</f>
        <v>6.0208695159707018E-2</v>
      </c>
    </row>
    <row r="17" spans="1:6" x14ac:dyDescent="0.3">
      <c r="A17" s="5">
        <v>3.8833000000000002</v>
      </c>
      <c r="B17" s="5">
        <v>0.31564999999999999</v>
      </c>
      <c r="C17" s="1">
        <f>Tabela1[[#This Row],[Alongamento (mm/mm)]]/$I$2</f>
        <v>6.313E-3</v>
      </c>
      <c r="D17" s="5">
        <v>2.5514999999999999</v>
      </c>
      <c r="E17" s="1">
        <f>Tabela1[[#This Row],[Força (N)]]/$I$5</f>
        <v>60208.695159707015</v>
      </c>
      <c r="F17" s="1">
        <f>Tabela1[[#This Row],[Tensão (Pa)]]/1000000</f>
        <v>6.0208695159707018E-2</v>
      </c>
    </row>
    <row r="18" spans="1:6" x14ac:dyDescent="0.3">
      <c r="A18" s="5">
        <v>3.9167000000000001</v>
      </c>
      <c r="B18" s="5">
        <v>0.31844</v>
      </c>
      <c r="C18" s="1">
        <f>Tabela1[[#This Row],[Alongamento (mm/mm)]]/$I$2</f>
        <v>6.3688E-3</v>
      </c>
      <c r="D18" s="5">
        <v>2.5514999999999999</v>
      </c>
      <c r="E18" s="1">
        <f>Tabela1[[#This Row],[Força (N)]]/$I$5</f>
        <v>60208.695159707015</v>
      </c>
      <c r="F18" s="1">
        <f>Tabela1[[#This Row],[Tensão (Pa)]]/1000000</f>
        <v>6.0208695159707018E-2</v>
      </c>
    </row>
    <row r="19" spans="1:6" x14ac:dyDescent="0.3">
      <c r="A19" s="5">
        <v>3.95</v>
      </c>
      <c r="B19" s="5">
        <v>0.32113999999999998</v>
      </c>
      <c r="C19" s="1">
        <f>Tabela1[[#This Row],[Alongamento (mm/mm)]]/$I$2</f>
        <v>6.4227999999999993E-3</v>
      </c>
      <c r="D19" s="5">
        <v>2.5514999999999999</v>
      </c>
      <c r="E19" s="1">
        <f>Tabela1[[#This Row],[Força (N)]]/$I$5</f>
        <v>60208.695159707015</v>
      </c>
      <c r="F19" s="1">
        <f>Tabela1[[#This Row],[Tensão (Pa)]]/1000000</f>
        <v>6.0208695159707018E-2</v>
      </c>
    </row>
    <row r="20" spans="1:6" x14ac:dyDescent="0.3">
      <c r="A20" s="5">
        <v>3.9832999999999998</v>
      </c>
      <c r="B20" s="5">
        <v>0.32402999999999998</v>
      </c>
      <c r="C20" s="1">
        <f>Tabela1[[#This Row],[Alongamento (mm/mm)]]/$I$2</f>
        <v>6.4805999999999996E-3</v>
      </c>
      <c r="D20" s="5">
        <v>2.5514999999999999</v>
      </c>
      <c r="E20" s="1">
        <f>Tabela1[[#This Row],[Força (N)]]/$I$5</f>
        <v>60208.695159707015</v>
      </c>
      <c r="F20" s="1">
        <f>Tabela1[[#This Row],[Tensão (Pa)]]/1000000</f>
        <v>6.0208695159707018E-2</v>
      </c>
    </row>
    <row r="21" spans="1:6" x14ac:dyDescent="0.3">
      <c r="A21" s="5">
        <v>4.0167000000000002</v>
      </c>
      <c r="B21" s="5">
        <v>0.32673000000000002</v>
      </c>
      <c r="C21" s="1">
        <f>Tabela1[[#This Row],[Alongamento (mm/mm)]]/$I$2</f>
        <v>6.5346000000000007E-3</v>
      </c>
      <c r="D21" s="5">
        <v>2.5514999999999999</v>
      </c>
      <c r="E21" s="1">
        <f>Tabela1[[#This Row],[Força (N)]]/$I$5</f>
        <v>60208.695159707015</v>
      </c>
      <c r="F21" s="1">
        <f>Tabela1[[#This Row],[Tensão (Pa)]]/1000000</f>
        <v>6.0208695159707018E-2</v>
      </c>
    </row>
    <row r="22" spans="1:6" x14ac:dyDescent="0.3">
      <c r="A22" s="5">
        <v>4.05</v>
      </c>
      <c r="B22" s="5">
        <v>0.32961000000000001</v>
      </c>
      <c r="C22" s="1">
        <f>Tabela1[[#This Row],[Alongamento (mm/mm)]]/$I$2</f>
        <v>6.5922000000000003E-3</v>
      </c>
      <c r="D22" s="5">
        <v>2.7216</v>
      </c>
      <c r="E22" s="1">
        <f>Tabela1[[#This Row],[Força (N)]]/$I$5</f>
        <v>64222.608170354149</v>
      </c>
      <c r="F22" s="1">
        <f>Tabela1[[#This Row],[Tensão (Pa)]]/1000000</f>
        <v>6.4222608170354148E-2</v>
      </c>
    </row>
    <row r="23" spans="1:6" x14ac:dyDescent="0.3">
      <c r="A23" s="5">
        <v>4.0833000000000004</v>
      </c>
      <c r="B23" s="5">
        <v>0.33230999999999999</v>
      </c>
      <c r="C23" s="1">
        <f>Tabela1[[#This Row],[Alongamento (mm/mm)]]/$I$2</f>
        <v>6.6461999999999997E-3</v>
      </c>
      <c r="D23" s="5">
        <v>2.7216</v>
      </c>
      <c r="E23" s="1">
        <f>Tabela1[[#This Row],[Força (N)]]/$I$5</f>
        <v>64222.608170354149</v>
      </c>
      <c r="F23" s="1">
        <f>Tabela1[[#This Row],[Tensão (Pa)]]/1000000</f>
        <v>6.4222608170354148E-2</v>
      </c>
    </row>
    <row r="24" spans="1:6" x14ac:dyDescent="0.3">
      <c r="A24" s="5">
        <v>4.1166999999999998</v>
      </c>
      <c r="B24" s="5">
        <v>0.33510000000000001</v>
      </c>
      <c r="C24" s="1">
        <f>Tabela1[[#This Row],[Alongamento (mm/mm)]]/$I$2</f>
        <v>6.7020000000000005E-3</v>
      </c>
      <c r="D24" s="5">
        <v>2.7216</v>
      </c>
      <c r="E24" s="1">
        <f>Tabela1[[#This Row],[Força (N)]]/$I$5</f>
        <v>64222.608170354149</v>
      </c>
      <c r="F24" s="1">
        <f>Tabela1[[#This Row],[Tensão (Pa)]]/1000000</f>
        <v>6.4222608170354148E-2</v>
      </c>
    </row>
    <row r="25" spans="1:6" x14ac:dyDescent="0.3">
      <c r="A25" s="5">
        <v>4.1500000000000004</v>
      </c>
      <c r="B25" s="5">
        <v>0.33789000000000002</v>
      </c>
      <c r="C25" s="1">
        <f>Tabela1[[#This Row],[Alongamento (mm/mm)]]/$I$2</f>
        <v>6.7578000000000004E-3</v>
      </c>
      <c r="D25" s="5">
        <v>2.7216</v>
      </c>
      <c r="E25" s="1">
        <f>Tabela1[[#This Row],[Força (N)]]/$I$5</f>
        <v>64222.608170354149</v>
      </c>
      <c r="F25" s="1">
        <f>Tabela1[[#This Row],[Tensão (Pa)]]/1000000</f>
        <v>6.4222608170354148E-2</v>
      </c>
    </row>
    <row r="26" spans="1:6" x14ac:dyDescent="0.3">
      <c r="A26" s="5">
        <v>4.1833</v>
      </c>
      <c r="B26" s="5">
        <v>0.34068999999999999</v>
      </c>
      <c r="C26" s="1">
        <f>Tabela1[[#This Row],[Alongamento (mm/mm)]]/$I$2</f>
        <v>6.8138000000000001E-3</v>
      </c>
      <c r="D26" s="5">
        <v>2.7216</v>
      </c>
      <c r="E26" s="1">
        <f>Tabela1[[#This Row],[Força (N)]]/$I$5</f>
        <v>64222.608170354149</v>
      </c>
      <c r="F26" s="1">
        <f>Tabela1[[#This Row],[Tensão (Pa)]]/1000000</f>
        <v>6.4222608170354148E-2</v>
      </c>
    </row>
    <row r="27" spans="1:6" x14ac:dyDescent="0.3">
      <c r="A27" s="5">
        <v>4.2167000000000003</v>
      </c>
      <c r="B27" s="5">
        <v>0.34338000000000002</v>
      </c>
      <c r="C27" s="1">
        <f>Tabela1[[#This Row],[Alongamento (mm/mm)]]/$I$2</f>
        <v>6.8676000000000006E-3</v>
      </c>
      <c r="D27" s="5">
        <v>2.7216</v>
      </c>
      <c r="E27" s="1">
        <f>Tabela1[[#This Row],[Força (N)]]/$I$5</f>
        <v>64222.608170354149</v>
      </c>
      <c r="F27" s="1">
        <f>Tabela1[[#This Row],[Tensão (Pa)]]/1000000</f>
        <v>6.4222608170354148E-2</v>
      </c>
    </row>
    <row r="28" spans="1:6" x14ac:dyDescent="0.3">
      <c r="A28" s="5">
        <v>4.25</v>
      </c>
      <c r="B28" s="5">
        <v>0.34627000000000002</v>
      </c>
      <c r="C28" s="1">
        <f>Tabela1[[#This Row],[Alongamento (mm/mm)]]/$I$2</f>
        <v>6.9254000000000008E-3</v>
      </c>
      <c r="D28" s="5">
        <v>2.5514999999999999</v>
      </c>
      <c r="E28" s="1">
        <f>Tabela1[[#This Row],[Força (N)]]/$I$5</f>
        <v>60208.695159707015</v>
      </c>
      <c r="F28" s="1">
        <f>Tabela1[[#This Row],[Tensão (Pa)]]/1000000</f>
        <v>6.0208695159707018E-2</v>
      </c>
    </row>
    <row r="29" spans="1:6" x14ac:dyDescent="0.3">
      <c r="A29" s="5">
        <v>4.2832999999999997</v>
      </c>
      <c r="B29" s="5">
        <v>0.34897</v>
      </c>
      <c r="C29" s="1">
        <f>Tabela1[[#This Row],[Alongamento (mm/mm)]]/$I$2</f>
        <v>6.9794000000000002E-3</v>
      </c>
      <c r="D29" s="5">
        <v>2.7216</v>
      </c>
      <c r="E29" s="1">
        <f>Tabela1[[#This Row],[Força (N)]]/$I$5</f>
        <v>64222.608170354149</v>
      </c>
      <c r="F29" s="1">
        <f>Tabela1[[#This Row],[Tensão (Pa)]]/1000000</f>
        <v>6.4222608170354148E-2</v>
      </c>
    </row>
    <row r="30" spans="1:6" x14ac:dyDescent="0.3">
      <c r="A30" s="5">
        <v>4.3167</v>
      </c>
      <c r="B30" s="5">
        <v>0.35176000000000002</v>
      </c>
      <c r="C30" s="1">
        <f>Tabela1[[#This Row],[Alongamento (mm/mm)]]/$I$2</f>
        <v>7.0352000000000001E-3</v>
      </c>
      <c r="D30" s="5">
        <v>2.5514999999999999</v>
      </c>
      <c r="E30" s="1">
        <f>Tabela1[[#This Row],[Força (N)]]/$I$5</f>
        <v>60208.695159707015</v>
      </c>
      <c r="F30" s="1">
        <f>Tabela1[[#This Row],[Tensão (Pa)]]/1000000</f>
        <v>6.0208695159707018E-2</v>
      </c>
    </row>
    <row r="31" spans="1:6" x14ac:dyDescent="0.3">
      <c r="A31" s="5">
        <v>4.3499999999999996</v>
      </c>
      <c r="B31" s="5">
        <v>0.35454999999999998</v>
      </c>
      <c r="C31" s="1">
        <f>Tabela1[[#This Row],[Alongamento (mm/mm)]]/$I$2</f>
        <v>7.0909999999999992E-3</v>
      </c>
      <c r="D31" s="5">
        <v>2.5514999999999999</v>
      </c>
      <c r="E31" s="1">
        <f>Tabela1[[#This Row],[Força (N)]]/$I$5</f>
        <v>60208.695159707015</v>
      </c>
      <c r="F31" s="1">
        <f>Tabela1[[#This Row],[Tensão (Pa)]]/1000000</f>
        <v>6.0208695159707018E-2</v>
      </c>
    </row>
    <row r="32" spans="1:6" x14ac:dyDescent="0.3">
      <c r="A32" s="5">
        <v>4.3833000000000002</v>
      </c>
      <c r="B32" s="5">
        <v>0.35725000000000001</v>
      </c>
      <c r="C32" s="1">
        <f>Tabela1[[#This Row],[Alongamento (mm/mm)]]/$I$2</f>
        <v>7.1450000000000003E-3</v>
      </c>
      <c r="D32" s="5">
        <v>2.5514999999999999</v>
      </c>
      <c r="E32" s="1">
        <f>Tabela1[[#This Row],[Força (N)]]/$I$5</f>
        <v>60208.695159707015</v>
      </c>
      <c r="F32" s="1">
        <f>Tabela1[[#This Row],[Tensão (Pa)]]/1000000</f>
        <v>6.0208695159707018E-2</v>
      </c>
    </row>
    <row r="33" spans="1:6" x14ac:dyDescent="0.3">
      <c r="A33" s="5">
        <v>4.4166999999999996</v>
      </c>
      <c r="B33" s="5">
        <v>0.36013000000000001</v>
      </c>
      <c r="C33" s="1">
        <f>Tabela1[[#This Row],[Alongamento (mm/mm)]]/$I$2</f>
        <v>7.2026E-3</v>
      </c>
      <c r="D33" s="5">
        <v>2.5514999999999999</v>
      </c>
      <c r="E33" s="1">
        <f>Tabela1[[#This Row],[Força (N)]]/$I$5</f>
        <v>60208.695159707015</v>
      </c>
      <c r="F33" s="1">
        <f>Tabela1[[#This Row],[Tensão (Pa)]]/1000000</f>
        <v>6.0208695159707018E-2</v>
      </c>
    </row>
    <row r="34" spans="1:6" x14ac:dyDescent="0.3">
      <c r="A34" s="5">
        <v>4.45</v>
      </c>
      <c r="B34" s="5">
        <v>0.36292999999999997</v>
      </c>
      <c r="C34" s="1">
        <f>Tabela1[[#This Row],[Alongamento (mm/mm)]]/$I$2</f>
        <v>7.2585999999999996E-3</v>
      </c>
      <c r="D34" s="5">
        <v>2.5514999999999999</v>
      </c>
      <c r="E34" s="1">
        <f>Tabela1[[#This Row],[Força (N)]]/$I$5</f>
        <v>60208.695159707015</v>
      </c>
      <c r="F34" s="1">
        <f>Tabela1[[#This Row],[Tensão (Pa)]]/1000000</f>
        <v>6.0208695159707018E-2</v>
      </c>
    </row>
    <row r="35" spans="1:6" x14ac:dyDescent="0.3">
      <c r="A35" s="5">
        <v>4.4832999999999998</v>
      </c>
      <c r="B35" s="5">
        <v>0.36571999999999999</v>
      </c>
      <c r="C35" s="1">
        <f>Tabela1[[#This Row],[Alongamento (mm/mm)]]/$I$2</f>
        <v>7.3143999999999995E-3</v>
      </c>
      <c r="D35" s="5">
        <v>2.7216</v>
      </c>
      <c r="E35" s="1">
        <f>Tabela1[[#This Row],[Força (N)]]/$I$5</f>
        <v>64222.608170354149</v>
      </c>
      <c r="F35" s="1">
        <f>Tabela1[[#This Row],[Tensão (Pa)]]/1000000</f>
        <v>6.4222608170354148E-2</v>
      </c>
    </row>
    <row r="36" spans="1:6" x14ac:dyDescent="0.3">
      <c r="A36" s="5">
        <v>4.5332999999999997</v>
      </c>
      <c r="B36" s="5">
        <v>0.36991000000000002</v>
      </c>
      <c r="C36" s="1">
        <f>Tabela1[[#This Row],[Alongamento (mm/mm)]]/$I$2</f>
        <v>7.3982000000000006E-3</v>
      </c>
      <c r="D36" s="5">
        <v>2.7216</v>
      </c>
      <c r="E36" s="1">
        <f>Tabela1[[#This Row],[Força (N)]]/$I$5</f>
        <v>64222.608170354149</v>
      </c>
      <c r="F36" s="1">
        <f>Tabela1[[#This Row],[Tensão (Pa)]]/1000000</f>
        <v>6.4222608170354148E-2</v>
      </c>
    </row>
    <row r="37" spans="1:6" x14ac:dyDescent="0.3">
      <c r="A37" s="5">
        <v>4.5833000000000004</v>
      </c>
      <c r="B37" s="5">
        <v>0.374</v>
      </c>
      <c r="C37" s="1">
        <f>Tabela1[[#This Row],[Alongamento (mm/mm)]]/$I$2</f>
        <v>7.4799999999999997E-3</v>
      </c>
      <c r="D37" s="5">
        <v>2.7216</v>
      </c>
      <c r="E37" s="1">
        <f>Tabela1[[#This Row],[Força (N)]]/$I$5</f>
        <v>64222.608170354149</v>
      </c>
      <c r="F37" s="1">
        <f>Tabela1[[#This Row],[Tensão (Pa)]]/1000000</f>
        <v>6.4222608170354148E-2</v>
      </c>
    </row>
    <row r="38" spans="1:6" x14ac:dyDescent="0.3">
      <c r="A38" s="5">
        <v>4.6333000000000002</v>
      </c>
      <c r="B38" s="5">
        <v>0.37808999999999998</v>
      </c>
      <c r="C38" s="1">
        <f>Tabela1[[#This Row],[Alongamento (mm/mm)]]/$I$2</f>
        <v>7.5617999999999996E-3</v>
      </c>
      <c r="D38" s="5">
        <v>2.7216</v>
      </c>
      <c r="E38" s="1">
        <f>Tabela1[[#This Row],[Força (N)]]/$I$5</f>
        <v>64222.608170354149</v>
      </c>
      <c r="F38" s="1">
        <f>Tabela1[[#This Row],[Tensão (Pa)]]/1000000</f>
        <v>6.4222608170354148E-2</v>
      </c>
    </row>
    <row r="39" spans="1:6" x14ac:dyDescent="0.3">
      <c r="A39" s="5">
        <v>4.6833</v>
      </c>
      <c r="B39" s="5">
        <v>0.38228000000000001</v>
      </c>
      <c r="C39" s="1">
        <f>Tabela1[[#This Row],[Alongamento (mm/mm)]]/$I$2</f>
        <v>7.6455999999999998E-3</v>
      </c>
      <c r="D39" s="5">
        <v>2.7216</v>
      </c>
      <c r="E39" s="1">
        <f>Tabela1[[#This Row],[Força (N)]]/$I$5</f>
        <v>64222.608170354149</v>
      </c>
      <c r="F39" s="1">
        <f>Tabela1[[#This Row],[Tensão (Pa)]]/1000000</f>
        <v>6.4222608170354148E-2</v>
      </c>
    </row>
    <row r="40" spans="1:6" x14ac:dyDescent="0.3">
      <c r="A40" s="5">
        <v>4.7332999999999998</v>
      </c>
      <c r="B40" s="5">
        <v>0.38646999999999998</v>
      </c>
      <c r="C40" s="1">
        <f>Tabela1[[#This Row],[Alongamento (mm/mm)]]/$I$2</f>
        <v>7.7294E-3</v>
      </c>
      <c r="D40" s="5">
        <v>2.7216</v>
      </c>
      <c r="E40" s="1">
        <f>Tabela1[[#This Row],[Força (N)]]/$I$5</f>
        <v>64222.608170354149</v>
      </c>
      <c r="F40" s="1">
        <f>Tabela1[[#This Row],[Tensão (Pa)]]/1000000</f>
        <v>6.4222608170354148E-2</v>
      </c>
    </row>
    <row r="41" spans="1:6" x14ac:dyDescent="0.3">
      <c r="A41" s="5">
        <v>4.7832999999999997</v>
      </c>
      <c r="B41" s="5">
        <v>0.39066000000000001</v>
      </c>
      <c r="C41" s="1">
        <f>Tabela1[[#This Row],[Alongamento (mm/mm)]]/$I$2</f>
        <v>7.8131999999999993E-3</v>
      </c>
      <c r="D41" s="5">
        <v>2.7216</v>
      </c>
      <c r="E41" s="1">
        <f>Tabela1[[#This Row],[Força (N)]]/$I$5</f>
        <v>64222.608170354149</v>
      </c>
      <c r="F41" s="1">
        <f>Tabela1[[#This Row],[Tensão (Pa)]]/1000000</f>
        <v>6.4222608170354148E-2</v>
      </c>
    </row>
    <row r="42" spans="1:6" x14ac:dyDescent="0.3">
      <c r="A42" s="5">
        <v>4.8333000000000004</v>
      </c>
      <c r="B42" s="5">
        <v>0.39474999999999999</v>
      </c>
      <c r="C42" s="1">
        <f>Tabela1[[#This Row],[Alongamento (mm/mm)]]/$I$2</f>
        <v>7.8949999999999992E-3</v>
      </c>
      <c r="D42" s="5">
        <v>2.8917000000000002</v>
      </c>
      <c r="E42" s="1">
        <f>Tabela1[[#This Row],[Força (N)]]/$I$5</f>
        <v>68236.521181001284</v>
      </c>
      <c r="F42" s="1">
        <f>Tabela1[[#This Row],[Tensão (Pa)]]/1000000</f>
        <v>6.8236521181001278E-2</v>
      </c>
    </row>
    <row r="43" spans="1:6" x14ac:dyDescent="0.3">
      <c r="A43" s="5">
        <v>4.8833000000000002</v>
      </c>
      <c r="B43" s="5">
        <v>0.39894000000000002</v>
      </c>
      <c r="C43" s="1">
        <f>Tabela1[[#This Row],[Alongamento (mm/mm)]]/$I$2</f>
        <v>7.9788000000000012E-3</v>
      </c>
      <c r="D43" s="5">
        <v>2.8917000000000002</v>
      </c>
      <c r="E43" s="1">
        <f>Tabela1[[#This Row],[Força (N)]]/$I$5</f>
        <v>68236.521181001284</v>
      </c>
      <c r="F43" s="1">
        <f>Tabela1[[#This Row],[Tensão (Pa)]]/1000000</f>
        <v>6.8236521181001278E-2</v>
      </c>
    </row>
    <row r="44" spans="1:6" x14ac:dyDescent="0.3">
      <c r="A44" s="5">
        <v>4.9333</v>
      </c>
      <c r="B44" s="5">
        <v>0.40312999999999999</v>
      </c>
      <c r="C44" s="1">
        <f>Tabela1[[#This Row],[Alongamento (mm/mm)]]/$I$2</f>
        <v>8.0625999999999996E-3</v>
      </c>
      <c r="D44" s="5">
        <v>2.8917000000000002</v>
      </c>
      <c r="E44" s="1">
        <f>Tabela1[[#This Row],[Força (N)]]/$I$5</f>
        <v>68236.521181001284</v>
      </c>
      <c r="F44" s="1">
        <f>Tabela1[[#This Row],[Tensão (Pa)]]/1000000</f>
        <v>6.8236521181001278E-2</v>
      </c>
    </row>
    <row r="45" spans="1:6" x14ac:dyDescent="0.3">
      <c r="A45" s="5">
        <v>4.9832999999999998</v>
      </c>
      <c r="B45" s="5">
        <v>0.40731000000000001</v>
      </c>
      <c r="C45" s="1">
        <f>Tabela1[[#This Row],[Alongamento (mm/mm)]]/$I$2</f>
        <v>8.1461999999999993E-3</v>
      </c>
      <c r="D45" s="5">
        <v>3.0617999999999999</v>
      </c>
      <c r="E45" s="1">
        <f>Tabela1[[#This Row],[Força (N)]]/$I$5</f>
        <v>72250.434191648412</v>
      </c>
      <c r="F45" s="1">
        <f>Tabela1[[#This Row],[Tensão (Pa)]]/1000000</f>
        <v>7.2250434191648408E-2</v>
      </c>
    </row>
    <row r="46" spans="1:6" x14ac:dyDescent="0.3">
      <c r="A46" s="5">
        <v>5.0332999999999997</v>
      </c>
      <c r="B46" s="5">
        <v>0.41149999999999998</v>
      </c>
      <c r="C46" s="1">
        <f>Tabela1[[#This Row],[Alongamento (mm/mm)]]/$I$2</f>
        <v>8.2299999999999995E-3</v>
      </c>
      <c r="D46" s="5">
        <v>3.0617999999999999</v>
      </c>
      <c r="E46" s="1">
        <f>Tabela1[[#This Row],[Força (N)]]/$I$5</f>
        <v>72250.434191648412</v>
      </c>
      <c r="F46" s="1">
        <f>Tabela1[[#This Row],[Tensão (Pa)]]/1000000</f>
        <v>7.2250434191648408E-2</v>
      </c>
    </row>
    <row r="47" spans="1:6" x14ac:dyDescent="0.3">
      <c r="A47" s="5">
        <v>5.0833000000000004</v>
      </c>
      <c r="B47" s="5">
        <v>0.41569</v>
      </c>
      <c r="C47" s="1">
        <f>Tabela1[[#This Row],[Alongamento (mm/mm)]]/$I$2</f>
        <v>8.3137999999999997E-3</v>
      </c>
      <c r="D47" s="5">
        <v>3.2319</v>
      </c>
      <c r="E47" s="1">
        <f>Tabela1[[#This Row],[Força (N)]]/$I$5</f>
        <v>76264.347202295554</v>
      </c>
      <c r="F47" s="1">
        <f>Tabela1[[#This Row],[Tensão (Pa)]]/1000000</f>
        <v>7.6264347202295552E-2</v>
      </c>
    </row>
    <row r="48" spans="1:6" x14ac:dyDescent="0.3">
      <c r="A48" s="5">
        <v>5.1333000000000002</v>
      </c>
      <c r="B48" s="5">
        <v>0.41977999999999999</v>
      </c>
      <c r="C48" s="1">
        <f>Tabela1[[#This Row],[Alongamento (mm/mm)]]/$I$2</f>
        <v>8.3955999999999996E-3</v>
      </c>
      <c r="D48" s="5">
        <v>3.2319</v>
      </c>
      <c r="E48" s="1">
        <f>Tabela1[[#This Row],[Força (N)]]/$I$5</f>
        <v>76264.347202295554</v>
      </c>
      <c r="F48" s="1">
        <f>Tabela1[[#This Row],[Tensão (Pa)]]/1000000</f>
        <v>7.6264347202295552E-2</v>
      </c>
    </row>
    <row r="49" spans="1:6" x14ac:dyDescent="0.3">
      <c r="A49" s="5">
        <v>5.1833</v>
      </c>
      <c r="B49" s="5">
        <v>0.42397000000000001</v>
      </c>
      <c r="C49" s="1">
        <f>Tabela1[[#This Row],[Alongamento (mm/mm)]]/$I$2</f>
        <v>8.4793999999999998E-3</v>
      </c>
      <c r="D49" s="5">
        <v>3.4020000000000001</v>
      </c>
      <c r="E49" s="1">
        <f>Tabela1[[#This Row],[Força (N)]]/$I$5</f>
        <v>80278.260212942696</v>
      </c>
      <c r="F49" s="1">
        <f>Tabela1[[#This Row],[Tensão (Pa)]]/1000000</f>
        <v>8.0278260212942695E-2</v>
      </c>
    </row>
    <row r="50" spans="1:6" x14ac:dyDescent="0.3">
      <c r="A50" s="5">
        <v>5.2332999999999998</v>
      </c>
      <c r="B50" s="5">
        <v>0.42815999999999999</v>
      </c>
      <c r="C50" s="1">
        <f>Tabela1[[#This Row],[Alongamento (mm/mm)]]/$I$2</f>
        <v>8.5632E-3</v>
      </c>
      <c r="D50" s="5">
        <v>3.4020000000000001</v>
      </c>
      <c r="E50" s="1">
        <f>Tabela1[[#This Row],[Força (N)]]/$I$5</f>
        <v>80278.260212942696</v>
      </c>
      <c r="F50" s="1">
        <f>Tabela1[[#This Row],[Tensão (Pa)]]/1000000</f>
        <v>8.0278260212942695E-2</v>
      </c>
    </row>
    <row r="51" spans="1:6" x14ac:dyDescent="0.3">
      <c r="A51" s="5">
        <v>5.2832999999999997</v>
      </c>
      <c r="B51" s="5">
        <v>0.43235000000000001</v>
      </c>
      <c r="C51" s="1">
        <f>Tabela1[[#This Row],[Alongamento (mm/mm)]]/$I$2</f>
        <v>8.6470000000000002E-3</v>
      </c>
      <c r="D51" s="5">
        <v>3.4020000000000001</v>
      </c>
      <c r="E51" s="1">
        <f>Tabela1[[#This Row],[Força (N)]]/$I$5</f>
        <v>80278.260212942696</v>
      </c>
      <c r="F51" s="1">
        <f>Tabela1[[#This Row],[Tensão (Pa)]]/1000000</f>
        <v>8.0278260212942695E-2</v>
      </c>
    </row>
    <row r="52" spans="1:6" x14ac:dyDescent="0.3">
      <c r="A52" s="5">
        <v>5.3333000000000004</v>
      </c>
      <c r="B52" s="5">
        <v>0.43643999999999999</v>
      </c>
      <c r="C52" s="1">
        <f>Tabela1[[#This Row],[Alongamento (mm/mm)]]/$I$2</f>
        <v>8.7288000000000001E-3</v>
      </c>
      <c r="D52" s="5">
        <v>3.5720999999999998</v>
      </c>
      <c r="E52" s="1">
        <f>Tabela1[[#This Row],[Força (N)]]/$I$5</f>
        <v>84292.173223589823</v>
      </c>
      <c r="F52" s="1">
        <f>Tabela1[[#This Row],[Tensão (Pa)]]/1000000</f>
        <v>8.4292173223589825E-2</v>
      </c>
    </row>
    <row r="53" spans="1:6" x14ac:dyDescent="0.3">
      <c r="A53" s="5">
        <v>5.3833000000000002</v>
      </c>
      <c r="B53" s="5">
        <v>0.44063000000000002</v>
      </c>
      <c r="C53" s="1">
        <f>Tabela1[[#This Row],[Alongamento (mm/mm)]]/$I$2</f>
        <v>8.8126000000000003E-3</v>
      </c>
      <c r="D53" s="5">
        <v>3.7422</v>
      </c>
      <c r="E53" s="1">
        <f>Tabela1[[#This Row],[Força (N)]]/$I$5</f>
        <v>88306.086234236951</v>
      </c>
      <c r="F53" s="1">
        <f>Tabela1[[#This Row],[Tensão (Pa)]]/1000000</f>
        <v>8.8306086234236955E-2</v>
      </c>
    </row>
    <row r="54" spans="1:6" x14ac:dyDescent="0.3">
      <c r="A54" s="5">
        <v>5.4333</v>
      </c>
      <c r="B54" s="5">
        <v>0.44481999999999999</v>
      </c>
      <c r="C54" s="1">
        <f>Tabela1[[#This Row],[Alongamento (mm/mm)]]/$I$2</f>
        <v>8.8964000000000005E-3</v>
      </c>
      <c r="D54" s="5">
        <v>3.9123000000000001</v>
      </c>
      <c r="E54" s="1">
        <f>Tabela1[[#This Row],[Força (N)]]/$I$5</f>
        <v>92319.999244884093</v>
      </c>
      <c r="F54" s="1">
        <f>Tabela1[[#This Row],[Tensão (Pa)]]/1000000</f>
        <v>9.2319999244884099E-2</v>
      </c>
    </row>
    <row r="55" spans="1:6" x14ac:dyDescent="0.3">
      <c r="A55" s="5">
        <v>5.4832999999999998</v>
      </c>
      <c r="B55" s="5">
        <v>0.44900000000000001</v>
      </c>
      <c r="C55" s="1">
        <f>Tabela1[[#This Row],[Alongamento (mm/mm)]]/$I$2</f>
        <v>8.9800000000000001E-3</v>
      </c>
      <c r="D55" s="5">
        <v>4.0823999999999998</v>
      </c>
      <c r="E55" s="1">
        <f>Tabela1[[#This Row],[Força (N)]]/$I$5</f>
        <v>96333.912255531221</v>
      </c>
      <c r="F55" s="1">
        <f>Tabela1[[#This Row],[Tensão (Pa)]]/1000000</f>
        <v>9.6333912255531215E-2</v>
      </c>
    </row>
    <row r="56" spans="1:6" x14ac:dyDescent="0.3">
      <c r="A56" s="5">
        <v>5.5332999999999997</v>
      </c>
      <c r="B56" s="5">
        <v>0.45318999999999998</v>
      </c>
      <c r="C56" s="1">
        <f>Tabela1[[#This Row],[Alongamento (mm/mm)]]/$I$2</f>
        <v>9.0638000000000003E-3</v>
      </c>
      <c r="D56" s="5">
        <v>4.2525000000000004</v>
      </c>
      <c r="E56" s="1">
        <f>Tabela1[[#This Row],[Força (N)]]/$I$5</f>
        <v>100347.82526617838</v>
      </c>
      <c r="F56" s="1">
        <f>Tabela1[[#This Row],[Tensão (Pa)]]/1000000</f>
        <v>0.10034782526617837</v>
      </c>
    </row>
    <row r="57" spans="1:6" x14ac:dyDescent="0.3">
      <c r="A57" s="5">
        <v>5.5833000000000004</v>
      </c>
      <c r="B57" s="5">
        <v>0.45728999999999997</v>
      </c>
      <c r="C57" s="1">
        <f>Tabela1[[#This Row],[Alongamento (mm/mm)]]/$I$2</f>
        <v>9.1457999999999991E-3</v>
      </c>
      <c r="D57" s="5">
        <v>4.5926999999999998</v>
      </c>
      <c r="E57" s="1">
        <f>Tabela1[[#This Row],[Força (N)]]/$I$5</f>
        <v>108375.65128747262</v>
      </c>
      <c r="F57" s="1">
        <f>Tabela1[[#This Row],[Tensão (Pa)]]/1000000</f>
        <v>0.10837565128747262</v>
      </c>
    </row>
    <row r="58" spans="1:6" x14ac:dyDescent="0.3">
      <c r="A58" s="5">
        <v>5.6333000000000002</v>
      </c>
      <c r="B58" s="5">
        <v>0.46146999999999999</v>
      </c>
      <c r="C58" s="1">
        <f>Tabela1[[#This Row],[Alongamento (mm/mm)]]/$I$2</f>
        <v>9.2294000000000005E-3</v>
      </c>
      <c r="D58" s="5">
        <v>4.7628000000000004</v>
      </c>
      <c r="E58" s="1">
        <f>Tabela1[[#This Row],[Força (N)]]/$I$5</f>
        <v>112389.56429811977</v>
      </c>
      <c r="F58" s="1">
        <f>Tabela1[[#This Row],[Tensão (Pa)]]/1000000</f>
        <v>0.11238956429811978</v>
      </c>
    </row>
    <row r="59" spans="1:6" x14ac:dyDescent="0.3">
      <c r="A59" s="5">
        <v>5.6833</v>
      </c>
      <c r="B59" s="5">
        <v>0.46556999999999998</v>
      </c>
      <c r="C59" s="1">
        <f>Tabela1[[#This Row],[Alongamento (mm/mm)]]/$I$2</f>
        <v>9.3113999999999992E-3</v>
      </c>
      <c r="D59" s="5">
        <v>5.1029999999999998</v>
      </c>
      <c r="E59" s="1">
        <f>Tabela1[[#This Row],[Força (N)]]/$I$5</f>
        <v>120417.39031941403</v>
      </c>
      <c r="F59" s="1">
        <f>Tabela1[[#This Row],[Tensão (Pa)]]/1000000</f>
        <v>0.12041739031941404</v>
      </c>
    </row>
    <row r="60" spans="1:6" x14ac:dyDescent="0.3">
      <c r="A60" s="5">
        <v>5.7332999999999998</v>
      </c>
      <c r="B60" s="5">
        <v>0.46984999999999999</v>
      </c>
      <c r="C60" s="1">
        <f>Tabela1[[#This Row],[Alongamento (mm/mm)]]/$I$2</f>
        <v>9.3969999999999991E-3</v>
      </c>
      <c r="D60" s="5">
        <v>5.4432</v>
      </c>
      <c r="E60" s="1">
        <f>Tabela1[[#This Row],[Força (N)]]/$I$5</f>
        <v>128445.2163407083</v>
      </c>
      <c r="F60" s="1">
        <f>Tabela1[[#This Row],[Tensão (Pa)]]/1000000</f>
        <v>0.1284452163407083</v>
      </c>
    </row>
    <row r="61" spans="1:6" x14ac:dyDescent="0.3">
      <c r="A61" s="5">
        <v>5.7832999999999997</v>
      </c>
      <c r="B61" s="5">
        <v>0.47393999999999997</v>
      </c>
      <c r="C61" s="1">
        <f>Tabela1[[#This Row],[Alongamento (mm/mm)]]/$I$2</f>
        <v>9.478799999999999E-3</v>
      </c>
      <c r="D61" s="5">
        <v>5.6132999999999997</v>
      </c>
      <c r="E61" s="1">
        <f>Tabela1[[#This Row],[Força (N)]]/$I$5</f>
        <v>132459.12935135543</v>
      </c>
      <c r="F61" s="1">
        <f>Tabela1[[#This Row],[Tensão (Pa)]]/1000000</f>
        <v>0.13245912935135543</v>
      </c>
    </row>
    <row r="62" spans="1:6" x14ac:dyDescent="0.3">
      <c r="A62" s="5">
        <v>5.8333000000000004</v>
      </c>
      <c r="B62" s="5">
        <v>0.47813</v>
      </c>
      <c r="C62" s="1">
        <f>Tabela1[[#This Row],[Alongamento (mm/mm)]]/$I$2</f>
        <v>9.5625999999999992E-3</v>
      </c>
      <c r="D62" s="5">
        <v>5.9535</v>
      </c>
      <c r="E62" s="1">
        <f>Tabela1[[#This Row],[Força (N)]]/$I$5</f>
        <v>140486.95537264971</v>
      </c>
      <c r="F62" s="1">
        <f>Tabela1[[#This Row],[Tensão (Pa)]]/1000000</f>
        <v>0.14048695537264971</v>
      </c>
    </row>
    <row r="63" spans="1:6" x14ac:dyDescent="0.3">
      <c r="A63" s="5">
        <v>5.8833000000000002</v>
      </c>
      <c r="B63" s="5">
        <v>0.48222999999999999</v>
      </c>
      <c r="C63" s="1">
        <f>Tabela1[[#This Row],[Alongamento (mm/mm)]]/$I$2</f>
        <v>9.6445999999999997E-3</v>
      </c>
      <c r="D63" s="5">
        <v>6.4638</v>
      </c>
      <c r="E63" s="1">
        <f>Tabela1[[#This Row],[Força (N)]]/$I$5</f>
        <v>152528.69440459111</v>
      </c>
      <c r="F63" s="1">
        <f>Tabela1[[#This Row],[Tensão (Pa)]]/1000000</f>
        <v>0.1525286944045911</v>
      </c>
    </row>
    <row r="64" spans="1:6" x14ac:dyDescent="0.3">
      <c r="A64" s="5">
        <v>5.9333</v>
      </c>
      <c r="B64" s="5">
        <v>0.48651</v>
      </c>
      <c r="C64" s="1">
        <f>Tabela1[[#This Row],[Alongamento (mm/mm)]]/$I$2</f>
        <v>9.7301999999999996E-3</v>
      </c>
      <c r="D64" s="5">
        <v>6.8040000000000003</v>
      </c>
      <c r="E64" s="1">
        <f>Tabela1[[#This Row],[Força (N)]]/$I$5</f>
        <v>160556.52042588539</v>
      </c>
      <c r="F64" s="1">
        <f>Tabela1[[#This Row],[Tensão (Pa)]]/1000000</f>
        <v>0.16055652042588539</v>
      </c>
    </row>
    <row r="65" spans="1:6" x14ac:dyDescent="0.3">
      <c r="A65" s="5">
        <v>5.9832999999999998</v>
      </c>
      <c r="B65" s="5">
        <v>0.49069000000000002</v>
      </c>
      <c r="C65" s="1">
        <f>Tabela1[[#This Row],[Alongamento (mm/mm)]]/$I$2</f>
        <v>9.813800000000001E-3</v>
      </c>
      <c r="D65" s="5">
        <v>6.9741</v>
      </c>
      <c r="E65" s="1">
        <f>Tabela1[[#This Row],[Força (N)]]/$I$5</f>
        <v>164570.4334365325</v>
      </c>
      <c r="F65" s="1">
        <f>Tabela1[[#This Row],[Tensão (Pa)]]/1000000</f>
        <v>0.16457043343653249</v>
      </c>
    </row>
    <row r="66" spans="1:6" x14ac:dyDescent="0.3">
      <c r="A66" s="5">
        <v>6.0332999999999997</v>
      </c>
      <c r="B66" s="5">
        <v>0.49487999999999999</v>
      </c>
      <c r="C66" s="1">
        <f>Tabela1[[#This Row],[Alongamento (mm/mm)]]/$I$2</f>
        <v>9.8975999999999995E-3</v>
      </c>
      <c r="D66" s="5">
        <v>7.4843000000000002</v>
      </c>
      <c r="E66" s="1">
        <f>Tabela1[[#This Row],[Força (N)]]/$I$5</f>
        <v>176609.81273125426</v>
      </c>
      <c r="F66" s="1">
        <f>Tabela1[[#This Row],[Tensão (Pa)]]/1000000</f>
        <v>0.17660981273125426</v>
      </c>
    </row>
    <row r="67" spans="1:6" x14ac:dyDescent="0.3">
      <c r="A67" s="5">
        <v>6.0833000000000004</v>
      </c>
      <c r="B67" s="5">
        <v>0.49897999999999998</v>
      </c>
      <c r="C67" s="1">
        <f>Tabela1[[#This Row],[Alongamento (mm/mm)]]/$I$2</f>
        <v>9.9795999999999999E-3</v>
      </c>
      <c r="D67" s="5">
        <v>7.8244999999999996</v>
      </c>
      <c r="E67" s="1">
        <f>Tabela1[[#This Row],[Força (N)]]/$I$5</f>
        <v>184637.63875254852</v>
      </c>
      <c r="F67" s="1">
        <f>Tabela1[[#This Row],[Tensão (Pa)]]/1000000</f>
        <v>0.18463763875254852</v>
      </c>
    </row>
    <row r="68" spans="1:6" x14ac:dyDescent="0.3">
      <c r="A68" s="5">
        <v>6.1333000000000002</v>
      </c>
      <c r="B68" s="5">
        <v>0.50316000000000005</v>
      </c>
      <c r="C68" s="1">
        <f>Tabela1[[#This Row],[Alongamento (mm/mm)]]/$I$2</f>
        <v>1.0063200000000001E-2</v>
      </c>
      <c r="D68" s="5">
        <v>7.9946000000000002</v>
      </c>
      <c r="E68" s="1">
        <f>Tabela1[[#This Row],[Força (N)]]/$I$5</f>
        <v>188651.55176319566</v>
      </c>
      <c r="F68" s="1">
        <f>Tabela1[[#This Row],[Tensão (Pa)]]/1000000</f>
        <v>0.18865155176319567</v>
      </c>
    </row>
    <row r="69" spans="1:6" x14ac:dyDescent="0.3">
      <c r="A69" s="5">
        <v>6.1833</v>
      </c>
      <c r="B69" s="5">
        <v>0.50726000000000004</v>
      </c>
      <c r="C69" s="1">
        <f>Tabela1[[#This Row],[Alongamento (mm/mm)]]/$I$2</f>
        <v>1.01452E-2</v>
      </c>
      <c r="D69" s="5">
        <v>8.3347999999999995</v>
      </c>
      <c r="E69" s="1">
        <f>Tabela1[[#This Row],[Força (N)]]/$I$5</f>
        <v>196679.37778448992</v>
      </c>
      <c r="F69" s="1">
        <f>Tabela1[[#This Row],[Tensão (Pa)]]/1000000</f>
        <v>0.19667937778448991</v>
      </c>
    </row>
    <row r="70" spans="1:6" x14ac:dyDescent="0.3">
      <c r="A70" s="5">
        <v>6.2332999999999998</v>
      </c>
      <c r="B70" s="5">
        <v>0.51153999999999999</v>
      </c>
      <c r="C70" s="1">
        <f>Tabela1[[#This Row],[Alongamento (mm/mm)]]/$I$2</f>
        <v>1.02308E-2</v>
      </c>
      <c r="D70" s="5">
        <v>8.8451000000000004</v>
      </c>
      <c r="E70" s="1">
        <f>Tabela1[[#This Row],[Força (N)]]/$I$5</f>
        <v>208721.11681643134</v>
      </c>
      <c r="F70" s="1">
        <f>Tabela1[[#This Row],[Tensão (Pa)]]/1000000</f>
        <v>0.20872111681643135</v>
      </c>
    </row>
    <row r="71" spans="1:6" x14ac:dyDescent="0.3">
      <c r="A71" s="5">
        <v>6.2832999999999997</v>
      </c>
      <c r="B71" s="5">
        <v>0.51563000000000003</v>
      </c>
      <c r="C71" s="1">
        <f>Tabela1[[#This Row],[Alongamento (mm/mm)]]/$I$2</f>
        <v>1.03126E-2</v>
      </c>
      <c r="D71" s="5">
        <v>9.1852999999999998</v>
      </c>
      <c r="E71" s="1">
        <f>Tabela1[[#This Row],[Força (N)]]/$I$5</f>
        <v>216748.9428377256</v>
      </c>
      <c r="F71" s="1">
        <f>Tabela1[[#This Row],[Tensão (Pa)]]/1000000</f>
        <v>0.21674894283772558</v>
      </c>
    </row>
    <row r="72" spans="1:6" x14ac:dyDescent="0.3">
      <c r="A72" s="5">
        <v>6.3333000000000004</v>
      </c>
      <c r="B72" s="5">
        <v>0.51981999999999995</v>
      </c>
      <c r="C72" s="1">
        <f>Tabela1[[#This Row],[Alongamento (mm/mm)]]/$I$2</f>
        <v>1.0396399999999998E-2</v>
      </c>
      <c r="D72" s="5">
        <v>9.3553999999999995</v>
      </c>
      <c r="E72" s="1">
        <f>Tabela1[[#This Row],[Força (N)]]/$I$5</f>
        <v>220762.85584837271</v>
      </c>
      <c r="F72" s="1">
        <f>Tabela1[[#This Row],[Tensão (Pa)]]/1000000</f>
        <v>0.22076285584837271</v>
      </c>
    </row>
    <row r="73" spans="1:6" x14ac:dyDescent="0.3">
      <c r="A73" s="5">
        <v>6.3833000000000002</v>
      </c>
      <c r="B73" s="5">
        <v>0.52400999999999998</v>
      </c>
      <c r="C73" s="1">
        <f>Tabela1[[#This Row],[Alongamento (mm/mm)]]/$I$2</f>
        <v>1.04802E-2</v>
      </c>
      <c r="D73" s="5">
        <v>9.8657000000000004</v>
      </c>
      <c r="E73" s="1">
        <f>Tabela1[[#This Row],[Força (N)]]/$I$5</f>
        <v>232804.59488031414</v>
      </c>
      <c r="F73" s="1">
        <f>Tabela1[[#This Row],[Tensão (Pa)]]/1000000</f>
        <v>0.23280459488031413</v>
      </c>
    </row>
    <row r="74" spans="1:6" x14ac:dyDescent="0.3">
      <c r="A74" s="5">
        <v>6.4333</v>
      </c>
      <c r="B74" s="5">
        <v>0.52800999999999998</v>
      </c>
      <c r="C74" s="1">
        <f>Tabela1[[#This Row],[Alongamento (mm/mm)]]/$I$2</f>
        <v>1.0560199999999999E-2</v>
      </c>
      <c r="D74" s="5">
        <v>10.206</v>
      </c>
      <c r="E74" s="1">
        <f>Tabela1[[#This Row],[Força (N)]]/$I$5</f>
        <v>240834.78063882806</v>
      </c>
      <c r="F74" s="1">
        <f>Tabela1[[#This Row],[Tensão (Pa)]]/1000000</f>
        <v>0.24083478063882807</v>
      </c>
    </row>
    <row r="75" spans="1:6" x14ac:dyDescent="0.3">
      <c r="A75" s="5">
        <v>6.4832999999999998</v>
      </c>
      <c r="B75" s="5">
        <v>0.53229000000000004</v>
      </c>
      <c r="C75" s="1">
        <f>Tabela1[[#This Row],[Alongamento (mm/mm)]]/$I$2</f>
        <v>1.06458E-2</v>
      </c>
      <c r="D75" s="5">
        <v>10.375999999999999</v>
      </c>
      <c r="E75" s="1">
        <f>Tabela1[[#This Row],[Força (N)]]/$I$5</f>
        <v>244846.33391225553</v>
      </c>
      <c r="F75" s="1">
        <f>Tabela1[[#This Row],[Tensão (Pa)]]/1000000</f>
        <v>0.24484633391225552</v>
      </c>
    </row>
    <row r="76" spans="1:6" x14ac:dyDescent="0.3">
      <c r="A76" s="5">
        <v>6.5332999999999997</v>
      </c>
      <c r="B76" s="5">
        <v>0.53647999999999996</v>
      </c>
      <c r="C76" s="1">
        <f>Tabela1[[#This Row],[Alongamento (mm/mm)]]/$I$2</f>
        <v>1.0729599999999999E-2</v>
      </c>
      <c r="D76" s="5">
        <v>10.715999999999999</v>
      </c>
      <c r="E76" s="1">
        <f>Tabela1[[#This Row],[Força (N)]]/$I$5</f>
        <v>252869.44045911045</v>
      </c>
      <c r="F76" s="1">
        <f>Tabela1[[#This Row],[Tensão (Pa)]]/1000000</f>
        <v>0.25286944045911047</v>
      </c>
    </row>
    <row r="77" spans="1:6" x14ac:dyDescent="0.3">
      <c r="A77" s="5">
        <v>6.5833000000000004</v>
      </c>
      <c r="B77" s="5">
        <v>0.54066999999999998</v>
      </c>
      <c r="C77" s="1">
        <f>Tabela1[[#This Row],[Alongamento (mm/mm)]]/$I$2</f>
        <v>1.0813399999999999E-2</v>
      </c>
      <c r="D77" s="5">
        <v>11.055999999999999</v>
      </c>
      <c r="E77" s="1">
        <f>Tabela1[[#This Row],[Força (N)]]/$I$5</f>
        <v>260892.5470059654</v>
      </c>
      <c r="F77" s="1">
        <f>Tabela1[[#This Row],[Tensão (Pa)]]/1000000</f>
        <v>0.26089254700596543</v>
      </c>
    </row>
    <row r="78" spans="1:6" x14ac:dyDescent="0.3">
      <c r="A78" s="5">
        <v>6.65</v>
      </c>
      <c r="B78" s="5">
        <v>0.54625000000000001</v>
      </c>
      <c r="C78" s="1">
        <f>Tabela1[[#This Row],[Alongamento (mm/mm)]]/$I$2</f>
        <v>1.0925000000000001E-2</v>
      </c>
      <c r="D78" s="5">
        <v>11.567</v>
      </c>
      <c r="E78" s="1">
        <f>Tabela1[[#This Row],[Força (N)]]/$I$5</f>
        <v>272950.80419844447</v>
      </c>
      <c r="F78" s="1">
        <f>Tabela1[[#This Row],[Tensão (Pa)]]/1000000</f>
        <v>0.27295080419844447</v>
      </c>
    </row>
    <row r="79" spans="1:6" x14ac:dyDescent="0.3">
      <c r="A79" s="5">
        <v>6.7</v>
      </c>
      <c r="B79" s="5">
        <v>0.55044000000000004</v>
      </c>
      <c r="C79" s="1">
        <f>Tabela1[[#This Row],[Alongamento (mm/mm)]]/$I$2</f>
        <v>1.1008800000000001E-2</v>
      </c>
      <c r="D79" s="5">
        <v>11.737</v>
      </c>
      <c r="E79" s="1">
        <f>Tabela1[[#This Row],[Força (N)]]/$I$5</f>
        <v>276962.35747187195</v>
      </c>
      <c r="F79" s="1">
        <f>Tabela1[[#This Row],[Tensão (Pa)]]/1000000</f>
        <v>0.27696235747187192</v>
      </c>
    </row>
    <row r="80" spans="1:6" x14ac:dyDescent="0.3">
      <c r="A80" s="5">
        <v>6.7667000000000002</v>
      </c>
      <c r="B80" s="5">
        <v>0.55601999999999996</v>
      </c>
      <c r="C80" s="1">
        <f>Tabela1[[#This Row],[Alongamento (mm/mm)]]/$I$2</f>
        <v>1.1120399999999999E-2</v>
      </c>
      <c r="D80" s="5">
        <v>12.247</v>
      </c>
      <c r="E80" s="1">
        <f>Tabela1[[#This Row],[Força (N)]]/$I$5</f>
        <v>288997.01729215437</v>
      </c>
      <c r="F80" s="1">
        <f>Tabela1[[#This Row],[Tensão (Pa)]]/1000000</f>
        <v>0.28899701729215438</v>
      </c>
    </row>
    <row r="81" spans="1:6" x14ac:dyDescent="0.3">
      <c r="A81" s="5">
        <v>6.8333000000000004</v>
      </c>
      <c r="B81" s="5">
        <v>0.56150999999999995</v>
      </c>
      <c r="C81" s="1">
        <f>Tabela1[[#This Row],[Alongamento (mm/mm)]]/$I$2</f>
        <v>1.1230199999999999E-2</v>
      </c>
      <c r="D81" s="5">
        <v>12.587</v>
      </c>
      <c r="E81" s="1">
        <f>Tabela1[[#This Row],[Força (N)]]/$I$5</f>
        <v>297020.12383900926</v>
      </c>
      <c r="F81" s="1">
        <f>Tabela1[[#This Row],[Tensão (Pa)]]/1000000</f>
        <v>0.29702012383900928</v>
      </c>
    </row>
    <row r="82" spans="1:6" x14ac:dyDescent="0.3">
      <c r="A82" s="5">
        <v>6.9</v>
      </c>
      <c r="B82" s="5">
        <v>0.56699999999999995</v>
      </c>
      <c r="C82" s="1">
        <f>Tabela1[[#This Row],[Alongamento (mm/mm)]]/$I$2</f>
        <v>1.1339999999999999E-2</v>
      </c>
      <c r="D82" s="5">
        <v>13.268000000000001</v>
      </c>
      <c r="E82" s="1">
        <f>Tabela1[[#This Row],[Força (N)]]/$I$5</f>
        <v>313089.93430491583</v>
      </c>
      <c r="F82" s="1">
        <f>Tabela1[[#This Row],[Tensão (Pa)]]/1000000</f>
        <v>0.31308993430491583</v>
      </c>
    </row>
    <row r="83" spans="1:6" x14ac:dyDescent="0.3">
      <c r="A83" s="5">
        <v>6.9667000000000003</v>
      </c>
      <c r="B83" s="5">
        <v>0.57259000000000004</v>
      </c>
      <c r="C83" s="1">
        <f>Tabela1[[#This Row],[Alongamento (mm/mm)]]/$I$2</f>
        <v>1.1451800000000002E-2</v>
      </c>
      <c r="D83" s="5">
        <v>13.608000000000001</v>
      </c>
      <c r="E83" s="1">
        <f>Tabela1[[#This Row],[Força (N)]]/$I$5</f>
        <v>321113.04085177078</v>
      </c>
      <c r="F83" s="1">
        <f>Tabela1[[#This Row],[Tensão (Pa)]]/1000000</f>
        <v>0.32111304085177078</v>
      </c>
    </row>
    <row r="84" spans="1:6" x14ac:dyDescent="0.3">
      <c r="A84" s="5">
        <v>7.0332999999999997</v>
      </c>
      <c r="B84" s="5">
        <v>0.57816999999999996</v>
      </c>
      <c r="C84" s="1">
        <f>Tabela1[[#This Row],[Alongamento (mm/mm)]]/$I$2</f>
        <v>1.15634E-2</v>
      </c>
      <c r="D84" s="5">
        <v>14.118</v>
      </c>
      <c r="E84" s="1">
        <f>Tabela1[[#This Row],[Força (N)]]/$I$5</f>
        <v>333147.70067205315</v>
      </c>
      <c r="F84" s="1">
        <f>Tabela1[[#This Row],[Tensão (Pa)]]/1000000</f>
        <v>0.33314770067205313</v>
      </c>
    </row>
    <row r="85" spans="1:6" x14ac:dyDescent="0.3">
      <c r="A85" s="5">
        <v>7.1</v>
      </c>
      <c r="B85" s="5">
        <v>0.58374999999999999</v>
      </c>
      <c r="C85" s="1">
        <f>Tabela1[[#This Row],[Alongamento (mm/mm)]]/$I$2</f>
        <v>1.1675E-2</v>
      </c>
      <c r="D85" s="5">
        <v>14.628</v>
      </c>
      <c r="E85" s="1">
        <f>Tabela1[[#This Row],[Força (N)]]/$I$5</f>
        <v>345182.36049233557</v>
      </c>
      <c r="F85" s="1">
        <f>Tabela1[[#This Row],[Tensão (Pa)]]/1000000</f>
        <v>0.34518236049233558</v>
      </c>
    </row>
    <row r="86" spans="1:6" x14ac:dyDescent="0.3">
      <c r="A86" s="5">
        <v>7.1666999999999996</v>
      </c>
      <c r="B86" s="5">
        <v>0.58923999999999999</v>
      </c>
      <c r="C86" s="1">
        <f>Tabela1[[#This Row],[Alongamento (mm/mm)]]/$I$2</f>
        <v>1.17848E-2</v>
      </c>
      <c r="D86" s="5">
        <v>15.138999999999999</v>
      </c>
      <c r="E86" s="1">
        <f>Tabela1[[#This Row],[Força (N)]]/$I$5</f>
        <v>357240.61768481461</v>
      </c>
      <c r="F86" s="1">
        <f>Tabela1[[#This Row],[Tensão (Pa)]]/1000000</f>
        <v>0.35724061768481463</v>
      </c>
    </row>
    <row r="87" spans="1:6" x14ac:dyDescent="0.3">
      <c r="A87" s="5">
        <v>7.2332999999999998</v>
      </c>
      <c r="B87" s="5">
        <v>0.59482999999999997</v>
      </c>
      <c r="C87" s="1">
        <f>Tabela1[[#This Row],[Alongamento (mm/mm)]]/$I$2</f>
        <v>1.18966E-2</v>
      </c>
      <c r="D87" s="5">
        <v>15.478999999999999</v>
      </c>
      <c r="E87" s="1">
        <f>Tabela1[[#This Row],[Força (N)]]/$I$5</f>
        <v>365263.72423166956</v>
      </c>
      <c r="F87" s="1">
        <f>Tabela1[[#This Row],[Tensão (Pa)]]/1000000</f>
        <v>0.36526372423166958</v>
      </c>
    </row>
    <row r="88" spans="1:6" x14ac:dyDescent="0.3">
      <c r="A88" s="5">
        <v>7.3</v>
      </c>
      <c r="B88" s="5">
        <v>0.60031999999999996</v>
      </c>
      <c r="C88" s="1">
        <f>Tabela1[[#This Row],[Alongamento (mm/mm)]]/$I$2</f>
        <v>1.2006399999999999E-2</v>
      </c>
      <c r="D88" s="5">
        <v>15.989000000000001</v>
      </c>
      <c r="E88" s="1">
        <f>Tabela1[[#This Row],[Força (N)]]/$I$5</f>
        <v>377298.38405195199</v>
      </c>
      <c r="F88" s="1">
        <f>Tabela1[[#This Row],[Tensão (Pa)]]/1000000</f>
        <v>0.37729838405195198</v>
      </c>
    </row>
    <row r="89" spans="1:6" x14ac:dyDescent="0.3">
      <c r="A89" s="5">
        <v>7.3666999999999998</v>
      </c>
      <c r="B89" s="5">
        <v>0.60589999999999999</v>
      </c>
      <c r="C89" s="1">
        <f>Tabela1[[#This Row],[Alongamento (mm/mm)]]/$I$2</f>
        <v>1.2118E-2</v>
      </c>
      <c r="D89" s="5">
        <v>16.5</v>
      </c>
      <c r="E89" s="1">
        <f>Tabela1[[#This Row],[Força (N)]]/$I$5</f>
        <v>389356.64124443103</v>
      </c>
      <c r="F89" s="1">
        <f>Tabela1[[#This Row],[Tensão (Pa)]]/1000000</f>
        <v>0.38935664124443103</v>
      </c>
    </row>
    <row r="90" spans="1:6" x14ac:dyDescent="0.3">
      <c r="A90" s="5">
        <v>7.4333</v>
      </c>
      <c r="B90" s="5">
        <v>0.61148000000000002</v>
      </c>
      <c r="C90" s="1">
        <f>Tabela1[[#This Row],[Alongamento (mm/mm)]]/$I$2</f>
        <v>1.22296E-2</v>
      </c>
      <c r="D90" s="5">
        <v>17.010000000000002</v>
      </c>
      <c r="E90" s="1">
        <f>Tabela1[[#This Row],[Força (N)]]/$I$5</f>
        <v>401391.30106471351</v>
      </c>
      <c r="F90" s="1">
        <f>Tabela1[[#This Row],[Tensão (Pa)]]/1000000</f>
        <v>0.40139130106471349</v>
      </c>
    </row>
    <row r="91" spans="1:6" x14ac:dyDescent="0.3">
      <c r="A91" s="5">
        <v>7.5</v>
      </c>
      <c r="B91" s="5">
        <v>0.61707000000000001</v>
      </c>
      <c r="C91" s="1">
        <f>Tabela1[[#This Row],[Alongamento (mm/mm)]]/$I$2</f>
        <v>1.2341400000000001E-2</v>
      </c>
      <c r="D91" s="5">
        <v>17.52</v>
      </c>
      <c r="E91" s="1">
        <f>Tabela1[[#This Row],[Força (N)]]/$I$5</f>
        <v>413425.96088499587</v>
      </c>
      <c r="F91" s="1">
        <f>Tabela1[[#This Row],[Tensão (Pa)]]/1000000</f>
        <v>0.41342596088499589</v>
      </c>
    </row>
    <row r="92" spans="1:6" x14ac:dyDescent="0.3">
      <c r="A92" s="5">
        <v>7.5667</v>
      </c>
      <c r="B92" s="5">
        <v>0.62256</v>
      </c>
      <c r="C92" s="1">
        <f>Tabela1[[#This Row],[Alongamento (mm/mm)]]/$I$2</f>
        <v>1.2451200000000001E-2</v>
      </c>
      <c r="D92" s="5">
        <v>18.03</v>
      </c>
      <c r="E92" s="1">
        <f>Tabela1[[#This Row],[Força (N)]]/$I$5</f>
        <v>425460.6207052783</v>
      </c>
      <c r="F92" s="1">
        <f>Tabela1[[#This Row],[Tensão (Pa)]]/1000000</f>
        <v>0.42546062070527829</v>
      </c>
    </row>
    <row r="93" spans="1:6" x14ac:dyDescent="0.3">
      <c r="A93" s="5">
        <v>7.6333000000000002</v>
      </c>
      <c r="B93" s="5">
        <v>0.62814000000000003</v>
      </c>
      <c r="C93" s="1">
        <f>Tabela1[[#This Row],[Alongamento (mm/mm)]]/$I$2</f>
        <v>1.2562800000000001E-2</v>
      </c>
      <c r="D93" s="5">
        <v>18.541</v>
      </c>
      <c r="E93" s="1">
        <f>Tabela1[[#This Row],[Força (N)]]/$I$5</f>
        <v>437518.87789775734</v>
      </c>
      <c r="F93" s="1">
        <f>Tabela1[[#This Row],[Tensão (Pa)]]/1000000</f>
        <v>0.43751887789775734</v>
      </c>
    </row>
    <row r="94" spans="1:6" x14ac:dyDescent="0.3">
      <c r="A94" s="5">
        <v>7.7</v>
      </c>
      <c r="B94" s="5">
        <v>0.63371999999999995</v>
      </c>
      <c r="C94" s="1">
        <f>Tabela1[[#This Row],[Alongamento (mm/mm)]]/$I$2</f>
        <v>1.2674399999999999E-2</v>
      </c>
      <c r="D94" s="5">
        <v>19.050999999999998</v>
      </c>
      <c r="E94" s="1">
        <f>Tabela1[[#This Row],[Força (N)]]/$I$5</f>
        <v>449553.5377180397</v>
      </c>
      <c r="F94" s="1">
        <f>Tabela1[[#This Row],[Tensão (Pa)]]/1000000</f>
        <v>0.44955353771803969</v>
      </c>
    </row>
    <row r="95" spans="1:6" x14ac:dyDescent="0.3">
      <c r="A95" s="5">
        <v>7.7667000000000002</v>
      </c>
      <c r="B95" s="5">
        <v>0.63931000000000004</v>
      </c>
      <c r="C95" s="1">
        <f>Tabela1[[#This Row],[Alongamento (mm/mm)]]/$I$2</f>
        <v>1.2786200000000001E-2</v>
      </c>
      <c r="D95" s="5">
        <v>19.561</v>
      </c>
      <c r="E95" s="1">
        <f>Tabela1[[#This Row],[Força (N)]]/$I$5</f>
        <v>461588.19753832213</v>
      </c>
      <c r="F95" s="1">
        <f>Tabela1[[#This Row],[Tensão (Pa)]]/1000000</f>
        <v>0.46158819753832214</v>
      </c>
    </row>
    <row r="96" spans="1:6" x14ac:dyDescent="0.3">
      <c r="A96" s="5">
        <v>7.8333000000000004</v>
      </c>
      <c r="B96" s="5">
        <v>0.64480000000000004</v>
      </c>
      <c r="C96" s="1">
        <f>Tabela1[[#This Row],[Alongamento (mm/mm)]]/$I$2</f>
        <v>1.2896000000000001E-2</v>
      </c>
      <c r="D96" s="5">
        <v>20.071999999999999</v>
      </c>
      <c r="E96" s="1">
        <f>Tabela1[[#This Row],[Força (N)]]/$I$5</f>
        <v>473646.45473080117</v>
      </c>
      <c r="F96" s="1">
        <f>Tabela1[[#This Row],[Tensão (Pa)]]/1000000</f>
        <v>0.47364645473080119</v>
      </c>
    </row>
    <row r="97" spans="1:6" x14ac:dyDescent="0.3">
      <c r="A97" s="5">
        <v>7.9</v>
      </c>
      <c r="B97" s="5">
        <v>0.65037999999999996</v>
      </c>
      <c r="C97" s="1">
        <f>Tabela1[[#This Row],[Alongamento (mm/mm)]]/$I$2</f>
        <v>1.3007599999999999E-2</v>
      </c>
      <c r="D97" s="5">
        <v>20.411999999999999</v>
      </c>
      <c r="E97" s="1">
        <f>Tabela1[[#This Row],[Força (N)]]/$I$5</f>
        <v>481669.56127765612</v>
      </c>
      <c r="F97" s="1">
        <f>Tabela1[[#This Row],[Tensão (Pa)]]/1000000</f>
        <v>0.48166956127765614</v>
      </c>
    </row>
    <row r="98" spans="1:6" x14ac:dyDescent="0.3">
      <c r="A98" s="5">
        <v>7.9667000000000003</v>
      </c>
      <c r="B98" s="5">
        <v>0.65597000000000005</v>
      </c>
      <c r="C98" s="1">
        <f>Tabela1[[#This Row],[Alongamento (mm/mm)]]/$I$2</f>
        <v>1.3119400000000002E-2</v>
      </c>
      <c r="D98" s="5">
        <v>20.922000000000001</v>
      </c>
      <c r="E98" s="1">
        <f>Tabela1[[#This Row],[Força (N)]]/$I$5</f>
        <v>493704.22109793854</v>
      </c>
      <c r="F98" s="1">
        <f>Tabela1[[#This Row],[Tensão (Pa)]]/1000000</f>
        <v>0.49370422109793854</v>
      </c>
    </row>
    <row r="99" spans="1:6" x14ac:dyDescent="0.3">
      <c r="A99" s="5">
        <v>8.0333000000000006</v>
      </c>
      <c r="B99" s="5">
        <v>0.66146000000000005</v>
      </c>
      <c r="C99" s="1">
        <f>Tabela1[[#This Row],[Alongamento (mm/mm)]]/$I$2</f>
        <v>1.3229200000000002E-2</v>
      </c>
      <c r="D99" s="5">
        <v>21.431999999999999</v>
      </c>
      <c r="E99" s="1">
        <f>Tabela1[[#This Row],[Força (N)]]/$I$5</f>
        <v>505738.88091822091</v>
      </c>
      <c r="F99" s="1">
        <f>Tabela1[[#This Row],[Tensão (Pa)]]/1000000</f>
        <v>0.50573888091822095</v>
      </c>
    </row>
    <row r="100" spans="1:6" x14ac:dyDescent="0.3">
      <c r="A100" s="5">
        <v>8.1</v>
      </c>
      <c r="B100" s="5">
        <v>0.66703999999999997</v>
      </c>
      <c r="C100" s="1">
        <f>Tabela1[[#This Row],[Alongamento (mm/mm)]]/$I$2</f>
        <v>1.33408E-2</v>
      </c>
      <c r="D100" s="5">
        <v>21.943000000000001</v>
      </c>
      <c r="E100" s="1">
        <f>Tabela1[[#This Row],[Força (N)]]/$I$5</f>
        <v>517797.13811070006</v>
      </c>
      <c r="F100" s="1">
        <f>Tabela1[[#This Row],[Tensão (Pa)]]/1000000</f>
        <v>0.51779713811070005</v>
      </c>
    </row>
    <row r="101" spans="1:6" x14ac:dyDescent="0.3">
      <c r="A101" s="5">
        <v>8.1667000000000005</v>
      </c>
      <c r="B101" s="5">
        <v>0.67252999999999996</v>
      </c>
      <c r="C101" s="1">
        <f>Tabela1[[#This Row],[Alongamento (mm/mm)]]/$I$2</f>
        <v>1.34506E-2</v>
      </c>
      <c r="D101" s="5">
        <v>22.283000000000001</v>
      </c>
      <c r="E101" s="1">
        <f>Tabela1[[#This Row],[Força (N)]]/$I$5</f>
        <v>525820.24465755501</v>
      </c>
      <c r="F101" s="1">
        <f>Tabela1[[#This Row],[Tensão (Pa)]]/1000000</f>
        <v>0.52582024465755506</v>
      </c>
    </row>
    <row r="102" spans="1:6" x14ac:dyDescent="0.3">
      <c r="A102" s="5">
        <v>8.2332999999999998</v>
      </c>
      <c r="B102" s="5">
        <v>0.67810999999999999</v>
      </c>
      <c r="C102" s="1">
        <f>Tabela1[[#This Row],[Alongamento (mm/mm)]]/$I$2</f>
        <v>1.35622E-2</v>
      </c>
      <c r="D102" s="5">
        <v>22.792999999999999</v>
      </c>
      <c r="E102" s="1">
        <f>Tabela1[[#This Row],[Força (N)]]/$I$5</f>
        <v>537854.90447783738</v>
      </c>
      <c r="F102" s="1">
        <f>Tabela1[[#This Row],[Tensão (Pa)]]/1000000</f>
        <v>0.53785490447783735</v>
      </c>
    </row>
    <row r="103" spans="1:6" x14ac:dyDescent="0.3">
      <c r="A103" s="5">
        <v>8.3000000000000007</v>
      </c>
      <c r="B103" s="5">
        <v>0.68359999999999999</v>
      </c>
      <c r="C103" s="1">
        <f>Tabela1[[#This Row],[Alongamento (mm/mm)]]/$I$2</f>
        <v>1.3672E-2</v>
      </c>
      <c r="D103" s="5">
        <v>23.303999999999998</v>
      </c>
      <c r="E103" s="1">
        <f>Tabela1[[#This Row],[Força (N)]]/$I$5</f>
        <v>549913.16167031636</v>
      </c>
      <c r="F103" s="1">
        <f>Tabela1[[#This Row],[Tensão (Pa)]]/1000000</f>
        <v>0.54991316167031634</v>
      </c>
    </row>
    <row r="104" spans="1:6" x14ac:dyDescent="0.3">
      <c r="A104" s="5">
        <v>8.3666999999999998</v>
      </c>
      <c r="B104" s="5">
        <v>0.68928</v>
      </c>
      <c r="C104" s="1">
        <f>Tabela1[[#This Row],[Alongamento (mm/mm)]]/$I$2</f>
        <v>1.37856E-2</v>
      </c>
      <c r="D104" s="5">
        <v>23.814</v>
      </c>
      <c r="E104" s="1">
        <f>Tabela1[[#This Row],[Força (N)]]/$I$5</f>
        <v>561947.82149059884</v>
      </c>
      <c r="F104" s="1">
        <f>Tabela1[[#This Row],[Tensão (Pa)]]/1000000</f>
        <v>0.56194782149059885</v>
      </c>
    </row>
    <row r="105" spans="1:6" x14ac:dyDescent="0.3">
      <c r="A105" s="5">
        <v>8.4332999999999991</v>
      </c>
      <c r="B105" s="5">
        <v>0.69486000000000003</v>
      </c>
      <c r="C105" s="1">
        <f>Tabela1[[#This Row],[Alongamento (mm/mm)]]/$I$2</f>
        <v>1.38972E-2</v>
      </c>
      <c r="D105" s="5">
        <v>24.324000000000002</v>
      </c>
      <c r="E105" s="1">
        <f>Tabela1[[#This Row],[Força (N)]]/$I$5</f>
        <v>573982.48131088133</v>
      </c>
      <c r="F105" s="1">
        <f>Tabela1[[#This Row],[Tensão (Pa)]]/1000000</f>
        <v>0.57398248131088137</v>
      </c>
    </row>
    <row r="106" spans="1:6" x14ac:dyDescent="0.3">
      <c r="A106" s="5">
        <v>8.5</v>
      </c>
      <c r="B106" s="5">
        <v>0.70035000000000003</v>
      </c>
      <c r="C106" s="1">
        <f>Tabela1[[#This Row],[Alongamento (mm/mm)]]/$I$2</f>
        <v>1.4007E-2</v>
      </c>
      <c r="D106" s="5">
        <v>24.834</v>
      </c>
      <c r="E106" s="1">
        <f>Tabela1[[#This Row],[Força (N)]]/$I$5</f>
        <v>586017.14113116369</v>
      </c>
      <c r="F106" s="1">
        <f>Tabela1[[#This Row],[Tensão (Pa)]]/1000000</f>
        <v>0.58601714113116365</v>
      </c>
    </row>
    <row r="107" spans="1:6" x14ac:dyDescent="0.3">
      <c r="A107" s="5">
        <v>8.5667000000000009</v>
      </c>
      <c r="B107" s="5">
        <v>0.70594000000000001</v>
      </c>
      <c r="C107" s="1">
        <f>Tabela1[[#This Row],[Alongamento (mm/mm)]]/$I$2</f>
        <v>1.4118800000000001E-2</v>
      </c>
      <c r="D107" s="5">
        <v>25.344999999999999</v>
      </c>
      <c r="E107" s="1">
        <f>Tabela1[[#This Row],[Força (N)]]/$I$5</f>
        <v>598075.39832364267</v>
      </c>
      <c r="F107" s="1">
        <f>Tabela1[[#This Row],[Tensão (Pa)]]/1000000</f>
        <v>0.59807539832364265</v>
      </c>
    </row>
    <row r="108" spans="1:6" x14ac:dyDescent="0.3">
      <c r="A108" s="5">
        <v>8.6333000000000002</v>
      </c>
      <c r="B108" s="5">
        <v>0.71152000000000004</v>
      </c>
      <c r="C108" s="1">
        <f>Tabela1[[#This Row],[Alongamento (mm/mm)]]/$I$2</f>
        <v>1.4230400000000001E-2</v>
      </c>
      <c r="D108" s="5">
        <v>25.855</v>
      </c>
      <c r="E108" s="1">
        <f>Tabela1[[#This Row],[Força (N)]]/$I$5</f>
        <v>610110.05814392515</v>
      </c>
      <c r="F108" s="1">
        <f>Tabela1[[#This Row],[Tensão (Pa)]]/1000000</f>
        <v>0.61011005814392516</v>
      </c>
    </row>
    <row r="109" spans="1:6" x14ac:dyDescent="0.3">
      <c r="A109" s="5">
        <v>8.6999999999999993</v>
      </c>
      <c r="B109" s="5">
        <v>0.71709999999999996</v>
      </c>
      <c r="C109" s="1">
        <f>Tabela1[[#This Row],[Alongamento (mm/mm)]]/$I$2</f>
        <v>1.4341999999999999E-2</v>
      </c>
      <c r="D109" s="5">
        <v>26.364999999999998</v>
      </c>
      <c r="E109" s="1">
        <f>Tabela1[[#This Row],[Força (N)]]/$I$5</f>
        <v>622144.71796420752</v>
      </c>
      <c r="F109" s="1">
        <f>Tabela1[[#This Row],[Tensão (Pa)]]/1000000</f>
        <v>0.62214471796420756</v>
      </c>
    </row>
    <row r="110" spans="1:6" x14ac:dyDescent="0.3">
      <c r="A110" s="5">
        <v>8.7667000000000002</v>
      </c>
      <c r="B110" s="5">
        <v>0.72260000000000002</v>
      </c>
      <c r="C110" s="1">
        <f>Tabela1[[#This Row],[Alongamento (mm/mm)]]/$I$2</f>
        <v>1.4452E-2</v>
      </c>
      <c r="D110" s="5">
        <v>27.045999999999999</v>
      </c>
      <c r="E110" s="1">
        <f>Tabela1[[#This Row],[Força (N)]]/$I$5</f>
        <v>638214.52843011403</v>
      </c>
      <c r="F110" s="1">
        <f>Tabela1[[#This Row],[Tensão (Pa)]]/1000000</f>
        <v>0.63821452843011406</v>
      </c>
    </row>
    <row r="111" spans="1:6" x14ac:dyDescent="0.3">
      <c r="A111" s="5">
        <v>8.8332999999999995</v>
      </c>
      <c r="B111" s="5">
        <v>0.72818000000000005</v>
      </c>
      <c r="C111" s="1">
        <f>Tabela1[[#This Row],[Alongamento (mm/mm)]]/$I$2</f>
        <v>1.4563600000000001E-2</v>
      </c>
      <c r="D111" s="5">
        <v>27.556000000000001</v>
      </c>
      <c r="E111" s="1">
        <f>Tabela1[[#This Row],[Força (N)]]/$I$5</f>
        <v>650249.18825039652</v>
      </c>
      <c r="F111" s="1">
        <f>Tabela1[[#This Row],[Tensão (Pa)]]/1000000</f>
        <v>0.65024918825039657</v>
      </c>
    </row>
    <row r="112" spans="1:6" x14ac:dyDescent="0.3">
      <c r="A112" s="5">
        <v>8.9167000000000005</v>
      </c>
      <c r="B112" s="5">
        <v>0.73516000000000004</v>
      </c>
      <c r="C112" s="1">
        <f>Tabela1[[#This Row],[Alongamento (mm/mm)]]/$I$2</f>
        <v>1.4703200000000001E-2</v>
      </c>
      <c r="D112" s="5">
        <v>28.236000000000001</v>
      </c>
      <c r="E112" s="1">
        <f>Tabela1[[#This Row],[Força (N)]]/$I$5</f>
        <v>666295.4013441063</v>
      </c>
      <c r="F112" s="1">
        <f>Tabela1[[#This Row],[Tensão (Pa)]]/1000000</f>
        <v>0.66629540134410625</v>
      </c>
    </row>
    <row r="113" spans="1:6" x14ac:dyDescent="0.3">
      <c r="A113" s="5">
        <v>8.9832999999999998</v>
      </c>
      <c r="B113" s="5">
        <v>0.74065000000000003</v>
      </c>
      <c r="C113" s="1">
        <f>Tabela1[[#This Row],[Alongamento (mm/mm)]]/$I$2</f>
        <v>1.4813E-2</v>
      </c>
      <c r="D113" s="5">
        <v>28.917000000000002</v>
      </c>
      <c r="E113" s="1">
        <f>Tabela1[[#This Row],[Força (N)]]/$I$5</f>
        <v>682365.21181001293</v>
      </c>
      <c r="F113" s="1">
        <f>Tabela1[[#This Row],[Tensão (Pa)]]/1000000</f>
        <v>0.68236521181001297</v>
      </c>
    </row>
    <row r="114" spans="1:6" x14ac:dyDescent="0.3">
      <c r="A114" s="5">
        <v>9.0667000000000009</v>
      </c>
      <c r="B114" s="5">
        <v>0.74763000000000002</v>
      </c>
      <c r="C114" s="1">
        <f>Tabela1[[#This Row],[Alongamento (mm/mm)]]/$I$2</f>
        <v>1.49526E-2</v>
      </c>
      <c r="D114" s="5">
        <v>29.597000000000001</v>
      </c>
      <c r="E114" s="1">
        <f>Tabela1[[#This Row],[Força (N)]]/$I$5</f>
        <v>698411.42490372271</v>
      </c>
      <c r="F114" s="1">
        <f>Tabela1[[#This Row],[Tensão (Pa)]]/1000000</f>
        <v>0.69841142490372277</v>
      </c>
    </row>
    <row r="115" spans="1:6" x14ac:dyDescent="0.3">
      <c r="A115" s="5">
        <v>9.15</v>
      </c>
      <c r="B115" s="5">
        <v>0.75451000000000001</v>
      </c>
      <c r="C115" s="1">
        <f>Tabela1[[#This Row],[Alongamento (mm/mm)]]/$I$2</f>
        <v>1.50902E-2</v>
      </c>
      <c r="D115" s="5">
        <v>30.277999999999999</v>
      </c>
      <c r="E115" s="1">
        <f>Tabela1[[#This Row],[Força (N)]]/$I$5</f>
        <v>714481.23536962923</v>
      </c>
      <c r="F115" s="1">
        <f>Tabela1[[#This Row],[Tensão (Pa)]]/1000000</f>
        <v>0.71448123536962926</v>
      </c>
    </row>
    <row r="116" spans="1:6" x14ac:dyDescent="0.3">
      <c r="A116" s="5">
        <v>9.2166999999999994</v>
      </c>
      <c r="B116" s="5">
        <v>0.7601</v>
      </c>
      <c r="C116" s="1">
        <f>Tabela1[[#This Row],[Alongamento (mm/mm)]]/$I$2</f>
        <v>1.5202E-2</v>
      </c>
      <c r="D116" s="5">
        <v>30.957999999999998</v>
      </c>
      <c r="E116" s="1">
        <f>Tabela1[[#This Row],[Força (N)]]/$I$5</f>
        <v>730527.44846333913</v>
      </c>
      <c r="F116" s="1">
        <f>Tabela1[[#This Row],[Tensão (Pa)]]/1000000</f>
        <v>0.73052744846333917</v>
      </c>
    </row>
    <row r="117" spans="1:6" x14ac:dyDescent="0.3">
      <c r="A117" s="5">
        <v>9.3000000000000007</v>
      </c>
      <c r="B117" s="5">
        <v>0.76698</v>
      </c>
      <c r="C117" s="1">
        <f>Tabela1[[#This Row],[Alongamento (mm/mm)]]/$I$2</f>
        <v>1.53396E-2</v>
      </c>
      <c r="D117" s="5">
        <v>31.638000000000002</v>
      </c>
      <c r="E117" s="1">
        <f>Tabela1[[#This Row],[Força (N)]]/$I$5</f>
        <v>746573.66155704902</v>
      </c>
      <c r="F117" s="1">
        <f>Tabela1[[#This Row],[Tensão (Pa)]]/1000000</f>
        <v>0.74657366155704907</v>
      </c>
    </row>
    <row r="118" spans="1:6" x14ac:dyDescent="0.3">
      <c r="A118" s="5">
        <v>9.3666999999999998</v>
      </c>
      <c r="B118" s="5">
        <v>0.77256999999999998</v>
      </c>
      <c r="C118" s="1">
        <f>Tabela1[[#This Row],[Alongamento (mm/mm)]]/$I$2</f>
        <v>1.5451399999999999E-2</v>
      </c>
      <c r="D118" s="5">
        <v>32.319000000000003</v>
      </c>
      <c r="E118" s="1">
        <f>Tabela1[[#This Row],[Força (N)]]/$I$5</f>
        <v>762643.47202295566</v>
      </c>
      <c r="F118" s="1">
        <f>Tabela1[[#This Row],[Tensão (Pa)]]/1000000</f>
        <v>0.76264347202295568</v>
      </c>
    </row>
    <row r="119" spans="1:6" x14ac:dyDescent="0.3">
      <c r="A119" s="5">
        <v>9.4499999999999993</v>
      </c>
      <c r="B119" s="5">
        <v>0.77954999999999997</v>
      </c>
      <c r="C119" s="1">
        <f>Tabela1[[#This Row],[Alongamento (mm/mm)]]/$I$2</f>
        <v>1.5590999999999999E-2</v>
      </c>
      <c r="D119" s="5">
        <v>32.999000000000002</v>
      </c>
      <c r="E119" s="1">
        <f>Tabela1[[#This Row],[Força (N)]]/$I$5</f>
        <v>778689.68511666544</v>
      </c>
      <c r="F119" s="1">
        <f>Tabela1[[#This Row],[Tensão (Pa)]]/1000000</f>
        <v>0.77868968511666548</v>
      </c>
    </row>
    <row r="120" spans="1:6" x14ac:dyDescent="0.3">
      <c r="A120" s="5">
        <v>9.5167000000000002</v>
      </c>
      <c r="B120" s="5">
        <v>0.78512999999999999</v>
      </c>
      <c r="C120" s="1">
        <f>Tabela1[[#This Row],[Alongamento (mm/mm)]]/$I$2</f>
        <v>1.5702600000000001E-2</v>
      </c>
      <c r="D120" s="5">
        <v>33.68</v>
      </c>
      <c r="E120" s="1">
        <f>Tabela1[[#This Row],[Força (N)]]/$I$5</f>
        <v>794759.49558257195</v>
      </c>
      <c r="F120" s="1">
        <f>Tabela1[[#This Row],[Tensão (Pa)]]/1000000</f>
        <v>0.79475949558257197</v>
      </c>
    </row>
    <row r="121" spans="1:6" x14ac:dyDescent="0.3">
      <c r="A121" s="5">
        <v>9.5832999999999995</v>
      </c>
      <c r="B121" s="5">
        <v>0.79061999999999999</v>
      </c>
      <c r="C121" s="1">
        <f>Tabela1[[#This Row],[Alongamento (mm/mm)]]/$I$2</f>
        <v>1.5812400000000001E-2</v>
      </c>
      <c r="D121" s="5">
        <v>34.36</v>
      </c>
      <c r="E121" s="1">
        <f>Tabela1[[#This Row],[Força (N)]]/$I$5</f>
        <v>810805.70867628185</v>
      </c>
      <c r="F121" s="1">
        <f>Tabela1[[#This Row],[Tensão (Pa)]]/1000000</f>
        <v>0.81080570867628188</v>
      </c>
    </row>
    <row r="122" spans="1:6" x14ac:dyDescent="0.3">
      <c r="A122" s="5">
        <v>9.6667000000000005</v>
      </c>
      <c r="B122" s="5">
        <v>0.79751000000000005</v>
      </c>
      <c r="C122" s="1">
        <f>Tabela1[[#This Row],[Alongamento (mm/mm)]]/$I$2</f>
        <v>1.5950200000000001E-2</v>
      </c>
      <c r="D122" s="5">
        <v>35.04</v>
      </c>
      <c r="E122" s="1">
        <f>Tabela1[[#This Row],[Força (N)]]/$I$5</f>
        <v>826851.92176999175</v>
      </c>
      <c r="F122" s="1">
        <f>Tabela1[[#This Row],[Tensão (Pa)]]/1000000</f>
        <v>0.82685192176999178</v>
      </c>
    </row>
    <row r="123" spans="1:6" x14ac:dyDescent="0.3">
      <c r="A123" s="5">
        <v>9.7332999999999998</v>
      </c>
      <c r="B123" s="5">
        <v>0.80308999999999997</v>
      </c>
      <c r="C123" s="1">
        <f>Tabela1[[#This Row],[Alongamento (mm/mm)]]/$I$2</f>
        <v>1.6061800000000001E-2</v>
      </c>
      <c r="D123" s="5">
        <v>35.720999999999997</v>
      </c>
      <c r="E123" s="1">
        <f>Tabela1[[#This Row],[Força (N)]]/$I$5</f>
        <v>842921.73223589815</v>
      </c>
      <c r="F123" s="1">
        <f>Tabela1[[#This Row],[Tensão (Pa)]]/1000000</f>
        <v>0.84292173223589817</v>
      </c>
    </row>
    <row r="124" spans="1:6" x14ac:dyDescent="0.3">
      <c r="A124" s="5">
        <v>9.8167000000000009</v>
      </c>
      <c r="B124" s="5">
        <v>0.81015999999999999</v>
      </c>
      <c r="C124" s="1">
        <f>Tabela1[[#This Row],[Alongamento (mm/mm)]]/$I$2</f>
        <v>1.6203200000000001E-2</v>
      </c>
      <c r="D124" s="5">
        <v>36.401000000000003</v>
      </c>
      <c r="E124" s="1">
        <f>Tabela1[[#This Row],[Força (N)]]/$I$5</f>
        <v>858967.94532960816</v>
      </c>
      <c r="F124" s="1">
        <f>Tabela1[[#This Row],[Tensão (Pa)]]/1000000</f>
        <v>0.85896794532960818</v>
      </c>
    </row>
    <row r="125" spans="1:6" x14ac:dyDescent="0.3">
      <c r="A125" s="5">
        <v>9.8833000000000002</v>
      </c>
      <c r="B125" s="5">
        <v>0.81564999999999999</v>
      </c>
      <c r="C125" s="1">
        <f>Tabela1[[#This Row],[Alongamento (mm/mm)]]/$I$2</f>
        <v>1.6313000000000001E-2</v>
      </c>
      <c r="D125" s="5">
        <v>37.082000000000001</v>
      </c>
      <c r="E125" s="1">
        <f>Tabela1[[#This Row],[Força (N)]]/$I$5</f>
        <v>875037.75579551468</v>
      </c>
      <c r="F125" s="1">
        <f>Tabela1[[#This Row],[Tensão (Pa)]]/1000000</f>
        <v>0.87503775579551468</v>
      </c>
    </row>
    <row r="126" spans="1:6" x14ac:dyDescent="0.3">
      <c r="A126" s="5">
        <v>9.9499999999999993</v>
      </c>
      <c r="B126" s="5">
        <v>0.82123999999999997</v>
      </c>
      <c r="C126" s="1">
        <f>Tabela1[[#This Row],[Alongamento (mm/mm)]]/$I$2</f>
        <v>1.64248E-2</v>
      </c>
      <c r="D126" s="5">
        <v>37.762</v>
      </c>
      <c r="E126" s="1">
        <f>Tabela1[[#This Row],[Força (N)]]/$I$5</f>
        <v>891083.96888922458</v>
      </c>
      <c r="F126" s="1">
        <f>Tabela1[[#This Row],[Tensão (Pa)]]/1000000</f>
        <v>0.89108396888922459</v>
      </c>
    </row>
    <row r="127" spans="1:6" x14ac:dyDescent="0.3">
      <c r="A127" s="5">
        <v>10.016999999999999</v>
      </c>
      <c r="B127" s="5">
        <v>0.82682</v>
      </c>
      <c r="C127" s="1">
        <f>Tabela1[[#This Row],[Alongamento (mm/mm)]]/$I$2</f>
        <v>1.65364E-2</v>
      </c>
      <c r="D127" s="5">
        <v>38.442</v>
      </c>
      <c r="E127" s="1">
        <f>Tabela1[[#This Row],[Força (N)]]/$I$5</f>
        <v>907130.18198293436</v>
      </c>
      <c r="F127" s="1">
        <f>Tabela1[[#This Row],[Tensão (Pa)]]/1000000</f>
        <v>0.90713018198293438</v>
      </c>
    </row>
    <row r="128" spans="1:6" x14ac:dyDescent="0.3">
      <c r="A128" s="5">
        <v>10.1</v>
      </c>
      <c r="B128" s="5">
        <v>0.83370999999999995</v>
      </c>
      <c r="C128" s="1">
        <f>Tabela1[[#This Row],[Alongamento (mm/mm)]]/$I$2</f>
        <v>1.66742E-2</v>
      </c>
      <c r="D128" s="5">
        <v>39.122999999999998</v>
      </c>
      <c r="E128" s="1">
        <f>Tabela1[[#This Row],[Força (N)]]/$I$5</f>
        <v>923199.99244884087</v>
      </c>
      <c r="F128" s="1">
        <f>Tabela1[[#This Row],[Tensão (Pa)]]/1000000</f>
        <v>0.92319999244884088</v>
      </c>
    </row>
    <row r="129" spans="1:6" x14ac:dyDescent="0.3">
      <c r="A129" s="5">
        <v>10.167</v>
      </c>
      <c r="B129" s="5">
        <v>0.83928999999999998</v>
      </c>
      <c r="C129" s="1">
        <f>Tabela1[[#This Row],[Alongamento (mm/mm)]]/$I$2</f>
        <v>1.67858E-2</v>
      </c>
      <c r="D129" s="5">
        <v>39.802999999999997</v>
      </c>
      <c r="E129" s="1">
        <f>Tabela1[[#This Row],[Força (N)]]/$I$5</f>
        <v>939246.20554255077</v>
      </c>
      <c r="F129" s="1">
        <f>Tabela1[[#This Row],[Tensão (Pa)]]/1000000</f>
        <v>0.93924620554255078</v>
      </c>
    </row>
    <row r="130" spans="1:6" x14ac:dyDescent="0.3">
      <c r="A130" s="5">
        <v>10.233000000000001</v>
      </c>
      <c r="B130" s="5">
        <v>0.84477999999999998</v>
      </c>
      <c r="C130" s="1">
        <f>Tabela1[[#This Row],[Alongamento (mm/mm)]]/$I$2</f>
        <v>1.68956E-2</v>
      </c>
      <c r="D130" s="5">
        <v>40.484000000000002</v>
      </c>
      <c r="E130" s="1">
        <f>Tabela1[[#This Row],[Força (N)]]/$I$5</f>
        <v>955316.0160084574</v>
      </c>
      <c r="F130" s="1">
        <f>Tabela1[[#This Row],[Tensão (Pa)]]/1000000</f>
        <v>0.95531601600845739</v>
      </c>
    </row>
    <row r="131" spans="1:6" x14ac:dyDescent="0.3">
      <c r="A131" s="5">
        <v>10.3</v>
      </c>
      <c r="B131" s="5">
        <v>0.85036</v>
      </c>
      <c r="C131" s="1">
        <f>Tabela1[[#This Row],[Alongamento (mm/mm)]]/$I$2</f>
        <v>1.70072E-2</v>
      </c>
      <c r="D131" s="5">
        <v>41.164000000000001</v>
      </c>
      <c r="E131" s="1">
        <f>Tabela1[[#This Row],[Força (N)]]/$I$5</f>
        <v>971362.22910216718</v>
      </c>
      <c r="F131" s="1">
        <f>Tabela1[[#This Row],[Tensão (Pa)]]/1000000</f>
        <v>0.97136222910216719</v>
      </c>
    </row>
    <row r="132" spans="1:6" x14ac:dyDescent="0.3">
      <c r="A132" s="5">
        <v>10.382999999999999</v>
      </c>
      <c r="B132" s="5">
        <v>0.85733999999999999</v>
      </c>
      <c r="C132" s="1">
        <f>Tabela1[[#This Row],[Alongamento (mm/mm)]]/$I$2</f>
        <v>1.71468E-2</v>
      </c>
      <c r="D132" s="5">
        <v>42.014000000000003</v>
      </c>
      <c r="E132" s="1">
        <f>Tabela1[[#This Row],[Força (N)]]/$I$5</f>
        <v>991419.99546930462</v>
      </c>
      <c r="F132" s="1">
        <f>Tabela1[[#This Row],[Tensão (Pa)]]/1000000</f>
        <v>0.99141999546930459</v>
      </c>
    </row>
    <row r="133" spans="1:6" x14ac:dyDescent="0.3">
      <c r="A133" s="5">
        <v>10.45</v>
      </c>
      <c r="B133" s="5">
        <v>0.86292999999999997</v>
      </c>
      <c r="C133" s="1">
        <f>Tabela1[[#This Row],[Alongamento (mm/mm)]]/$I$2</f>
        <v>1.7258599999999999E-2</v>
      </c>
      <c r="D133" s="5">
        <v>42.695</v>
      </c>
      <c r="E133" s="1">
        <f>Tabela1[[#This Row],[Força (N)]]/$I$5</f>
        <v>1007489.8059352111</v>
      </c>
      <c r="F133" s="1">
        <f>Tabela1[[#This Row],[Tensão (Pa)]]/1000000</f>
        <v>1.0074898059352111</v>
      </c>
    </row>
    <row r="134" spans="1:6" x14ac:dyDescent="0.3">
      <c r="A134" s="5">
        <v>10.516999999999999</v>
      </c>
      <c r="B134" s="5">
        <v>0.86841999999999997</v>
      </c>
      <c r="C134" s="1">
        <f>Tabela1[[#This Row],[Alongamento (mm/mm)]]/$I$2</f>
        <v>1.7368399999999999E-2</v>
      </c>
      <c r="D134" s="5">
        <v>43.375</v>
      </c>
      <c r="E134" s="1">
        <f>Tabela1[[#This Row],[Força (N)]]/$I$5</f>
        <v>1023536.0190289209</v>
      </c>
      <c r="F134" s="1">
        <f>Tabela1[[#This Row],[Tensão (Pa)]]/1000000</f>
        <v>1.0235360190289209</v>
      </c>
    </row>
    <row r="135" spans="1:6" x14ac:dyDescent="0.3">
      <c r="A135" s="5">
        <v>10.583</v>
      </c>
      <c r="B135" s="5">
        <v>0.874</v>
      </c>
      <c r="C135" s="1">
        <f>Tabela1[[#This Row],[Alongamento (mm/mm)]]/$I$2</f>
        <v>1.7479999999999999E-2</v>
      </c>
      <c r="D135" s="5">
        <v>44.055999999999997</v>
      </c>
      <c r="E135" s="1">
        <f>Tabela1[[#This Row],[Força (N)]]/$I$5</f>
        <v>1039605.8294948274</v>
      </c>
      <c r="F135" s="1">
        <f>Tabela1[[#This Row],[Tensão (Pa)]]/1000000</f>
        <v>1.0396058294948274</v>
      </c>
    </row>
    <row r="136" spans="1:6" x14ac:dyDescent="0.3">
      <c r="A136" s="5">
        <v>10.65</v>
      </c>
      <c r="B136" s="5">
        <v>0.87948999999999999</v>
      </c>
      <c r="C136" s="1">
        <f>Tabela1[[#This Row],[Alongamento (mm/mm)]]/$I$2</f>
        <v>1.7589799999999999E-2</v>
      </c>
      <c r="D136" s="5">
        <v>44.735999999999997</v>
      </c>
      <c r="E136" s="1">
        <f>Tabela1[[#This Row],[Força (N)]]/$I$5</f>
        <v>1055652.0425885373</v>
      </c>
      <c r="F136" s="1">
        <f>Tabela1[[#This Row],[Tensão (Pa)]]/1000000</f>
        <v>1.0556520425885374</v>
      </c>
    </row>
    <row r="137" spans="1:6" x14ac:dyDescent="0.3">
      <c r="A137" s="5">
        <v>10.717000000000001</v>
      </c>
      <c r="B137" s="5">
        <v>0.88507000000000002</v>
      </c>
      <c r="C137" s="1">
        <f>Tabela1[[#This Row],[Alongamento (mm/mm)]]/$I$2</f>
        <v>1.7701399999999999E-2</v>
      </c>
      <c r="D137" s="5">
        <v>45.415999999999997</v>
      </c>
      <c r="E137" s="1">
        <f>Tabela1[[#This Row],[Força (N)]]/$I$5</f>
        <v>1071698.2556822472</v>
      </c>
      <c r="F137" s="1">
        <f>Tabela1[[#This Row],[Tensão (Pa)]]/1000000</f>
        <v>1.0716982556822472</v>
      </c>
    </row>
    <row r="138" spans="1:6" x14ac:dyDescent="0.3">
      <c r="A138" s="5">
        <v>10.782999999999999</v>
      </c>
      <c r="B138" s="5">
        <v>0.89066000000000001</v>
      </c>
      <c r="C138" s="1">
        <f>Tabela1[[#This Row],[Alongamento (mm/mm)]]/$I$2</f>
        <v>1.7813200000000001E-2</v>
      </c>
      <c r="D138" s="5">
        <v>46.267000000000003</v>
      </c>
      <c r="E138" s="1">
        <f>Tabela1[[#This Row],[Força (N)]]/$I$5</f>
        <v>1091779.6194215813</v>
      </c>
      <c r="F138" s="1">
        <f>Tabela1[[#This Row],[Tensão (Pa)]]/1000000</f>
        <v>1.0917796194215812</v>
      </c>
    </row>
    <row r="139" spans="1:6" x14ac:dyDescent="0.3">
      <c r="A139" s="5">
        <v>10.85</v>
      </c>
      <c r="B139" s="5">
        <v>0.89624000000000004</v>
      </c>
      <c r="C139" s="1">
        <f>Tabela1[[#This Row],[Alongamento (mm/mm)]]/$I$2</f>
        <v>1.7924800000000001E-2</v>
      </c>
      <c r="D139" s="5">
        <v>46.947000000000003</v>
      </c>
      <c r="E139" s="1">
        <f>Tabela1[[#This Row],[Força (N)]]/$I$5</f>
        <v>1107825.8325152912</v>
      </c>
      <c r="F139" s="1">
        <f>Tabela1[[#This Row],[Tensão (Pa)]]/1000000</f>
        <v>1.1078258325152912</v>
      </c>
    </row>
    <row r="140" spans="1:6" x14ac:dyDescent="0.3">
      <c r="A140" s="5">
        <v>10.917</v>
      </c>
      <c r="B140" s="5">
        <v>0.90173000000000003</v>
      </c>
      <c r="C140" s="1">
        <f>Tabela1[[#This Row],[Alongamento (mm/mm)]]/$I$2</f>
        <v>1.8034600000000001E-2</v>
      </c>
      <c r="D140" s="5">
        <v>47.628</v>
      </c>
      <c r="E140" s="1">
        <f>Tabela1[[#This Row],[Força (N)]]/$I$5</f>
        <v>1123895.6429811977</v>
      </c>
      <c r="F140" s="1">
        <f>Tabela1[[#This Row],[Tensão (Pa)]]/1000000</f>
        <v>1.1238956429811977</v>
      </c>
    </row>
    <row r="141" spans="1:6" x14ac:dyDescent="0.3">
      <c r="A141" s="5">
        <v>10.983000000000001</v>
      </c>
      <c r="B141" s="5">
        <v>0.90732000000000002</v>
      </c>
      <c r="C141" s="1">
        <f>Tabela1[[#This Row],[Alongamento (mm/mm)]]/$I$2</f>
        <v>1.81464E-2</v>
      </c>
      <c r="D141" s="5">
        <v>48.308</v>
      </c>
      <c r="E141" s="1">
        <f>Tabela1[[#This Row],[Força (N)]]/$I$5</f>
        <v>1139941.8560749076</v>
      </c>
      <c r="F141" s="1">
        <f>Tabela1[[#This Row],[Tensão (Pa)]]/1000000</f>
        <v>1.1399418560749075</v>
      </c>
    </row>
    <row r="142" spans="1:6" x14ac:dyDescent="0.3">
      <c r="A142" s="5">
        <v>11.05</v>
      </c>
      <c r="B142" s="5">
        <v>0.91290000000000004</v>
      </c>
      <c r="C142" s="1">
        <f>Tabela1[[#This Row],[Alongamento (mm/mm)]]/$I$2</f>
        <v>1.8258E-2</v>
      </c>
      <c r="D142" s="5">
        <v>48.988</v>
      </c>
      <c r="E142" s="1">
        <f>Tabela1[[#This Row],[Força (N)]]/$I$5</f>
        <v>1155988.0691686175</v>
      </c>
      <c r="F142" s="1">
        <f>Tabela1[[#This Row],[Tensão (Pa)]]/1000000</f>
        <v>1.1559880691686175</v>
      </c>
    </row>
    <row r="143" spans="1:6" x14ac:dyDescent="0.3">
      <c r="A143" s="5">
        <v>11.117000000000001</v>
      </c>
      <c r="B143" s="5">
        <v>0.91847999999999996</v>
      </c>
      <c r="C143" s="1">
        <f>Tabela1[[#This Row],[Alongamento (mm/mm)]]/$I$2</f>
        <v>1.83696E-2</v>
      </c>
      <c r="D143" s="5">
        <v>49.668999999999997</v>
      </c>
      <c r="E143" s="1">
        <f>Tabela1[[#This Row],[Força (N)]]/$I$5</f>
        <v>1172057.8796345238</v>
      </c>
      <c r="F143" s="1">
        <f>Tabela1[[#This Row],[Tensão (Pa)]]/1000000</f>
        <v>1.1720578796345238</v>
      </c>
    </row>
    <row r="144" spans="1:6" x14ac:dyDescent="0.3">
      <c r="A144" s="5">
        <v>11.167</v>
      </c>
      <c r="B144" s="5">
        <v>0.92257999999999996</v>
      </c>
      <c r="C144" s="1">
        <f>Tabela1[[#This Row],[Alongamento (mm/mm)]]/$I$2</f>
        <v>1.8451599999999999E-2</v>
      </c>
      <c r="D144" s="5">
        <v>50.348999999999997</v>
      </c>
      <c r="E144" s="1">
        <f>Tabela1[[#This Row],[Força (N)]]/$I$5</f>
        <v>1188104.0927282337</v>
      </c>
      <c r="F144" s="1">
        <f>Tabela1[[#This Row],[Tensão (Pa)]]/1000000</f>
        <v>1.1881040927282336</v>
      </c>
    </row>
    <row r="145" spans="1:6" x14ac:dyDescent="0.3">
      <c r="A145" s="5">
        <v>11.233000000000001</v>
      </c>
      <c r="B145" s="5">
        <v>0.92825000000000002</v>
      </c>
      <c r="C145" s="1">
        <f>Tabela1[[#This Row],[Alongamento (mm/mm)]]/$I$2</f>
        <v>1.8565000000000002E-2</v>
      </c>
      <c r="D145" s="5">
        <v>51.03</v>
      </c>
      <c r="E145" s="1">
        <f>Tabela1[[#This Row],[Força (N)]]/$I$5</f>
        <v>1204173.9031941404</v>
      </c>
      <c r="F145" s="1">
        <f>Tabela1[[#This Row],[Tensão (Pa)]]/1000000</f>
        <v>1.2041739031941403</v>
      </c>
    </row>
    <row r="146" spans="1:6" x14ac:dyDescent="0.3">
      <c r="A146" s="5">
        <v>11.3</v>
      </c>
      <c r="B146" s="5">
        <v>0.93374000000000001</v>
      </c>
      <c r="C146" s="1">
        <f>Tabela1[[#This Row],[Alongamento (mm/mm)]]/$I$2</f>
        <v>1.8674800000000002E-2</v>
      </c>
      <c r="D146" s="5">
        <v>51.71</v>
      </c>
      <c r="E146" s="1">
        <f>Tabela1[[#This Row],[Força (N)]]/$I$5</f>
        <v>1220220.1162878503</v>
      </c>
      <c r="F146" s="1">
        <f>Tabela1[[#This Row],[Tensão (Pa)]]/1000000</f>
        <v>1.2202201162878503</v>
      </c>
    </row>
    <row r="147" spans="1:6" x14ac:dyDescent="0.3">
      <c r="A147" s="5">
        <v>11.35</v>
      </c>
      <c r="B147" s="5">
        <v>0.93784000000000001</v>
      </c>
      <c r="C147" s="1">
        <f>Tabela1[[#This Row],[Alongamento (mm/mm)]]/$I$2</f>
        <v>1.8756800000000001E-2</v>
      </c>
      <c r="D147" s="5">
        <v>52.39</v>
      </c>
      <c r="E147" s="1">
        <f>Tabela1[[#This Row],[Força (N)]]/$I$5</f>
        <v>1236266.3293815602</v>
      </c>
      <c r="F147" s="1">
        <f>Tabela1[[#This Row],[Tensão (Pa)]]/1000000</f>
        <v>1.2362663293815601</v>
      </c>
    </row>
    <row r="148" spans="1:6" x14ac:dyDescent="0.3">
      <c r="A148" s="5">
        <v>11.417</v>
      </c>
      <c r="B148" s="5">
        <v>0.94342000000000004</v>
      </c>
      <c r="C148" s="1">
        <f>Tabela1[[#This Row],[Alongamento (mm/mm)]]/$I$2</f>
        <v>1.88684E-2</v>
      </c>
      <c r="D148" s="5">
        <v>53.070999999999998</v>
      </c>
      <c r="E148" s="1">
        <f>Tabela1[[#This Row],[Força (N)]]/$I$5</f>
        <v>1252336.1398474665</v>
      </c>
      <c r="F148" s="1">
        <f>Tabela1[[#This Row],[Tensão (Pa)]]/1000000</f>
        <v>1.2523361398474664</v>
      </c>
    </row>
    <row r="149" spans="1:6" x14ac:dyDescent="0.3">
      <c r="A149" s="5">
        <v>11.483000000000001</v>
      </c>
      <c r="B149" s="5">
        <v>0.94901000000000002</v>
      </c>
      <c r="C149" s="1">
        <f>Tabela1[[#This Row],[Alongamento (mm/mm)]]/$I$2</f>
        <v>1.8980199999999999E-2</v>
      </c>
      <c r="D149" s="5">
        <v>53.750999999999998</v>
      </c>
      <c r="E149" s="1">
        <f>Tabela1[[#This Row],[Força (N)]]/$I$5</f>
        <v>1268382.3529411764</v>
      </c>
      <c r="F149" s="1">
        <f>Tabela1[[#This Row],[Tensão (Pa)]]/1000000</f>
        <v>1.2683823529411764</v>
      </c>
    </row>
    <row r="150" spans="1:6" x14ac:dyDescent="0.3">
      <c r="A150" s="5">
        <v>11.55</v>
      </c>
      <c r="B150" s="5">
        <v>0.95450000000000002</v>
      </c>
      <c r="C150" s="1">
        <f>Tabela1[[#This Row],[Alongamento (mm/mm)]]/$I$2</f>
        <v>1.9089999999999999E-2</v>
      </c>
      <c r="D150" s="5">
        <v>54.432000000000002</v>
      </c>
      <c r="E150" s="1">
        <f>Tabela1[[#This Row],[Força (N)]]/$I$5</f>
        <v>1284452.1634070831</v>
      </c>
      <c r="F150" s="1">
        <f>Tabela1[[#This Row],[Tensão (Pa)]]/1000000</f>
        <v>1.2844521634070831</v>
      </c>
    </row>
    <row r="151" spans="1:6" x14ac:dyDescent="0.3">
      <c r="A151" s="5">
        <v>11.6</v>
      </c>
      <c r="B151" s="5">
        <v>0.95867999999999998</v>
      </c>
      <c r="C151" s="1">
        <f>Tabela1[[#This Row],[Alongamento (mm/mm)]]/$I$2</f>
        <v>1.9173599999999999E-2</v>
      </c>
      <c r="D151" s="5">
        <v>55.112000000000002</v>
      </c>
      <c r="E151" s="1">
        <f>Tabela1[[#This Row],[Força (N)]]/$I$5</f>
        <v>1300498.376500793</v>
      </c>
      <c r="F151" s="1">
        <f>Tabela1[[#This Row],[Tensão (Pa)]]/1000000</f>
        <v>1.3004983765007931</v>
      </c>
    </row>
    <row r="152" spans="1:6" x14ac:dyDescent="0.3">
      <c r="A152" s="5">
        <v>11.667</v>
      </c>
      <c r="B152" s="5">
        <v>0.96426999999999996</v>
      </c>
      <c r="C152" s="1">
        <f>Tabela1[[#This Row],[Alongamento (mm/mm)]]/$I$2</f>
        <v>1.9285399999999998E-2</v>
      </c>
      <c r="D152" s="5">
        <v>55.792000000000002</v>
      </c>
      <c r="E152" s="1">
        <f>Tabela1[[#This Row],[Força (N)]]/$I$5</f>
        <v>1316544.5895945029</v>
      </c>
      <c r="F152" s="1">
        <f>Tabela1[[#This Row],[Tensão (Pa)]]/1000000</f>
        <v>1.3165445895945029</v>
      </c>
    </row>
    <row r="153" spans="1:6" x14ac:dyDescent="0.3">
      <c r="A153" s="5">
        <v>11.717000000000001</v>
      </c>
      <c r="B153" s="5">
        <v>0.96836</v>
      </c>
      <c r="C153" s="1">
        <f>Tabela1[[#This Row],[Alongamento (mm/mm)]]/$I$2</f>
        <v>1.9367200000000001E-2</v>
      </c>
      <c r="D153" s="5">
        <v>56.472999999999999</v>
      </c>
      <c r="E153" s="1">
        <f>Tabela1[[#This Row],[Força (N)]]/$I$5</f>
        <v>1332614.4000604092</v>
      </c>
      <c r="F153" s="1">
        <f>Tabela1[[#This Row],[Tensão (Pa)]]/1000000</f>
        <v>1.3326144000604092</v>
      </c>
    </row>
    <row r="154" spans="1:6" x14ac:dyDescent="0.3">
      <c r="A154" s="5">
        <v>11.782999999999999</v>
      </c>
      <c r="B154" s="5">
        <v>0.97404000000000002</v>
      </c>
      <c r="C154" s="1">
        <f>Tabela1[[#This Row],[Alongamento (mm/mm)]]/$I$2</f>
        <v>1.94808E-2</v>
      </c>
      <c r="D154" s="5">
        <v>57.152999999999999</v>
      </c>
      <c r="E154" s="1">
        <f>Tabela1[[#This Row],[Força (N)]]/$I$5</f>
        <v>1348660.6131541191</v>
      </c>
      <c r="F154" s="1">
        <f>Tabela1[[#This Row],[Tensão (Pa)]]/1000000</f>
        <v>1.348660613154119</v>
      </c>
    </row>
    <row r="155" spans="1:6" x14ac:dyDescent="0.3">
      <c r="A155" s="5">
        <v>11.85</v>
      </c>
      <c r="B155" s="5">
        <v>0.97953000000000001</v>
      </c>
      <c r="C155" s="1">
        <f>Tabela1[[#This Row],[Alongamento (mm/mm)]]/$I$2</f>
        <v>1.95906E-2</v>
      </c>
      <c r="D155" s="5">
        <v>57.834000000000003</v>
      </c>
      <c r="E155" s="1">
        <f>Tabela1[[#This Row],[Força (N)]]/$I$5</f>
        <v>1364730.4236200259</v>
      </c>
      <c r="F155" s="1">
        <f>Tabela1[[#This Row],[Tensão (Pa)]]/1000000</f>
        <v>1.3647304236200259</v>
      </c>
    </row>
    <row r="156" spans="1:6" x14ac:dyDescent="0.3">
      <c r="A156" s="5">
        <v>11.9</v>
      </c>
      <c r="B156" s="5">
        <v>0.98362000000000005</v>
      </c>
      <c r="C156" s="1">
        <f>Tabela1[[#This Row],[Alongamento (mm/mm)]]/$I$2</f>
        <v>1.96724E-2</v>
      </c>
      <c r="D156" s="5">
        <v>58.514000000000003</v>
      </c>
      <c r="E156" s="1">
        <f>Tabela1[[#This Row],[Força (N)]]/$I$5</f>
        <v>1380776.6367137358</v>
      </c>
      <c r="F156" s="1">
        <f>Tabela1[[#This Row],[Tensão (Pa)]]/1000000</f>
        <v>1.3807766367137357</v>
      </c>
    </row>
    <row r="157" spans="1:6" x14ac:dyDescent="0.3">
      <c r="A157" s="5">
        <v>11.967000000000001</v>
      </c>
      <c r="B157" s="5">
        <v>0.98921000000000003</v>
      </c>
      <c r="C157" s="1">
        <f>Tabela1[[#This Row],[Alongamento (mm/mm)]]/$I$2</f>
        <v>1.9784200000000002E-2</v>
      </c>
      <c r="D157" s="5">
        <v>59.194000000000003</v>
      </c>
      <c r="E157" s="1">
        <f>Tabela1[[#This Row],[Força (N)]]/$I$5</f>
        <v>1396822.8498074454</v>
      </c>
      <c r="F157" s="1">
        <f>Tabela1[[#This Row],[Tensão (Pa)]]/1000000</f>
        <v>1.3968228498074455</v>
      </c>
    </row>
    <row r="158" spans="1:6" x14ac:dyDescent="0.3">
      <c r="A158" s="5">
        <v>12.032999999999999</v>
      </c>
      <c r="B158" s="5">
        <v>0.99478999999999995</v>
      </c>
      <c r="C158" s="1">
        <f>Tabela1[[#This Row],[Alongamento (mm/mm)]]/$I$2</f>
        <v>1.9895799999999998E-2</v>
      </c>
      <c r="D158" s="5">
        <v>60.045000000000002</v>
      </c>
      <c r="E158" s="1">
        <f>Tabela1[[#This Row],[Força (N)]]/$I$5</f>
        <v>1416904.2135467795</v>
      </c>
      <c r="F158" s="1">
        <f>Tabela1[[#This Row],[Tensão (Pa)]]/1000000</f>
        <v>1.4169042135467795</v>
      </c>
    </row>
    <row r="159" spans="1:6" x14ac:dyDescent="0.3">
      <c r="A159" s="5">
        <v>12.1</v>
      </c>
      <c r="B159" s="5">
        <v>1.0004</v>
      </c>
      <c r="C159" s="1">
        <f>Tabela1[[#This Row],[Alongamento (mm/mm)]]/$I$2</f>
        <v>2.0007999999999998E-2</v>
      </c>
      <c r="D159" s="5">
        <v>60.725000000000001</v>
      </c>
      <c r="E159" s="1">
        <f>Tabela1[[#This Row],[Força (N)]]/$I$5</f>
        <v>1432950.4266404894</v>
      </c>
      <c r="F159" s="1">
        <f>Tabela1[[#This Row],[Tensão (Pa)]]/1000000</f>
        <v>1.4329504266404893</v>
      </c>
    </row>
    <row r="160" spans="1:6" x14ac:dyDescent="0.3">
      <c r="A160" s="5">
        <v>12.167</v>
      </c>
      <c r="B160" s="5">
        <v>1.006</v>
      </c>
      <c r="C160" s="1">
        <f>Tabela1[[#This Row],[Alongamento (mm/mm)]]/$I$2</f>
        <v>2.0119999999999999E-2</v>
      </c>
      <c r="D160" s="5">
        <v>61.405999999999999</v>
      </c>
      <c r="E160" s="1">
        <f>Tabela1[[#This Row],[Força (N)]]/$I$5</f>
        <v>1449020.2371063959</v>
      </c>
      <c r="F160" s="1">
        <f>Tabela1[[#This Row],[Tensão (Pa)]]/1000000</f>
        <v>1.4490202371063958</v>
      </c>
    </row>
    <row r="161" spans="1:6" x14ac:dyDescent="0.3">
      <c r="A161" s="5">
        <v>12.217000000000001</v>
      </c>
      <c r="B161" s="5">
        <v>1.0101</v>
      </c>
      <c r="C161" s="1">
        <f>Tabela1[[#This Row],[Alongamento (mm/mm)]]/$I$2</f>
        <v>2.0202000000000001E-2</v>
      </c>
      <c r="D161" s="5">
        <v>62.085999999999999</v>
      </c>
      <c r="E161" s="1">
        <f>Tabela1[[#This Row],[Força (N)]]/$I$5</f>
        <v>1465066.4502001058</v>
      </c>
      <c r="F161" s="1">
        <f>Tabela1[[#This Row],[Tensão (Pa)]]/1000000</f>
        <v>1.4650664502001058</v>
      </c>
    </row>
    <row r="162" spans="1:6" x14ac:dyDescent="0.3">
      <c r="A162" s="5">
        <v>12.282999999999999</v>
      </c>
      <c r="B162" s="5">
        <v>1.0156000000000001</v>
      </c>
      <c r="C162" s="1">
        <f>Tabela1[[#This Row],[Alongamento (mm/mm)]]/$I$2</f>
        <v>2.0312E-2</v>
      </c>
      <c r="D162" s="5">
        <v>62.765999999999998</v>
      </c>
      <c r="E162" s="1">
        <f>Tabela1[[#This Row],[Força (N)]]/$I$5</f>
        <v>1481112.6632938157</v>
      </c>
      <c r="F162" s="1">
        <f>Tabela1[[#This Row],[Tensão (Pa)]]/1000000</f>
        <v>1.4811126632938156</v>
      </c>
    </row>
    <row r="163" spans="1:6" x14ac:dyDescent="0.3">
      <c r="A163" s="5">
        <v>12.35</v>
      </c>
      <c r="B163" s="5">
        <v>1.0212000000000001</v>
      </c>
      <c r="C163" s="1">
        <f>Tabela1[[#This Row],[Alongamento (mm/mm)]]/$I$2</f>
        <v>2.0424000000000001E-2</v>
      </c>
      <c r="D163" s="5">
        <v>63.447000000000003</v>
      </c>
      <c r="E163" s="1">
        <f>Tabela1[[#This Row],[Força (N)]]/$I$5</f>
        <v>1497182.4737597222</v>
      </c>
      <c r="F163" s="1">
        <f>Tabela1[[#This Row],[Tensão (Pa)]]/1000000</f>
        <v>1.4971824737597221</v>
      </c>
    </row>
    <row r="164" spans="1:6" x14ac:dyDescent="0.3">
      <c r="A164" s="5">
        <v>12.4</v>
      </c>
      <c r="B164" s="5">
        <v>1.0254000000000001</v>
      </c>
      <c r="C164" s="1">
        <f>Tabela1[[#This Row],[Alongamento (mm/mm)]]/$I$2</f>
        <v>2.0508000000000002E-2</v>
      </c>
      <c r="D164" s="5">
        <v>64.126999999999995</v>
      </c>
      <c r="E164" s="1">
        <f>Tabela1[[#This Row],[Força (N)]]/$I$5</f>
        <v>1513228.6868534319</v>
      </c>
      <c r="F164" s="1">
        <f>Tabela1[[#This Row],[Tensão (Pa)]]/1000000</f>
        <v>1.5132286868534319</v>
      </c>
    </row>
    <row r="165" spans="1:6" x14ac:dyDescent="0.3">
      <c r="A165" s="5">
        <v>12.467000000000001</v>
      </c>
      <c r="B165" s="5">
        <v>1.0308999999999999</v>
      </c>
      <c r="C165" s="1">
        <f>Tabela1[[#This Row],[Alongamento (mm/mm)]]/$I$2</f>
        <v>2.0617999999999997E-2</v>
      </c>
      <c r="D165" s="5">
        <v>64.808000000000007</v>
      </c>
      <c r="E165" s="1">
        <f>Tabela1[[#This Row],[Força (N)]]/$I$5</f>
        <v>1529298.4973193386</v>
      </c>
      <c r="F165" s="1">
        <f>Tabela1[[#This Row],[Tensão (Pa)]]/1000000</f>
        <v>1.5292984973193386</v>
      </c>
    </row>
    <row r="166" spans="1:6" x14ac:dyDescent="0.3">
      <c r="A166" s="5">
        <v>12.516999999999999</v>
      </c>
      <c r="B166" s="5">
        <v>1.0350999999999999</v>
      </c>
      <c r="C166" s="1">
        <f>Tabela1[[#This Row],[Alongamento (mm/mm)]]/$I$2</f>
        <v>2.0701999999999998E-2</v>
      </c>
      <c r="D166" s="5">
        <v>65.488</v>
      </c>
      <c r="E166" s="1">
        <f>Tabela1[[#This Row],[Força (N)]]/$I$5</f>
        <v>1545344.7104130485</v>
      </c>
      <c r="F166" s="1">
        <f>Tabela1[[#This Row],[Tensão (Pa)]]/1000000</f>
        <v>1.5453447104130484</v>
      </c>
    </row>
    <row r="167" spans="1:6" x14ac:dyDescent="0.3">
      <c r="A167" s="5">
        <v>12.583</v>
      </c>
      <c r="B167" s="5">
        <v>1.0406</v>
      </c>
      <c r="C167" s="1">
        <f>Tabela1[[#This Row],[Alongamento (mm/mm)]]/$I$2</f>
        <v>2.0812000000000001E-2</v>
      </c>
      <c r="D167" s="5">
        <v>66.168000000000006</v>
      </c>
      <c r="E167" s="1">
        <f>Tabela1[[#This Row],[Força (N)]]/$I$5</f>
        <v>1561390.9235067584</v>
      </c>
      <c r="F167" s="1">
        <f>Tabela1[[#This Row],[Tensão (Pa)]]/1000000</f>
        <v>1.5613909235067585</v>
      </c>
    </row>
    <row r="168" spans="1:6" x14ac:dyDescent="0.3">
      <c r="A168" s="5">
        <v>12.632999999999999</v>
      </c>
      <c r="B168" s="5">
        <v>1.0448</v>
      </c>
      <c r="C168" s="1">
        <f>Tabela1[[#This Row],[Alongamento (mm/mm)]]/$I$2</f>
        <v>2.0895999999999998E-2</v>
      </c>
      <c r="D168" s="5">
        <v>66.849000000000004</v>
      </c>
      <c r="E168" s="1">
        <f>Tabela1[[#This Row],[Força (N)]]/$I$5</f>
        <v>1577460.7339726649</v>
      </c>
      <c r="F168" s="1">
        <f>Tabela1[[#This Row],[Tensão (Pa)]]/1000000</f>
        <v>1.577460733972665</v>
      </c>
    </row>
    <row r="169" spans="1:6" x14ac:dyDescent="0.3">
      <c r="A169" s="5">
        <v>12.7</v>
      </c>
      <c r="B169" s="5">
        <v>1.0503</v>
      </c>
      <c r="C169" s="1">
        <f>Tabela1[[#This Row],[Alongamento (mm/mm)]]/$I$2</f>
        <v>2.1006E-2</v>
      </c>
      <c r="D169" s="5">
        <v>67.528999999999996</v>
      </c>
      <c r="E169" s="1">
        <f>Tabela1[[#This Row],[Força (N)]]/$I$5</f>
        <v>1593506.9470663746</v>
      </c>
      <c r="F169" s="1">
        <f>Tabela1[[#This Row],[Tensão (Pa)]]/1000000</f>
        <v>1.5935069470663745</v>
      </c>
    </row>
    <row r="170" spans="1:6" x14ac:dyDescent="0.3">
      <c r="A170" s="5">
        <v>12.75</v>
      </c>
      <c r="B170" s="5">
        <v>1.0545</v>
      </c>
      <c r="C170" s="1">
        <f>Tabela1[[#This Row],[Alongamento (mm/mm)]]/$I$2</f>
        <v>2.1090000000000001E-2</v>
      </c>
      <c r="D170" s="5">
        <v>68.209999999999994</v>
      </c>
      <c r="E170" s="1">
        <f>Tabela1[[#This Row],[Força (N)]]/$I$5</f>
        <v>1609576.7575322811</v>
      </c>
      <c r="F170" s="1">
        <f>Tabela1[[#This Row],[Tensão (Pa)]]/1000000</f>
        <v>1.609576757532281</v>
      </c>
    </row>
    <row r="171" spans="1:6" x14ac:dyDescent="0.3">
      <c r="A171" s="5">
        <v>12.817</v>
      </c>
      <c r="B171" s="5">
        <v>1.0601</v>
      </c>
      <c r="C171" s="1">
        <f>Tabela1[[#This Row],[Alongamento (mm/mm)]]/$I$2</f>
        <v>2.1202000000000002E-2</v>
      </c>
      <c r="D171" s="5">
        <v>68.89</v>
      </c>
      <c r="E171" s="1">
        <f>Tabela1[[#This Row],[Força (N)]]/$I$5</f>
        <v>1625622.9706259912</v>
      </c>
      <c r="F171" s="1">
        <f>Tabela1[[#This Row],[Tensão (Pa)]]/1000000</f>
        <v>1.6256229706259913</v>
      </c>
    </row>
    <row r="172" spans="1:6" x14ac:dyDescent="0.3">
      <c r="A172" s="5">
        <v>12.867000000000001</v>
      </c>
      <c r="B172" s="5">
        <v>1.0643</v>
      </c>
      <c r="C172" s="1">
        <f>Tabela1[[#This Row],[Alongamento (mm/mm)]]/$I$2</f>
        <v>2.1285999999999999E-2</v>
      </c>
      <c r="D172" s="5">
        <v>69.569999999999993</v>
      </c>
      <c r="E172" s="1">
        <f>Tabela1[[#This Row],[Força (N)]]/$I$5</f>
        <v>1641669.1837197009</v>
      </c>
      <c r="F172" s="1">
        <f>Tabela1[[#This Row],[Tensão (Pa)]]/1000000</f>
        <v>1.6416691837197008</v>
      </c>
    </row>
    <row r="173" spans="1:6" x14ac:dyDescent="0.3">
      <c r="A173" s="5">
        <v>12.933</v>
      </c>
      <c r="B173" s="5">
        <v>1.0698000000000001</v>
      </c>
      <c r="C173" s="1">
        <f>Tabela1[[#This Row],[Alongamento (mm/mm)]]/$I$2</f>
        <v>2.1396000000000002E-2</v>
      </c>
      <c r="D173" s="5">
        <v>70.251000000000005</v>
      </c>
      <c r="E173" s="1">
        <f>Tabela1[[#This Row],[Força (N)]]/$I$5</f>
        <v>1657738.9941856076</v>
      </c>
      <c r="F173" s="1">
        <f>Tabela1[[#This Row],[Tensão (Pa)]]/1000000</f>
        <v>1.6577389941856076</v>
      </c>
    </row>
    <row r="174" spans="1:6" x14ac:dyDescent="0.3">
      <c r="A174" s="5">
        <v>12.983000000000001</v>
      </c>
      <c r="B174" s="5">
        <v>1.0740000000000001</v>
      </c>
      <c r="C174" s="1">
        <f>Tabela1[[#This Row],[Alongamento (mm/mm)]]/$I$2</f>
        <v>2.1480000000000003E-2</v>
      </c>
      <c r="D174" s="5">
        <v>70.930999999999997</v>
      </c>
      <c r="E174" s="1">
        <f>Tabela1[[#This Row],[Força (N)]]/$I$5</f>
        <v>1673785.2072793173</v>
      </c>
      <c r="F174" s="1">
        <f>Tabela1[[#This Row],[Tensão (Pa)]]/1000000</f>
        <v>1.6737852072793173</v>
      </c>
    </row>
    <row r="175" spans="1:6" x14ac:dyDescent="0.3">
      <c r="A175" s="5">
        <v>13.05</v>
      </c>
      <c r="B175" s="5">
        <v>1.0795999999999999</v>
      </c>
      <c r="C175" s="1">
        <f>Tabela1[[#This Row],[Alongamento (mm/mm)]]/$I$2</f>
        <v>2.1591999999999997E-2</v>
      </c>
      <c r="D175" s="5">
        <v>71.611999999999995</v>
      </c>
      <c r="E175" s="1">
        <f>Tabela1[[#This Row],[Força (N)]]/$I$5</f>
        <v>1689855.0177452238</v>
      </c>
      <c r="F175" s="1">
        <f>Tabela1[[#This Row],[Tensão (Pa)]]/1000000</f>
        <v>1.6898550177452238</v>
      </c>
    </row>
    <row r="176" spans="1:6" x14ac:dyDescent="0.3">
      <c r="A176" s="5">
        <v>13.1</v>
      </c>
      <c r="B176" s="5">
        <v>1.0838000000000001</v>
      </c>
      <c r="C176" s="1">
        <f>Tabela1[[#This Row],[Alongamento (mm/mm)]]/$I$2</f>
        <v>2.1676000000000001E-2</v>
      </c>
      <c r="D176" s="5">
        <v>72.292000000000002</v>
      </c>
      <c r="E176" s="1">
        <f>Tabela1[[#This Row],[Força (N)]]/$I$5</f>
        <v>1705901.230838934</v>
      </c>
      <c r="F176" s="1">
        <f>Tabela1[[#This Row],[Tensão (Pa)]]/1000000</f>
        <v>1.7059012308389339</v>
      </c>
    </row>
    <row r="177" spans="1:6" x14ac:dyDescent="0.3">
      <c r="A177" s="5">
        <v>13.167</v>
      </c>
      <c r="B177" s="5">
        <v>1.0892999999999999</v>
      </c>
      <c r="C177" s="1">
        <f>Tabela1[[#This Row],[Alongamento (mm/mm)]]/$I$2</f>
        <v>2.1786E-2</v>
      </c>
      <c r="D177" s="5">
        <v>72.971999999999994</v>
      </c>
      <c r="E177" s="1">
        <f>Tabela1[[#This Row],[Força (N)]]/$I$5</f>
        <v>1721947.4439326436</v>
      </c>
      <c r="F177" s="1">
        <f>Tabela1[[#This Row],[Tensão (Pa)]]/1000000</f>
        <v>1.7219474439326437</v>
      </c>
    </row>
    <row r="178" spans="1:6" x14ac:dyDescent="0.3">
      <c r="A178" s="5">
        <v>13.217000000000001</v>
      </c>
      <c r="B178" s="5">
        <v>1.0933999999999999</v>
      </c>
      <c r="C178" s="1">
        <f>Tabela1[[#This Row],[Alongamento (mm/mm)]]/$I$2</f>
        <v>2.1867999999999999E-2</v>
      </c>
      <c r="D178" s="5">
        <v>73.653000000000006</v>
      </c>
      <c r="E178" s="1">
        <f>Tabela1[[#This Row],[Força (N)]]/$I$5</f>
        <v>1738017.2543985504</v>
      </c>
      <c r="F178" s="1">
        <f>Tabela1[[#This Row],[Tensão (Pa)]]/1000000</f>
        <v>1.7380172543985504</v>
      </c>
    </row>
    <row r="179" spans="1:6" x14ac:dyDescent="0.3">
      <c r="A179" s="5">
        <v>13.266999999999999</v>
      </c>
      <c r="B179" s="5">
        <v>1.0975999999999999</v>
      </c>
      <c r="C179" s="1">
        <f>Tabela1[[#This Row],[Alongamento (mm/mm)]]/$I$2</f>
        <v>2.1951999999999999E-2</v>
      </c>
      <c r="D179" s="5">
        <v>74.332999999999998</v>
      </c>
      <c r="E179" s="1">
        <f>Tabela1[[#This Row],[Força (N)]]/$I$5</f>
        <v>1754063.46749226</v>
      </c>
      <c r="F179" s="1">
        <f>Tabela1[[#This Row],[Tensão (Pa)]]/1000000</f>
        <v>1.7540634674922599</v>
      </c>
    </row>
    <row r="180" spans="1:6" x14ac:dyDescent="0.3">
      <c r="A180" s="5">
        <v>13.333</v>
      </c>
      <c r="B180" s="5">
        <v>1.1031</v>
      </c>
      <c r="C180" s="1">
        <f>Tabela1[[#This Row],[Alongamento (mm/mm)]]/$I$2</f>
        <v>2.2061999999999998E-2</v>
      </c>
      <c r="D180" s="5">
        <v>75.013999999999996</v>
      </c>
      <c r="E180" s="1">
        <f>Tabela1[[#This Row],[Força (N)]]/$I$5</f>
        <v>1770133.2779581666</v>
      </c>
      <c r="F180" s="1">
        <f>Tabela1[[#This Row],[Tensão (Pa)]]/1000000</f>
        <v>1.7701332779581667</v>
      </c>
    </row>
    <row r="181" spans="1:6" x14ac:dyDescent="0.3">
      <c r="A181" s="5">
        <v>13.382999999999999</v>
      </c>
      <c r="B181" s="5">
        <v>1.1073999999999999</v>
      </c>
      <c r="C181" s="1">
        <f>Tabela1[[#This Row],[Alongamento (mm/mm)]]/$I$2</f>
        <v>2.2147999999999998E-2</v>
      </c>
      <c r="D181" s="5">
        <v>75.694000000000003</v>
      </c>
      <c r="E181" s="1">
        <f>Tabela1[[#This Row],[Força (N)]]/$I$5</f>
        <v>1786179.4910518767</v>
      </c>
      <c r="F181" s="1">
        <f>Tabela1[[#This Row],[Tensão (Pa)]]/1000000</f>
        <v>1.7861794910518767</v>
      </c>
    </row>
    <row r="182" spans="1:6" x14ac:dyDescent="0.3">
      <c r="A182" s="5">
        <v>13.433</v>
      </c>
      <c r="B182" s="5">
        <v>1.1115999999999999</v>
      </c>
      <c r="C182" s="1">
        <f>Tabela1[[#This Row],[Alongamento (mm/mm)]]/$I$2</f>
        <v>2.2231999999999998E-2</v>
      </c>
      <c r="D182" s="5">
        <v>76.373999999999995</v>
      </c>
      <c r="E182" s="1">
        <f>Tabela1[[#This Row],[Força (N)]]/$I$5</f>
        <v>1802225.7041455864</v>
      </c>
      <c r="F182" s="1">
        <f>Tabela1[[#This Row],[Tensão (Pa)]]/1000000</f>
        <v>1.8022257041455862</v>
      </c>
    </row>
    <row r="183" spans="1:6" x14ac:dyDescent="0.3">
      <c r="A183" s="5">
        <v>13.5</v>
      </c>
      <c r="B183" s="5">
        <v>1.117</v>
      </c>
      <c r="C183" s="1">
        <f>Tabela1[[#This Row],[Alongamento (mm/mm)]]/$I$2</f>
        <v>2.2339999999999999E-2</v>
      </c>
      <c r="D183" s="5">
        <v>77.224999999999994</v>
      </c>
      <c r="E183" s="1">
        <f>Tabela1[[#This Row],[Força (N)]]/$I$5</f>
        <v>1822307.0678849202</v>
      </c>
      <c r="F183" s="1">
        <f>Tabela1[[#This Row],[Tensão (Pa)]]/1000000</f>
        <v>1.8223070678849203</v>
      </c>
    </row>
    <row r="184" spans="1:6" x14ac:dyDescent="0.3">
      <c r="A184" s="5">
        <v>13.567</v>
      </c>
      <c r="B184" s="5">
        <v>1.1226</v>
      </c>
      <c r="C184" s="1">
        <f>Tabela1[[#This Row],[Alongamento (mm/mm)]]/$I$2</f>
        <v>2.2452E-2</v>
      </c>
      <c r="D184" s="5">
        <v>78.075000000000003</v>
      </c>
      <c r="E184" s="1">
        <f>Tabela1[[#This Row],[Força (N)]]/$I$5</f>
        <v>1842364.8342520578</v>
      </c>
      <c r="F184" s="1">
        <f>Tabela1[[#This Row],[Tensão (Pa)]]/1000000</f>
        <v>1.8423648342520578</v>
      </c>
    </row>
    <row r="185" spans="1:6" x14ac:dyDescent="0.3">
      <c r="A185" s="5">
        <v>13.632999999999999</v>
      </c>
      <c r="B185" s="5">
        <v>1.1281000000000001</v>
      </c>
      <c r="C185" s="1">
        <f>Tabela1[[#This Row],[Alongamento (mm/mm)]]/$I$2</f>
        <v>2.2562000000000002E-2</v>
      </c>
      <c r="D185" s="5">
        <v>78.756</v>
      </c>
      <c r="E185" s="1">
        <f>Tabela1[[#This Row],[Força (N)]]/$I$5</f>
        <v>1858434.6447179643</v>
      </c>
      <c r="F185" s="1">
        <f>Tabela1[[#This Row],[Tensão (Pa)]]/1000000</f>
        <v>1.8584346447179643</v>
      </c>
    </row>
    <row r="186" spans="1:6" x14ac:dyDescent="0.3">
      <c r="A186" s="5">
        <v>13.683</v>
      </c>
      <c r="B186" s="5">
        <v>1.1322000000000001</v>
      </c>
      <c r="C186" s="1">
        <f>Tabela1[[#This Row],[Alongamento (mm/mm)]]/$I$2</f>
        <v>2.2644000000000001E-2</v>
      </c>
      <c r="D186" s="5">
        <v>79.436000000000007</v>
      </c>
      <c r="E186" s="1">
        <f>Tabela1[[#This Row],[Força (N)]]/$I$5</f>
        <v>1874480.8578116742</v>
      </c>
      <c r="F186" s="1">
        <f>Tabela1[[#This Row],[Tensão (Pa)]]/1000000</f>
        <v>1.8744808578116743</v>
      </c>
    </row>
    <row r="187" spans="1:6" x14ac:dyDescent="0.3">
      <c r="A187" s="5">
        <v>13.733000000000001</v>
      </c>
      <c r="B187" s="5">
        <v>1.1365000000000001</v>
      </c>
      <c r="C187" s="1">
        <f>Tabela1[[#This Row],[Alongamento (mm/mm)]]/$I$2</f>
        <v>2.273E-2</v>
      </c>
      <c r="D187" s="5">
        <v>80.117000000000004</v>
      </c>
      <c r="E187" s="1">
        <f>Tabela1[[#This Row],[Força (N)]]/$I$5</f>
        <v>1890550.6682775808</v>
      </c>
      <c r="F187" s="1">
        <f>Tabela1[[#This Row],[Tensão (Pa)]]/1000000</f>
        <v>1.8905506682775808</v>
      </c>
    </row>
    <row r="188" spans="1:6" x14ac:dyDescent="0.3">
      <c r="A188" s="5">
        <v>13.8</v>
      </c>
      <c r="B188" s="5">
        <v>1.1420999999999999</v>
      </c>
      <c r="C188" s="1">
        <f>Tabela1[[#This Row],[Alongamento (mm/mm)]]/$I$2</f>
        <v>2.2841999999999998E-2</v>
      </c>
      <c r="D188" s="5">
        <v>80.966999999999999</v>
      </c>
      <c r="E188" s="1">
        <f>Tabela1[[#This Row],[Força (N)]]/$I$5</f>
        <v>1910608.434644718</v>
      </c>
      <c r="F188" s="1">
        <f>Tabela1[[#This Row],[Tensão (Pa)]]/1000000</f>
        <v>1.9106084346447179</v>
      </c>
    </row>
    <row r="189" spans="1:6" x14ac:dyDescent="0.3">
      <c r="A189" s="5">
        <v>13.867000000000001</v>
      </c>
      <c r="B189" s="5">
        <v>1.1476</v>
      </c>
      <c r="C189" s="1">
        <f>Tabela1[[#This Row],[Alongamento (mm/mm)]]/$I$2</f>
        <v>2.2952E-2</v>
      </c>
      <c r="D189" s="5">
        <v>81.647000000000006</v>
      </c>
      <c r="E189" s="1">
        <f>Tabela1[[#This Row],[Força (N)]]/$I$5</f>
        <v>1926654.6477384281</v>
      </c>
      <c r="F189" s="1">
        <f>Tabela1[[#This Row],[Tensão (Pa)]]/1000000</f>
        <v>1.9266546477384281</v>
      </c>
    </row>
    <row r="190" spans="1:6" x14ac:dyDescent="0.3">
      <c r="A190" s="5">
        <v>13.917</v>
      </c>
      <c r="B190" s="5">
        <v>1.1517999999999999</v>
      </c>
      <c r="C190" s="1">
        <f>Tabela1[[#This Row],[Alongamento (mm/mm)]]/$I$2</f>
        <v>2.3035999999999997E-2</v>
      </c>
      <c r="D190" s="5">
        <v>82.328000000000003</v>
      </c>
      <c r="E190" s="1">
        <f>Tabela1[[#This Row],[Força (N)]]/$I$5</f>
        <v>1942724.4582043344</v>
      </c>
      <c r="F190" s="1">
        <f>Tabela1[[#This Row],[Tensão (Pa)]]/1000000</f>
        <v>1.9427244582043344</v>
      </c>
    </row>
    <row r="191" spans="1:6" x14ac:dyDescent="0.3">
      <c r="A191" s="5">
        <v>13.967000000000001</v>
      </c>
      <c r="B191" s="5">
        <v>1.1558999999999999</v>
      </c>
      <c r="C191" s="1">
        <f>Tabela1[[#This Row],[Alongamento (mm/mm)]]/$I$2</f>
        <v>2.3118E-2</v>
      </c>
      <c r="D191" s="5">
        <v>83.007999999999996</v>
      </c>
      <c r="E191" s="1">
        <f>Tabela1[[#This Row],[Força (N)]]/$I$5</f>
        <v>1958770.6712980443</v>
      </c>
      <c r="F191" s="1">
        <f>Tabela1[[#This Row],[Tensão (Pa)]]/1000000</f>
        <v>1.9587706712980442</v>
      </c>
    </row>
    <row r="192" spans="1:6" x14ac:dyDescent="0.3">
      <c r="A192" s="5">
        <v>14.016999999999999</v>
      </c>
      <c r="B192" s="5">
        <v>1.1601999999999999</v>
      </c>
      <c r="C192" s="1">
        <f>Tabela1[[#This Row],[Alongamento (mm/mm)]]/$I$2</f>
        <v>2.3203999999999999E-2</v>
      </c>
      <c r="D192" s="5">
        <v>83.688999999999993</v>
      </c>
      <c r="E192" s="1">
        <f>Tabela1[[#This Row],[Força (N)]]/$I$5</f>
        <v>1974840.4817639505</v>
      </c>
      <c r="F192" s="1">
        <f>Tabela1[[#This Row],[Tensão (Pa)]]/1000000</f>
        <v>1.9748404817639504</v>
      </c>
    </row>
    <row r="193" spans="1:6" x14ac:dyDescent="0.3">
      <c r="A193" s="5">
        <v>14.067</v>
      </c>
      <c r="B193" s="5">
        <v>1.1641999999999999</v>
      </c>
      <c r="C193" s="1">
        <f>Tabela1[[#This Row],[Alongamento (mm/mm)]]/$I$2</f>
        <v>2.3283999999999999E-2</v>
      </c>
      <c r="D193" s="5">
        <v>84.369</v>
      </c>
      <c r="E193" s="1">
        <f>Tabela1[[#This Row],[Força (N)]]/$I$5</f>
        <v>1990886.6948576607</v>
      </c>
      <c r="F193" s="1">
        <f>Tabela1[[#This Row],[Tensão (Pa)]]/1000000</f>
        <v>1.9908866948576607</v>
      </c>
    </row>
    <row r="194" spans="1:6" x14ac:dyDescent="0.3">
      <c r="A194" s="5">
        <v>14.117000000000001</v>
      </c>
      <c r="B194" s="5">
        <v>1.1684000000000001</v>
      </c>
      <c r="C194" s="1">
        <f>Tabela1[[#This Row],[Alongamento (mm/mm)]]/$I$2</f>
        <v>2.3368000000000003E-2</v>
      </c>
      <c r="D194" s="5">
        <v>85.049000000000007</v>
      </c>
      <c r="E194" s="1">
        <f>Tabela1[[#This Row],[Força (N)]]/$I$5</f>
        <v>2006932.9079513708</v>
      </c>
      <c r="F194" s="1">
        <f>Tabela1[[#This Row],[Tensão (Pa)]]/1000000</f>
        <v>2.0069329079513709</v>
      </c>
    </row>
    <row r="195" spans="1:6" x14ac:dyDescent="0.3">
      <c r="A195" s="5">
        <v>14.167</v>
      </c>
      <c r="B195" s="5">
        <v>1.1726000000000001</v>
      </c>
      <c r="C195" s="1">
        <f>Tabela1[[#This Row],[Alongamento (mm/mm)]]/$I$2</f>
        <v>2.3452000000000001E-2</v>
      </c>
      <c r="D195" s="5">
        <v>85.73</v>
      </c>
      <c r="E195" s="1">
        <f>Tabela1[[#This Row],[Força (N)]]/$I$5</f>
        <v>2023002.7184172771</v>
      </c>
      <c r="F195" s="1">
        <f>Tabela1[[#This Row],[Tensão (Pa)]]/1000000</f>
        <v>2.0230027184172772</v>
      </c>
    </row>
    <row r="196" spans="1:6" x14ac:dyDescent="0.3">
      <c r="A196" s="5">
        <v>14.217000000000001</v>
      </c>
      <c r="B196" s="5">
        <v>1.1768000000000001</v>
      </c>
      <c r="C196" s="1">
        <f>Tabela1[[#This Row],[Alongamento (mm/mm)]]/$I$2</f>
        <v>2.3536000000000001E-2</v>
      </c>
      <c r="D196" s="5">
        <v>86.41</v>
      </c>
      <c r="E196" s="1">
        <f>Tabela1[[#This Row],[Força (N)]]/$I$5</f>
        <v>2039048.931510987</v>
      </c>
      <c r="F196" s="1">
        <f>Tabela1[[#This Row],[Tensão (Pa)]]/1000000</f>
        <v>2.0390489315109872</v>
      </c>
    </row>
    <row r="197" spans="1:6" x14ac:dyDescent="0.3">
      <c r="A197" s="5">
        <v>14.266999999999999</v>
      </c>
      <c r="B197" s="5">
        <v>1.1809000000000001</v>
      </c>
      <c r="C197" s="1">
        <f>Tabela1[[#This Row],[Alongamento (mm/mm)]]/$I$2</f>
        <v>2.3618E-2</v>
      </c>
      <c r="D197" s="5">
        <v>87.090999999999994</v>
      </c>
      <c r="E197" s="1">
        <f>Tabela1[[#This Row],[Força (N)]]/$I$5</f>
        <v>2055118.7419768933</v>
      </c>
      <c r="F197" s="1">
        <f>Tabela1[[#This Row],[Tensão (Pa)]]/1000000</f>
        <v>2.0551187419768935</v>
      </c>
    </row>
    <row r="198" spans="1:6" x14ac:dyDescent="0.3">
      <c r="A198" s="5">
        <v>14.317</v>
      </c>
      <c r="B198" s="5">
        <v>1.1851</v>
      </c>
      <c r="C198" s="1">
        <f>Tabela1[[#This Row],[Alongamento (mm/mm)]]/$I$2</f>
        <v>2.3702000000000001E-2</v>
      </c>
      <c r="D198" s="5">
        <v>87.771000000000001</v>
      </c>
      <c r="E198" s="1">
        <f>Tabela1[[#This Row],[Força (N)]]/$I$5</f>
        <v>2071164.9550706034</v>
      </c>
      <c r="F198" s="1">
        <f>Tabela1[[#This Row],[Tensão (Pa)]]/1000000</f>
        <v>2.0711649550706035</v>
      </c>
    </row>
    <row r="199" spans="1:6" x14ac:dyDescent="0.3">
      <c r="A199" s="5">
        <v>14.367000000000001</v>
      </c>
      <c r="B199" s="5">
        <v>1.1893</v>
      </c>
      <c r="C199" s="1">
        <f>Tabela1[[#This Row],[Alongamento (mm/mm)]]/$I$2</f>
        <v>2.3786000000000002E-2</v>
      </c>
      <c r="D199" s="5">
        <v>88.450999999999993</v>
      </c>
      <c r="E199" s="1">
        <f>Tabela1[[#This Row],[Força (N)]]/$I$5</f>
        <v>2087211.1681643131</v>
      </c>
      <c r="F199" s="1">
        <f>Tabela1[[#This Row],[Tensão (Pa)]]/1000000</f>
        <v>2.0872111681643131</v>
      </c>
    </row>
    <row r="200" spans="1:6" x14ac:dyDescent="0.3">
      <c r="A200" s="5">
        <v>14.417</v>
      </c>
      <c r="B200" s="5">
        <v>1.1935</v>
      </c>
      <c r="C200" s="1">
        <f>Tabela1[[#This Row],[Alongamento (mm/mm)]]/$I$2</f>
        <v>2.3869999999999999E-2</v>
      </c>
      <c r="D200" s="5">
        <v>89.132000000000005</v>
      </c>
      <c r="E200" s="1">
        <f>Tabela1[[#This Row],[Força (N)]]/$I$5</f>
        <v>2103280.9786302201</v>
      </c>
      <c r="F200" s="1">
        <f>Tabela1[[#This Row],[Tensão (Pa)]]/1000000</f>
        <v>2.1032809786302202</v>
      </c>
    </row>
    <row r="201" spans="1:6" x14ac:dyDescent="0.3">
      <c r="A201" s="5">
        <v>14.467000000000001</v>
      </c>
      <c r="B201" s="5">
        <v>1.1976</v>
      </c>
      <c r="C201" s="1">
        <f>Tabela1[[#This Row],[Alongamento (mm/mm)]]/$I$2</f>
        <v>2.3952000000000001E-2</v>
      </c>
      <c r="D201" s="5">
        <v>89.811999999999998</v>
      </c>
      <c r="E201" s="1">
        <f>Tabela1[[#This Row],[Força (N)]]/$I$5</f>
        <v>2119327.1917239297</v>
      </c>
      <c r="F201" s="1">
        <f>Tabela1[[#This Row],[Tensão (Pa)]]/1000000</f>
        <v>2.1193271917239298</v>
      </c>
    </row>
    <row r="202" spans="1:6" x14ac:dyDescent="0.3">
      <c r="A202" s="5">
        <v>14.516999999999999</v>
      </c>
      <c r="B202" s="5">
        <v>1.2018</v>
      </c>
      <c r="C202" s="1">
        <f>Tabela1[[#This Row],[Alongamento (mm/mm)]]/$I$2</f>
        <v>2.4035999999999998E-2</v>
      </c>
      <c r="D202" s="5">
        <v>90.492999999999995</v>
      </c>
      <c r="E202" s="1">
        <f>Tabela1[[#This Row],[Força (N)]]/$I$5</f>
        <v>2135397.002189836</v>
      </c>
      <c r="F202" s="1">
        <f>Tabela1[[#This Row],[Tensão (Pa)]]/1000000</f>
        <v>2.1353970021898361</v>
      </c>
    </row>
    <row r="203" spans="1:6" x14ac:dyDescent="0.3">
      <c r="A203" s="5">
        <v>14.567</v>
      </c>
      <c r="B203" s="5">
        <v>1.2059</v>
      </c>
      <c r="C203" s="1">
        <f>Tabela1[[#This Row],[Alongamento (mm/mm)]]/$I$2</f>
        <v>2.4118000000000001E-2</v>
      </c>
      <c r="D203" s="5">
        <v>91.173000000000002</v>
      </c>
      <c r="E203" s="1">
        <f>Tabela1[[#This Row],[Força (N)]]/$I$5</f>
        <v>2151443.2152835461</v>
      </c>
      <c r="F203" s="1">
        <f>Tabela1[[#This Row],[Tensão (Pa)]]/1000000</f>
        <v>2.1514432152835461</v>
      </c>
    </row>
    <row r="204" spans="1:6" x14ac:dyDescent="0.3">
      <c r="A204" s="5">
        <v>14.617000000000001</v>
      </c>
      <c r="B204" s="5">
        <v>1.21</v>
      </c>
      <c r="C204" s="1">
        <f>Tabela1[[#This Row],[Alongamento (mm/mm)]]/$I$2</f>
        <v>2.4199999999999999E-2</v>
      </c>
      <c r="D204" s="5">
        <v>91.852999999999994</v>
      </c>
      <c r="E204" s="1">
        <f>Tabela1[[#This Row],[Força (N)]]/$I$5</f>
        <v>2167489.4283772558</v>
      </c>
      <c r="F204" s="1">
        <f>Tabela1[[#This Row],[Tensão (Pa)]]/1000000</f>
        <v>2.1674894283772557</v>
      </c>
    </row>
    <row r="205" spans="1:6" x14ac:dyDescent="0.3">
      <c r="A205" s="5">
        <v>14.667</v>
      </c>
      <c r="B205" s="5">
        <v>1.2142999999999999</v>
      </c>
      <c r="C205" s="1">
        <f>Tabela1[[#This Row],[Alongamento (mm/mm)]]/$I$2</f>
        <v>2.4285999999999999E-2</v>
      </c>
      <c r="D205" s="5">
        <v>92.534000000000006</v>
      </c>
      <c r="E205" s="1">
        <f>Tabela1[[#This Row],[Força (N)]]/$I$5</f>
        <v>2183559.2388431625</v>
      </c>
      <c r="F205" s="1">
        <f>Tabela1[[#This Row],[Tensão (Pa)]]/1000000</f>
        <v>2.1835592388431624</v>
      </c>
    </row>
    <row r="206" spans="1:6" x14ac:dyDescent="0.3">
      <c r="A206" s="5">
        <v>14.717000000000001</v>
      </c>
      <c r="B206" s="5">
        <v>1.2183999999999999</v>
      </c>
      <c r="C206" s="1">
        <f>Tabela1[[#This Row],[Alongamento (mm/mm)]]/$I$2</f>
        <v>2.4367999999999997E-2</v>
      </c>
      <c r="D206" s="5">
        <v>93.213999999999999</v>
      </c>
      <c r="E206" s="1">
        <f>Tabela1[[#This Row],[Força (N)]]/$I$5</f>
        <v>2199605.4519368722</v>
      </c>
      <c r="F206" s="1">
        <f>Tabela1[[#This Row],[Tensão (Pa)]]/1000000</f>
        <v>2.1996054519368724</v>
      </c>
    </row>
    <row r="207" spans="1:6" x14ac:dyDescent="0.3">
      <c r="A207" s="5">
        <v>14.766999999999999</v>
      </c>
      <c r="B207" s="5">
        <v>1.2225999999999999</v>
      </c>
      <c r="C207" s="1">
        <f>Tabela1[[#This Row],[Alongamento (mm/mm)]]/$I$2</f>
        <v>2.4451999999999998E-2</v>
      </c>
      <c r="D207" s="5">
        <v>93.894999999999996</v>
      </c>
      <c r="E207" s="1">
        <f>Tabela1[[#This Row],[Força (N)]]/$I$5</f>
        <v>2215675.262402779</v>
      </c>
      <c r="F207" s="1">
        <f>Tabela1[[#This Row],[Tensão (Pa)]]/1000000</f>
        <v>2.2156752624027791</v>
      </c>
    </row>
    <row r="208" spans="1:6" x14ac:dyDescent="0.3">
      <c r="A208" s="5">
        <v>14.817</v>
      </c>
      <c r="B208" s="5">
        <v>1.2266999999999999</v>
      </c>
      <c r="C208" s="1">
        <f>Tabela1[[#This Row],[Alongamento (mm/mm)]]/$I$2</f>
        <v>2.4533999999999997E-2</v>
      </c>
      <c r="D208" s="5">
        <v>94.575000000000003</v>
      </c>
      <c r="E208" s="1">
        <f>Tabela1[[#This Row],[Força (N)]]/$I$5</f>
        <v>2231721.4754964886</v>
      </c>
      <c r="F208" s="1">
        <f>Tabela1[[#This Row],[Tensão (Pa)]]/1000000</f>
        <v>2.2317214754964887</v>
      </c>
    </row>
    <row r="209" spans="1:6" x14ac:dyDescent="0.3">
      <c r="A209" s="5">
        <v>14.867000000000001</v>
      </c>
      <c r="B209" s="5">
        <v>1.2309000000000001</v>
      </c>
      <c r="C209" s="1">
        <f>Tabela1[[#This Row],[Alongamento (mm/mm)]]/$I$2</f>
        <v>2.4618000000000001E-2</v>
      </c>
      <c r="D209" s="5">
        <v>95.424999999999997</v>
      </c>
      <c r="E209" s="1">
        <f>Tabela1[[#This Row],[Força (N)]]/$I$5</f>
        <v>2251779.2418636261</v>
      </c>
      <c r="F209" s="1">
        <f>Tabela1[[#This Row],[Tensão (Pa)]]/1000000</f>
        <v>2.251779241863626</v>
      </c>
    </row>
    <row r="210" spans="1:6" x14ac:dyDescent="0.3">
      <c r="A210" s="5">
        <v>14.917</v>
      </c>
      <c r="B210" s="5">
        <v>1.2352000000000001</v>
      </c>
      <c r="C210" s="1">
        <f>Tabela1[[#This Row],[Alongamento (mm/mm)]]/$I$2</f>
        <v>2.4704E-2</v>
      </c>
      <c r="D210" s="5">
        <v>96.105999999999995</v>
      </c>
      <c r="E210" s="1">
        <f>Tabela1[[#This Row],[Força (N)]]/$I$5</f>
        <v>2267849.0523295323</v>
      </c>
      <c r="F210" s="1">
        <f>Tabela1[[#This Row],[Tensão (Pa)]]/1000000</f>
        <v>2.2678490523295323</v>
      </c>
    </row>
    <row r="211" spans="1:6" x14ac:dyDescent="0.3">
      <c r="A211" s="5">
        <v>14.967000000000001</v>
      </c>
      <c r="B211" s="5">
        <v>1.2393000000000001</v>
      </c>
      <c r="C211" s="1">
        <f>Tabela1[[#This Row],[Alongamento (mm/mm)]]/$I$2</f>
        <v>2.4786000000000002E-2</v>
      </c>
      <c r="D211" s="5">
        <v>96.786000000000001</v>
      </c>
      <c r="E211" s="1">
        <f>Tabela1[[#This Row],[Força (N)]]/$I$5</f>
        <v>2283895.2654232425</v>
      </c>
      <c r="F211" s="1">
        <f>Tabela1[[#This Row],[Tensão (Pa)]]/1000000</f>
        <v>2.2838952654232423</v>
      </c>
    </row>
    <row r="212" spans="1:6" x14ac:dyDescent="0.3">
      <c r="A212" s="5">
        <v>15.016999999999999</v>
      </c>
      <c r="B212" s="5">
        <v>1.2434000000000001</v>
      </c>
      <c r="C212" s="1">
        <f>Tabela1[[#This Row],[Alongamento (mm/mm)]]/$I$2</f>
        <v>2.4868000000000001E-2</v>
      </c>
      <c r="D212" s="5">
        <v>97.637</v>
      </c>
      <c r="E212" s="1">
        <f>Tabela1[[#This Row],[Força (N)]]/$I$5</f>
        <v>2303976.6291625765</v>
      </c>
      <c r="F212" s="1">
        <f>Tabela1[[#This Row],[Tensão (Pa)]]/1000000</f>
        <v>2.3039766291625767</v>
      </c>
    </row>
    <row r="213" spans="1:6" x14ac:dyDescent="0.3">
      <c r="A213" s="5">
        <v>15.067</v>
      </c>
      <c r="B213" s="5">
        <v>1.2475000000000001</v>
      </c>
      <c r="C213" s="1">
        <f>Tabela1[[#This Row],[Alongamento (mm/mm)]]/$I$2</f>
        <v>2.495E-2</v>
      </c>
      <c r="D213" s="5">
        <v>98.316999999999993</v>
      </c>
      <c r="E213" s="1">
        <f>Tabela1[[#This Row],[Força (N)]]/$I$5</f>
        <v>2320022.8422562862</v>
      </c>
      <c r="F213" s="1">
        <f>Tabela1[[#This Row],[Tensão (Pa)]]/1000000</f>
        <v>2.3200228422562863</v>
      </c>
    </row>
    <row r="214" spans="1:6" x14ac:dyDescent="0.3">
      <c r="A214" s="5">
        <v>15.117000000000001</v>
      </c>
      <c r="B214" s="5">
        <v>1.2517</v>
      </c>
      <c r="C214" s="1">
        <f>Tabela1[[#This Row],[Alongamento (mm/mm)]]/$I$2</f>
        <v>2.5034000000000001E-2</v>
      </c>
      <c r="D214" s="5">
        <v>99.168000000000006</v>
      </c>
      <c r="E214" s="1">
        <f>Tabela1[[#This Row],[Força (N)]]/$I$5</f>
        <v>2340104.2059956207</v>
      </c>
      <c r="F214" s="1">
        <f>Tabela1[[#This Row],[Tensão (Pa)]]/1000000</f>
        <v>2.3401042059956207</v>
      </c>
    </row>
    <row r="215" spans="1:6" x14ac:dyDescent="0.3">
      <c r="A215" s="5">
        <v>15.167</v>
      </c>
      <c r="B215" s="5">
        <v>1.2559</v>
      </c>
      <c r="C215" s="1">
        <f>Tabela1[[#This Row],[Alongamento (mm/mm)]]/$I$2</f>
        <v>2.5118000000000001E-2</v>
      </c>
      <c r="D215" s="5">
        <v>99.847999999999999</v>
      </c>
      <c r="E215" s="1">
        <f>Tabela1[[#This Row],[Força (N)]]/$I$5</f>
        <v>2356150.4190893304</v>
      </c>
      <c r="F215" s="1">
        <f>Tabela1[[#This Row],[Tensão (Pa)]]/1000000</f>
        <v>2.3561504190893303</v>
      </c>
    </row>
    <row r="216" spans="1:6" x14ac:dyDescent="0.3">
      <c r="A216" s="5">
        <v>15.217000000000001</v>
      </c>
      <c r="B216" s="5">
        <v>1.2601</v>
      </c>
      <c r="C216" s="1">
        <f>Tabela1[[#This Row],[Alongamento (mm/mm)]]/$I$2</f>
        <v>2.5201999999999999E-2</v>
      </c>
      <c r="D216" s="5">
        <v>100.7</v>
      </c>
      <c r="E216" s="1">
        <f>Tabela1[[#This Row],[Força (N)]]/$I$5</f>
        <v>2376255.380200861</v>
      </c>
      <c r="F216" s="1">
        <f>Tabela1[[#This Row],[Tensão (Pa)]]/1000000</f>
        <v>2.376255380200861</v>
      </c>
    </row>
    <row r="217" spans="1:6" x14ac:dyDescent="0.3">
      <c r="A217" s="5">
        <v>15.266999999999999</v>
      </c>
      <c r="B217" s="5">
        <v>1.2643</v>
      </c>
      <c r="C217" s="1">
        <f>Tabela1[[#This Row],[Alongamento (mm/mm)]]/$I$2</f>
        <v>2.5285999999999999E-2</v>
      </c>
      <c r="D217" s="5">
        <v>101.38</v>
      </c>
      <c r="E217" s="1">
        <f>Tabela1[[#This Row],[Força (N)]]/$I$5</f>
        <v>2392301.5932945707</v>
      </c>
      <c r="F217" s="1">
        <f>Tabela1[[#This Row],[Tensão (Pa)]]/1000000</f>
        <v>2.3923015932945706</v>
      </c>
    </row>
    <row r="218" spans="1:6" x14ac:dyDescent="0.3">
      <c r="A218" s="5">
        <v>15.3</v>
      </c>
      <c r="B218" s="5">
        <v>1.2669999999999999</v>
      </c>
      <c r="C218" s="1">
        <f>Tabela1[[#This Row],[Alongamento (mm/mm)]]/$I$2</f>
        <v>2.5339999999999998E-2</v>
      </c>
      <c r="D218" s="5">
        <v>102.06</v>
      </c>
      <c r="E218" s="1">
        <f>Tabela1[[#This Row],[Força (N)]]/$I$5</f>
        <v>2408347.8063882808</v>
      </c>
      <c r="F218" s="1">
        <f>Tabela1[[#This Row],[Tensão (Pa)]]/1000000</f>
        <v>2.4083478063882806</v>
      </c>
    </row>
    <row r="219" spans="1:6" x14ac:dyDescent="0.3">
      <c r="A219" s="5">
        <v>15.35</v>
      </c>
      <c r="B219" s="5">
        <v>1.2712000000000001</v>
      </c>
      <c r="C219" s="1">
        <f>Tabela1[[#This Row],[Alongamento (mm/mm)]]/$I$2</f>
        <v>2.5424000000000002E-2</v>
      </c>
      <c r="D219" s="5">
        <v>102.74</v>
      </c>
      <c r="E219" s="1">
        <f>Tabela1[[#This Row],[Força (N)]]/$I$5</f>
        <v>2424394.0194819905</v>
      </c>
      <c r="F219" s="1">
        <f>Tabela1[[#This Row],[Tensão (Pa)]]/1000000</f>
        <v>2.4243940194819906</v>
      </c>
    </row>
    <row r="220" spans="1:6" x14ac:dyDescent="0.3">
      <c r="A220" s="5">
        <v>15.4</v>
      </c>
      <c r="B220" s="5">
        <v>1.2755000000000001</v>
      </c>
      <c r="C220" s="1">
        <f>Tabela1[[#This Row],[Alongamento (mm/mm)]]/$I$2</f>
        <v>2.5510000000000001E-2</v>
      </c>
      <c r="D220" s="5">
        <v>103.59</v>
      </c>
      <c r="E220" s="1">
        <f>Tabela1[[#This Row],[Força (N)]]/$I$5</f>
        <v>2444451.7858491279</v>
      </c>
      <c r="F220" s="1">
        <f>Tabela1[[#This Row],[Tensão (Pa)]]/1000000</f>
        <v>2.4444517858491279</v>
      </c>
    </row>
    <row r="221" spans="1:6" x14ac:dyDescent="0.3">
      <c r="A221" s="5">
        <v>15.45</v>
      </c>
      <c r="B221" s="5">
        <v>1.2795000000000001</v>
      </c>
      <c r="C221" s="1">
        <f>Tabela1[[#This Row],[Alongamento (mm/mm)]]/$I$2</f>
        <v>2.5590000000000002E-2</v>
      </c>
      <c r="D221" s="5">
        <v>104.44</v>
      </c>
      <c r="E221" s="1">
        <f>Tabela1[[#This Row],[Força (N)]]/$I$5</f>
        <v>2464509.5522162654</v>
      </c>
      <c r="F221" s="1">
        <f>Tabela1[[#This Row],[Tensão (Pa)]]/1000000</f>
        <v>2.4645095522162652</v>
      </c>
    </row>
    <row r="222" spans="1:6" x14ac:dyDescent="0.3">
      <c r="A222" s="5">
        <v>15.5</v>
      </c>
      <c r="B222" s="5">
        <v>1.2837000000000001</v>
      </c>
      <c r="C222" s="1">
        <f>Tabela1[[#This Row],[Alongamento (mm/mm)]]/$I$2</f>
        <v>2.5674000000000002E-2</v>
      </c>
      <c r="D222" s="5">
        <v>105.29</v>
      </c>
      <c r="E222" s="1">
        <f>Tabela1[[#This Row],[Força (N)]]/$I$5</f>
        <v>2484567.3185834028</v>
      </c>
      <c r="F222" s="1">
        <f>Tabela1[[#This Row],[Tensão (Pa)]]/1000000</f>
        <v>2.484567318583403</v>
      </c>
    </row>
    <row r="223" spans="1:6" x14ac:dyDescent="0.3">
      <c r="A223" s="5">
        <v>15.55</v>
      </c>
      <c r="B223" s="5">
        <v>1.2878000000000001</v>
      </c>
      <c r="C223" s="1">
        <f>Tabela1[[#This Row],[Alongamento (mm/mm)]]/$I$2</f>
        <v>2.5756000000000001E-2</v>
      </c>
      <c r="D223" s="5">
        <v>105.97</v>
      </c>
      <c r="E223" s="1">
        <f>Tabela1[[#This Row],[Força (N)]]/$I$5</f>
        <v>2500613.5316771124</v>
      </c>
      <c r="F223" s="1">
        <f>Tabela1[[#This Row],[Tensão (Pa)]]/1000000</f>
        <v>2.5006135316771125</v>
      </c>
    </row>
    <row r="224" spans="1:6" x14ac:dyDescent="0.3">
      <c r="A224" s="5">
        <v>15.6</v>
      </c>
      <c r="B224" s="5">
        <v>1.2921</v>
      </c>
      <c r="C224" s="1">
        <f>Tabela1[[#This Row],[Alongamento (mm/mm)]]/$I$2</f>
        <v>2.5842E-2</v>
      </c>
      <c r="D224" s="5">
        <v>106.82</v>
      </c>
      <c r="E224" s="1">
        <f>Tabela1[[#This Row],[Força (N)]]/$I$5</f>
        <v>2520671.2980442499</v>
      </c>
      <c r="F224" s="1">
        <f>Tabela1[[#This Row],[Tensão (Pa)]]/1000000</f>
        <v>2.5206712980442498</v>
      </c>
    </row>
    <row r="225" spans="1:6" x14ac:dyDescent="0.3">
      <c r="A225" s="5">
        <v>15.65</v>
      </c>
      <c r="B225" s="5">
        <v>1.2963</v>
      </c>
      <c r="C225" s="1">
        <f>Tabela1[[#This Row],[Alongamento (mm/mm)]]/$I$2</f>
        <v>2.5926000000000001E-2</v>
      </c>
      <c r="D225" s="5">
        <v>107.67</v>
      </c>
      <c r="E225" s="1">
        <f>Tabela1[[#This Row],[Força (N)]]/$I$5</f>
        <v>2540729.0644113873</v>
      </c>
      <c r="F225" s="1">
        <f>Tabela1[[#This Row],[Tensão (Pa)]]/1000000</f>
        <v>2.5407290644113871</v>
      </c>
    </row>
    <row r="226" spans="1:6" x14ac:dyDescent="0.3">
      <c r="A226" s="5">
        <v>15.7</v>
      </c>
      <c r="B226" s="5">
        <v>1.3004</v>
      </c>
      <c r="C226" s="1">
        <f>Tabela1[[#This Row],[Alongamento (mm/mm)]]/$I$2</f>
        <v>2.6008E-2</v>
      </c>
      <c r="D226" s="5">
        <v>108.52</v>
      </c>
      <c r="E226" s="1">
        <f>Tabela1[[#This Row],[Força (N)]]/$I$5</f>
        <v>2560786.8307785243</v>
      </c>
      <c r="F226" s="1">
        <f>Tabela1[[#This Row],[Tensão (Pa)]]/1000000</f>
        <v>2.5607868307785244</v>
      </c>
    </row>
    <row r="227" spans="1:6" x14ac:dyDescent="0.3">
      <c r="A227" s="5">
        <v>15.75</v>
      </c>
      <c r="B227" s="5">
        <v>1.3045</v>
      </c>
      <c r="C227" s="1">
        <f>Tabela1[[#This Row],[Alongamento (mm/mm)]]/$I$2</f>
        <v>2.6089999999999999E-2</v>
      </c>
      <c r="D227" s="5">
        <v>109.37</v>
      </c>
      <c r="E227" s="1">
        <f>Tabela1[[#This Row],[Força (N)]]/$I$5</f>
        <v>2580844.5971456622</v>
      </c>
      <c r="F227" s="1">
        <f>Tabela1[[#This Row],[Tensão (Pa)]]/1000000</f>
        <v>2.5808445971456622</v>
      </c>
    </row>
    <row r="228" spans="1:6" x14ac:dyDescent="0.3">
      <c r="A228" s="5">
        <v>15.8</v>
      </c>
      <c r="B228" s="5">
        <v>1.3087</v>
      </c>
      <c r="C228" s="1">
        <f>Tabela1[[#This Row],[Alongamento (mm/mm)]]/$I$2</f>
        <v>2.6173999999999999E-2</v>
      </c>
      <c r="D228" s="5">
        <v>110.05</v>
      </c>
      <c r="E228" s="1">
        <f>Tabela1[[#This Row],[Força (N)]]/$I$5</f>
        <v>2596890.8102393718</v>
      </c>
      <c r="F228" s="1">
        <f>Tabela1[[#This Row],[Tensão (Pa)]]/1000000</f>
        <v>2.5968908102393717</v>
      </c>
    </row>
    <row r="229" spans="1:6" x14ac:dyDescent="0.3">
      <c r="A229" s="5">
        <v>15.833</v>
      </c>
      <c r="B229" s="5">
        <v>1.3115000000000001</v>
      </c>
      <c r="C229" s="1">
        <f>Tabela1[[#This Row],[Alongamento (mm/mm)]]/$I$2</f>
        <v>2.6230000000000003E-2</v>
      </c>
      <c r="D229" s="5">
        <v>110.73</v>
      </c>
      <c r="E229" s="1">
        <f>Tabela1[[#This Row],[Força (N)]]/$I$5</f>
        <v>2612937.023333082</v>
      </c>
      <c r="F229" s="1">
        <f>Tabela1[[#This Row],[Tensão (Pa)]]/1000000</f>
        <v>2.6129370233330818</v>
      </c>
    </row>
    <row r="230" spans="1:6" x14ac:dyDescent="0.3">
      <c r="A230" s="5">
        <v>15.882999999999999</v>
      </c>
      <c r="B230" s="5">
        <v>1.3157000000000001</v>
      </c>
      <c r="C230" s="1">
        <f>Tabela1[[#This Row],[Alongamento (mm/mm)]]/$I$2</f>
        <v>2.6314000000000001E-2</v>
      </c>
      <c r="D230" s="5">
        <v>111.41</v>
      </c>
      <c r="E230" s="1">
        <f>Tabela1[[#This Row],[Força (N)]]/$I$5</f>
        <v>2628983.2364267916</v>
      </c>
      <c r="F230" s="1">
        <f>Tabela1[[#This Row],[Tensão (Pa)]]/1000000</f>
        <v>2.6289832364267918</v>
      </c>
    </row>
    <row r="231" spans="1:6" x14ac:dyDescent="0.3">
      <c r="A231" s="5">
        <v>15.917</v>
      </c>
      <c r="B231" s="5">
        <v>1.3184</v>
      </c>
      <c r="C231" s="1">
        <f>Tabela1[[#This Row],[Alongamento (mm/mm)]]/$I$2</f>
        <v>2.6367999999999999E-2</v>
      </c>
      <c r="D231" s="5">
        <v>112.1</v>
      </c>
      <c r="E231" s="1">
        <f>Tabela1[[#This Row],[Força (N)]]/$I$5</f>
        <v>2645265.4232424675</v>
      </c>
      <c r="F231" s="1">
        <f>Tabela1[[#This Row],[Tensão (Pa)]]/1000000</f>
        <v>2.6452654232424675</v>
      </c>
    </row>
    <row r="232" spans="1:6" x14ac:dyDescent="0.3">
      <c r="A232" s="5">
        <v>15.967000000000001</v>
      </c>
      <c r="B232" s="5">
        <v>1.3226</v>
      </c>
      <c r="C232" s="1">
        <f>Tabela1[[#This Row],[Alongamento (mm/mm)]]/$I$2</f>
        <v>2.6452E-2</v>
      </c>
      <c r="D232" s="5">
        <v>112.95</v>
      </c>
      <c r="E232" s="1">
        <f>Tabela1[[#This Row],[Força (N)]]/$I$5</f>
        <v>2665323.1896096054</v>
      </c>
      <c r="F232" s="1">
        <f>Tabela1[[#This Row],[Tensão (Pa)]]/1000000</f>
        <v>2.6653231896096052</v>
      </c>
    </row>
    <row r="233" spans="1:6" x14ac:dyDescent="0.3">
      <c r="A233" s="5">
        <v>16.016999999999999</v>
      </c>
      <c r="B233" s="5">
        <v>1.3267</v>
      </c>
      <c r="C233" s="1">
        <f>Tabela1[[#This Row],[Alongamento (mm/mm)]]/$I$2</f>
        <v>2.6533999999999999E-2</v>
      </c>
      <c r="D233" s="5">
        <v>113.8</v>
      </c>
      <c r="E233" s="1">
        <f>Tabela1[[#This Row],[Força (N)]]/$I$5</f>
        <v>2685380.9559767423</v>
      </c>
      <c r="F233" s="1">
        <f>Tabela1[[#This Row],[Tensão (Pa)]]/1000000</f>
        <v>2.6853809559767425</v>
      </c>
    </row>
    <row r="234" spans="1:6" x14ac:dyDescent="0.3">
      <c r="A234" s="5">
        <v>16.067</v>
      </c>
      <c r="B234" s="5">
        <v>1.3309</v>
      </c>
      <c r="C234" s="1">
        <f>Tabela1[[#This Row],[Alongamento (mm/mm)]]/$I$2</f>
        <v>2.6617999999999999E-2</v>
      </c>
      <c r="D234" s="5">
        <v>114.65</v>
      </c>
      <c r="E234" s="1">
        <f>Tabela1[[#This Row],[Força (N)]]/$I$5</f>
        <v>2705438.7223438802</v>
      </c>
      <c r="F234" s="1">
        <f>Tabela1[[#This Row],[Tensão (Pa)]]/1000000</f>
        <v>2.7054387223438803</v>
      </c>
    </row>
    <row r="235" spans="1:6" x14ac:dyDescent="0.3">
      <c r="A235" s="5">
        <v>16.100000000000001</v>
      </c>
      <c r="B235" s="5">
        <v>1.3337000000000001</v>
      </c>
      <c r="C235" s="1">
        <f>Tabela1[[#This Row],[Alongamento (mm/mm)]]/$I$2</f>
        <v>2.6674000000000003E-2</v>
      </c>
      <c r="D235" s="5">
        <v>115.33</v>
      </c>
      <c r="E235" s="1">
        <f>Tabela1[[#This Row],[Força (N)]]/$I$5</f>
        <v>2721484.9354375899</v>
      </c>
      <c r="F235" s="1">
        <f>Tabela1[[#This Row],[Tensão (Pa)]]/1000000</f>
        <v>2.7214849354375898</v>
      </c>
    </row>
    <row r="236" spans="1:6" x14ac:dyDescent="0.3">
      <c r="A236" s="5">
        <v>16.149999999999999</v>
      </c>
      <c r="B236" s="5">
        <v>1.3379000000000001</v>
      </c>
      <c r="C236" s="1">
        <f>Tabela1[[#This Row],[Alongamento (mm/mm)]]/$I$2</f>
        <v>2.6758000000000001E-2</v>
      </c>
      <c r="D236" s="5">
        <v>116.18</v>
      </c>
      <c r="E236" s="1">
        <f>Tabela1[[#This Row],[Força (N)]]/$I$5</f>
        <v>2741542.7018047273</v>
      </c>
      <c r="F236" s="1">
        <f>Tabela1[[#This Row],[Tensão (Pa)]]/1000000</f>
        <v>2.7415427018047271</v>
      </c>
    </row>
    <row r="237" spans="1:6" x14ac:dyDescent="0.3">
      <c r="A237" s="5">
        <v>16.2</v>
      </c>
      <c r="B237" s="5">
        <v>1.3420000000000001</v>
      </c>
      <c r="C237" s="1">
        <f>Tabela1[[#This Row],[Alongamento (mm/mm)]]/$I$2</f>
        <v>2.6840000000000003E-2</v>
      </c>
      <c r="D237" s="5">
        <v>117.03</v>
      </c>
      <c r="E237" s="1">
        <f>Tabela1[[#This Row],[Força (N)]]/$I$5</f>
        <v>2761600.4681718643</v>
      </c>
      <c r="F237" s="1">
        <f>Tabela1[[#This Row],[Tensão (Pa)]]/1000000</f>
        <v>2.7616004681718644</v>
      </c>
    </row>
    <row r="238" spans="1:6" x14ac:dyDescent="0.3">
      <c r="A238" s="5">
        <v>16.25</v>
      </c>
      <c r="B238" s="5">
        <v>1.3463000000000001</v>
      </c>
      <c r="C238" s="1">
        <f>Tabela1[[#This Row],[Alongamento (mm/mm)]]/$I$2</f>
        <v>2.6926000000000002E-2</v>
      </c>
      <c r="D238" s="5">
        <v>117.88</v>
      </c>
      <c r="E238" s="1">
        <f>Tabela1[[#This Row],[Força (N)]]/$I$5</f>
        <v>2781658.2345390017</v>
      </c>
      <c r="F238" s="1">
        <f>Tabela1[[#This Row],[Tensão (Pa)]]/1000000</f>
        <v>2.7816582345390017</v>
      </c>
    </row>
    <row r="239" spans="1:6" x14ac:dyDescent="0.3">
      <c r="A239" s="5">
        <v>16.283000000000001</v>
      </c>
      <c r="B239" s="5">
        <v>1.349</v>
      </c>
      <c r="C239" s="1">
        <f>Tabela1[[#This Row],[Alongamento (mm/mm)]]/$I$2</f>
        <v>2.6980000000000001E-2</v>
      </c>
      <c r="D239" s="5">
        <v>118.56</v>
      </c>
      <c r="E239" s="1">
        <f>Tabela1[[#This Row],[Força (N)]]/$I$5</f>
        <v>2797704.4476327118</v>
      </c>
      <c r="F239" s="1">
        <f>Tabela1[[#This Row],[Tensão (Pa)]]/1000000</f>
        <v>2.7977044476327118</v>
      </c>
    </row>
    <row r="240" spans="1:6" x14ac:dyDescent="0.3">
      <c r="A240" s="5">
        <v>16.332999999999998</v>
      </c>
      <c r="B240" s="5">
        <v>1.3532</v>
      </c>
      <c r="C240" s="1">
        <f>Tabela1[[#This Row],[Alongamento (mm/mm)]]/$I$2</f>
        <v>2.7063999999999998E-2</v>
      </c>
      <c r="D240" s="5">
        <v>119.41</v>
      </c>
      <c r="E240" s="1">
        <f>Tabela1[[#This Row],[Força (N)]]/$I$5</f>
        <v>2817762.2139998488</v>
      </c>
      <c r="F240" s="1">
        <f>Tabela1[[#This Row],[Tensão (Pa)]]/1000000</f>
        <v>2.8177622139998486</v>
      </c>
    </row>
    <row r="241" spans="1:6" x14ac:dyDescent="0.3">
      <c r="A241" s="5">
        <v>16.382999999999999</v>
      </c>
      <c r="B241" s="5">
        <v>1.3573</v>
      </c>
      <c r="C241" s="1">
        <f>Tabela1[[#This Row],[Alongamento (mm/mm)]]/$I$2</f>
        <v>2.7146E-2</v>
      </c>
      <c r="D241" s="5">
        <v>120.26</v>
      </c>
      <c r="E241" s="1">
        <f>Tabela1[[#This Row],[Força (N)]]/$I$5</f>
        <v>2837819.9803669867</v>
      </c>
      <c r="F241" s="1">
        <f>Tabela1[[#This Row],[Tensão (Pa)]]/1000000</f>
        <v>2.8378199803669868</v>
      </c>
    </row>
    <row r="242" spans="1:6" x14ac:dyDescent="0.3">
      <c r="A242" s="5">
        <v>16.433</v>
      </c>
      <c r="B242" s="5">
        <v>1.3613999999999999</v>
      </c>
      <c r="C242" s="1">
        <f>Tabela1[[#This Row],[Alongamento (mm/mm)]]/$I$2</f>
        <v>2.7227999999999999E-2</v>
      </c>
      <c r="D242" s="5">
        <v>121.11</v>
      </c>
      <c r="E242" s="1">
        <f>Tabela1[[#This Row],[Força (N)]]/$I$5</f>
        <v>2857877.7467341237</v>
      </c>
      <c r="F242" s="1">
        <f>Tabela1[[#This Row],[Tensão (Pa)]]/1000000</f>
        <v>2.8578777467341236</v>
      </c>
    </row>
    <row r="243" spans="1:6" x14ac:dyDescent="0.3">
      <c r="A243" s="5">
        <v>16.483000000000001</v>
      </c>
      <c r="B243" s="5">
        <v>1.3654999999999999</v>
      </c>
      <c r="C243" s="1">
        <f>Tabela1[[#This Row],[Alongamento (mm/mm)]]/$I$2</f>
        <v>2.7309999999999997E-2</v>
      </c>
      <c r="D243" s="5">
        <v>121.96</v>
      </c>
      <c r="E243" s="1">
        <f>Tabela1[[#This Row],[Força (N)]]/$I$5</f>
        <v>2877935.5131012611</v>
      </c>
      <c r="F243" s="1">
        <f>Tabela1[[#This Row],[Tensão (Pa)]]/1000000</f>
        <v>2.8779355131012609</v>
      </c>
    </row>
    <row r="244" spans="1:6" x14ac:dyDescent="0.3">
      <c r="A244" s="5">
        <v>16.533000000000001</v>
      </c>
      <c r="B244" s="5">
        <v>1.3697999999999999</v>
      </c>
      <c r="C244" s="1">
        <f>Tabela1[[#This Row],[Alongamento (mm/mm)]]/$I$2</f>
        <v>2.7395999999999997E-2</v>
      </c>
      <c r="D244" s="5">
        <v>122.81</v>
      </c>
      <c r="E244" s="1">
        <f>Tabela1[[#This Row],[Força (N)]]/$I$5</f>
        <v>2897993.2794683985</v>
      </c>
      <c r="F244" s="1">
        <f>Tabela1[[#This Row],[Tensão (Pa)]]/1000000</f>
        <v>2.8979932794683987</v>
      </c>
    </row>
    <row r="245" spans="1:6" x14ac:dyDescent="0.3">
      <c r="A245" s="5">
        <v>16.567</v>
      </c>
      <c r="B245" s="5">
        <v>1.3726</v>
      </c>
      <c r="C245" s="1">
        <f>Tabela1[[#This Row],[Alongamento (mm/mm)]]/$I$2</f>
        <v>2.7452000000000001E-2</v>
      </c>
      <c r="D245" s="5">
        <v>123.49</v>
      </c>
      <c r="E245" s="1">
        <f>Tabela1[[#This Row],[Força (N)]]/$I$5</f>
        <v>2914039.4925621082</v>
      </c>
      <c r="F245" s="1">
        <f>Tabela1[[#This Row],[Tensão (Pa)]]/1000000</f>
        <v>2.9140394925621083</v>
      </c>
    </row>
    <row r="246" spans="1:6" x14ac:dyDescent="0.3">
      <c r="A246" s="5">
        <v>16.617000000000001</v>
      </c>
      <c r="B246" s="5">
        <v>1.3768</v>
      </c>
      <c r="C246" s="1">
        <f>Tabela1[[#This Row],[Alongamento (mm/mm)]]/$I$2</f>
        <v>2.7536000000000001E-2</v>
      </c>
      <c r="D246" s="5">
        <v>124.34</v>
      </c>
      <c r="E246" s="1">
        <f>Tabela1[[#This Row],[Força (N)]]/$I$5</f>
        <v>2934097.2589292456</v>
      </c>
      <c r="F246" s="1">
        <f>Tabela1[[#This Row],[Tensão (Pa)]]/1000000</f>
        <v>2.9340972589292456</v>
      </c>
    </row>
    <row r="247" spans="1:6" x14ac:dyDescent="0.3">
      <c r="A247" s="5">
        <v>16.667000000000002</v>
      </c>
      <c r="B247" s="5">
        <v>1.3809</v>
      </c>
      <c r="C247" s="1">
        <f>Tabela1[[#This Row],[Alongamento (mm/mm)]]/$I$2</f>
        <v>2.7618E-2</v>
      </c>
      <c r="D247" s="5">
        <v>125.19</v>
      </c>
      <c r="E247" s="1">
        <f>Tabela1[[#This Row],[Força (N)]]/$I$5</f>
        <v>2954155.0252963831</v>
      </c>
      <c r="F247" s="1">
        <f>Tabela1[[#This Row],[Tensão (Pa)]]/1000000</f>
        <v>2.9541550252963829</v>
      </c>
    </row>
    <row r="248" spans="1:6" x14ac:dyDescent="0.3">
      <c r="A248" s="5">
        <v>16.716999999999999</v>
      </c>
      <c r="B248" s="5">
        <v>1.3851</v>
      </c>
      <c r="C248" s="1">
        <f>Tabela1[[#This Row],[Alongamento (mm/mm)]]/$I$2</f>
        <v>2.7702000000000001E-2</v>
      </c>
      <c r="D248" s="5">
        <v>126.04</v>
      </c>
      <c r="E248" s="1">
        <f>Tabela1[[#This Row],[Força (N)]]/$I$5</f>
        <v>2974212.7916635205</v>
      </c>
      <c r="F248" s="1">
        <f>Tabela1[[#This Row],[Tensão (Pa)]]/1000000</f>
        <v>2.9742127916635206</v>
      </c>
    </row>
    <row r="249" spans="1:6" x14ac:dyDescent="0.3">
      <c r="A249" s="5">
        <v>16.766999999999999</v>
      </c>
      <c r="B249" s="5">
        <v>1.3893</v>
      </c>
      <c r="C249" s="1">
        <f>Tabela1[[#This Row],[Alongamento (mm/mm)]]/$I$2</f>
        <v>2.7785999999999998E-2</v>
      </c>
      <c r="D249" s="5">
        <v>126.89</v>
      </c>
      <c r="E249" s="1">
        <f>Tabela1[[#This Row],[Força (N)]]/$I$5</f>
        <v>2994270.5580306579</v>
      </c>
      <c r="F249" s="1">
        <f>Tabela1[[#This Row],[Tensão (Pa)]]/1000000</f>
        <v>2.9942705580306579</v>
      </c>
    </row>
    <row r="250" spans="1:6" x14ac:dyDescent="0.3">
      <c r="A250" s="5">
        <v>16.817</v>
      </c>
      <c r="B250" s="5">
        <v>1.3935</v>
      </c>
      <c r="C250" s="1">
        <f>Tabela1[[#This Row],[Alongamento (mm/mm)]]/$I$2</f>
        <v>2.7869999999999999E-2</v>
      </c>
      <c r="D250" s="5">
        <v>127.74</v>
      </c>
      <c r="E250" s="1">
        <f>Tabela1[[#This Row],[Força (N)]]/$I$5</f>
        <v>3014328.3243977949</v>
      </c>
      <c r="F250" s="1">
        <f>Tabela1[[#This Row],[Tensão (Pa)]]/1000000</f>
        <v>3.0143283243977947</v>
      </c>
    </row>
    <row r="251" spans="1:6" x14ac:dyDescent="0.3">
      <c r="A251" s="5">
        <v>16.850000000000001</v>
      </c>
      <c r="B251" s="5">
        <v>1.3960999999999999</v>
      </c>
      <c r="C251" s="1">
        <f>Tabela1[[#This Row],[Alongamento (mm/mm)]]/$I$2</f>
        <v>2.7921999999999999E-2</v>
      </c>
      <c r="D251" s="5">
        <v>128.41999999999999</v>
      </c>
      <c r="E251" s="1">
        <f>Tabela1[[#This Row],[Força (N)]]/$I$5</f>
        <v>3030374.5374915046</v>
      </c>
      <c r="F251" s="1">
        <f>Tabela1[[#This Row],[Tensão (Pa)]]/1000000</f>
        <v>3.0303745374915048</v>
      </c>
    </row>
    <row r="252" spans="1:6" x14ac:dyDescent="0.3">
      <c r="A252" s="5">
        <v>16.899999999999999</v>
      </c>
      <c r="B252" s="5">
        <v>1.4004000000000001</v>
      </c>
      <c r="C252" s="1">
        <f>Tabela1[[#This Row],[Alongamento (mm/mm)]]/$I$2</f>
        <v>2.8008000000000002E-2</v>
      </c>
      <c r="D252" s="5">
        <v>129.28</v>
      </c>
      <c r="E252" s="1">
        <f>Tabela1[[#This Row],[Força (N)]]/$I$5</f>
        <v>3050668.2775806086</v>
      </c>
      <c r="F252" s="1">
        <f>Tabela1[[#This Row],[Tensão (Pa)]]/1000000</f>
        <v>3.0506682775806087</v>
      </c>
    </row>
    <row r="253" spans="1:6" x14ac:dyDescent="0.3">
      <c r="A253" s="5">
        <v>16.95</v>
      </c>
      <c r="B253" s="5">
        <v>1.4045000000000001</v>
      </c>
      <c r="C253" s="1">
        <f>Tabela1[[#This Row],[Alongamento (mm/mm)]]/$I$2</f>
        <v>2.809E-2</v>
      </c>
      <c r="D253" s="5">
        <v>130.13</v>
      </c>
      <c r="E253" s="1">
        <f>Tabela1[[#This Row],[Força (N)]]/$I$5</f>
        <v>3070726.043947746</v>
      </c>
      <c r="F253" s="1">
        <f>Tabela1[[#This Row],[Tensão (Pa)]]/1000000</f>
        <v>3.070726043947746</v>
      </c>
    </row>
    <row r="254" spans="1:6" x14ac:dyDescent="0.3">
      <c r="A254" s="5">
        <v>17</v>
      </c>
      <c r="B254" s="5">
        <v>1.4087000000000001</v>
      </c>
      <c r="C254" s="1">
        <f>Tabela1[[#This Row],[Alongamento (mm/mm)]]/$I$2</f>
        <v>2.8174000000000001E-2</v>
      </c>
      <c r="D254" s="5">
        <v>130.97999999999999</v>
      </c>
      <c r="E254" s="1">
        <f>Tabela1[[#This Row],[Força (N)]]/$I$5</f>
        <v>3090783.810314883</v>
      </c>
      <c r="F254" s="1">
        <f>Tabela1[[#This Row],[Tensão (Pa)]]/1000000</f>
        <v>3.0907838103148828</v>
      </c>
    </row>
    <row r="255" spans="1:6" x14ac:dyDescent="0.3">
      <c r="A255" s="5">
        <v>17.067</v>
      </c>
      <c r="B255" s="5">
        <v>1.4142999999999999</v>
      </c>
      <c r="C255" s="1">
        <f>Tabela1[[#This Row],[Alongamento (mm/mm)]]/$I$2</f>
        <v>2.8285999999999999E-2</v>
      </c>
      <c r="D255" s="5">
        <v>132.16999999999999</v>
      </c>
      <c r="E255" s="1">
        <f>Tabela1[[#This Row],[Força (N)]]/$I$5</f>
        <v>3118864.6832288755</v>
      </c>
      <c r="F255" s="1">
        <f>Tabela1[[#This Row],[Tensão (Pa)]]/1000000</f>
        <v>3.1188646832288756</v>
      </c>
    </row>
    <row r="256" spans="1:6" x14ac:dyDescent="0.3">
      <c r="A256" s="5">
        <v>17.132999999999999</v>
      </c>
      <c r="B256" s="5">
        <v>1.4198</v>
      </c>
      <c r="C256" s="1">
        <f>Tabela1[[#This Row],[Alongamento (mm/mm)]]/$I$2</f>
        <v>2.8395999999999998E-2</v>
      </c>
      <c r="D256" s="5">
        <v>133.36000000000001</v>
      </c>
      <c r="E256" s="1">
        <f>Tabela1[[#This Row],[Força (N)]]/$I$5</f>
        <v>3146945.5561428685</v>
      </c>
      <c r="F256" s="1">
        <f>Tabela1[[#This Row],[Tensão (Pa)]]/1000000</f>
        <v>3.1469455561428683</v>
      </c>
    </row>
    <row r="257" spans="1:6" x14ac:dyDescent="0.3">
      <c r="A257" s="5">
        <v>17.2</v>
      </c>
      <c r="B257" s="5">
        <v>1.4254</v>
      </c>
      <c r="C257" s="1">
        <f>Tabela1[[#This Row],[Alongamento (mm/mm)]]/$I$2</f>
        <v>2.8507999999999999E-2</v>
      </c>
      <c r="D257" s="5">
        <v>134.55000000000001</v>
      </c>
      <c r="E257" s="1">
        <f>Tabela1[[#This Row],[Força (N)]]/$I$5</f>
        <v>3175026.4290568605</v>
      </c>
      <c r="F257" s="1">
        <f>Tabela1[[#This Row],[Tensão (Pa)]]/1000000</f>
        <v>3.1750264290568606</v>
      </c>
    </row>
    <row r="258" spans="1:6" x14ac:dyDescent="0.3">
      <c r="A258" s="5">
        <v>17.266999999999999</v>
      </c>
      <c r="B258" s="5">
        <v>1.431</v>
      </c>
      <c r="C258" s="1">
        <f>Tabela1[[#This Row],[Alongamento (mm/mm)]]/$I$2</f>
        <v>2.862E-2</v>
      </c>
      <c r="D258" s="5">
        <v>135.74</v>
      </c>
      <c r="E258" s="1">
        <f>Tabela1[[#This Row],[Força (N)]]/$I$5</f>
        <v>3203107.301970853</v>
      </c>
      <c r="F258" s="1">
        <f>Tabela1[[#This Row],[Tensão (Pa)]]/1000000</f>
        <v>3.2031073019708529</v>
      </c>
    </row>
    <row r="259" spans="1:6" x14ac:dyDescent="0.3">
      <c r="A259" s="5">
        <v>17.332999999999998</v>
      </c>
      <c r="B259" s="5">
        <v>1.4365000000000001</v>
      </c>
      <c r="C259" s="1">
        <f>Tabela1[[#This Row],[Alongamento (mm/mm)]]/$I$2</f>
        <v>2.8730000000000002E-2</v>
      </c>
      <c r="D259" s="5">
        <v>136.93</v>
      </c>
      <c r="E259" s="1">
        <f>Tabela1[[#This Row],[Força (N)]]/$I$5</f>
        <v>3231188.174884845</v>
      </c>
      <c r="F259" s="1">
        <f>Tabela1[[#This Row],[Tensão (Pa)]]/1000000</f>
        <v>3.2311881748848452</v>
      </c>
    </row>
    <row r="260" spans="1:6" x14ac:dyDescent="0.3">
      <c r="A260" s="5">
        <v>17.399999999999999</v>
      </c>
      <c r="B260" s="5">
        <v>1.4419999999999999</v>
      </c>
      <c r="C260" s="1">
        <f>Tabela1[[#This Row],[Alongamento (mm/mm)]]/$I$2</f>
        <v>2.8839999999999998E-2</v>
      </c>
      <c r="D260" s="5">
        <v>138.12</v>
      </c>
      <c r="E260" s="1">
        <f>Tabela1[[#This Row],[Força (N)]]/$I$5</f>
        <v>3259269.0477988375</v>
      </c>
      <c r="F260" s="1">
        <f>Tabela1[[#This Row],[Tensão (Pa)]]/1000000</f>
        <v>3.2592690477988375</v>
      </c>
    </row>
    <row r="261" spans="1:6" x14ac:dyDescent="0.3">
      <c r="A261" s="5">
        <v>17.466999999999999</v>
      </c>
      <c r="B261" s="5">
        <v>1.4476</v>
      </c>
      <c r="C261" s="1">
        <f>Tabela1[[#This Row],[Alongamento (mm/mm)]]/$I$2</f>
        <v>2.8951999999999999E-2</v>
      </c>
      <c r="D261" s="5">
        <v>139.31</v>
      </c>
      <c r="E261" s="1">
        <f>Tabela1[[#This Row],[Força (N)]]/$I$5</f>
        <v>3287349.9207128296</v>
      </c>
      <c r="F261" s="1">
        <f>Tabela1[[#This Row],[Tensão (Pa)]]/1000000</f>
        <v>3.2873499207128294</v>
      </c>
    </row>
    <row r="262" spans="1:6" x14ac:dyDescent="0.3">
      <c r="A262" s="5">
        <v>17.516999999999999</v>
      </c>
      <c r="B262" s="5">
        <v>1.4518</v>
      </c>
      <c r="C262" s="1">
        <f>Tabela1[[#This Row],[Alongamento (mm/mm)]]/$I$2</f>
        <v>2.9035999999999999E-2</v>
      </c>
      <c r="D262" s="5">
        <v>140.33000000000001</v>
      </c>
      <c r="E262" s="1">
        <f>Tabela1[[#This Row],[Força (N)]]/$I$5</f>
        <v>3311419.2403533948</v>
      </c>
      <c r="F262" s="1">
        <f>Tabela1[[#This Row],[Tensão (Pa)]]/1000000</f>
        <v>3.3114192403533949</v>
      </c>
    </row>
    <row r="263" spans="1:6" x14ac:dyDescent="0.3">
      <c r="A263" s="5">
        <v>17.582999999999998</v>
      </c>
      <c r="B263" s="5">
        <v>1.4573</v>
      </c>
      <c r="C263" s="1">
        <f>Tabela1[[#This Row],[Alongamento (mm/mm)]]/$I$2</f>
        <v>2.9146000000000002E-2</v>
      </c>
      <c r="D263" s="5">
        <v>141.52000000000001</v>
      </c>
      <c r="E263" s="1">
        <f>Tabela1[[#This Row],[Força (N)]]/$I$5</f>
        <v>3339500.1132673868</v>
      </c>
      <c r="F263" s="1">
        <f>Tabela1[[#This Row],[Tensão (Pa)]]/1000000</f>
        <v>3.3395001132673867</v>
      </c>
    </row>
    <row r="264" spans="1:6" x14ac:dyDescent="0.3">
      <c r="A264" s="5">
        <v>17.649999999999999</v>
      </c>
      <c r="B264" s="5">
        <v>1.4629000000000001</v>
      </c>
      <c r="C264" s="1">
        <f>Tabela1[[#This Row],[Alongamento (mm/mm)]]/$I$2</f>
        <v>2.9258000000000003E-2</v>
      </c>
      <c r="D264" s="5">
        <v>142.71</v>
      </c>
      <c r="E264" s="1">
        <f>Tabela1[[#This Row],[Força (N)]]/$I$5</f>
        <v>3367580.9861813793</v>
      </c>
      <c r="F264" s="1">
        <f>Tabela1[[#This Row],[Tensão (Pa)]]/1000000</f>
        <v>3.3675809861813795</v>
      </c>
    </row>
    <row r="265" spans="1:6" x14ac:dyDescent="0.3">
      <c r="A265" s="5">
        <v>17.716999999999999</v>
      </c>
      <c r="B265" s="5">
        <v>1.4683999999999999</v>
      </c>
      <c r="C265" s="1">
        <f>Tabela1[[#This Row],[Alongamento (mm/mm)]]/$I$2</f>
        <v>2.9367999999999998E-2</v>
      </c>
      <c r="D265" s="5">
        <v>143.9</v>
      </c>
      <c r="E265" s="1">
        <f>Tabela1[[#This Row],[Força (N)]]/$I$5</f>
        <v>3395661.8590953713</v>
      </c>
      <c r="F265" s="1">
        <f>Tabela1[[#This Row],[Tensão (Pa)]]/1000000</f>
        <v>3.3956618590953713</v>
      </c>
    </row>
    <row r="266" spans="1:6" x14ac:dyDescent="0.3">
      <c r="A266" s="5">
        <v>17.766999999999999</v>
      </c>
      <c r="B266" s="5">
        <v>1.4725999999999999</v>
      </c>
      <c r="C266" s="1">
        <f>Tabela1[[#This Row],[Alongamento (mm/mm)]]/$I$2</f>
        <v>2.9451999999999999E-2</v>
      </c>
      <c r="D266" s="5">
        <v>144.91999999999999</v>
      </c>
      <c r="E266" s="1">
        <f>Tabela1[[#This Row],[Força (N)]]/$I$5</f>
        <v>3419731.1787359356</v>
      </c>
      <c r="F266" s="1">
        <f>Tabela1[[#This Row],[Tensão (Pa)]]/1000000</f>
        <v>3.4197311787359355</v>
      </c>
    </row>
    <row r="267" spans="1:6" x14ac:dyDescent="0.3">
      <c r="A267" s="5">
        <v>17.832999999999998</v>
      </c>
      <c r="B267" s="5">
        <v>1.4782</v>
      </c>
      <c r="C267" s="1">
        <f>Tabela1[[#This Row],[Alongamento (mm/mm)]]/$I$2</f>
        <v>2.9564E-2</v>
      </c>
      <c r="D267" s="5">
        <v>146.11000000000001</v>
      </c>
      <c r="E267" s="1">
        <f>Tabela1[[#This Row],[Força (N)]]/$I$5</f>
        <v>3447812.0516499286</v>
      </c>
      <c r="F267" s="1">
        <f>Tabela1[[#This Row],[Tensão (Pa)]]/1000000</f>
        <v>3.4478120516499287</v>
      </c>
    </row>
    <row r="268" spans="1:6" x14ac:dyDescent="0.3">
      <c r="A268" s="5">
        <v>17.882999999999999</v>
      </c>
      <c r="B268" s="5">
        <v>1.4823999999999999</v>
      </c>
      <c r="C268" s="1">
        <f>Tabela1[[#This Row],[Alongamento (mm/mm)]]/$I$2</f>
        <v>2.9647999999999997E-2</v>
      </c>
      <c r="D268" s="5">
        <v>147.13999999999999</v>
      </c>
      <c r="E268" s="1">
        <f>Tabela1[[#This Row],[Força (N)]]/$I$5</f>
        <v>3472117.345012459</v>
      </c>
      <c r="F268" s="1">
        <f>Tabela1[[#This Row],[Tensão (Pa)]]/1000000</f>
        <v>3.4721173450124589</v>
      </c>
    </row>
    <row r="269" spans="1:6" x14ac:dyDescent="0.3">
      <c r="A269" s="5">
        <v>17.95</v>
      </c>
      <c r="B269" s="5">
        <v>1.4879</v>
      </c>
      <c r="C269" s="1">
        <f>Tabela1[[#This Row],[Alongamento (mm/mm)]]/$I$2</f>
        <v>2.9758E-2</v>
      </c>
      <c r="D269" s="5">
        <v>148.33000000000001</v>
      </c>
      <c r="E269" s="1">
        <f>Tabela1[[#This Row],[Força (N)]]/$I$5</f>
        <v>3500198.2179264519</v>
      </c>
      <c r="F269" s="1">
        <f>Tabela1[[#This Row],[Tensão (Pa)]]/1000000</f>
        <v>3.5001982179264521</v>
      </c>
    </row>
    <row r="270" spans="1:6" x14ac:dyDescent="0.3">
      <c r="A270" s="5">
        <v>18</v>
      </c>
      <c r="B270" s="5">
        <v>1.4921</v>
      </c>
      <c r="C270" s="1">
        <f>Tabela1[[#This Row],[Alongamento (mm/mm)]]/$I$2</f>
        <v>2.9842E-2</v>
      </c>
      <c r="D270" s="5">
        <v>149.35</v>
      </c>
      <c r="E270" s="1">
        <f>Tabela1[[#This Row],[Força (N)]]/$I$5</f>
        <v>3524267.5375670167</v>
      </c>
      <c r="F270" s="1">
        <f>Tabela1[[#This Row],[Tensão (Pa)]]/1000000</f>
        <v>3.5242675375670167</v>
      </c>
    </row>
    <row r="271" spans="1:6" x14ac:dyDescent="0.3">
      <c r="A271" s="5">
        <v>18.067</v>
      </c>
      <c r="B271" s="5">
        <v>1.4976</v>
      </c>
      <c r="C271" s="1">
        <f>Tabela1[[#This Row],[Alongamento (mm/mm)]]/$I$2</f>
        <v>2.9951999999999999E-2</v>
      </c>
      <c r="D271" s="5">
        <v>150.54</v>
      </c>
      <c r="E271" s="1">
        <f>Tabela1[[#This Row],[Força (N)]]/$I$5</f>
        <v>3552348.4104810087</v>
      </c>
      <c r="F271" s="1">
        <f>Tabela1[[#This Row],[Tensão (Pa)]]/1000000</f>
        <v>3.5523484104810086</v>
      </c>
    </row>
    <row r="272" spans="1:6" x14ac:dyDescent="0.3">
      <c r="A272" s="5">
        <v>18.117000000000001</v>
      </c>
      <c r="B272" s="5">
        <v>1.5018</v>
      </c>
      <c r="C272" s="1">
        <f>Tabela1[[#This Row],[Alongamento (mm/mm)]]/$I$2</f>
        <v>3.0036E-2</v>
      </c>
      <c r="D272" s="5">
        <v>151.56</v>
      </c>
      <c r="E272" s="1">
        <f>Tabela1[[#This Row],[Força (N)]]/$I$5</f>
        <v>3576417.7301215739</v>
      </c>
      <c r="F272" s="1">
        <f>Tabela1[[#This Row],[Tensão (Pa)]]/1000000</f>
        <v>3.576417730121574</v>
      </c>
    </row>
    <row r="273" spans="1:6" x14ac:dyDescent="0.3">
      <c r="A273" s="5">
        <v>18.183</v>
      </c>
      <c r="B273" s="5">
        <v>1.5074000000000001</v>
      </c>
      <c r="C273" s="1">
        <f>Tabela1[[#This Row],[Alongamento (mm/mm)]]/$I$2</f>
        <v>3.0148000000000001E-2</v>
      </c>
      <c r="D273" s="5">
        <v>152.75</v>
      </c>
      <c r="E273" s="1">
        <f>Tabela1[[#This Row],[Força (N)]]/$I$5</f>
        <v>3604498.6030355659</v>
      </c>
      <c r="F273" s="1">
        <f>Tabela1[[#This Row],[Tensão (Pa)]]/1000000</f>
        <v>3.6044986030355659</v>
      </c>
    </row>
    <row r="274" spans="1:6" x14ac:dyDescent="0.3">
      <c r="A274" s="5">
        <v>18.233000000000001</v>
      </c>
      <c r="B274" s="5">
        <v>1.5114000000000001</v>
      </c>
      <c r="C274" s="1">
        <f>Tabela1[[#This Row],[Alongamento (mm/mm)]]/$I$2</f>
        <v>3.0228000000000001E-2</v>
      </c>
      <c r="D274" s="5">
        <v>153.77000000000001</v>
      </c>
      <c r="E274" s="1">
        <f>Tabela1[[#This Row],[Força (N)]]/$I$5</f>
        <v>3628567.9226761311</v>
      </c>
      <c r="F274" s="1">
        <f>Tabela1[[#This Row],[Tensão (Pa)]]/1000000</f>
        <v>3.6285679226761309</v>
      </c>
    </row>
    <row r="275" spans="1:6" x14ac:dyDescent="0.3">
      <c r="A275" s="5">
        <v>18.283000000000001</v>
      </c>
      <c r="B275" s="5">
        <v>1.5156000000000001</v>
      </c>
      <c r="C275" s="1">
        <f>Tabela1[[#This Row],[Alongamento (mm/mm)]]/$I$2</f>
        <v>3.0312000000000002E-2</v>
      </c>
      <c r="D275" s="5">
        <v>154.79</v>
      </c>
      <c r="E275" s="1">
        <f>Tabela1[[#This Row],[Força (N)]]/$I$5</f>
        <v>3652637.2423166954</v>
      </c>
      <c r="F275" s="1">
        <f>Tabela1[[#This Row],[Tensão (Pa)]]/1000000</f>
        <v>3.6526372423166955</v>
      </c>
    </row>
    <row r="276" spans="1:6" x14ac:dyDescent="0.3">
      <c r="A276" s="5">
        <v>18.350000000000001</v>
      </c>
      <c r="B276" s="5">
        <v>1.5210999999999999</v>
      </c>
      <c r="C276" s="1">
        <f>Tabela1[[#This Row],[Alongamento (mm/mm)]]/$I$2</f>
        <v>3.0421999999999998E-2</v>
      </c>
      <c r="D276" s="5">
        <v>155.97999999999999</v>
      </c>
      <c r="E276" s="1">
        <f>Tabela1[[#This Row],[Força (N)]]/$I$5</f>
        <v>3680718.1152306879</v>
      </c>
      <c r="F276" s="1">
        <f>Tabela1[[#This Row],[Tensão (Pa)]]/1000000</f>
        <v>3.6807181152306878</v>
      </c>
    </row>
    <row r="277" spans="1:6" x14ac:dyDescent="0.3">
      <c r="A277" s="5">
        <v>18.399999999999999</v>
      </c>
      <c r="B277" s="5">
        <v>1.5253000000000001</v>
      </c>
      <c r="C277" s="1">
        <f>Tabela1[[#This Row],[Alongamento (mm/mm)]]/$I$2</f>
        <v>3.0506000000000002E-2</v>
      </c>
      <c r="D277" s="5">
        <v>157</v>
      </c>
      <c r="E277" s="1">
        <f>Tabela1[[#This Row],[Força (N)]]/$I$5</f>
        <v>3704787.4348712526</v>
      </c>
      <c r="F277" s="1">
        <f>Tabela1[[#This Row],[Tensão (Pa)]]/1000000</f>
        <v>3.7047874348712528</v>
      </c>
    </row>
    <row r="278" spans="1:6" x14ac:dyDescent="0.3">
      <c r="A278" s="5">
        <v>18.45</v>
      </c>
      <c r="B278" s="5">
        <v>1.5296000000000001</v>
      </c>
      <c r="C278" s="1">
        <f>Tabela1[[#This Row],[Alongamento (mm/mm)]]/$I$2</f>
        <v>3.0592000000000001E-2</v>
      </c>
      <c r="D278" s="5">
        <v>158.02000000000001</v>
      </c>
      <c r="E278" s="1">
        <f>Tabela1[[#This Row],[Força (N)]]/$I$5</f>
        <v>3728856.7545118178</v>
      </c>
      <c r="F278" s="1">
        <f>Tabela1[[#This Row],[Tensão (Pa)]]/1000000</f>
        <v>3.7288567545118179</v>
      </c>
    </row>
    <row r="279" spans="1:6" x14ac:dyDescent="0.3">
      <c r="A279" s="5">
        <v>18.5</v>
      </c>
      <c r="B279" s="5">
        <v>1.5338000000000001</v>
      </c>
      <c r="C279" s="1">
        <f>Tabela1[[#This Row],[Alongamento (mm/mm)]]/$I$2</f>
        <v>3.0676000000000002E-2</v>
      </c>
      <c r="D279" s="5">
        <v>159.04</v>
      </c>
      <c r="E279" s="1">
        <f>Tabela1[[#This Row],[Força (N)]]/$I$5</f>
        <v>3752926.0741523821</v>
      </c>
      <c r="F279" s="1">
        <f>Tabela1[[#This Row],[Tensão (Pa)]]/1000000</f>
        <v>3.752926074152382</v>
      </c>
    </row>
    <row r="280" spans="1:6" x14ac:dyDescent="0.3">
      <c r="A280" s="5">
        <v>18.55</v>
      </c>
      <c r="B280" s="5">
        <v>1.5379</v>
      </c>
      <c r="C280" s="1">
        <f>Tabela1[[#This Row],[Alongamento (mm/mm)]]/$I$2</f>
        <v>3.0758000000000001E-2</v>
      </c>
      <c r="D280" s="5">
        <v>160.06</v>
      </c>
      <c r="E280" s="1">
        <f>Tabela1[[#This Row],[Força (N)]]/$I$5</f>
        <v>3776995.3937929473</v>
      </c>
      <c r="F280" s="1">
        <f>Tabela1[[#This Row],[Tensão (Pa)]]/1000000</f>
        <v>3.7769953937929475</v>
      </c>
    </row>
    <row r="281" spans="1:6" x14ac:dyDescent="0.3">
      <c r="A281" s="5">
        <v>18.617000000000001</v>
      </c>
      <c r="B281" s="5">
        <v>1.5434000000000001</v>
      </c>
      <c r="C281" s="1">
        <f>Tabela1[[#This Row],[Alongamento (mm/mm)]]/$I$2</f>
        <v>3.0868000000000003E-2</v>
      </c>
      <c r="D281" s="5">
        <v>161.25</v>
      </c>
      <c r="E281" s="1">
        <f>Tabela1[[#This Row],[Força (N)]]/$I$5</f>
        <v>3805076.2667069398</v>
      </c>
      <c r="F281" s="1">
        <f>Tabela1[[#This Row],[Tensão (Pa)]]/1000000</f>
        <v>3.8050762667069398</v>
      </c>
    </row>
    <row r="282" spans="1:6" x14ac:dyDescent="0.3">
      <c r="A282" s="5">
        <v>18.667000000000002</v>
      </c>
      <c r="B282" s="5">
        <v>1.5476000000000001</v>
      </c>
      <c r="C282" s="1">
        <f>Tabela1[[#This Row],[Alongamento (mm/mm)]]/$I$2</f>
        <v>3.0952E-2</v>
      </c>
      <c r="D282" s="5">
        <v>162.27000000000001</v>
      </c>
      <c r="E282" s="1">
        <f>Tabela1[[#This Row],[Força (N)]]/$I$5</f>
        <v>3829145.5863475045</v>
      </c>
      <c r="F282" s="1">
        <f>Tabela1[[#This Row],[Tensão (Pa)]]/1000000</f>
        <v>3.8291455863475043</v>
      </c>
    </row>
    <row r="283" spans="1:6" x14ac:dyDescent="0.3">
      <c r="A283" s="5">
        <v>18.716999999999999</v>
      </c>
      <c r="B283" s="5">
        <v>1.5516000000000001</v>
      </c>
      <c r="C283" s="1">
        <f>Tabela1[[#This Row],[Alongamento (mm/mm)]]/$I$2</f>
        <v>3.1032000000000001E-2</v>
      </c>
      <c r="D283" s="5">
        <v>163.29</v>
      </c>
      <c r="E283" s="1">
        <f>Tabela1[[#This Row],[Força (N)]]/$I$5</f>
        <v>3853214.9059880693</v>
      </c>
      <c r="F283" s="1">
        <f>Tabela1[[#This Row],[Tensão (Pa)]]/1000000</f>
        <v>3.8532149059880694</v>
      </c>
    </row>
    <row r="284" spans="1:6" x14ac:dyDescent="0.3">
      <c r="A284" s="5">
        <v>18.766999999999999</v>
      </c>
      <c r="B284" s="5">
        <v>1.5559000000000001</v>
      </c>
      <c r="C284" s="1">
        <f>Tabela1[[#This Row],[Alongamento (mm/mm)]]/$I$2</f>
        <v>3.1118E-2</v>
      </c>
      <c r="D284" s="5">
        <v>164.32</v>
      </c>
      <c r="E284" s="1">
        <f>Tabela1[[#This Row],[Força (N)]]/$I$5</f>
        <v>3877520.1993506001</v>
      </c>
      <c r="F284" s="1">
        <f>Tabela1[[#This Row],[Tensão (Pa)]]/1000000</f>
        <v>3.8775201993506001</v>
      </c>
    </row>
    <row r="285" spans="1:6" x14ac:dyDescent="0.3">
      <c r="A285" s="5">
        <v>18.817</v>
      </c>
      <c r="B285" s="5">
        <v>1.5601</v>
      </c>
      <c r="C285" s="1">
        <f>Tabela1[[#This Row],[Alongamento (mm/mm)]]/$I$2</f>
        <v>3.1202000000000001E-2</v>
      </c>
      <c r="D285" s="5">
        <v>165.34</v>
      </c>
      <c r="E285" s="1">
        <f>Tabela1[[#This Row],[Força (N)]]/$I$5</f>
        <v>3901589.5189911653</v>
      </c>
      <c r="F285" s="1">
        <f>Tabela1[[#This Row],[Tensão (Pa)]]/1000000</f>
        <v>3.9015895189911651</v>
      </c>
    </row>
    <row r="286" spans="1:6" x14ac:dyDescent="0.3">
      <c r="A286" s="5">
        <v>18.867000000000001</v>
      </c>
      <c r="B286" s="5">
        <v>1.5643</v>
      </c>
      <c r="C286" s="1">
        <f>Tabela1[[#This Row],[Alongamento (mm/mm)]]/$I$2</f>
        <v>3.1286000000000001E-2</v>
      </c>
      <c r="D286" s="5">
        <v>166.36</v>
      </c>
      <c r="E286" s="1">
        <f>Tabela1[[#This Row],[Força (N)]]/$I$5</f>
        <v>3925658.8386317305</v>
      </c>
      <c r="F286" s="1">
        <f>Tabela1[[#This Row],[Tensão (Pa)]]/1000000</f>
        <v>3.9256588386317306</v>
      </c>
    </row>
    <row r="287" spans="1:6" x14ac:dyDescent="0.3">
      <c r="A287" s="5">
        <v>18.917000000000002</v>
      </c>
      <c r="B287" s="5">
        <v>1.5684</v>
      </c>
      <c r="C287" s="1">
        <f>Tabela1[[#This Row],[Alongamento (mm/mm)]]/$I$2</f>
        <v>3.1368E-2</v>
      </c>
      <c r="D287" s="5">
        <v>167.55</v>
      </c>
      <c r="E287" s="1">
        <f>Tabela1[[#This Row],[Força (N)]]/$I$5</f>
        <v>3953739.7115457226</v>
      </c>
      <c r="F287" s="1">
        <f>Tabela1[[#This Row],[Tensão (Pa)]]/1000000</f>
        <v>3.9537397115457225</v>
      </c>
    </row>
    <row r="288" spans="1:6" x14ac:dyDescent="0.3">
      <c r="A288" s="5">
        <v>18.966999999999999</v>
      </c>
      <c r="B288" s="5">
        <v>1.5726</v>
      </c>
      <c r="C288" s="1">
        <f>Tabela1[[#This Row],[Alongamento (mm/mm)]]/$I$2</f>
        <v>3.1452000000000001E-2</v>
      </c>
      <c r="D288" s="5">
        <v>168.57</v>
      </c>
      <c r="E288" s="1">
        <f>Tabela1[[#This Row],[Força (N)]]/$I$5</f>
        <v>3977809.0311862868</v>
      </c>
      <c r="F288" s="1">
        <f>Tabela1[[#This Row],[Tensão (Pa)]]/1000000</f>
        <v>3.977809031186287</v>
      </c>
    </row>
    <row r="289" spans="1:6" x14ac:dyDescent="0.3">
      <c r="A289" s="5">
        <v>19.016999999999999</v>
      </c>
      <c r="B289" s="5">
        <v>1.5768</v>
      </c>
      <c r="C289" s="1">
        <f>Tabela1[[#This Row],[Alongamento (mm/mm)]]/$I$2</f>
        <v>3.1536000000000002E-2</v>
      </c>
      <c r="D289" s="5">
        <v>169.59</v>
      </c>
      <c r="E289" s="1">
        <f>Tabela1[[#This Row],[Força (N)]]/$I$5</f>
        <v>4001878.350826852</v>
      </c>
      <c r="F289" s="1">
        <f>Tabela1[[#This Row],[Tensão (Pa)]]/1000000</f>
        <v>4.0018783508268516</v>
      </c>
    </row>
    <row r="290" spans="1:6" x14ac:dyDescent="0.3">
      <c r="A290" s="5">
        <v>19.067</v>
      </c>
      <c r="B290" s="5">
        <v>1.581</v>
      </c>
      <c r="C290" s="1">
        <f>Tabela1[[#This Row],[Alongamento (mm/mm)]]/$I$2</f>
        <v>3.1620000000000002E-2</v>
      </c>
      <c r="D290" s="5">
        <v>170.78</v>
      </c>
      <c r="E290" s="1">
        <f>Tabela1[[#This Row],[Força (N)]]/$I$5</f>
        <v>4029959.2237408445</v>
      </c>
      <c r="F290" s="1">
        <f>Tabela1[[#This Row],[Tensão (Pa)]]/1000000</f>
        <v>4.0299592237408444</v>
      </c>
    </row>
    <row r="291" spans="1:6" x14ac:dyDescent="0.3">
      <c r="A291" s="5">
        <v>19.117000000000001</v>
      </c>
      <c r="B291" s="5">
        <v>1.5851999999999999</v>
      </c>
      <c r="C291" s="1">
        <f>Tabela1[[#This Row],[Alongamento (mm/mm)]]/$I$2</f>
        <v>3.1703999999999996E-2</v>
      </c>
      <c r="D291" s="5">
        <v>171.8</v>
      </c>
      <c r="E291" s="1">
        <f>Tabela1[[#This Row],[Força (N)]]/$I$5</f>
        <v>4054028.5433814093</v>
      </c>
      <c r="F291" s="1">
        <f>Tabela1[[#This Row],[Tensão (Pa)]]/1000000</f>
        <v>4.0540285433814089</v>
      </c>
    </row>
    <row r="292" spans="1:6" x14ac:dyDescent="0.3">
      <c r="A292" s="5">
        <v>19.167000000000002</v>
      </c>
      <c r="B292" s="5">
        <v>1.5891999999999999</v>
      </c>
      <c r="C292" s="1">
        <f>Tabela1[[#This Row],[Alongamento (mm/mm)]]/$I$2</f>
        <v>3.1784E-2</v>
      </c>
      <c r="D292" s="5">
        <v>172.82</v>
      </c>
      <c r="E292" s="1">
        <f>Tabela1[[#This Row],[Força (N)]]/$I$5</f>
        <v>4078097.863021974</v>
      </c>
      <c r="F292" s="1">
        <f>Tabela1[[#This Row],[Tensão (Pa)]]/1000000</f>
        <v>4.0780978630219744</v>
      </c>
    </row>
    <row r="293" spans="1:6" x14ac:dyDescent="0.3">
      <c r="A293" s="5">
        <v>19.216999999999999</v>
      </c>
      <c r="B293" s="5">
        <v>1.5933999999999999</v>
      </c>
      <c r="C293" s="1">
        <f>Tabela1[[#This Row],[Alongamento (mm/mm)]]/$I$2</f>
        <v>3.1868E-2</v>
      </c>
      <c r="D293" s="5">
        <v>174.01</v>
      </c>
      <c r="E293" s="1">
        <f>Tabela1[[#This Row],[Força (N)]]/$I$5</f>
        <v>4106178.735935966</v>
      </c>
      <c r="F293" s="1">
        <f>Tabela1[[#This Row],[Tensão (Pa)]]/1000000</f>
        <v>4.1061787359359663</v>
      </c>
    </row>
    <row r="294" spans="1:6" x14ac:dyDescent="0.3">
      <c r="A294" s="5">
        <v>19.266999999999999</v>
      </c>
      <c r="B294" s="5">
        <v>1.5974999999999999</v>
      </c>
      <c r="C294" s="1">
        <f>Tabela1[[#This Row],[Alongamento (mm/mm)]]/$I$2</f>
        <v>3.1949999999999999E-2</v>
      </c>
      <c r="D294" s="5">
        <v>175.03</v>
      </c>
      <c r="E294" s="1">
        <f>Tabela1[[#This Row],[Força (N)]]/$I$5</f>
        <v>4130248.0555765312</v>
      </c>
      <c r="F294" s="1">
        <f>Tabela1[[#This Row],[Tensão (Pa)]]/1000000</f>
        <v>4.1302480555765309</v>
      </c>
    </row>
    <row r="295" spans="1:6" x14ac:dyDescent="0.3">
      <c r="A295" s="5">
        <v>19.332999999999998</v>
      </c>
      <c r="B295" s="5">
        <v>1.6031</v>
      </c>
      <c r="C295" s="1">
        <f>Tabela1[[#This Row],[Alongamento (mm/mm)]]/$I$2</f>
        <v>3.2062E-2</v>
      </c>
      <c r="D295" s="5">
        <v>176.39</v>
      </c>
      <c r="E295" s="1">
        <f>Tabela1[[#This Row],[Força (N)]]/$I$5</f>
        <v>4162340.4817639505</v>
      </c>
      <c r="F295" s="1">
        <f>Tabela1[[#This Row],[Tensão (Pa)]]/1000000</f>
        <v>4.1623404817639509</v>
      </c>
    </row>
    <row r="296" spans="1:6" x14ac:dyDescent="0.3">
      <c r="A296" s="5">
        <v>19.399999999999999</v>
      </c>
      <c r="B296" s="5">
        <v>1.6087</v>
      </c>
      <c r="C296" s="1">
        <f>Tabela1[[#This Row],[Alongamento (mm/mm)]]/$I$2</f>
        <v>3.2174000000000001E-2</v>
      </c>
      <c r="D296" s="5">
        <v>177.92</v>
      </c>
      <c r="E296" s="1">
        <f>Tabela1[[#This Row],[Força (N)]]/$I$5</f>
        <v>4198444.4612247981</v>
      </c>
      <c r="F296" s="1">
        <f>Tabela1[[#This Row],[Tensão (Pa)]]/1000000</f>
        <v>4.1984444612247982</v>
      </c>
    </row>
    <row r="297" spans="1:6" x14ac:dyDescent="0.3">
      <c r="A297" s="5">
        <v>19.466999999999999</v>
      </c>
      <c r="B297" s="5">
        <v>1.6142000000000001</v>
      </c>
      <c r="C297" s="1">
        <f>Tabela1[[#This Row],[Alongamento (mm/mm)]]/$I$2</f>
        <v>3.2284E-2</v>
      </c>
      <c r="D297" s="5">
        <v>179.45</v>
      </c>
      <c r="E297" s="1">
        <f>Tabela1[[#This Row],[Força (N)]]/$I$5</f>
        <v>4234548.4406856447</v>
      </c>
      <c r="F297" s="1">
        <f>Tabela1[[#This Row],[Tensão (Pa)]]/1000000</f>
        <v>4.2345484406856446</v>
      </c>
    </row>
    <row r="298" spans="1:6" x14ac:dyDescent="0.3">
      <c r="A298" s="5">
        <v>19.533000000000001</v>
      </c>
      <c r="B298" s="5">
        <v>1.6197999999999999</v>
      </c>
      <c r="C298" s="1">
        <f>Tabela1[[#This Row],[Alongamento (mm/mm)]]/$I$2</f>
        <v>3.2396000000000001E-2</v>
      </c>
      <c r="D298" s="5">
        <v>180.82</v>
      </c>
      <c r="E298" s="1">
        <f>Tabela1[[#This Row],[Força (N)]]/$I$5</f>
        <v>4266876.8405950312</v>
      </c>
      <c r="F298" s="1">
        <f>Tabela1[[#This Row],[Tensão (Pa)]]/1000000</f>
        <v>4.2668768405950308</v>
      </c>
    </row>
    <row r="299" spans="1:6" x14ac:dyDescent="0.3">
      <c r="A299" s="5">
        <v>19.600000000000001</v>
      </c>
      <c r="B299" s="5">
        <v>1.6254</v>
      </c>
      <c r="C299" s="1">
        <f>Tabela1[[#This Row],[Alongamento (mm/mm)]]/$I$2</f>
        <v>3.2508000000000002E-2</v>
      </c>
      <c r="D299" s="5">
        <v>182.35</v>
      </c>
      <c r="E299" s="1">
        <f>Tabela1[[#This Row],[Força (N)]]/$I$5</f>
        <v>4302980.8200558787</v>
      </c>
      <c r="F299" s="1">
        <f>Tabela1[[#This Row],[Tensão (Pa)]]/1000000</f>
        <v>4.302980820055879</v>
      </c>
    </row>
    <row r="300" spans="1:6" x14ac:dyDescent="0.3">
      <c r="A300" s="5">
        <v>19.667000000000002</v>
      </c>
      <c r="B300" s="5">
        <v>1.6309</v>
      </c>
      <c r="C300" s="1">
        <f>Tabela1[[#This Row],[Alongamento (mm/mm)]]/$I$2</f>
        <v>3.2618000000000001E-2</v>
      </c>
      <c r="D300" s="5">
        <v>183.88</v>
      </c>
      <c r="E300" s="1">
        <f>Tabela1[[#This Row],[Força (N)]]/$I$5</f>
        <v>4339084.7995167254</v>
      </c>
      <c r="F300" s="1">
        <f>Tabela1[[#This Row],[Tensão (Pa)]]/1000000</f>
        <v>4.3390847995167254</v>
      </c>
    </row>
    <row r="301" spans="1:6" x14ac:dyDescent="0.3">
      <c r="A301" s="5">
        <v>19.733000000000001</v>
      </c>
      <c r="B301" s="5">
        <v>1.6365000000000001</v>
      </c>
      <c r="C301" s="1">
        <f>Tabela1[[#This Row],[Alongamento (mm/mm)]]/$I$2</f>
        <v>3.2730000000000002E-2</v>
      </c>
      <c r="D301" s="5">
        <v>185.41</v>
      </c>
      <c r="E301" s="1">
        <f>Tabela1[[#This Row],[Força (N)]]/$I$5</f>
        <v>4375188.7789775729</v>
      </c>
      <c r="F301" s="1">
        <f>Tabela1[[#This Row],[Tensão (Pa)]]/1000000</f>
        <v>4.3751887789775727</v>
      </c>
    </row>
    <row r="302" spans="1:6" x14ac:dyDescent="0.3">
      <c r="A302" s="5">
        <v>19.8</v>
      </c>
      <c r="B302" s="5">
        <v>1.6420999999999999</v>
      </c>
      <c r="C302" s="1">
        <f>Tabela1[[#This Row],[Alongamento (mm/mm)]]/$I$2</f>
        <v>3.2841999999999996E-2</v>
      </c>
      <c r="D302" s="5">
        <v>186.94</v>
      </c>
      <c r="E302" s="1">
        <f>Tabela1[[#This Row],[Força (N)]]/$I$5</f>
        <v>4411292.7584384205</v>
      </c>
      <c r="F302" s="1">
        <f>Tabela1[[#This Row],[Tensão (Pa)]]/1000000</f>
        <v>4.4112927584384201</v>
      </c>
    </row>
    <row r="303" spans="1:6" x14ac:dyDescent="0.3">
      <c r="A303" s="5">
        <v>19.867000000000001</v>
      </c>
      <c r="B303" s="5">
        <v>1.6476</v>
      </c>
      <c r="C303" s="1">
        <f>Tabela1[[#This Row],[Alongamento (mm/mm)]]/$I$2</f>
        <v>3.2952000000000002E-2</v>
      </c>
      <c r="D303" s="5">
        <v>188.64</v>
      </c>
      <c r="E303" s="1">
        <f>Tabela1[[#This Row],[Força (N)]]/$I$5</f>
        <v>4451408.2911726944</v>
      </c>
      <c r="F303" s="1">
        <f>Tabela1[[#This Row],[Tensão (Pa)]]/1000000</f>
        <v>4.4514082911726947</v>
      </c>
    </row>
    <row r="304" spans="1:6" x14ac:dyDescent="0.3">
      <c r="A304" s="5">
        <v>19.933</v>
      </c>
      <c r="B304" s="5">
        <v>1.6532</v>
      </c>
      <c r="C304" s="1">
        <f>Tabela1[[#This Row],[Alongamento (mm/mm)]]/$I$2</f>
        <v>3.3064000000000003E-2</v>
      </c>
      <c r="D304" s="5">
        <v>190.17</v>
      </c>
      <c r="E304" s="1">
        <f>Tabela1[[#This Row],[Força (N)]]/$I$5</f>
        <v>4487512.270633542</v>
      </c>
      <c r="F304" s="1">
        <f>Tabela1[[#This Row],[Tensão (Pa)]]/1000000</f>
        <v>4.487512270633542</v>
      </c>
    </row>
    <row r="305" spans="1:6" x14ac:dyDescent="0.3">
      <c r="A305" s="5">
        <v>20</v>
      </c>
      <c r="B305" s="5">
        <v>1.6588000000000001</v>
      </c>
      <c r="C305" s="1">
        <f>Tabela1[[#This Row],[Alongamento (mm/mm)]]/$I$2</f>
        <v>3.3176000000000004E-2</v>
      </c>
      <c r="D305" s="5">
        <v>191.7</v>
      </c>
      <c r="E305" s="1">
        <f>Tabela1[[#This Row],[Força (N)]]/$I$5</f>
        <v>4523616.2500943895</v>
      </c>
      <c r="F305" s="1">
        <f>Tabela1[[#This Row],[Tensão (Pa)]]/1000000</f>
        <v>4.5236162500943893</v>
      </c>
    </row>
    <row r="306" spans="1:6" x14ac:dyDescent="0.3">
      <c r="A306" s="5">
        <v>20.067</v>
      </c>
      <c r="B306" s="5">
        <v>1.6642999999999999</v>
      </c>
      <c r="C306" s="1">
        <f>Tabela1[[#This Row],[Alongamento (mm/mm)]]/$I$2</f>
        <v>3.3285999999999996E-2</v>
      </c>
      <c r="D306" s="5">
        <v>193.23</v>
      </c>
      <c r="E306" s="1">
        <f>Tabela1[[#This Row],[Força (N)]]/$I$5</f>
        <v>4559720.2295552362</v>
      </c>
      <c r="F306" s="1">
        <f>Tabela1[[#This Row],[Tensão (Pa)]]/1000000</f>
        <v>4.5597202295552366</v>
      </c>
    </row>
    <row r="307" spans="1:6" x14ac:dyDescent="0.3">
      <c r="A307" s="5">
        <v>20.132999999999999</v>
      </c>
      <c r="B307" s="5">
        <v>1.6698</v>
      </c>
      <c r="C307" s="1">
        <f>Tabela1[[#This Row],[Alongamento (mm/mm)]]/$I$2</f>
        <v>3.3396000000000002E-2</v>
      </c>
      <c r="D307" s="5">
        <v>194.76</v>
      </c>
      <c r="E307" s="1">
        <f>Tabela1[[#This Row],[Força (N)]]/$I$5</f>
        <v>4595824.2090160837</v>
      </c>
      <c r="F307" s="1">
        <f>Tabela1[[#This Row],[Tensão (Pa)]]/1000000</f>
        <v>4.5958242090160839</v>
      </c>
    </row>
    <row r="308" spans="1:6" x14ac:dyDescent="0.3">
      <c r="A308" s="5">
        <v>20.2</v>
      </c>
      <c r="B308" s="5">
        <v>1.6753</v>
      </c>
      <c r="C308" s="1">
        <f>Tabela1[[#This Row],[Alongamento (mm/mm)]]/$I$2</f>
        <v>3.3506000000000001E-2</v>
      </c>
      <c r="D308" s="5">
        <v>196.29</v>
      </c>
      <c r="E308" s="1">
        <f>Tabela1[[#This Row],[Força (N)]]/$I$5</f>
        <v>4631928.1884769313</v>
      </c>
      <c r="F308" s="1">
        <f>Tabela1[[#This Row],[Tensão (Pa)]]/1000000</f>
        <v>4.6319281884769312</v>
      </c>
    </row>
    <row r="309" spans="1:6" x14ac:dyDescent="0.3">
      <c r="A309" s="5">
        <v>20.266999999999999</v>
      </c>
      <c r="B309" s="5">
        <v>1.6809000000000001</v>
      </c>
      <c r="C309" s="1">
        <f>Tabela1[[#This Row],[Alongamento (mm/mm)]]/$I$2</f>
        <v>3.3618000000000002E-2</v>
      </c>
      <c r="D309" s="5">
        <v>197.82</v>
      </c>
      <c r="E309" s="1">
        <f>Tabela1[[#This Row],[Força (N)]]/$I$5</f>
        <v>4668032.1679377789</v>
      </c>
      <c r="F309" s="1">
        <f>Tabela1[[#This Row],[Tensão (Pa)]]/1000000</f>
        <v>4.6680321679377785</v>
      </c>
    </row>
    <row r="310" spans="1:6" x14ac:dyDescent="0.3">
      <c r="A310" s="5">
        <v>20.332999999999998</v>
      </c>
      <c r="B310" s="5">
        <v>1.6865000000000001</v>
      </c>
      <c r="C310" s="1">
        <f>Tabela1[[#This Row],[Alongamento (mm/mm)]]/$I$2</f>
        <v>3.3730000000000003E-2</v>
      </c>
      <c r="D310" s="5">
        <v>199.36</v>
      </c>
      <c r="E310" s="1">
        <f>Tabela1[[#This Row],[Força (N)]]/$I$5</f>
        <v>4704372.1211205926</v>
      </c>
      <c r="F310" s="1">
        <f>Tabela1[[#This Row],[Tensão (Pa)]]/1000000</f>
        <v>4.7043721211205929</v>
      </c>
    </row>
    <row r="311" spans="1:6" x14ac:dyDescent="0.3">
      <c r="A311" s="5">
        <v>20.399999999999999</v>
      </c>
      <c r="B311" s="5">
        <v>1.6919999999999999</v>
      </c>
      <c r="C311" s="1">
        <f>Tabela1[[#This Row],[Alongamento (mm/mm)]]/$I$2</f>
        <v>3.3840000000000002E-2</v>
      </c>
      <c r="D311" s="5">
        <v>201.06</v>
      </c>
      <c r="E311" s="1">
        <f>Tabela1[[#This Row],[Força (N)]]/$I$5</f>
        <v>4744487.6538548665</v>
      </c>
      <c r="F311" s="1">
        <f>Tabela1[[#This Row],[Tensão (Pa)]]/1000000</f>
        <v>4.7444876538548666</v>
      </c>
    </row>
    <row r="312" spans="1:6" x14ac:dyDescent="0.3">
      <c r="A312" s="5">
        <v>20.466999999999999</v>
      </c>
      <c r="B312" s="5">
        <v>1.6976</v>
      </c>
      <c r="C312" s="1">
        <f>Tabela1[[#This Row],[Alongamento (mm/mm)]]/$I$2</f>
        <v>3.3952000000000003E-2</v>
      </c>
      <c r="D312" s="5">
        <v>202.59</v>
      </c>
      <c r="E312" s="1">
        <f>Tabela1[[#This Row],[Força (N)]]/$I$5</f>
        <v>4780591.6333157141</v>
      </c>
      <c r="F312" s="1">
        <f>Tabela1[[#This Row],[Tensão (Pa)]]/1000000</f>
        <v>4.7805916333157139</v>
      </c>
    </row>
    <row r="313" spans="1:6" x14ac:dyDescent="0.3">
      <c r="A313" s="5">
        <v>20.533000000000001</v>
      </c>
      <c r="B313" s="5">
        <v>1.7031000000000001</v>
      </c>
      <c r="C313" s="1">
        <f>Tabela1[[#This Row],[Alongamento (mm/mm)]]/$I$2</f>
        <v>3.4062000000000002E-2</v>
      </c>
      <c r="D313" s="5">
        <v>204.29</v>
      </c>
      <c r="E313" s="1">
        <f>Tabela1[[#This Row],[Força (N)]]/$I$5</f>
        <v>4820707.1660499889</v>
      </c>
      <c r="F313" s="1">
        <f>Tabela1[[#This Row],[Tensão (Pa)]]/1000000</f>
        <v>4.8207071660499885</v>
      </c>
    </row>
    <row r="314" spans="1:6" x14ac:dyDescent="0.3">
      <c r="A314" s="5">
        <v>20.6</v>
      </c>
      <c r="B314" s="5">
        <v>1.7087000000000001</v>
      </c>
      <c r="C314" s="1">
        <f>Tabela1[[#This Row],[Alongamento (mm/mm)]]/$I$2</f>
        <v>3.4174000000000003E-2</v>
      </c>
      <c r="D314" s="5">
        <v>205.99</v>
      </c>
      <c r="E314" s="1">
        <f>Tabela1[[#This Row],[Força (N)]]/$I$5</f>
        <v>4860822.6987842638</v>
      </c>
      <c r="F314" s="1">
        <f>Tabela1[[#This Row],[Tensão (Pa)]]/1000000</f>
        <v>4.860822698784264</v>
      </c>
    </row>
    <row r="315" spans="1:6" x14ac:dyDescent="0.3">
      <c r="A315" s="5">
        <v>20.65</v>
      </c>
      <c r="B315" s="5">
        <v>1.7128000000000001</v>
      </c>
      <c r="C315" s="1">
        <f>Tabela1[[#This Row],[Alongamento (mm/mm)]]/$I$2</f>
        <v>3.4256000000000002E-2</v>
      </c>
      <c r="D315" s="5">
        <v>207.35</v>
      </c>
      <c r="E315" s="1">
        <f>Tabela1[[#This Row],[Força (N)]]/$I$5</f>
        <v>4892915.1249716831</v>
      </c>
      <c r="F315" s="1">
        <f>Tabela1[[#This Row],[Tensão (Pa)]]/1000000</f>
        <v>4.8929151249716831</v>
      </c>
    </row>
    <row r="316" spans="1:6" x14ac:dyDescent="0.3">
      <c r="A316" s="5">
        <v>20.7</v>
      </c>
      <c r="B316" s="5">
        <v>1.7170000000000001</v>
      </c>
      <c r="C316" s="1">
        <f>Tabela1[[#This Row],[Alongamento (mm/mm)]]/$I$2</f>
        <v>3.4340000000000002E-2</v>
      </c>
      <c r="D316" s="5">
        <v>208.71</v>
      </c>
      <c r="E316" s="1">
        <f>Tabela1[[#This Row],[Força (N)]]/$I$5</f>
        <v>4925007.5511591034</v>
      </c>
      <c r="F316" s="1">
        <f>Tabela1[[#This Row],[Tensão (Pa)]]/1000000</f>
        <v>4.9250075511591032</v>
      </c>
    </row>
    <row r="317" spans="1:6" x14ac:dyDescent="0.3">
      <c r="A317" s="5">
        <v>20.766999999999999</v>
      </c>
      <c r="B317" s="5">
        <v>1.7224999999999999</v>
      </c>
      <c r="C317" s="1">
        <f>Tabela1[[#This Row],[Alongamento (mm/mm)]]/$I$2</f>
        <v>3.4450000000000001E-2</v>
      </c>
      <c r="D317" s="5">
        <v>210.41</v>
      </c>
      <c r="E317" s="1">
        <f>Tabela1[[#This Row],[Força (N)]]/$I$5</f>
        <v>4965123.0838933773</v>
      </c>
      <c r="F317" s="1">
        <f>Tabela1[[#This Row],[Tensão (Pa)]]/1000000</f>
        <v>4.9651230838933778</v>
      </c>
    </row>
    <row r="318" spans="1:6" x14ac:dyDescent="0.3">
      <c r="A318" s="5">
        <v>20.832999999999998</v>
      </c>
      <c r="B318" s="5">
        <v>1.7281</v>
      </c>
      <c r="C318" s="1">
        <f>Tabela1[[#This Row],[Alongamento (mm/mm)]]/$I$2</f>
        <v>3.4562000000000002E-2</v>
      </c>
      <c r="D318" s="5">
        <v>212.11</v>
      </c>
      <c r="E318" s="1">
        <f>Tabela1[[#This Row],[Força (N)]]/$I$5</f>
        <v>5005238.6166276531</v>
      </c>
      <c r="F318" s="1">
        <f>Tabela1[[#This Row],[Tensão (Pa)]]/1000000</f>
        <v>5.0052386166276532</v>
      </c>
    </row>
    <row r="319" spans="1:6" x14ac:dyDescent="0.3">
      <c r="A319" s="5">
        <v>20.9</v>
      </c>
      <c r="B319" s="5">
        <v>1.7337</v>
      </c>
      <c r="C319" s="1">
        <f>Tabela1[[#This Row],[Alongamento (mm/mm)]]/$I$2</f>
        <v>3.4674000000000003E-2</v>
      </c>
      <c r="D319" s="5">
        <v>213.81</v>
      </c>
      <c r="E319" s="1">
        <f>Tabela1[[#This Row],[Força (N)]]/$I$5</f>
        <v>5045354.1493619271</v>
      </c>
      <c r="F319" s="1">
        <f>Tabela1[[#This Row],[Tensão (Pa)]]/1000000</f>
        <v>5.0453541493619269</v>
      </c>
    </row>
    <row r="320" spans="1:6" x14ac:dyDescent="0.3">
      <c r="A320" s="5">
        <v>20.95</v>
      </c>
      <c r="B320" s="5">
        <v>1.7378</v>
      </c>
      <c r="C320" s="1">
        <f>Tabela1[[#This Row],[Alongamento (mm/mm)]]/$I$2</f>
        <v>3.4756000000000002E-2</v>
      </c>
      <c r="D320" s="5">
        <v>215.18</v>
      </c>
      <c r="E320" s="1">
        <f>Tabela1[[#This Row],[Força (N)]]/$I$5</f>
        <v>5077682.5492713135</v>
      </c>
      <c r="F320" s="1">
        <f>Tabela1[[#This Row],[Tensão (Pa)]]/1000000</f>
        <v>5.0776825492713131</v>
      </c>
    </row>
    <row r="321" spans="1:6" x14ac:dyDescent="0.3">
      <c r="A321" s="5">
        <v>21.016999999999999</v>
      </c>
      <c r="B321" s="5">
        <v>1.7433000000000001</v>
      </c>
      <c r="C321" s="1">
        <f>Tabela1[[#This Row],[Alongamento (mm/mm)]]/$I$2</f>
        <v>3.4866000000000001E-2</v>
      </c>
      <c r="D321" s="5">
        <v>216.88</v>
      </c>
      <c r="E321" s="1">
        <f>Tabela1[[#This Row],[Força (N)]]/$I$5</f>
        <v>5117798.0820055883</v>
      </c>
      <c r="F321" s="1">
        <f>Tabela1[[#This Row],[Tensão (Pa)]]/1000000</f>
        <v>5.1177980820055886</v>
      </c>
    </row>
    <row r="322" spans="1:6" x14ac:dyDescent="0.3">
      <c r="A322" s="5">
        <v>21.067</v>
      </c>
      <c r="B322" s="5">
        <v>1.7476</v>
      </c>
      <c r="C322" s="1">
        <f>Tabela1[[#This Row],[Alongamento (mm/mm)]]/$I$2</f>
        <v>3.4952000000000004E-2</v>
      </c>
      <c r="D322" s="5">
        <v>218.24</v>
      </c>
      <c r="E322" s="1">
        <f>Tabela1[[#This Row],[Força (N)]]/$I$5</f>
        <v>5149890.5081930077</v>
      </c>
      <c r="F322" s="1">
        <f>Tabela1[[#This Row],[Tensão (Pa)]]/1000000</f>
        <v>5.1498905081930078</v>
      </c>
    </row>
    <row r="323" spans="1:6" x14ac:dyDescent="0.3">
      <c r="A323" s="5">
        <v>21.132999999999999</v>
      </c>
      <c r="B323" s="5">
        <v>1.7531000000000001</v>
      </c>
      <c r="C323" s="1">
        <f>Tabela1[[#This Row],[Alongamento (mm/mm)]]/$I$2</f>
        <v>3.5062000000000003E-2</v>
      </c>
      <c r="D323" s="5">
        <v>219.94</v>
      </c>
      <c r="E323" s="1">
        <f>Tabela1[[#This Row],[Força (N)]]/$I$5</f>
        <v>5190006.0409272825</v>
      </c>
      <c r="F323" s="1">
        <f>Tabela1[[#This Row],[Tensão (Pa)]]/1000000</f>
        <v>5.1900060409272823</v>
      </c>
    </row>
    <row r="324" spans="1:6" x14ac:dyDescent="0.3">
      <c r="A324" s="5">
        <v>21.2</v>
      </c>
      <c r="B324" s="5">
        <v>1.7585999999999999</v>
      </c>
      <c r="C324" s="1">
        <f>Tabela1[[#This Row],[Alongamento (mm/mm)]]/$I$2</f>
        <v>3.5172000000000002E-2</v>
      </c>
      <c r="D324" s="5">
        <v>221.64</v>
      </c>
      <c r="E324" s="1">
        <f>Tabela1[[#This Row],[Força (N)]]/$I$5</f>
        <v>5230121.5736615565</v>
      </c>
      <c r="F324" s="1">
        <f>Tabela1[[#This Row],[Tensão (Pa)]]/1000000</f>
        <v>5.2301215736615561</v>
      </c>
    </row>
    <row r="325" spans="1:6" x14ac:dyDescent="0.3">
      <c r="A325" s="5">
        <v>21.266999999999999</v>
      </c>
      <c r="B325" s="5">
        <v>1.7643</v>
      </c>
      <c r="C325" s="1">
        <f>Tabela1[[#This Row],[Alongamento (mm/mm)]]/$I$2</f>
        <v>3.5285999999999998E-2</v>
      </c>
      <c r="D325" s="5">
        <v>223.51</v>
      </c>
      <c r="E325" s="1">
        <f>Tabela1[[#This Row],[Força (N)]]/$I$5</f>
        <v>5274248.6596692596</v>
      </c>
      <c r="F325" s="1">
        <f>Tabela1[[#This Row],[Tensão (Pa)]]/1000000</f>
        <v>5.2742486596692597</v>
      </c>
    </row>
    <row r="326" spans="1:6" x14ac:dyDescent="0.3">
      <c r="A326" s="5">
        <v>21.332999999999998</v>
      </c>
      <c r="B326" s="5">
        <v>1.7698</v>
      </c>
      <c r="C326" s="1">
        <f>Tabela1[[#This Row],[Alongamento (mm/mm)]]/$I$2</f>
        <v>3.5396000000000004E-2</v>
      </c>
      <c r="D326" s="5">
        <v>225.21</v>
      </c>
      <c r="E326" s="1">
        <f>Tabela1[[#This Row],[Força (N)]]/$I$5</f>
        <v>5314364.1924035344</v>
      </c>
      <c r="F326" s="1">
        <f>Tabela1[[#This Row],[Tensão (Pa)]]/1000000</f>
        <v>5.3143641924035343</v>
      </c>
    </row>
    <row r="327" spans="1:6" x14ac:dyDescent="0.3">
      <c r="A327" s="5">
        <v>21.4</v>
      </c>
      <c r="B327" s="5">
        <v>1.7754000000000001</v>
      </c>
      <c r="C327" s="1">
        <f>Tabela1[[#This Row],[Alongamento (mm/mm)]]/$I$2</f>
        <v>3.5508000000000005E-2</v>
      </c>
      <c r="D327" s="5">
        <v>227.08</v>
      </c>
      <c r="E327" s="1">
        <f>Tabela1[[#This Row],[Força (N)]]/$I$5</f>
        <v>5358491.2784112366</v>
      </c>
      <c r="F327" s="1">
        <f>Tabela1[[#This Row],[Tensão (Pa)]]/1000000</f>
        <v>5.3584912784112362</v>
      </c>
    </row>
    <row r="328" spans="1:6" x14ac:dyDescent="0.3">
      <c r="A328" s="5">
        <v>21.466999999999999</v>
      </c>
      <c r="B328" s="5">
        <v>1.7808999999999999</v>
      </c>
      <c r="C328" s="1">
        <f>Tabela1[[#This Row],[Alongamento (mm/mm)]]/$I$2</f>
        <v>3.5617999999999997E-2</v>
      </c>
      <c r="D328" s="5">
        <v>228.78</v>
      </c>
      <c r="E328" s="1">
        <f>Tabela1[[#This Row],[Força (N)]]/$I$5</f>
        <v>5398606.8111455115</v>
      </c>
      <c r="F328" s="1">
        <f>Tabela1[[#This Row],[Tensão (Pa)]]/1000000</f>
        <v>5.3986068111455117</v>
      </c>
    </row>
    <row r="329" spans="1:6" x14ac:dyDescent="0.3">
      <c r="A329" s="5">
        <v>21.533000000000001</v>
      </c>
      <c r="B329" s="5">
        <v>1.7865</v>
      </c>
      <c r="C329" s="1">
        <f>Tabela1[[#This Row],[Alongamento (mm/mm)]]/$I$2</f>
        <v>3.5729999999999998E-2</v>
      </c>
      <c r="D329" s="5">
        <v>230.48</v>
      </c>
      <c r="E329" s="1">
        <f>Tabela1[[#This Row],[Força (N)]]/$I$5</f>
        <v>5438722.3438797854</v>
      </c>
      <c r="F329" s="1">
        <f>Tabela1[[#This Row],[Tensão (Pa)]]/1000000</f>
        <v>5.4387223438797854</v>
      </c>
    </row>
    <row r="330" spans="1:6" x14ac:dyDescent="0.3">
      <c r="A330" s="5">
        <v>21.6</v>
      </c>
      <c r="B330" s="5">
        <v>1.792</v>
      </c>
      <c r="C330" s="1">
        <f>Tabela1[[#This Row],[Alongamento (mm/mm)]]/$I$2</f>
        <v>3.5840000000000004E-2</v>
      </c>
      <c r="D330" s="5">
        <v>232.35</v>
      </c>
      <c r="E330" s="1">
        <f>Tabela1[[#This Row],[Força (N)]]/$I$5</f>
        <v>5482849.4298874876</v>
      </c>
      <c r="F330" s="1">
        <f>Tabela1[[#This Row],[Tensão (Pa)]]/1000000</f>
        <v>5.4828494298874872</v>
      </c>
    </row>
    <row r="331" spans="1:6" x14ac:dyDescent="0.3">
      <c r="A331" s="5">
        <v>21.667000000000002</v>
      </c>
      <c r="B331" s="5">
        <v>1.7976000000000001</v>
      </c>
      <c r="C331" s="1">
        <f>Tabela1[[#This Row],[Alongamento (mm/mm)]]/$I$2</f>
        <v>3.5952000000000005E-2</v>
      </c>
      <c r="D331" s="5">
        <v>234.23</v>
      </c>
      <c r="E331" s="1">
        <f>Tabela1[[#This Row],[Força (N)]]/$I$5</f>
        <v>5527212.4896171559</v>
      </c>
      <c r="F331" s="1">
        <f>Tabela1[[#This Row],[Tensão (Pa)]]/1000000</f>
        <v>5.5272124896171562</v>
      </c>
    </row>
    <row r="332" spans="1:6" x14ac:dyDescent="0.3">
      <c r="A332" s="5">
        <v>21.733000000000001</v>
      </c>
      <c r="B332" s="5">
        <v>1.8031999999999999</v>
      </c>
      <c r="C332" s="1">
        <f>Tabela1[[#This Row],[Alongamento (mm/mm)]]/$I$2</f>
        <v>3.6063999999999999E-2</v>
      </c>
      <c r="D332" s="5">
        <v>235.93</v>
      </c>
      <c r="E332" s="1">
        <f>Tabela1[[#This Row],[Força (N)]]/$I$5</f>
        <v>5567328.0223514317</v>
      </c>
      <c r="F332" s="1">
        <f>Tabela1[[#This Row],[Tensão (Pa)]]/1000000</f>
        <v>5.5673280223514316</v>
      </c>
    </row>
    <row r="333" spans="1:6" x14ac:dyDescent="0.3">
      <c r="A333" s="5">
        <v>21.8</v>
      </c>
      <c r="B333" s="5">
        <v>1.8088</v>
      </c>
      <c r="C333" s="1">
        <f>Tabela1[[#This Row],[Alongamento (mm/mm)]]/$I$2</f>
        <v>3.6176E-2</v>
      </c>
      <c r="D333" s="5">
        <v>237.8</v>
      </c>
      <c r="E333" s="1">
        <f>Tabela1[[#This Row],[Força (N)]]/$I$5</f>
        <v>5611455.1083591338</v>
      </c>
      <c r="F333" s="1">
        <f>Tabela1[[#This Row],[Tensão (Pa)]]/1000000</f>
        <v>5.6114551083591335</v>
      </c>
    </row>
    <row r="334" spans="1:6" x14ac:dyDescent="0.3">
      <c r="A334" s="5">
        <v>21.867000000000001</v>
      </c>
      <c r="B334" s="5">
        <v>1.8143</v>
      </c>
      <c r="C334" s="1">
        <f>Tabela1[[#This Row],[Alongamento (mm/mm)]]/$I$2</f>
        <v>3.6285999999999999E-2</v>
      </c>
      <c r="D334" s="5">
        <v>239.67</v>
      </c>
      <c r="E334" s="1">
        <f>Tabela1[[#This Row],[Força (N)]]/$I$5</f>
        <v>5655582.1943668351</v>
      </c>
      <c r="F334" s="1">
        <f>Tabela1[[#This Row],[Tensão (Pa)]]/1000000</f>
        <v>5.6555821943668354</v>
      </c>
    </row>
    <row r="335" spans="1:6" x14ac:dyDescent="0.3">
      <c r="A335" s="5">
        <v>21.933</v>
      </c>
      <c r="B335" s="5">
        <v>1.8198000000000001</v>
      </c>
      <c r="C335" s="1">
        <f>Tabela1[[#This Row],[Alongamento (mm/mm)]]/$I$2</f>
        <v>3.6396000000000005E-2</v>
      </c>
      <c r="D335" s="5">
        <v>241.37</v>
      </c>
      <c r="E335" s="1">
        <f>Tabela1[[#This Row],[Força (N)]]/$I$5</f>
        <v>5695697.7271011099</v>
      </c>
      <c r="F335" s="1">
        <f>Tabela1[[#This Row],[Tensão (Pa)]]/1000000</f>
        <v>5.69569772710111</v>
      </c>
    </row>
    <row r="336" spans="1:6" x14ac:dyDescent="0.3">
      <c r="A336" s="5">
        <v>22</v>
      </c>
      <c r="B336" s="5">
        <v>1.8252999999999999</v>
      </c>
      <c r="C336" s="1">
        <f>Tabela1[[#This Row],[Alongamento (mm/mm)]]/$I$2</f>
        <v>3.6505999999999997E-2</v>
      </c>
      <c r="D336" s="5">
        <v>243.24</v>
      </c>
      <c r="E336" s="1">
        <f>Tabela1[[#This Row],[Força (N)]]/$I$5</f>
        <v>5739824.813108813</v>
      </c>
      <c r="F336" s="1">
        <f>Tabela1[[#This Row],[Tensão (Pa)]]/1000000</f>
        <v>5.7398248131088128</v>
      </c>
    </row>
    <row r="337" spans="1:6" x14ac:dyDescent="0.3">
      <c r="A337" s="5">
        <v>22.067</v>
      </c>
      <c r="B337" s="5">
        <v>1.8308</v>
      </c>
      <c r="C337" s="1">
        <f>Tabela1[[#This Row],[Alongamento (mm/mm)]]/$I$2</f>
        <v>3.6616000000000003E-2</v>
      </c>
      <c r="D337" s="5">
        <v>245.11</v>
      </c>
      <c r="E337" s="1">
        <f>Tabela1[[#This Row],[Força (N)]]/$I$5</f>
        <v>5783951.8991165152</v>
      </c>
      <c r="F337" s="1">
        <f>Tabela1[[#This Row],[Tensão (Pa)]]/1000000</f>
        <v>5.7839518991165155</v>
      </c>
    </row>
    <row r="338" spans="1:6" x14ac:dyDescent="0.3">
      <c r="A338" s="5">
        <v>22.132999999999999</v>
      </c>
      <c r="B338" s="5">
        <v>1.8364</v>
      </c>
      <c r="C338" s="1">
        <f>Tabela1[[#This Row],[Alongamento (mm/mm)]]/$I$2</f>
        <v>3.6728000000000004E-2</v>
      </c>
      <c r="D338" s="5">
        <v>246.98</v>
      </c>
      <c r="E338" s="1">
        <f>Tabela1[[#This Row],[Força (N)]]/$I$5</f>
        <v>5828078.9851242164</v>
      </c>
      <c r="F338" s="1">
        <f>Tabela1[[#This Row],[Tensão (Pa)]]/1000000</f>
        <v>5.8280789851242165</v>
      </c>
    </row>
    <row r="339" spans="1:6" x14ac:dyDescent="0.3">
      <c r="A339" s="5">
        <v>22.2</v>
      </c>
      <c r="B339" s="5">
        <v>1.8421000000000001</v>
      </c>
      <c r="C339" s="1">
        <f>Tabela1[[#This Row],[Alongamento (mm/mm)]]/$I$2</f>
        <v>3.6842E-2</v>
      </c>
      <c r="D339" s="5">
        <v>248.85</v>
      </c>
      <c r="E339" s="1">
        <f>Tabela1[[#This Row],[Força (N)]]/$I$5</f>
        <v>5872206.0711319186</v>
      </c>
      <c r="F339" s="1">
        <f>Tabela1[[#This Row],[Tensão (Pa)]]/1000000</f>
        <v>5.8722060711319184</v>
      </c>
    </row>
    <row r="340" spans="1:6" x14ac:dyDescent="0.3">
      <c r="A340" s="5">
        <v>22.266999999999999</v>
      </c>
      <c r="B340" s="5">
        <v>1.8475999999999999</v>
      </c>
      <c r="C340" s="1">
        <f>Tabela1[[#This Row],[Alongamento (mm/mm)]]/$I$2</f>
        <v>3.6951999999999999E-2</v>
      </c>
      <c r="D340" s="5">
        <v>250.56</v>
      </c>
      <c r="E340" s="1">
        <f>Tabela1[[#This Row],[Força (N)]]/$I$5</f>
        <v>5912557.5775881596</v>
      </c>
      <c r="F340" s="1">
        <f>Tabela1[[#This Row],[Tensão (Pa)]]/1000000</f>
        <v>5.91255757758816</v>
      </c>
    </row>
    <row r="341" spans="1:6" x14ac:dyDescent="0.3">
      <c r="A341" s="5">
        <v>22.332999999999998</v>
      </c>
      <c r="B341" s="5">
        <v>1.8532</v>
      </c>
      <c r="C341" s="1">
        <f>Tabela1[[#This Row],[Alongamento (mm/mm)]]/$I$2</f>
        <v>3.7064E-2</v>
      </c>
      <c r="D341" s="5">
        <v>252.43</v>
      </c>
      <c r="E341" s="1">
        <f>Tabela1[[#This Row],[Força (N)]]/$I$5</f>
        <v>5956684.6635958627</v>
      </c>
      <c r="F341" s="1">
        <f>Tabela1[[#This Row],[Tensão (Pa)]]/1000000</f>
        <v>5.9566846635958628</v>
      </c>
    </row>
    <row r="342" spans="1:6" x14ac:dyDescent="0.3">
      <c r="A342" s="5">
        <v>22.4</v>
      </c>
      <c r="B342" s="5">
        <v>1.8587</v>
      </c>
      <c r="C342" s="1">
        <f>Tabela1[[#This Row],[Alongamento (mm/mm)]]/$I$2</f>
        <v>3.7173999999999999E-2</v>
      </c>
      <c r="D342" s="5">
        <v>254.3</v>
      </c>
      <c r="E342" s="1">
        <f>Tabela1[[#This Row],[Força (N)]]/$I$5</f>
        <v>6000811.7496035649</v>
      </c>
      <c r="F342" s="1">
        <f>Tabela1[[#This Row],[Tensão (Pa)]]/1000000</f>
        <v>6.0008117496035647</v>
      </c>
    </row>
    <row r="343" spans="1:6" x14ac:dyDescent="0.3">
      <c r="A343" s="5">
        <v>22.466999999999999</v>
      </c>
      <c r="B343" s="5">
        <v>1.8643000000000001</v>
      </c>
      <c r="C343" s="1">
        <f>Tabela1[[#This Row],[Alongamento (mm/mm)]]/$I$2</f>
        <v>3.7286E-2</v>
      </c>
      <c r="D343" s="5">
        <v>256.17</v>
      </c>
      <c r="E343" s="1">
        <f>Tabela1[[#This Row],[Força (N)]]/$I$5</f>
        <v>6044938.835611267</v>
      </c>
      <c r="F343" s="1">
        <f>Tabela1[[#This Row],[Tensão (Pa)]]/1000000</f>
        <v>6.0449388356112674</v>
      </c>
    </row>
    <row r="344" spans="1:6" x14ac:dyDescent="0.3">
      <c r="A344" s="5">
        <v>22.533000000000001</v>
      </c>
      <c r="B344" s="5">
        <v>1.8697999999999999</v>
      </c>
      <c r="C344" s="1">
        <f>Tabela1[[#This Row],[Alongamento (mm/mm)]]/$I$2</f>
        <v>3.7395999999999999E-2</v>
      </c>
      <c r="D344" s="5">
        <v>258.04000000000002</v>
      </c>
      <c r="E344" s="1">
        <f>Tabela1[[#This Row],[Força (N)]]/$I$5</f>
        <v>6089065.9216189692</v>
      </c>
      <c r="F344" s="1">
        <f>Tabela1[[#This Row],[Tensão (Pa)]]/1000000</f>
        <v>6.0890659216189693</v>
      </c>
    </row>
    <row r="345" spans="1:6" x14ac:dyDescent="0.3">
      <c r="A345" s="5">
        <v>22.6</v>
      </c>
      <c r="B345" s="5">
        <v>1.8754</v>
      </c>
      <c r="C345" s="1">
        <f>Tabela1[[#This Row],[Alongamento (mm/mm)]]/$I$2</f>
        <v>3.7508E-2</v>
      </c>
      <c r="D345" s="5">
        <v>259.74</v>
      </c>
      <c r="E345" s="1">
        <f>Tabela1[[#This Row],[Força (N)]]/$I$5</f>
        <v>6129181.454353244</v>
      </c>
      <c r="F345" s="1">
        <f>Tabela1[[#This Row],[Tensão (Pa)]]/1000000</f>
        <v>6.1291814543532439</v>
      </c>
    </row>
    <row r="346" spans="1:6" x14ac:dyDescent="0.3">
      <c r="A346" s="5">
        <v>22.667000000000002</v>
      </c>
      <c r="B346" s="5">
        <v>1.881</v>
      </c>
      <c r="C346" s="1">
        <f>Tabela1[[#This Row],[Alongamento (mm/mm)]]/$I$2</f>
        <v>3.7620000000000001E-2</v>
      </c>
      <c r="D346" s="5">
        <v>261.77999999999997</v>
      </c>
      <c r="E346" s="1">
        <f>Tabela1[[#This Row],[Força (N)]]/$I$5</f>
        <v>6177320.0936343726</v>
      </c>
      <c r="F346" s="1">
        <f>Tabela1[[#This Row],[Tensão (Pa)]]/1000000</f>
        <v>6.1773200936343722</v>
      </c>
    </row>
    <row r="347" spans="1:6" x14ac:dyDescent="0.3">
      <c r="A347" s="5">
        <v>22.75</v>
      </c>
      <c r="B347" s="5">
        <v>1.8878999999999999</v>
      </c>
      <c r="C347" s="1">
        <f>Tabela1[[#This Row],[Alongamento (mm/mm)]]/$I$2</f>
        <v>3.7758E-2</v>
      </c>
      <c r="D347" s="5">
        <v>264.16000000000003</v>
      </c>
      <c r="E347" s="1">
        <f>Tabela1[[#This Row],[Força (N)]]/$I$5</f>
        <v>6233481.8394623585</v>
      </c>
      <c r="F347" s="1">
        <f>Tabela1[[#This Row],[Tensão (Pa)]]/1000000</f>
        <v>6.2334818394623586</v>
      </c>
    </row>
    <row r="348" spans="1:6" x14ac:dyDescent="0.3">
      <c r="A348" s="5">
        <v>22.832999999999998</v>
      </c>
      <c r="B348" s="5">
        <v>1.8948</v>
      </c>
      <c r="C348" s="1">
        <f>Tabela1[[#This Row],[Alongamento (mm/mm)]]/$I$2</f>
        <v>3.7895999999999999E-2</v>
      </c>
      <c r="D348" s="5">
        <v>266.54000000000002</v>
      </c>
      <c r="E348" s="1">
        <f>Tabela1[[#This Row],[Força (N)]]/$I$5</f>
        <v>6289643.5852903426</v>
      </c>
      <c r="F348" s="1">
        <f>Tabela1[[#This Row],[Tensão (Pa)]]/1000000</f>
        <v>6.2896435852903423</v>
      </c>
    </row>
    <row r="349" spans="1:6" x14ac:dyDescent="0.3">
      <c r="A349" s="5">
        <v>22.917000000000002</v>
      </c>
      <c r="B349" s="5">
        <v>1.9017999999999999</v>
      </c>
      <c r="C349" s="1">
        <f>Tabela1[[#This Row],[Alongamento (mm/mm)]]/$I$2</f>
        <v>3.8036E-2</v>
      </c>
      <c r="D349" s="5">
        <v>268.93</v>
      </c>
      <c r="E349" s="1">
        <f>Tabela1[[#This Row],[Força (N)]]/$I$5</f>
        <v>6346041.3048402937</v>
      </c>
      <c r="F349" s="1">
        <f>Tabela1[[#This Row],[Tensão (Pa)]]/1000000</f>
        <v>6.3460413048402939</v>
      </c>
    </row>
    <row r="350" spans="1:6" x14ac:dyDescent="0.3">
      <c r="A350" s="5">
        <v>23</v>
      </c>
      <c r="B350" s="5">
        <v>1.9086000000000001</v>
      </c>
      <c r="C350" s="1">
        <f>Tabela1[[#This Row],[Alongamento (mm/mm)]]/$I$2</f>
        <v>3.8172000000000005E-2</v>
      </c>
      <c r="D350" s="5">
        <v>271.31</v>
      </c>
      <c r="E350" s="1">
        <f>Tabela1[[#This Row],[Força (N)]]/$I$5</f>
        <v>6402203.0506682778</v>
      </c>
      <c r="F350" s="1">
        <f>Tabela1[[#This Row],[Tensão (Pa)]]/1000000</f>
        <v>6.4022030506682777</v>
      </c>
    </row>
    <row r="351" spans="1:6" x14ac:dyDescent="0.3">
      <c r="A351" s="5">
        <v>23.067</v>
      </c>
      <c r="B351" s="5">
        <v>1.9141999999999999</v>
      </c>
      <c r="C351" s="1">
        <f>Tabela1[[#This Row],[Alongamento (mm/mm)]]/$I$2</f>
        <v>3.8283999999999999E-2</v>
      </c>
      <c r="D351" s="5">
        <v>273.35000000000002</v>
      </c>
      <c r="E351" s="1">
        <f>Tabela1[[#This Row],[Força (N)]]/$I$5</f>
        <v>6450341.6899494082</v>
      </c>
      <c r="F351" s="1">
        <f>Tabela1[[#This Row],[Tensão (Pa)]]/1000000</f>
        <v>6.4503416899494086</v>
      </c>
    </row>
    <row r="352" spans="1:6" x14ac:dyDescent="0.3">
      <c r="A352" s="5">
        <v>23.15</v>
      </c>
      <c r="B352" s="5">
        <v>1.9212</v>
      </c>
      <c r="C352" s="1">
        <f>Tabela1[[#This Row],[Alongamento (mm/mm)]]/$I$2</f>
        <v>3.8424E-2</v>
      </c>
      <c r="D352" s="5">
        <v>275.73</v>
      </c>
      <c r="E352" s="1">
        <f>Tabela1[[#This Row],[Força (N)]]/$I$5</f>
        <v>6506503.4357773922</v>
      </c>
      <c r="F352" s="1">
        <f>Tabela1[[#This Row],[Tensão (Pa)]]/1000000</f>
        <v>6.5065034357773923</v>
      </c>
    </row>
    <row r="353" spans="1:6" x14ac:dyDescent="0.3">
      <c r="A353" s="5">
        <v>23.233000000000001</v>
      </c>
      <c r="B353" s="5">
        <v>1.9281999999999999</v>
      </c>
      <c r="C353" s="1">
        <f>Tabela1[[#This Row],[Alongamento (mm/mm)]]/$I$2</f>
        <v>3.8564000000000001E-2</v>
      </c>
      <c r="D353" s="5">
        <v>278.11</v>
      </c>
      <c r="E353" s="1">
        <f>Tabela1[[#This Row],[Força (N)]]/$I$5</f>
        <v>6562665.1816053772</v>
      </c>
      <c r="F353" s="1">
        <f>Tabela1[[#This Row],[Tensão (Pa)]]/1000000</f>
        <v>6.5626651816053769</v>
      </c>
    </row>
    <row r="354" spans="1:6" x14ac:dyDescent="0.3">
      <c r="A354" s="5">
        <v>23.317</v>
      </c>
      <c r="B354" s="5">
        <v>1.9350000000000001</v>
      </c>
      <c r="C354" s="1">
        <f>Tabela1[[#This Row],[Alongamento (mm/mm)]]/$I$2</f>
        <v>3.8699999999999998E-2</v>
      </c>
      <c r="D354" s="5">
        <v>280.49</v>
      </c>
      <c r="E354" s="1">
        <f>Tabela1[[#This Row],[Força (N)]]/$I$5</f>
        <v>6618826.9274333613</v>
      </c>
      <c r="F354" s="1">
        <f>Tabela1[[#This Row],[Tensão (Pa)]]/1000000</f>
        <v>6.6188269274333615</v>
      </c>
    </row>
    <row r="355" spans="1:6" x14ac:dyDescent="0.3">
      <c r="A355" s="5">
        <v>23.382999999999999</v>
      </c>
      <c r="B355" s="5">
        <v>1.9406000000000001</v>
      </c>
      <c r="C355" s="1">
        <f>Tabela1[[#This Row],[Alongamento (mm/mm)]]/$I$2</f>
        <v>3.8811999999999999E-2</v>
      </c>
      <c r="D355" s="5">
        <v>282.52999999999997</v>
      </c>
      <c r="E355" s="1">
        <f>Tabela1[[#This Row],[Força (N)]]/$I$5</f>
        <v>6666965.5667144898</v>
      </c>
      <c r="F355" s="1">
        <f>Tabela1[[#This Row],[Tensão (Pa)]]/1000000</f>
        <v>6.6669655667144898</v>
      </c>
    </row>
    <row r="356" spans="1:6" x14ac:dyDescent="0.3">
      <c r="A356" s="5">
        <v>23.466999999999999</v>
      </c>
      <c r="B356" s="5">
        <v>1.9476</v>
      </c>
      <c r="C356" s="1">
        <f>Tabela1[[#This Row],[Alongamento (mm/mm)]]/$I$2</f>
        <v>3.8952000000000001E-2</v>
      </c>
      <c r="D356" s="5">
        <v>284.92</v>
      </c>
      <c r="E356" s="1">
        <f>Tabela1[[#This Row],[Força (N)]]/$I$5</f>
        <v>6723363.2862644419</v>
      </c>
      <c r="F356" s="1">
        <f>Tabela1[[#This Row],[Tensão (Pa)]]/1000000</f>
        <v>6.7233632862644424</v>
      </c>
    </row>
    <row r="357" spans="1:6" x14ac:dyDescent="0.3">
      <c r="A357" s="5">
        <v>23.533000000000001</v>
      </c>
      <c r="B357" s="5">
        <v>1.9532</v>
      </c>
      <c r="C357" s="1">
        <f>Tabela1[[#This Row],[Alongamento (mm/mm)]]/$I$2</f>
        <v>3.9064000000000002E-2</v>
      </c>
      <c r="D357" s="5">
        <v>286.95999999999998</v>
      </c>
      <c r="E357" s="1">
        <f>Tabela1[[#This Row],[Força (N)]]/$I$5</f>
        <v>6771501.9255455714</v>
      </c>
      <c r="F357" s="1">
        <f>Tabela1[[#This Row],[Tensão (Pa)]]/1000000</f>
        <v>6.7715019255455715</v>
      </c>
    </row>
    <row r="358" spans="1:6" x14ac:dyDescent="0.3">
      <c r="A358" s="5">
        <v>23.617000000000001</v>
      </c>
      <c r="B358" s="5">
        <v>1.9601</v>
      </c>
      <c r="C358" s="1">
        <f>Tabela1[[#This Row],[Alongamento (mm/mm)]]/$I$2</f>
        <v>3.9202000000000001E-2</v>
      </c>
      <c r="D358" s="5">
        <v>289.33999999999997</v>
      </c>
      <c r="E358" s="1">
        <f>Tabela1[[#This Row],[Força (N)]]/$I$5</f>
        <v>6827663.6713735554</v>
      </c>
      <c r="F358" s="1">
        <f>Tabela1[[#This Row],[Tensão (Pa)]]/1000000</f>
        <v>6.8276636713735552</v>
      </c>
    </row>
    <row r="359" spans="1:6" x14ac:dyDescent="0.3">
      <c r="A359" s="5">
        <v>23.7</v>
      </c>
      <c r="B359" s="5">
        <v>1.9671000000000001</v>
      </c>
      <c r="C359" s="1">
        <f>Tabela1[[#This Row],[Alongamento (mm/mm)]]/$I$2</f>
        <v>3.9342000000000002E-2</v>
      </c>
      <c r="D359" s="5">
        <v>291.72000000000003</v>
      </c>
      <c r="E359" s="1">
        <f>Tabela1[[#This Row],[Força (N)]]/$I$5</f>
        <v>6883825.4172015414</v>
      </c>
      <c r="F359" s="1">
        <f>Tabela1[[#This Row],[Tensão (Pa)]]/1000000</f>
        <v>6.8838254172015416</v>
      </c>
    </row>
    <row r="360" spans="1:6" x14ac:dyDescent="0.3">
      <c r="A360" s="5">
        <v>23.766999999999999</v>
      </c>
      <c r="B360" s="5">
        <v>1.9725999999999999</v>
      </c>
      <c r="C360" s="1">
        <f>Tabela1[[#This Row],[Alongamento (mm/mm)]]/$I$2</f>
        <v>3.9452000000000001E-2</v>
      </c>
      <c r="D360" s="5">
        <v>293.76</v>
      </c>
      <c r="E360" s="1">
        <f>Tabela1[[#This Row],[Força (N)]]/$I$5</f>
        <v>6931964.0564826699</v>
      </c>
      <c r="F360" s="1">
        <f>Tabela1[[#This Row],[Tensão (Pa)]]/1000000</f>
        <v>6.9319640564826699</v>
      </c>
    </row>
    <row r="361" spans="1:6" x14ac:dyDescent="0.3">
      <c r="A361" s="5">
        <v>23.85</v>
      </c>
      <c r="B361" s="5">
        <v>1.9795</v>
      </c>
      <c r="C361" s="1">
        <f>Tabela1[[#This Row],[Alongamento (mm/mm)]]/$I$2</f>
        <v>3.959E-2</v>
      </c>
      <c r="D361" s="5">
        <v>296.14</v>
      </c>
      <c r="E361" s="1">
        <f>Tabela1[[#This Row],[Força (N)]]/$I$5</f>
        <v>6988125.8023106549</v>
      </c>
      <c r="F361" s="1">
        <f>Tabela1[[#This Row],[Tensão (Pa)]]/1000000</f>
        <v>6.9881258023106545</v>
      </c>
    </row>
    <row r="362" spans="1:6" x14ac:dyDescent="0.3">
      <c r="A362" s="5">
        <v>23.917000000000002</v>
      </c>
      <c r="B362" s="5">
        <v>1.9851000000000001</v>
      </c>
      <c r="C362" s="1">
        <f>Tabela1[[#This Row],[Alongamento (mm/mm)]]/$I$2</f>
        <v>3.9702000000000001E-2</v>
      </c>
      <c r="D362" s="5">
        <v>298.18</v>
      </c>
      <c r="E362" s="1">
        <f>Tabela1[[#This Row],[Força (N)]]/$I$5</f>
        <v>7036264.4415917844</v>
      </c>
      <c r="F362" s="1">
        <f>Tabela1[[#This Row],[Tensão (Pa)]]/1000000</f>
        <v>7.0362644415917845</v>
      </c>
    </row>
    <row r="363" spans="1:6" x14ac:dyDescent="0.3">
      <c r="A363" s="5">
        <v>24</v>
      </c>
      <c r="B363" s="5">
        <v>1.992</v>
      </c>
      <c r="C363" s="1">
        <f>Tabela1[[#This Row],[Alongamento (mm/mm)]]/$I$2</f>
        <v>3.984E-2</v>
      </c>
      <c r="D363" s="5">
        <v>300.56</v>
      </c>
      <c r="E363" s="1">
        <f>Tabela1[[#This Row],[Força (N)]]/$I$5</f>
        <v>7092426.1874197694</v>
      </c>
      <c r="F363" s="1">
        <f>Tabela1[[#This Row],[Tensão (Pa)]]/1000000</f>
        <v>7.0924261874197692</v>
      </c>
    </row>
    <row r="364" spans="1:6" x14ac:dyDescent="0.3">
      <c r="A364" s="5">
        <v>24.067</v>
      </c>
      <c r="B364" s="5">
        <v>1.9976</v>
      </c>
      <c r="C364" s="1">
        <f>Tabela1[[#This Row],[Alongamento (mm/mm)]]/$I$2</f>
        <v>3.9952000000000001E-2</v>
      </c>
      <c r="D364" s="5">
        <v>302.61</v>
      </c>
      <c r="E364" s="1">
        <f>Tabela1[[#This Row],[Força (N)]]/$I$5</f>
        <v>7140800.800422865</v>
      </c>
      <c r="F364" s="1">
        <f>Tabela1[[#This Row],[Tensão (Pa)]]/1000000</f>
        <v>7.1408008004228654</v>
      </c>
    </row>
    <row r="365" spans="1:6" x14ac:dyDescent="0.3">
      <c r="A365" s="5">
        <v>24.15</v>
      </c>
      <c r="B365" s="5">
        <v>2.0045999999999999</v>
      </c>
      <c r="C365" s="1">
        <f>Tabela1[[#This Row],[Alongamento (mm/mm)]]/$I$2</f>
        <v>4.0091999999999996E-2</v>
      </c>
      <c r="D365" s="5">
        <v>304.99</v>
      </c>
      <c r="E365" s="1">
        <f>Tabela1[[#This Row],[Força (N)]]/$I$5</f>
        <v>7196962.54625085</v>
      </c>
      <c r="F365" s="1">
        <f>Tabela1[[#This Row],[Tensão (Pa)]]/1000000</f>
        <v>7.19696254625085</v>
      </c>
    </row>
    <row r="366" spans="1:6" x14ac:dyDescent="0.3">
      <c r="A366" s="5">
        <v>24.233000000000001</v>
      </c>
      <c r="B366" s="5">
        <v>2.0114000000000001</v>
      </c>
      <c r="C366" s="1">
        <f>Tabela1[[#This Row],[Alongamento (mm/mm)]]/$I$2</f>
        <v>4.0228E-2</v>
      </c>
      <c r="D366" s="5">
        <v>307.54000000000002</v>
      </c>
      <c r="E366" s="1">
        <f>Tabela1[[#This Row],[Força (N)]]/$I$5</f>
        <v>7257135.8453522623</v>
      </c>
      <c r="F366" s="1">
        <f>Tabela1[[#This Row],[Tensão (Pa)]]/1000000</f>
        <v>7.2571358453522619</v>
      </c>
    </row>
    <row r="367" spans="1:6" x14ac:dyDescent="0.3">
      <c r="A367" s="5">
        <v>24.317</v>
      </c>
      <c r="B367" s="5">
        <v>2.0184000000000002</v>
      </c>
      <c r="C367" s="1">
        <f>Tabela1[[#This Row],[Alongamento (mm/mm)]]/$I$2</f>
        <v>4.0368000000000001E-2</v>
      </c>
      <c r="D367" s="5">
        <v>310.08999999999997</v>
      </c>
      <c r="E367" s="1">
        <f>Tabela1[[#This Row],[Força (N)]]/$I$5</f>
        <v>7317309.1444536736</v>
      </c>
      <c r="F367" s="1">
        <f>Tabela1[[#This Row],[Tensão (Pa)]]/1000000</f>
        <v>7.3173091444536738</v>
      </c>
    </row>
    <row r="368" spans="1:6" x14ac:dyDescent="0.3">
      <c r="A368" s="5">
        <v>24.4</v>
      </c>
      <c r="B368" s="5">
        <v>2.0253999999999999</v>
      </c>
      <c r="C368" s="1">
        <f>Tabela1[[#This Row],[Alongamento (mm/mm)]]/$I$2</f>
        <v>4.0507999999999995E-2</v>
      </c>
      <c r="D368" s="5">
        <v>312.47000000000003</v>
      </c>
      <c r="E368" s="1">
        <f>Tabela1[[#This Row],[Força (N)]]/$I$5</f>
        <v>7373470.8902816586</v>
      </c>
      <c r="F368" s="1">
        <f>Tabela1[[#This Row],[Tensão (Pa)]]/1000000</f>
        <v>7.3734708902816584</v>
      </c>
    </row>
    <row r="369" spans="1:6" x14ac:dyDescent="0.3">
      <c r="A369" s="5">
        <v>24.483000000000001</v>
      </c>
      <c r="B369" s="5">
        <v>2.0322</v>
      </c>
      <c r="C369" s="1">
        <f>Tabela1[[#This Row],[Alongamento (mm/mm)]]/$I$2</f>
        <v>4.0644E-2</v>
      </c>
      <c r="D369" s="5">
        <v>315.02</v>
      </c>
      <c r="E369" s="1">
        <f>Tabela1[[#This Row],[Força (N)]]/$I$5</f>
        <v>7433644.18938307</v>
      </c>
      <c r="F369" s="1">
        <f>Tabela1[[#This Row],[Tensão (Pa)]]/1000000</f>
        <v>7.4336441893830703</v>
      </c>
    </row>
    <row r="370" spans="1:6" x14ac:dyDescent="0.3">
      <c r="A370" s="5">
        <v>24.567</v>
      </c>
      <c r="B370" s="5">
        <v>2.0392999999999999</v>
      </c>
      <c r="C370" s="1">
        <f>Tabela1[[#This Row],[Alongamento (mm/mm)]]/$I$2</f>
        <v>4.0785999999999996E-2</v>
      </c>
      <c r="D370" s="5">
        <v>317.57</v>
      </c>
      <c r="E370" s="1">
        <f>Tabela1[[#This Row],[Força (N)]]/$I$5</f>
        <v>7493817.4884844823</v>
      </c>
      <c r="F370" s="1">
        <f>Tabela1[[#This Row],[Tensão (Pa)]]/1000000</f>
        <v>7.4938174884844821</v>
      </c>
    </row>
    <row r="371" spans="1:6" x14ac:dyDescent="0.3">
      <c r="A371" s="5">
        <v>24.65</v>
      </c>
      <c r="B371" s="5">
        <v>2.0463</v>
      </c>
      <c r="C371" s="1">
        <f>Tabela1[[#This Row],[Alongamento (mm/mm)]]/$I$2</f>
        <v>4.0925999999999997E-2</v>
      </c>
      <c r="D371" s="5">
        <v>320.13</v>
      </c>
      <c r="E371" s="1">
        <f>Tabela1[[#This Row],[Força (N)]]/$I$5</f>
        <v>7554226.7613078607</v>
      </c>
      <c r="F371" s="1">
        <f>Tabela1[[#This Row],[Tensão (Pa)]]/1000000</f>
        <v>7.5542267613078611</v>
      </c>
    </row>
    <row r="372" spans="1:6" x14ac:dyDescent="0.3">
      <c r="A372" s="5">
        <v>24.733000000000001</v>
      </c>
      <c r="B372" s="5">
        <v>2.0531000000000001</v>
      </c>
      <c r="C372" s="1">
        <f>Tabela1[[#This Row],[Alongamento (mm/mm)]]/$I$2</f>
        <v>4.1062000000000001E-2</v>
      </c>
      <c r="D372" s="5">
        <v>322.51</v>
      </c>
      <c r="E372" s="1">
        <f>Tabela1[[#This Row],[Força (N)]]/$I$5</f>
        <v>7610388.5071358457</v>
      </c>
      <c r="F372" s="1">
        <f>Tabela1[[#This Row],[Tensão (Pa)]]/1000000</f>
        <v>7.6103885071358457</v>
      </c>
    </row>
    <row r="373" spans="1:6" x14ac:dyDescent="0.3">
      <c r="A373" s="5">
        <v>24.817</v>
      </c>
      <c r="B373" s="5">
        <v>2.0600999999999998</v>
      </c>
      <c r="C373" s="1">
        <f>Tabela1[[#This Row],[Alongamento (mm/mm)]]/$I$2</f>
        <v>4.1201999999999996E-2</v>
      </c>
      <c r="D373" s="5">
        <v>325.06</v>
      </c>
      <c r="E373" s="1">
        <f>Tabela1[[#This Row],[Força (N)]]/$I$5</f>
        <v>7670561.806237258</v>
      </c>
      <c r="F373" s="1">
        <f>Tabela1[[#This Row],[Tensão (Pa)]]/1000000</f>
        <v>7.6705618062372576</v>
      </c>
    </row>
    <row r="374" spans="1:6" x14ac:dyDescent="0.3">
      <c r="A374" s="5">
        <v>24.9</v>
      </c>
      <c r="B374" s="5">
        <v>2.0670999999999999</v>
      </c>
      <c r="C374" s="1">
        <f>Tabela1[[#This Row],[Alongamento (mm/mm)]]/$I$2</f>
        <v>4.1341999999999997E-2</v>
      </c>
      <c r="D374" s="5">
        <v>327.61</v>
      </c>
      <c r="E374" s="1">
        <f>Tabela1[[#This Row],[Força (N)]]/$I$5</f>
        <v>7730735.1053386703</v>
      </c>
      <c r="F374" s="1">
        <f>Tabela1[[#This Row],[Tensão (Pa)]]/1000000</f>
        <v>7.7307351053386704</v>
      </c>
    </row>
    <row r="375" spans="1:6" x14ac:dyDescent="0.3">
      <c r="A375" s="5">
        <v>24.983000000000001</v>
      </c>
      <c r="B375" s="5">
        <v>2.0739999999999998</v>
      </c>
      <c r="C375" s="1">
        <f>Tabela1[[#This Row],[Alongamento (mm/mm)]]/$I$2</f>
        <v>4.1479999999999996E-2</v>
      </c>
      <c r="D375" s="5">
        <v>330.16</v>
      </c>
      <c r="E375" s="1">
        <f>Tabela1[[#This Row],[Força (N)]]/$I$5</f>
        <v>7790908.4044400826</v>
      </c>
      <c r="F375" s="1">
        <f>Tabela1[[#This Row],[Tensão (Pa)]]/1000000</f>
        <v>7.7909084044400823</v>
      </c>
    </row>
    <row r="376" spans="1:6" x14ac:dyDescent="0.3">
      <c r="A376" s="5">
        <v>25.067</v>
      </c>
      <c r="B376" s="5">
        <v>2.0809000000000002</v>
      </c>
      <c r="C376" s="1">
        <f>Tabela1[[#This Row],[Alongamento (mm/mm)]]/$I$2</f>
        <v>4.1618000000000002E-2</v>
      </c>
      <c r="D376" s="5">
        <v>332.71</v>
      </c>
      <c r="E376" s="1">
        <f>Tabela1[[#This Row],[Força (N)]]/$I$5</f>
        <v>7851081.703541493</v>
      </c>
      <c r="F376" s="1">
        <f>Tabela1[[#This Row],[Tensão (Pa)]]/1000000</f>
        <v>7.8510817035414933</v>
      </c>
    </row>
    <row r="377" spans="1:6" x14ac:dyDescent="0.3">
      <c r="A377" s="5">
        <v>25.15</v>
      </c>
      <c r="B377" s="5">
        <v>2.0878000000000001</v>
      </c>
      <c r="C377" s="1">
        <f>Tabela1[[#This Row],[Alongamento (mm/mm)]]/$I$2</f>
        <v>4.1756000000000001E-2</v>
      </c>
      <c r="D377" s="5">
        <v>335.26</v>
      </c>
      <c r="E377" s="1">
        <f>Tabela1[[#This Row],[Força (N)]]/$I$5</f>
        <v>7911255.0026429053</v>
      </c>
      <c r="F377" s="1">
        <f>Tabela1[[#This Row],[Tensão (Pa)]]/1000000</f>
        <v>7.9112550026429052</v>
      </c>
    </row>
    <row r="378" spans="1:6" x14ac:dyDescent="0.3">
      <c r="A378" s="5">
        <v>25.233000000000001</v>
      </c>
      <c r="B378" s="5">
        <v>2.0947</v>
      </c>
      <c r="C378" s="1">
        <f>Tabela1[[#This Row],[Alongamento (mm/mm)]]/$I$2</f>
        <v>4.1894000000000001E-2</v>
      </c>
      <c r="D378" s="5">
        <v>337.82</v>
      </c>
      <c r="E378" s="1">
        <f>Tabela1[[#This Row],[Força (N)]]/$I$5</f>
        <v>7971664.2754662838</v>
      </c>
      <c r="F378" s="1">
        <f>Tabela1[[#This Row],[Tensão (Pa)]]/1000000</f>
        <v>7.9716642754662841</v>
      </c>
    </row>
    <row r="379" spans="1:6" x14ac:dyDescent="0.3">
      <c r="A379" s="5">
        <v>25.317</v>
      </c>
      <c r="B379" s="5">
        <v>2.1017000000000001</v>
      </c>
      <c r="C379" s="1">
        <f>Tabela1[[#This Row],[Alongamento (mm/mm)]]/$I$2</f>
        <v>4.2034000000000002E-2</v>
      </c>
      <c r="D379" s="5">
        <v>340.37</v>
      </c>
      <c r="E379" s="1">
        <f>Tabela1[[#This Row],[Força (N)]]/$I$5</f>
        <v>8031837.5745676961</v>
      </c>
      <c r="F379" s="1">
        <f>Tabela1[[#This Row],[Tensão (Pa)]]/1000000</f>
        <v>8.031837574567696</v>
      </c>
    </row>
    <row r="380" spans="1:6" x14ac:dyDescent="0.3">
      <c r="A380" s="5">
        <v>25.4</v>
      </c>
      <c r="B380" s="5">
        <v>2.1086999999999998</v>
      </c>
      <c r="C380" s="1">
        <f>Tabela1[[#This Row],[Alongamento (mm/mm)]]/$I$2</f>
        <v>4.2173999999999996E-2</v>
      </c>
      <c r="D380" s="5">
        <v>342.92</v>
      </c>
      <c r="E380" s="1">
        <f>Tabela1[[#This Row],[Força (N)]]/$I$5</f>
        <v>8092010.8736691084</v>
      </c>
      <c r="F380" s="1">
        <f>Tabela1[[#This Row],[Tensão (Pa)]]/1000000</f>
        <v>8.0920108736691088</v>
      </c>
    </row>
    <row r="381" spans="1:6" x14ac:dyDescent="0.3">
      <c r="A381" s="5">
        <v>25.483000000000001</v>
      </c>
      <c r="B381" s="5">
        <v>2.1156000000000001</v>
      </c>
      <c r="C381" s="1">
        <f>Tabela1[[#This Row],[Alongamento (mm/mm)]]/$I$2</f>
        <v>4.2312000000000002E-2</v>
      </c>
      <c r="D381" s="5">
        <v>345.47</v>
      </c>
      <c r="E381" s="1">
        <f>Tabela1[[#This Row],[Força (N)]]/$I$5</f>
        <v>8152184.1727705207</v>
      </c>
      <c r="F381" s="1">
        <f>Tabela1[[#This Row],[Tensão (Pa)]]/1000000</f>
        <v>8.1521841727705215</v>
      </c>
    </row>
    <row r="382" spans="1:6" x14ac:dyDescent="0.3">
      <c r="A382" s="5">
        <v>25.567</v>
      </c>
      <c r="B382" s="5">
        <v>2.1227</v>
      </c>
      <c r="C382" s="1">
        <f>Tabela1[[#This Row],[Alongamento (mm/mm)]]/$I$2</f>
        <v>4.2453999999999999E-2</v>
      </c>
      <c r="D382" s="5">
        <v>348.02</v>
      </c>
      <c r="E382" s="1">
        <f>Tabela1[[#This Row],[Força (N)]]/$I$5</f>
        <v>8212357.471871932</v>
      </c>
      <c r="F382" s="1">
        <f>Tabela1[[#This Row],[Tensão (Pa)]]/1000000</f>
        <v>8.2123574718719325</v>
      </c>
    </row>
    <row r="383" spans="1:6" x14ac:dyDescent="0.3">
      <c r="A383" s="5">
        <v>25.65</v>
      </c>
      <c r="B383" s="5">
        <v>2.1295000000000002</v>
      </c>
      <c r="C383" s="1">
        <f>Tabela1[[#This Row],[Alongamento (mm/mm)]]/$I$2</f>
        <v>4.2590000000000003E-2</v>
      </c>
      <c r="D383" s="5">
        <v>350.57</v>
      </c>
      <c r="E383" s="1">
        <f>Tabela1[[#This Row],[Força (N)]]/$I$5</f>
        <v>8272530.7709733443</v>
      </c>
      <c r="F383" s="1">
        <f>Tabela1[[#This Row],[Tensão (Pa)]]/1000000</f>
        <v>8.2725307709733436</v>
      </c>
    </row>
    <row r="384" spans="1:6" x14ac:dyDescent="0.3">
      <c r="A384" s="5">
        <v>25.75</v>
      </c>
      <c r="B384" s="5">
        <v>2.1379000000000001</v>
      </c>
      <c r="C384" s="1">
        <f>Tabela1[[#This Row],[Alongamento (mm/mm)]]/$I$2</f>
        <v>4.2758000000000004E-2</v>
      </c>
      <c r="D384" s="5">
        <v>353.64</v>
      </c>
      <c r="E384" s="1">
        <f>Tabela1[[#This Row],[Força (N)]]/$I$5</f>
        <v>8344974.7036170047</v>
      </c>
      <c r="F384" s="1">
        <f>Tabela1[[#This Row],[Tensão (Pa)]]/1000000</f>
        <v>8.3449747036170052</v>
      </c>
    </row>
    <row r="385" spans="1:6" x14ac:dyDescent="0.3">
      <c r="A385" s="5">
        <v>25.85</v>
      </c>
      <c r="B385" s="5">
        <v>2.1461999999999999</v>
      </c>
      <c r="C385" s="1">
        <f>Tabela1[[#This Row],[Alongamento (mm/mm)]]/$I$2</f>
        <v>4.2923999999999997E-2</v>
      </c>
      <c r="D385" s="5">
        <v>356.7</v>
      </c>
      <c r="E385" s="1">
        <f>Tabela1[[#This Row],[Força (N)]]/$I$5</f>
        <v>8417182.6625386998</v>
      </c>
      <c r="F385" s="1">
        <f>Tabela1[[#This Row],[Tensão (Pa)]]/1000000</f>
        <v>8.4171826625386998</v>
      </c>
    </row>
    <row r="386" spans="1:6" x14ac:dyDescent="0.3">
      <c r="A386" s="5">
        <v>25.95</v>
      </c>
      <c r="B386" s="5">
        <v>2.1545999999999998</v>
      </c>
      <c r="C386" s="1">
        <f>Tabela1[[#This Row],[Alongamento (mm/mm)]]/$I$2</f>
        <v>4.3091999999999998E-2</v>
      </c>
      <c r="D386" s="5">
        <v>359.76</v>
      </c>
      <c r="E386" s="1">
        <f>Tabela1[[#This Row],[Força (N)]]/$I$5</f>
        <v>8489390.6214603949</v>
      </c>
      <c r="F386" s="1">
        <f>Tabela1[[#This Row],[Tensão (Pa)]]/1000000</f>
        <v>8.4893906214603945</v>
      </c>
    </row>
    <row r="387" spans="1:6" x14ac:dyDescent="0.3">
      <c r="A387" s="5">
        <v>26.05</v>
      </c>
      <c r="B387" s="5">
        <v>2.1629</v>
      </c>
      <c r="C387" s="1">
        <f>Tabela1[[#This Row],[Alongamento (mm/mm)]]/$I$2</f>
        <v>4.3257999999999998E-2</v>
      </c>
      <c r="D387" s="5">
        <v>362.99</v>
      </c>
      <c r="E387" s="1">
        <f>Tabela1[[#This Row],[Força (N)]]/$I$5</f>
        <v>8565610.1336555164</v>
      </c>
      <c r="F387" s="1">
        <f>Tabela1[[#This Row],[Tensão (Pa)]]/1000000</f>
        <v>8.5656101336555164</v>
      </c>
    </row>
    <row r="388" spans="1:6" x14ac:dyDescent="0.3">
      <c r="A388" s="5">
        <v>26.15</v>
      </c>
      <c r="B388" s="5">
        <v>2.1711999999999998</v>
      </c>
      <c r="C388" s="1">
        <f>Tabela1[[#This Row],[Alongamento (mm/mm)]]/$I$2</f>
        <v>4.3423999999999997E-2</v>
      </c>
      <c r="D388" s="5">
        <v>366.05</v>
      </c>
      <c r="E388" s="1">
        <f>Tabela1[[#This Row],[Força (N)]]/$I$5</f>
        <v>8637818.0925772116</v>
      </c>
      <c r="F388" s="1">
        <f>Tabela1[[#This Row],[Tensão (Pa)]]/1000000</f>
        <v>8.637818092577211</v>
      </c>
    </row>
    <row r="389" spans="1:6" x14ac:dyDescent="0.3">
      <c r="A389" s="5">
        <v>26.233000000000001</v>
      </c>
      <c r="B389" s="5">
        <v>2.1781000000000001</v>
      </c>
      <c r="C389" s="1">
        <f>Tabela1[[#This Row],[Alongamento (mm/mm)]]/$I$2</f>
        <v>4.3562000000000003E-2</v>
      </c>
      <c r="D389" s="5">
        <v>368.77</v>
      </c>
      <c r="E389" s="1">
        <f>Tabela1[[#This Row],[Força (N)]]/$I$5</f>
        <v>8702002.9449520502</v>
      </c>
      <c r="F389" s="1">
        <f>Tabela1[[#This Row],[Tensão (Pa)]]/1000000</f>
        <v>8.7020029449520511</v>
      </c>
    </row>
    <row r="390" spans="1:6" x14ac:dyDescent="0.3">
      <c r="A390" s="5">
        <v>26.317</v>
      </c>
      <c r="B390" s="5">
        <v>2.1852</v>
      </c>
      <c r="C390" s="1">
        <f>Tabela1[[#This Row],[Alongamento (mm/mm)]]/$I$2</f>
        <v>4.3704E-2</v>
      </c>
      <c r="D390" s="5">
        <v>371.5</v>
      </c>
      <c r="E390" s="1">
        <f>Tabela1[[#This Row],[Força (N)]]/$I$5</f>
        <v>8766423.7710488569</v>
      </c>
      <c r="F390" s="1">
        <f>Tabela1[[#This Row],[Tensão (Pa)]]/1000000</f>
        <v>8.7664237710488564</v>
      </c>
    </row>
    <row r="391" spans="1:6" x14ac:dyDescent="0.3">
      <c r="A391" s="5">
        <v>26.4</v>
      </c>
      <c r="B391" s="5">
        <v>2.1920999999999999</v>
      </c>
      <c r="C391" s="1">
        <f>Tabela1[[#This Row],[Alongamento (mm/mm)]]/$I$2</f>
        <v>4.3841999999999999E-2</v>
      </c>
      <c r="D391" s="5">
        <v>374.22</v>
      </c>
      <c r="E391" s="1">
        <f>Tabela1[[#This Row],[Força (N)]]/$I$5</f>
        <v>8830608.6234236956</v>
      </c>
      <c r="F391" s="1">
        <f>Tabela1[[#This Row],[Tensão (Pa)]]/1000000</f>
        <v>8.8306086234236947</v>
      </c>
    </row>
    <row r="392" spans="1:6" x14ac:dyDescent="0.3">
      <c r="A392" s="5">
        <v>26.483000000000001</v>
      </c>
      <c r="B392" s="5">
        <v>2.1989999999999998</v>
      </c>
      <c r="C392" s="1">
        <f>Tabela1[[#This Row],[Alongamento (mm/mm)]]/$I$2</f>
        <v>4.3979999999999998E-2</v>
      </c>
      <c r="D392" s="5">
        <v>376.94</v>
      </c>
      <c r="E392" s="1">
        <f>Tabela1[[#This Row],[Força (N)]]/$I$5</f>
        <v>8894793.4757985361</v>
      </c>
      <c r="F392" s="1">
        <f>Tabela1[[#This Row],[Tensão (Pa)]]/1000000</f>
        <v>8.8947934757985365</v>
      </c>
    </row>
    <row r="393" spans="1:6" x14ac:dyDescent="0.3">
      <c r="A393" s="5">
        <v>26.567</v>
      </c>
      <c r="B393" s="5">
        <v>2.2059000000000002</v>
      </c>
      <c r="C393" s="1">
        <f>Tabela1[[#This Row],[Alongamento (mm/mm)]]/$I$2</f>
        <v>4.4118000000000004E-2</v>
      </c>
      <c r="D393" s="5">
        <v>379.66</v>
      </c>
      <c r="E393" s="1">
        <f>Tabela1[[#This Row],[Força (N)]]/$I$5</f>
        <v>8958978.3281733748</v>
      </c>
      <c r="F393" s="1">
        <f>Tabela1[[#This Row],[Tensão (Pa)]]/1000000</f>
        <v>8.9589783281733748</v>
      </c>
    </row>
    <row r="394" spans="1:6" x14ac:dyDescent="0.3">
      <c r="A394" s="5">
        <v>26.65</v>
      </c>
      <c r="B394" s="5">
        <v>2.2128000000000001</v>
      </c>
      <c r="C394" s="1">
        <f>Tabela1[[#This Row],[Alongamento (mm/mm)]]/$I$2</f>
        <v>4.4256000000000004E-2</v>
      </c>
      <c r="D394" s="5">
        <v>382.38</v>
      </c>
      <c r="E394" s="1">
        <f>Tabela1[[#This Row],[Força (N)]]/$I$5</f>
        <v>9023163.1805482134</v>
      </c>
      <c r="F394" s="1">
        <f>Tabela1[[#This Row],[Tensão (Pa)]]/1000000</f>
        <v>9.0231631805482131</v>
      </c>
    </row>
    <row r="395" spans="1:6" x14ac:dyDescent="0.3">
      <c r="A395" s="5">
        <v>26.733000000000001</v>
      </c>
      <c r="B395" s="5">
        <v>2.2198000000000002</v>
      </c>
      <c r="C395" s="1">
        <f>Tabela1[[#This Row],[Alongamento (mm/mm)]]/$I$2</f>
        <v>4.4396000000000005E-2</v>
      </c>
      <c r="D395" s="5">
        <v>385.1</v>
      </c>
      <c r="E395" s="1">
        <f>Tabela1[[#This Row],[Força (N)]]/$I$5</f>
        <v>9087348.032923054</v>
      </c>
      <c r="F395" s="1">
        <f>Tabela1[[#This Row],[Tensão (Pa)]]/1000000</f>
        <v>9.0873480329230532</v>
      </c>
    </row>
    <row r="396" spans="1:6" x14ac:dyDescent="0.3">
      <c r="A396" s="5">
        <v>26.817</v>
      </c>
      <c r="B396" s="5">
        <v>2.2267999999999999</v>
      </c>
      <c r="C396" s="1">
        <f>Tabela1[[#This Row],[Alongamento (mm/mm)]]/$I$2</f>
        <v>4.4535999999999999E-2</v>
      </c>
      <c r="D396" s="5">
        <v>388</v>
      </c>
      <c r="E396" s="1">
        <f>Tabela1[[#This Row],[Força (N)]]/$I$5</f>
        <v>9155780.412293287</v>
      </c>
      <c r="F396" s="1">
        <f>Tabela1[[#This Row],[Tensão (Pa)]]/1000000</f>
        <v>9.1557804122932875</v>
      </c>
    </row>
    <row r="397" spans="1:6" x14ac:dyDescent="0.3">
      <c r="A397" s="5">
        <v>26.9</v>
      </c>
      <c r="B397" s="5">
        <v>2.2336999999999998</v>
      </c>
      <c r="C397" s="1">
        <f>Tabela1[[#This Row],[Alongamento (mm/mm)]]/$I$2</f>
        <v>4.4673999999999998E-2</v>
      </c>
      <c r="D397" s="5">
        <v>390.72</v>
      </c>
      <c r="E397" s="1">
        <f>Tabela1[[#This Row],[Força (N)]]/$I$5</f>
        <v>9219965.2646681275</v>
      </c>
      <c r="F397" s="1">
        <f>Tabela1[[#This Row],[Tensão (Pa)]]/1000000</f>
        <v>9.2199652646681276</v>
      </c>
    </row>
    <row r="398" spans="1:6" x14ac:dyDescent="0.3">
      <c r="A398" s="5">
        <v>26.983000000000001</v>
      </c>
      <c r="B398" s="5">
        <v>2.2406999999999999</v>
      </c>
      <c r="C398" s="1">
        <f>Tabela1[[#This Row],[Alongamento (mm/mm)]]/$I$2</f>
        <v>4.4814E-2</v>
      </c>
      <c r="D398" s="5">
        <v>393.44</v>
      </c>
      <c r="E398" s="1">
        <f>Tabela1[[#This Row],[Força (N)]]/$I$5</f>
        <v>9284150.1170429662</v>
      </c>
      <c r="F398" s="1">
        <f>Tabela1[[#This Row],[Tensão (Pa)]]/1000000</f>
        <v>9.2841501170429659</v>
      </c>
    </row>
    <row r="399" spans="1:6" x14ac:dyDescent="0.3">
      <c r="A399" s="5">
        <v>27.082999999999998</v>
      </c>
      <c r="B399" s="5">
        <v>2.2488999999999999</v>
      </c>
      <c r="C399" s="1">
        <f>Tabela1[[#This Row],[Alongamento (mm/mm)]]/$I$2</f>
        <v>4.4977999999999997E-2</v>
      </c>
      <c r="D399" s="5">
        <v>396.67</v>
      </c>
      <c r="E399" s="1">
        <f>Tabela1[[#This Row],[Força (N)]]/$I$5</f>
        <v>9360369.6292380895</v>
      </c>
      <c r="F399" s="1">
        <f>Tabela1[[#This Row],[Tensão (Pa)]]/1000000</f>
        <v>9.3603696292380896</v>
      </c>
    </row>
    <row r="400" spans="1:6" x14ac:dyDescent="0.3">
      <c r="A400" s="5">
        <v>27.183</v>
      </c>
      <c r="B400" s="5">
        <v>2.2572999999999999</v>
      </c>
      <c r="C400" s="1">
        <f>Tabela1[[#This Row],[Alongamento (mm/mm)]]/$I$2</f>
        <v>4.5145999999999999E-2</v>
      </c>
      <c r="D400" s="5">
        <v>400.07</v>
      </c>
      <c r="E400" s="1">
        <f>Tabela1[[#This Row],[Força (N)]]/$I$5</f>
        <v>9440600.6947066374</v>
      </c>
      <c r="F400" s="1">
        <f>Tabela1[[#This Row],[Tensão (Pa)]]/1000000</f>
        <v>9.440600694706637</v>
      </c>
    </row>
    <row r="401" spans="1:6" x14ac:dyDescent="0.3">
      <c r="A401" s="5">
        <v>27.283000000000001</v>
      </c>
      <c r="B401" s="5">
        <v>2.2656000000000001</v>
      </c>
      <c r="C401" s="1">
        <f>Tabela1[[#This Row],[Alongamento (mm/mm)]]/$I$2</f>
        <v>4.5311999999999998E-2</v>
      </c>
      <c r="D401" s="5">
        <v>403.47</v>
      </c>
      <c r="E401" s="1">
        <f>Tabela1[[#This Row],[Força (N)]]/$I$5</f>
        <v>9520831.7601751871</v>
      </c>
      <c r="F401" s="1">
        <f>Tabela1[[#This Row],[Tensão (Pa)]]/1000000</f>
        <v>9.520831760175188</v>
      </c>
    </row>
    <row r="402" spans="1:6" x14ac:dyDescent="0.3">
      <c r="A402" s="5">
        <v>27.382999999999999</v>
      </c>
      <c r="B402" s="5">
        <v>2.2740999999999998</v>
      </c>
      <c r="C402" s="1">
        <f>Tabela1[[#This Row],[Alongamento (mm/mm)]]/$I$2</f>
        <v>4.5481999999999995E-2</v>
      </c>
      <c r="D402" s="5">
        <v>406.88</v>
      </c>
      <c r="E402" s="1">
        <f>Tabela1[[#This Row],[Força (N)]]/$I$5</f>
        <v>9601298.799365703</v>
      </c>
      <c r="F402" s="1">
        <f>Tabela1[[#This Row],[Tensão (Pa)]]/1000000</f>
        <v>9.6012987993657024</v>
      </c>
    </row>
    <row r="403" spans="1:6" x14ac:dyDescent="0.3">
      <c r="A403" s="5">
        <v>27.483000000000001</v>
      </c>
      <c r="B403" s="5">
        <v>2.2823000000000002</v>
      </c>
      <c r="C403" s="1">
        <f>Tabela1[[#This Row],[Alongamento (mm/mm)]]/$I$2</f>
        <v>4.5646000000000006E-2</v>
      </c>
      <c r="D403" s="5">
        <v>410.28</v>
      </c>
      <c r="E403" s="1">
        <f>Tabela1[[#This Row],[Força (N)]]/$I$5</f>
        <v>9681529.8648342509</v>
      </c>
      <c r="F403" s="1">
        <f>Tabela1[[#This Row],[Tensão (Pa)]]/1000000</f>
        <v>9.6815298648342516</v>
      </c>
    </row>
    <row r="404" spans="1:6" x14ac:dyDescent="0.3">
      <c r="A404" s="5">
        <v>27.582999999999998</v>
      </c>
      <c r="B404" s="5">
        <v>2.2906</v>
      </c>
      <c r="C404" s="1">
        <f>Tabela1[[#This Row],[Alongamento (mm/mm)]]/$I$2</f>
        <v>4.5811999999999999E-2</v>
      </c>
      <c r="D404" s="5">
        <v>413.68</v>
      </c>
      <c r="E404" s="1">
        <f>Tabela1[[#This Row],[Força (N)]]/$I$5</f>
        <v>9761760.9303028025</v>
      </c>
      <c r="F404" s="1">
        <f>Tabela1[[#This Row],[Tensão (Pa)]]/1000000</f>
        <v>9.7617609303028026</v>
      </c>
    </row>
    <row r="405" spans="1:6" x14ac:dyDescent="0.3">
      <c r="A405" s="5">
        <v>27.683</v>
      </c>
      <c r="B405" s="5">
        <v>2.2989999999999999</v>
      </c>
      <c r="C405" s="1">
        <f>Tabela1[[#This Row],[Alongamento (mm/mm)]]/$I$2</f>
        <v>4.598E-2</v>
      </c>
      <c r="D405" s="5">
        <v>417.08</v>
      </c>
      <c r="E405" s="1">
        <f>Tabela1[[#This Row],[Força (N)]]/$I$5</f>
        <v>9841991.9957713503</v>
      </c>
      <c r="F405" s="1">
        <f>Tabela1[[#This Row],[Tensão (Pa)]]/1000000</f>
        <v>9.84199199577135</v>
      </c>
    </row>
    <row r="406" spans="1:6" x14ac:dyDescent="0.3">
      <c r="A406" s="5">
        <v>27.783000000000001</v>
      </c>
      <c r="B406" s="5">
        <v>2.3073000000000001</v>
      </c>
      <c r="C406" s="1">
        <f>Tabela1[[#This Row],[Alongamento (mm/mm)]]/$I$2</f>
        <v>4.6146E-2</v>
      </c>
      <c r="D406" s="5">
        <v>420.48</v>
      </c>
      <c r="E406" s="1">
        <f>Tabela1[[#This Row],[Força (N)]]/$I$5</f>
        <v>9922223.0612399019</v>
      </c>
      <c r="F406" s="1">
        <f>Tabela1[[#This Row],[Tensão (Pa)]]/1000000</f>
        <v>9.9222230612399027</v>
      </c>
    </row>
    <row r="407" spans="1:6" x14ac:dyDescent="0.3">
      <c r="A407" s="5">
        <v>27.882999999999999</v>
      </c>
      <c r="B407" s="5">
        <v>2.3157000000000001</v>
      </c>
      <c r="C407" s="1">
        <f>Tabela1[[#This Row],[Alongamento (mm/mm)]]/$I$2</f>
        <v>4.6314000000000001E-2</v>
      </c>
      <c r="D407" s="5">
        <v>424.06</v>
      </c>
      <c r="E407" s="1">
        <f>Tabela1[[#This Row],[Força (N)]]/$I$5</f>
        <v>10006701.653703844</v>
      </c>
      <c r="F407" s="1">
        <f>Tabela1[[#This Row],[Tensão (Pa)]]/1000000</f>
        <v>10.006701653703844</v>
      </c>
    </row>
    <row r="408" spans="1:6" x14ac:dyDescent="0.3">
      <c r="A408" s="5">
        <v>27.983000000000001</v>
      </c>
      <c r="B408" s="5">
        <v>2.3239999999999998</v>
      </c>
      <c r="C408" s="1">
        <f>Tabela1[[#This Row],[Alongamento (mm/mm)]]/$I$2</f>
        <v>4.6479999999999994E-2</v>
      </c>
      <c r="D408" s="5">
        <v>427.46</v>
      </c>
      <c r="E408" s="1">
        <f>Tabela1[[#This Row],[Força (N)]]/$I$5</f>
        <v>10086932.719172392</v>
      </c>
      <c r="F408" s="1">
        <f>Tabela1[[#This Row],[Tensão (Pa)]]/1000000</f>
        <v>10.086932719172392</v>
      </c>
    </row>
    <row r="409" spans="1:6" x14ac:dyDescent="0.3">
      <c r="A409" s="5">
        <v>28.082999999999998</v>
      </c>
      <c r="B409" s="5">
        <v>2.3323</v>
      </c>
      <c r="C409" s="1">
        <f>Tabela1[[#This Row],[Alongamento (mm/mm)]]/$I$2</f>
        <v>4.6646E-2</v>
      </c>
      <c r="D409" s="5">
        <v>431.03</v>
      </c>
      <c r="E409" s="1">
        <f>Tabela1[[#This Row],[Força (N)]]/$I$5</f>
        <v>10171175.33791437</v>
      </c>
      <c r="F409" s="1">
        <f>Tabela1[[#This Row],[Tensão (Pa)]]/1000000</f>
        <v>10.17117533791437</v>
      </c>
    </row>
    <row r="410" spans="1:6" x14ac:dyDescent="0.3">
      <c r="A410" s="5">
        <v>28.183</v>
      </c>
      <c r="B410" s="5">
        <v>2.3407</v>
      </c>
      <c r="C410" s="1">
        <f>Tabela1[[#This Row],[Alongamento (mm/mm)]]/$I$2</f>
        <v>4.6814000000000001E-2</v>
      </c>
      <c r="D410" s="5">
        <v>434.43</v>
      </c>
      <c r="E410" s="1">
        <f>Tabela1[[#This Row],[Força (N)]]/$I$5</f>
        <v>10251406.40338292</v>
      </c>
      <c r="F410" s="1">
        <f>Tabela1[[#This Row],[Tensão (Pa)]]/1000000</f>
        <v>10.251406403382919</v>
      </c>
    </row>
    <row r="411" spans="1:6" x14ac:dyDescent="0.3">
      <c r="A411" s="5">
        <v>28.283000000000001</v>
      </c>
      <c r="B411" s="5">
        <v>2.3490000000000002</v>
      </c>
      <c r="C411" s="1">
        <f>Tabela1[[#This Row],[Alongamento (mm/mm)]]/$I$2</f>
        <v>4.6980000000000001E-2</v>
      </c>
      <c r="D411" s="5">
        <v>438</v>
      </c>
      <c r="E411" s="1">
        <f>Tabela1[[#This Row],[Força (N)]]/$I$5</f>
        <v>10335649.022124896</v>
      </c>
      <c r="F411" s="1">
        <f>Tabela1[[#This Row],[Tensão (Pa)]]/1000000</f>
        <v>10.335649022124896</v>
      </c>
    </row>
    <row r="412" spans="1:6" x14ac:dyDescent="0.3">
      <c r="A412" s="5">
        <v>28.382999999999999</v>
      </c>
      <c r="B412" s="5">
        <v>2.3573</v>
      </c>
      <c r="C412" s="1">
        <f>Tabela1[[#This Row],[Alongamento (mm/mm)]]/$I$2</f>
        <v>4.7146E-2</v>
      </c>
      <c r="D412" s="5">
        <v>441.41</v>
      </c>
      <c r="E412" s="1">
        <f>Tabela1[[#This Row],[Força (N)]]/$I$5</f>
        <v>10416116.061315414</v>
      </c>
      <c r="F412" s="1">
        <f>Tabela1[[#This Row],[Tensão (Pa)]]/1000000</f>
        <v>10.416116061315414</v>
      </c>
    </row>
    <row r="413" spans="1:6" x14ac:dyDescent="0.3">
      <c r="A413" s="5">
        <v>28.483000000000001</v>
      </c>
      <c r="B413" s="5">
        <v>2.3656000000000001</v>
      </c>
      <c r="C413" s="1">
        <f>Tabela1[[#This Row],[Alongamento (mm/mm)]]/$I$2</f>
        <v>4.7312E-2</v>
      </c>
      <c r="D413" s="5">
        <v>444.98</v>
      </c>
      <c r="E413" s="1">
        <f>Tabela1[[#This Row],[Força (N)]]/$I$5</f>
        <v>10500358.68005739</v>
      </c>
      <c r="F413" s="1">
        <f>Tabela1[[#This Row],[Tensão (Pa)]]/1000000</f>
        <v>10.50035868005739</v>
      </c>
    </row>
    <row r="414" spans="1:6" x14ac:dyDescent="0.3">
      <c r="A414" s="5">
        <v>28.582999999999998</v>
      </c>
      <c r="B414" s="5">
        <v>2.3738999999999999</v>
      </c>
      <c r="C414" s="1">
        <f>Tabela1[[#This Row],[Alongamento (mm/mm)]]/$I$2</f>
        <v>4.7477999999999999E-2</v>
      </c>
      <c r="D414" s="5">
        <v>448.55</v>
      </c>
      <c r="E414" s="1">
        <f>Tabela1[[#This Row],[Força (N)]]/$I$5</f>
        <v>10584601.298799366</v>
      </c>
      <c r="F414" s="1">
        <f>Tabela1[[#This Row],[Tensão (Pa)]]/1000000</f>
        <v>10.584601298799365</v>
      </c>
    </row>
    <row r="415" spans="1:6" x14ac:dyDescent="0.3">
      <c r="A415" s="5">
        <v>28.683</v>
      </c>
      <c r="B415" s="5">
        <v>2.3822999999999999</v>
      </c>
      <c r="C415" s="1">
        <f>Tabela1[[#This Row],[Alongamento (mm/mm)]]/$I$2</f>
        <v>4.7645999999999994E-2</v>
      </c>
      <c r="D415" s="5">
        <v>452.12</v>
      </c>
      <c r="E415" s="1">
        <f>Tabela1[[#This Row],[Força (N)]]/$I$5</f>
        <v>10668843.917541344</v>
      </c>
      <c r="F415" s="1">
        <f>Tabela1[[#This Row],[Tensão (Pa)]]/1000000</f>
        <v>10.668843917541343</v>
      </c>
    </row>
    <row r="416" spans="1:6" x14ac:dyDescent="0.3">
      <c r="A416" s="5">
        <v>28.783000000000001</v>
      </c>
      <c r="B416" s="5">
        <v>2.3906999999999998</v>
      </c>
      <c r="C416" s="1">
        <f>Tabela1[[#This Row],[Alongamento (mm/mm)]]/$I$2</f>
        <v>4.7813999999999995E-2</v>
      </c>
      <c r="D416" s="5">
        <v>455.52</v>
      </c>
      <c r="E416" s="1">
        <f>Tabela1[[#This Row],[Força (N)]]/$I$5</f>
        <v>10749074.983009892</v>
      </c>
      <c r="F416" s="1">
        <f>Tabela1[[#This Row],[Tensão (Pa)]]/1000000</f>
        <v>10.749074983009892</v>
      </c>
    </row>
    <row r="417" spans="1:6" x14ac:dyDescent="0.3">
      <c r="A417" s="5">
        <v>28.882999999999999</v>
      </c>
      <c r="B417" s="5">
        <v>2.3988999999999998</v>
      </c>
      <c r="C417" s="1">
        <f>Tabela1[[#This Row],[Alongamento (mm/mm)]]/$I$2</f>
        <v>4.7977999999999993E-2</v>
      </c>
      <c r="D417" s="5">
        <v>459.1</v>
      </c>
      <c r="E417" s="1">
        <f>Tabela1[[#This Row],[Força (N)]]/$I$5</f>
        <v>10833553.575473836</v>
      </c>
      <c r="F417" s="1">
        <f>Tabela1[[#This Row],[Tensão (Pa)]]/1000000</f>
        <v>10.833553575473836</v>
      </c>
    </row>
    <row r="418" spans="1:6" x14ac:dyDescent="0.3">
      <c r="A418" s="5">
        <v>28.983000000000001</v>
      </c>
      <c r="B418" s="5">
        <v>2.4073000000000002</v>
      </c>
      <c r="C418" s="1">
        <f>Tabela1[[#This Row],[Alongamento (mm/mm)]]/$I$2</f>
        <v>4.8146000000000001E-2</v>
      </c>
      <c r="D418" s="5">
        <v>462.5</v>
      </c>
      <c r="E418" s="1">
        <f>Tabela1[[#This Row],[Força (N)]]/$I$5</f>
        <v>10913784.640942385</v>
      </c>
      <c r="F418" s="1">
        <f>Tabela1[[#This Row],[Tensão (Pa)]]/1000000</f>
        <v>10.913784640942385</v>
      </c>
    </row>
    <row r="419" spans="1:6" x14ac:dyDescent="0.3">
      <c r="A419" s="5">
        <v>29.082999999999998</v>
      </c>
      <c r="B419" s="5">
        <v>2.4157000000000002</v>
      </c>
      <c r="C419" s="1">
        <f>Tabela1[[#This Row],[Alongamento (mm/mm)]]/$I$2</f>
        <v>4.8314000000000003E-2</v>
      </c>
      <c r="D419" s="5">
        <v>466.07</v>
      </c>
      <c r="E419" s="1">
        <f>Tabela1[[#This Row],[Força (N)]]/$I$5</f>
        <v>10998027.259684362</v>
      </c>
      <c r="F419" s="1">
        <f>Tabela1[[#This Row],[Tensão (Pa)]]/1000000</f>
        <v>10.998027259684362</v>
      </c>
    </row>
    <row r="420" spans="1:6" x14ac:dyDescent="0.3">
      <c r="A420" s="5">
        <v>29.183</v>
      </c>
      <c r="B420" s="5">
        <v>2.4239999999999999</v>
      </c>
      <c r="C420" s="1">
        <f>Tabela1[[#This Row],[Alongamento (mm/mm)]]/$I$2</f>
        <v>4.8479999999999995E-2</v>
      </c>
      <c r="D420" s="5">
        <v>469.47</v>
      </c>
      <c r="E420" s="1">
        <f>Tabela1[[#This Row],[Força (N)]]/$I$5</f>
        <v>11078258.325152911</v>
      </c>
      <c r="F420" s="1">
        <f>Tabela1[[#This Row],[Tensão (Pa)]]/1000000</f>
        <v>11.078258325152911</v>
      </c>
    </row>
    <row r="421" spans="1:6" x14ac:dyDescent="0.3">
      <c r="A421" s="5">
        <v>29.283000000000001</v>
      </c>
      <c r="B421" s="5">
        <v>2.4323000000000001</v>
      </c>
      <c r="C421" s="1">
        <f>Tabela1[[#This Row],[Alongamento (mm/mm)]]/$I$2</f>
        <v>4.8646000000000002E-2</v>
      </c>
      <c r="D421" s="5">
        <v>473.04</v>
      </c>
      <c r="E421" s="1">
        <f>Tabela1[[#This Row],[Força (N)]]/$I$5</f>
        <v>11162500.943894889</v>
      </c>
      <c r="F421" s="1">
        <f>Tabela1[[#This Row],[Tensão (Pa)]]/1000000</f>
        <v>11.162500943894889</v>
      </c>
    </row>
    <row r="422" spans="1:6" x14ac:dyDescent="0.3">
      <c r="A422" s="5">
        <v>29.382999999999999</v>
      </c>
      <c r="B422" s="5">
        <v>2.4405999999999999</v>
      </c>
      <c r="C422" s="1">
        <f>Tabela1[[#This Row],[Alongamento (mm/mm)]]/$I$2</f>
        <v>4.8811999999999994E-2</v>
      </c>
      <c r="D422" s="5">
        <v>476.45</v>
      </c>
      <c r="E422" s="1">
        <f>Tabela1[[#This Row],[Força (N)]]/$I$5</f>
        <v>11242967.983085403</v>
      </c>
      <c r="F422" s="1">
        <f>Tabela1[[#This Row],[Tensão (Pa)]]/1000000</f>
        <v>11.242967983085403</v>
      </c>
    </row>
    <row r="423" spans="1:6" x14ac:dyDescent="0.3">
      <c r="A423" s="5">
        <v>29.483000000000001</v>
      </c>
      <c r="B423" s="5">
        <v>2.4489999999999998</v>
      </c>
      <c r="C423" s="1">
        <f>Tabela1[[#This Row],[Alongamento (mm/mm)]]/$I$2</f>
        <v>4.8979999999999996E-2</v>
      </c>
      <c r="D423" s="5">
        <v>480.02</v>
      </c>
      <c r="E423" s="1">
        <f>Tabela1[[#This Row],[Força (N)]]/$I$5</f>
        <v>11327210.601827381</v>
      </c>
      <c r="F423" s="1">
        <f>Tabela1[[#This Row],[Tensão (Pa)]]/1000000</f>
        <v>11.327210601827382</v>
      </c>
    </row>
    <row r="424" spans="1:6" x14ac:dyDescent="0.3">
      <c r="A424" s="5">
        <v>29.6</v>
      </c>
      <c r="B424" s="5">
        <v>2.4586999999999999</v>
      </c>
      <c r="C424" s="1">
        <f>Tabela1[[#This Row],[Alongamento (mm/mm)]]/$I$2</f>
        <v>4.9173999999999995E-2</v>
      </c>
      <c r="D424" s="5">
        <v>484.1</v>
      </c>
      <c r="E424" s="1">
        <f>Tabela1[[#This Row],[Força (N)]]/$I$5</f>
        <v>11423487.88038964</v>
      </c>
      <c r="F424" s="1">
        <f>Tabela1[[#This Row],[Tensão (Pa)]]/1000000</f>
        <v>11.42348788038964</v>
      </c>
    </row>
    <row r="425" spans="1:6" x14ac:dyDescent="0.3">
      <c r="A425" s="5">
        <v>29.7</v>
      </c>
      <c r="B425" s="5">
        <v>2.4670000000000001</v>
      </c>
      <c r="C425" s="1">
        <f>Tabela1[[#This Row],[Alongamento (mm/mm)]]/$I$2</f>
        <v>4.9340000000000002E-2</v>
      </c>
      <c r="D425" s="5">
        <v>487.84</v>
      </c>
      <c r="E425" s="1">
        <f>Tabela1[[#This Row],[Força (N)]]/$I$5</f>
        <v>11511742.052405044</v>
      </c>
      <c r="F425" s="1">
        <f>Tabela1[[#This Row],[Tensão (Pa)]]/1000000</f>
        <v>11.511742052405044</v>
      </c>
    </row>
    <row r="426" spans="1:6" x14ac:dyDescent="0.3">
      <c r="A426" s="5">
        <v>29.817</v>
      </c>
      <c r="B426" s="5">
        <v>2.4767000000000001</v>
      </c>
      <c r="C426" s="1">
        <f>Tabela1[[#This Row],[Alongamento (mm/mm)]]/$I$2</f>
        <v>4.9534000000000002E-2</v>
      </c>
      <c r="D426" s="5">
        <v>491.93</v>
      </c>
      <c r="E426" s="1">
        <f>Tabela1[[#This Row],[Força (N)]]/$I$5</f>
        <v>11608255.30468927</v>
      </c>
      <c r="F426" s="1">
        <f>Tabela1[[#This Row],[Tensão (Pa)]]/1000000</f>
        <v>11.608255304689269</v>
      </c>
    </row>
    <row r="427" spans="1:6" x14ac:dyDescent="0.3">
      <c r="A427" s="5">
        <v>29.933</v>
      </c>
      <c r="B427" s="5">
        <v>2.4864999999999999</v>
      </c>
      <c r="C427" s="1">
        <f>Tabela1[[#This Row],[Alongamento (mm/mm)]]/$I$2</f>
        <v>4.9729999999999996E-2</v>
      </c>
      <c r="D427" s="5">
        <v>496.18</v>
      </c>
      <c r="E427" s="1">
        <f>Tabela1[[#This Row],[Força (N)]]/$I$5</f>
        <v>11708544.136524957</v>
      </c>
      <c r="F427" s="1">
        <f>Tabela1[[#This Row],[Tensão (Pa)]]/1000000</f>
        <v>11.708544136524957</v>
      </c>
    </row>
    <row r="428" spans="1:6" x14ac:dyDescent="0.3">
      <c r="A428" s="5">
        <v>30.05</v>
      </c>
      <c r="B428" s="5">
        <v>2.4962</v>
      </c>
      <c r="C428" s="1">
        <f>Tabela1[[#This Row],[Alongamento (mm/mm)]]/$I$2</f>
        <v>4.9923999999999996E-2</v>
      </c>
      <c r="D428" s="5">
        <v>500.26</v>
      </c>
      <c r="E428" s="1">
        <f>Tabela1[[#This Row],[Força (N)]]/$I$5</f>
        <v>11804821.415087216</v>
      </c>
      <c r="F428" s="1">
        <f>Tabela1[[#This Row],[Tensão (Pa)]]/1000000</f>
        <v>11.804821415087215</v>
      </c>
    </row>
    <row r="429" spans="1:6" x14ac:dyDescent="0.3">
      <c r="A429" s="5">
        <v>30.167000000000002</v>
      </c>
      <c r="B429" s="5">
        <v>2.5059999999999998</v>
      </c>
      <c r="C429" s="1">
        <f>Tabela1[[#This Row],[Alongamento (mm/mm)]]/$I$2</f>
        <v>5.0119999999999998E-2</v>
      </c>
      <c r="D429" s="5">
        <v>504.51</v>
      </c>
      <c r="E429" s="1">
        <f>Tabela1[[#This Row],[Força (N)]]/$I$5</f>
        <v>11905110.246922903</v>
      </c>
      <c r="F429" s="1">
        <f>Tabela1[[#This Row],[Tensão (Pa)]]/1000000</f>
        <v>11.905110246922902</v>
      </c>
    </row>
    <row r="430" spans="1:6" x14ac:dyDescent="0.3">
      <c r="A430" s="5">
        <v>30.283000000000001</v>
      </c>
      <c r="B430" s="5">
        <v>2.5156999999999998</v>
      </c>
      <c r="C430" s="1">
        <f>Tabela1[[#This Row],[Alongamento (mm/mm)]]/$I$2</f>
        <v>5.0313999999999998E-2</v>
      </c>
      <c r="D430" s="5">
        <v>508.77</v>
      </c>
      <c r="E430" s="1">
        <f>Tabela1[[#This Row],[Força (N)]]/$I$5</f>
        <v>12005635.052480556</v>
      </c>
      <c r="F430" s="1">
        <f>Tabela1[[#This Row],[Tensão (Pa)]]/1000000</f>
        <v>12.005635052480557</v>
      </c>
    </row>
    <row r="431" spans="1:6" x14ac:dyDescent="0.3">
      <c r="A431" s="5">
        <v>30.4</v>
      </c>
      <c r="B431" s="5">
        <v>2.5253999999999999</v>
      </c>
      <c r="C431" s="1">
        <f>Tabela1[[#This Row],[Alongamento (mm/mm)]]/$I$2</f>
        <v>5.0507999999999997E-2</v>
      </c>
      <c r="D431" s="5">
        <v>512.85</v>
      </c>
      <c r="E431" s="1">
        <f>Tabela1[[#This Row],[Força (N)]]/$I$5</f>
        <v>12101912.331042815</v>
      </c>
      <c r="F431" s="1">
        <f>Tabela1[[#This Row],[Tensão (Pa)]]/1000000</f>
        <v>12.101912331042815</v>
      </c>
    </row>
    <row r="432" spans="1:6" x14ac:dyDescent="0.3">
      <c r="A432" s="5">
        <v>30.5</v>
      </c>
      <c r="B432" s="5">
        <v>2.5337000000000001</v>
      </c>
      <c r="C432" s="1">
        <f>Tabela1[[#This Row],[Alongamento (mm/mm)]]/$I$2</f>
        <v>5.0674000000000004E-2</v>
      </c>
      <c r="D432" s="5">
        <v>516.59</v>
      </c>
      <c r="E432" s="1">
        <f>Tabela1[[#This Row],[Força (N)]]/$I$5</f>
        <v>12190166.503058221</v>
      </c>
      <c r="F432" s="1">
        <f>Tabela1[[#This Row],[Tensão (Pa)]]/1000000</f>
        <v>12.19016650305822</v>
      </c>
    </row>
    <row r="433" spans="1:6" x14ac:dyDescent="0.3">
      <c r="A433" s="5">
        <v>30.617000000000001</v>
      </c>
      <c r="B433" s="5">
        <v>2.5434000000000001</v>
      </c>
      <c r="C433" s="1">
        <f>Tabela1[[#This Row],[Alongamento (mm/mm)]]/$I$2</f>
        <v>5.0868000000000003E-2</v>
      </c>
      <c r="D433" s="5">
        <v>520.84</v>
      </c>
      <c r="E433" s="1">
        <f>Tabela1[[#This Row],[Força (N)]]/$I$5</f>
        <v>12290455.334893906</v>
      </c>
      <c r="F433" s="1">
        <f>Tabela1[[#This Row],[Tensão (Pa)]]/1000000</f>
        <v>12.290455334893906</v>
      </c>
    </row>
    <row r="434" spans="1:6" x14ac:dyDescent="0.3">
      <c r="A434" s="5">
        <v>30.733000000000001</v>
      </c>
      <c r="B434" s="5">
        <v>2.5531000000000001</v>
      </c>
      <c r="C434" s="1">
        <f>Tabela1[[#This Row],[Alongamento (mm/mm)]]/$I$2</f>
        <v>5.1062000000000003E-2</v>
      </c>
      <c r="D434" s="5">
        <v>524.91999999999996</v>
      </c>
      <c r="E434" s="1">
        <f>Tabela1[[#This Row],[Força (N)]]/$I$5</f>
        <v>12386732.613456165</v>
      </c>
      <c r="F434" s="1">
        <f>Tabela1[[#This Row],[Tensão (Pa)]]/1000000</f>
        <v>12.386732613456166</v>
      </c>
    </row>
    <row r="435" spans="1:6" x14ac:dyDescent="0.3">
      <c r="A435" s="5">
        <v>30.85</v>
      </c>
      <c r="B435" s="5">
        <v>2.5629</v>
      </c>
      <c r="C435" s="1">
        <f>Tabela1[[#This Row],[Alongamento (mm/mm)]]/$I$2</f>
        <v>5.1257999999999998E-2</v>
      </c>
      <c r="D435" s="5">
        <v>529.17999999999995</v>
      </c>
      <c r="E435" s="1">
        <f>Tabela1[[#This Row],[Força (N)]]/$I$5</f>
        <v>12487257.419013817</v>
      </c>
      <c r="F435" s="1">
        <f>Tabela1[[#This Row],[Tensão (Pa)]]/1000000</f>
        <v>12.487257419013817</v>
      </c>
    </row>
    <row r="436" spans="1:6" x14ac:dyDescent="0.3">
      <c r="A436" s="5">
        <v>30.966999999999999</v>
      </c>
      <c r="B436" s="5">
        <v>2.5726</v>
      </c>
      <c r="C436" s="1">
        <f>Tabela1[[#This Row],[Alongamento (mm/mm)]]/$I$2</f>
        <v>5.1451999999999998E-2</v>
      </c>
      <c r="D436" s="5">
        <v>533.42999999999995</v>
      </c>
      <c r="E436" s="1">
        <f>Tabela1[[#This Row],[Força (N)]]/$I$5</f>
        <v>12587546.250849504</v>
      </c>
      <c r="F436" s="1">
        <f>Tabela1[[#This Row],[Tensão (Pa)]]/1000000</f>
        <v>12.587546250849504</v>
      </c>
    </row>
    <row r="437" spans="1:6" x14ac:dyDescent="0.3">
      <c r="A437" s="5">
        <v>31.082999999999998</v>
      </c>
      <c r="B437" s="5">
        <v>2.5823999999999998</v>
      </c>
      <c r="C437" s="1">
        <f>Tabela1[[#This Row],[Alongamento (mm/mm)]]/$I$2</f>
        <v>5.1647999999999999E-2</v>
      </c>
      <c r="D437" s="5">
        <v>537.67999999999995</v>
      </c>
      <c r="E437" s="1">
        <f>Tabela1[[#This Row],[Força (N)]]/$I$5</f>
        <v>12687835.082685191</v>
      </c>
      <c r="F437" s="1">
        <f>Tabela1[[#This Row],[Tensão (Pa)]]/1000000</f>
        <v>12.687835082685192</v>
      </c>
    </row>
    <row r="438" spans="1:6" x14ac:dyDescent="0.3">
      <c r="A438" s="5">
        <v>31.2</v>
      </c>
      <c r="B438" s="5">
        <v>2.5920000000000001</v>
      </c>
      <c r="C438" s="1">
        <f>Tabela1[[#This Row],[Alongamento (mm/mm)]]/$I$2</f>
        <v>5.1840000000000004E-2</v>
      </c>
      <c r="D438" s="5">
        <v>541.92999999999995</v>
      </c>
      <c r="E438" s="1">
        <f>Tabela1[[#This Row],[Força (N)]]/$I$5</f>
        <v>12788123.914520878</v>
      </c>
      <c r="F438" s="1">
        <f>Tabela1[[#This Row],[Tensão (Pa)]]/1000000</f>
        <v>12.788123914520879</v>
      </c>
    </row>
    <row r="439" spans="1:6" x14ac:dyDescent="0.3">
      <c r="A439" s="5">
        <v>31.317</v>
      </c>
      <c r="B439" s="5">
        <v>2.6017999999999999</v>
      </c>
      <c r="C439" s="1">
        <f>Tabela1[[#This Row],[Alongamento (mm/mm)]]/$I$2</f>
        <v>5.2035999999999999E-2</v>
      </c>
      <c r="D439" s="5">
        <v>546.19000000000005</v>
      </c>
      <c r="E439" s="1">
        <f>Tabela1[[#This Row],[Força (N)]]/$I$5</f>
        <v>12888648.720078534</v>
      </c>
      <c r="F439" s="1">
        <f>Tabela1[[#This Row],[Tensão (Pa)]]/1000000</f>
        <v>12.888648720078534</v>
      </c>
    </row>
    <row r="440" spans="1:6" x14ac:dyDescent="0.3">
      <c r="A440" s="5">
        <v>31.433</v>
      </c>
      <c r="B440" s="5">
        <v>2.6114999999999999</v>
      </c>
      <c r="C440" s="1">
        <f>Tabela1[[#This Row],[Alongamento (mm/mm)]]/$I$2</f>
        <v>5.2229999999999999E-2</v>
      </c>
      <c r="D440" s="5">
        <v>550.27</v>
      </c>
      <c r="E440" s="1">
        <f>Tabela1[[#This Row],[Força (N)]]/$I$5</f>
        <v>12984925.998640791</v>
      </c>
      <c r="F440" s="1">
        <f>Tabela1[[#This Row],[Tensão (Pa)]]/1000000</f>
        <v>12.98492599864079</v>
      </c>
    </row>
    <row r="441" spans="1:6" x14ac:dyDescent="0.3">
      <c r="A441" s="5">
        <v>31.55</v>
      </c>
      <c r="B441" s="5">
        <v>2.6212</v>
      </c>
      <c r="C441" s="1">
        <f>Tabela1[[#This Row],[Alongamento (mm/mm)]]/$I$2</f>
        <v>5.2423999999999998E-2</v>
      </c>
      <c r="D441" s="5">
        <v>554.52</v>
      </c>
      <c r="E441" s="1">
        <f>Tabela1[[#This Row],[Força (N)]]/$I$5</f>
        <v>13085214.830476478</v>
      </c>
      <c r="F441" s="1">
        <f>Tabela1[[#This Row],[Tensão (Pa)]]/1000000</f>
        <v>13.085214830476477</v>
      </c>
    </row>
    <row r="442" spans="1:6" x14ac:dyDescent="0.3">
      <c r="A442" s="5">
        <v>31.667000000000002</v>
      </c>
      <c r="B442" s="5">
        <v>2.6309</v>
      </c>
      <c r="C442" s="1">
        <f>Tabela1[[#This Row],[Alongamento (mm/mm)]]/$I$2</f>
        <v>5.2617999999999998E-2</v>
      </c>
      <c r="D442" s="5">
        <v>558.77</v>
      </c>
      <c r="E442" s="1">
        <f>Tabela1[[#This Row],[Força (N)]]/$I$5</f>
        <v>13185503.662312165</v>
      </c>
      <c r="F442" s="1">
        <f>Tabela1[[#This Row],[Tensão (Pa)]]/1000000</f>
        <v>13.185503662312165</v>
      </c>
    </row>
    <row r="443" spans="1:6" x14ac:dyDescent="0.3">
      <c r="A443" s="5">
        <v>31.783000000000001</v>
      </c>
      <c r="B443" s="5">
        <v>2.6406999999999998</v>
      </c>
      <c r="C443" s="1">
        <f>Tabela1[[#This Row],[Alongamento (mm/mm)]]/$I$2</f>
        <v>5.2814E-2</v>
      </c>
      <c r="D443" s="5">
        <v>563.20000000000005</v>
      </c>
      <c r="E443" s="1">
        <f>Tabela1[[#This Row],[Força (N)]]/$I$5</f>
        <v>13290040.021143246</v>
      </c>
      <c r="F443" s="1">
        <f>Tabela1[[#This Row],[Tensão (Pa)]]/1000000</f>
        <v>13.290040021143247</v>
      </c>
    </row>
    <row r="444" spans="1:6" x14ac:dyDescent="0.3">
      <c r="A444" s="5">
        <v>31.9</v>
      </c>
      <c r="B444" s="5">
        <v>2.6503999999999999</v>
      </c>
      <c r="C444" s="1">
        <f>Tabela1[[#This Row],[Alongamento (mm/mm)]]/$I$2</f>
        <v>5.3008E-2</v>
      </c>
      <c r="D444" s="5">
        <v>567.62</v>
      </c>
      <c r="E444" s="1">
        <f>Tabela1[[#This Row],[Força (N)]]/$I$5</f>
        <v>13394340.40625236</v>
      </c>
      <c r="F444" s="1">
        <f>Tabela1[[#This Row],[Tensão (Pa)]]/1000000</f>
        <v>13.394340406252359</v>
      </c>
    </row>
    <row r="445" spans="1:6" x14ac:dyDescent="0.3">
      <c r="A445" s="5">
        <v>32.017000000000003</v>
      </c>
      <c r="B445" s="5">
        <v>2.6600999999999999</v>
      </c>
      <c r="C445" s="1">
        <f>Tabela1[[#This Row],[Alongamento (mm/mm)]]/$I$2</f>
        <v>5.3201999999999999E-2</v>
      </c>
      <c r="D445" s="5">
        <v>572.04</v>
      </c>
      <c r="E445" s="1">
        <f>Tabela1[[#This Row],[Força (N)]]/$I$5</f>
        <v>13498640.791361474</v>
      </c>
      <c r="F445" s="1">
        <f>Tabela1[[#This Row],[Tensão (Pa)]]/1000000</f>
        <v>13.498640791361474</v>
      </c>
    </row>
    <row r="446" spans="1:6" x14ac:dyDescent="0.3">
      <c r="A446" s="5">
        <v>32.15</v>
      </c>
      <c r="B446" s="5">
        <v>2.6711999999999998</v>
      </c>
      <c r="C446" s="1">
        <f>Tabela1[[#This Row],[Alongamento (mm/mm)]]/$I$2</f>
        <v>5.3423999999999999E-2</v>
      </c>
      <c r="D446" s="5">
        <v>576.98</v>
      </c>
      <c r="E446" s="1">
        <f>Tabela1[[#This Row],[Força (N)]]/$I$5</f>
        <v>13615211.810012838</v>
      </c>
      <c r="F446" s="1">
        <f>Tabela1[[#This Row],[Tensão (Pa)]]/1000000</f>
        <v>13.615211810012838</v>
      </c>
    </row>
    <row r="447" spans="1:6" x14ac:dyDescent="0.3">
      <c r="A447" s="5">
        <v>32.267000000000003</v>
      </c>
      <c r="B447" s="5">
        <v>2.6808999999999998</v>
      </c>
      <c r="C447" s="1">
        <f>Tabela1[[#This Row],[Alongamento (mm/mm)]]/$I$2</f>
        <v>5.3617999999999999E-2</v>
      </c>
      <c r="D447" s="5">
        <v>581.4</v>
      </c>
      <c r="E447" s="1">
        <f>Tabela1[[#This Row],[Força (N)]]/$I$5</f>
        <v>13719512.195121951</v>
      </c>
      <c r="F447" s="1">
        <f>Tabela1[[#This Row],[Tensão (Pa)]]/1000000</f>
        <v>13.719512195121951</v>
      </c>
    </row>
    <row r="448" spans="1:6" x14ac:dyDescent="0.3">
      <c r="A448" s="5">
        <v>32.4</v>
      </c>
      <c r="B448" s="5">
        <v>2.6920999999999999</v>
      </c>
      <c r="C448" s="1">
        <f>Tabela1[[#This Row],[Alongamento (mm/mm)]]/$I$2</f>
        <v>5.3842000000000001E-2</v>
      </c>
      <c r="D448" s="5">
        <v>586.33000000000004</v>
      </c>
      <c r="E448" s="1">
        <f>Tabela1[[#This Row],[Força (N)]]/$I$5</f>
        <v>13835847.24005135</v>
      </c>
      <c r="F448" s="1">
        <f>Tabela1[[#This Row],[Tensão (Pa)]]/1000000</f>
        <v>13.835847240051349</v>
      </c>
    </row>
    <row r="449" spans="1:6" x14ac:dyDescent="0.3">
      <c r="A449" s="5">
        <v>32.533000000000001</v>
      </c>
      <c r="B449" s="5">
        <v>2.7031000000000001</v>
      </c>
      <c r="C449" s="1">
        <f>Tabela1[[#This Row],[Alongamento (mm/mm)]]/$I$2</f>
        <v>5.4061999999999999E-2</v>
      </c>
      <c r="D449" s="5">
        <v>591.26</v>
      </c>
      <c r="E449" s="1">
        <f>Tabela1[[#This Row],[Força (N)]]/$I$5</f>
        <v>13952182.284980744</v>
      </c>
      <c r="F449" s="1">
        <f>Tabela1[[#This Row],[Tensão (Pa)]]/1000000</f>
        <v>13.952182284980744</v>
      </c>
    </row>
    <row r="450" spans="1:6" x14ac:dyDescent="0.3">
      <c r="A450" s="5">
        <v>32.65</v>
      </c>
      <c r="B450" s="5">
        <v>2.7128999999999999</v>
      </c>
      <c r="C450" s="1">
        <f>Tabela1[[#This Row],[Alongamento (mm/mm)]]/$I$2</f>
        <v>5.4258000000000001E-2</v>
      </c>
      <c r="D450" s="5">
        <v>595.69000000000005</v>
      </c>
      <c r="E450" s="1">
        <f>Tabela1[[#This Row],[Força (N)]]/$I$5</f>
        <v>14056718.643811828</v>
      </c>
      <c r="F450" s="1">
        <f>Tabela1[[#This Row],[Tensão (Pa)]]/1000000</f>
        <v>14.056718643811827</v>
      </c>
    </row>
    <row r="451" spans="1:6" x14ac:dyDescent="0.3">
      <c r="A451" s="5">
        <v>32.767000000000003</v>
      </c>
      <c r="B451" s="5">
        <v>2.7225999999999999</v>
      </c>
      <c r="C451" s="1">
        <f>Tabela1[[#This Row],[Alongamento (mm/mm)]]/$I$2</f>
        <v>5.4452E-2</v>
      </c>
      <c r="D451" s="5">
        <v>600.11</v>
      </c>
      <c r="E451" s="1">
        <f>Tabela1[[#This Row],[Força (N)]]/$I$5</f>
        <v>14161019.028920939</v>
      </c>
      <c r="F451" s="1">
        <f>Tabela1[[#This Row],[Tensão (Pa)]]/1000000</f>
        <v>14.16101902892094</v>
      </c>
    </row>
    <row r="452" spans="1:6" x14ac:dyDescent="0.3">
      <c r="A452" s="5">
        <v>32.883000000000003</v>
      </c>
      <c r="B452" s="5">
        <v>2.7323</v>
      </c>
      <c r="C452" s="1">
        <f>Tabela1[[#This Row],[Alongamento (mm/mm)]]/$I$2</f>
        <v>5.4646E-2</v>
      </c>
      <c r="D452" s="5">
        <v>604.70000000000005</v>
      </c>
      <c r="E452" s="1">
        <f>Tabela1[[#This Row],[Força (N)]]/$I$5</f>
        <v>14269330.967303483</v>
      </c>
      <c r="F452" s="1">
        <f>Tabela1[[#This Row],[Tensão (Pa)]]/1000000</f>
        <v>14.269330967303484</v>
      </c>
    </row>
    <row r="453" spans="1:6" x14ac:dyDescent="0.3">
      <c r="A453" s="5">
        <v>33</v>
      </c>
      <c r="B453" s="5">
        <v>2.742</v>
      </c>
      <c r="C453" s="1">
        <f>Tabela1[[#This Row],[Alongamento (mm/mm)]]/$I$2</f>
        <v>5.484E-2</v>
      </c>
      <c r="D453" s="5">
        <v>609.29</v>
      </c>
      <c r="E453" s="1">
        <f>Tabela1[[#This Row],[Força (N)]]/$I$5</f>
        <v>14377642.905686023</v>
      </c>
      <c r="F453" s="1">
        <f>Tabela1[[#This Row],[Tensão (Pa)]]/1000000</f>
        <v>14.377642905686022</v>
      </c>
    </row>
    <row r="454" spans="1:6" x14ac:dyDescent="0.3">
      <c r="A454" s="5">
        <v>33.116999999999997</v>
      </c>
      <c r="B454" s="5">
        <v>2.7517</v>
      </c>
      <c r="C454" s="1">
        <f>Tabela1[[#This Row],[Alongamento (mm/mm)]]/$I$2</f>
        <v>5.5034E-2</v>
      </c>
      <c r="D454" s="5">
        <v>613.89</v>
      </c>
      <c r="E454" s="1">
        <f>Tabela1[[#This Row],[Força (N)]]/$I$5</f>
        <v>14486190.817790531</v>
      </c>
      <c r="F454" s="1">
        <f>Tabela1[[#This Row],[Tensão (Pa)]]/1000000</f>
        <v>14.486190817790531</v>
      </c>
    </row>
    <row r="455" spans="1:6" x14ac:dyDescent="0.3">
      <c r="A455" s="5">
        <v>33.25</v>
      </c>
      <c r="B455" s="5">
        <v>2.7629000000000001</v>
      </c>
      <c r="C455" s="1">
        <f>Tabela1[[#This Row],[Alongamento (mm/mm)]]/$I$2</f>
        <v>5.5258000000000002E-2</v>
      </c>
      <c r="D455" s="5">
        <v>618.99</v>
      </c>
      <c r="E455" s="1">
        <f>Tabela1[[#This Row],[Força (N)]]/$I$5</f>
        <v>14606537.415993355</v>
      </c>
      <c r="F455" s="1">
        <f>Tabela1[[#This Row],[Tensão (Pa)]]/1000000</f>
        <v>14.606537415993355</v>
      </c>
    </row>
    <row r="456" spans="1:6" x14ac:dyDescent="0.3">
      <c r="A456" s="5">
        <v>33.383000000000003</v>
      </c>
      <c r="B456" s="5">
        <v>2.7740999999999998</v>
      </c>
      <c r="C456" s="1">
        <f>Tabela1[[#This Row],[Alongamento (mm/mm)]]/$I$2</f>
        <v>5.5481999999999997E-2</v>
      </c>
      <c r="D456" s="5">
        <v>624.26</v>
      </c>
      <c r="E456" s="1">
        <f>Tabela1[[#This Row],[Força (N)]]/$I$5</f>
        <v>14730895.567469606</v>
      </c>
      <c r="F456" s="1">
        <f>Tabela1[[#This Row],[Tensão (Pa)]]/1000000</f>
        <v>14.730895567469606</v>
      </c>
    </row>
    <row r="457" spans="1:6" x14ac:dyDescent="0.3">
      <c r="A457" s="5">
        <v>33.517000000000003</v>
      </c>
      <c r="B457" s="5">
        <v>2.7850999999999999</v>
      </c>
      <c r="C457" s="1">
        <f>Tabela1[[#This Row],[Alongamento (mm/mm)]]/$I$2</f>
        <v>5.5702000000000002E-2</v>
      </c>
      <c r="D457" s="5">
        <v>629.37</v>
      </c>
      <c r="E457" s="1">
        <f>Tabela1[[#This Row],[Força (N)]]/$I$5</f>
        <v>14851478.139394397</v>
      </c>
      <c r="F457" s="1">
        <f>Tabela1[[#This Row],[Tensão (Pa)]]/1000000</f>
        <v>14.851478139394397</v>
      </c>
    </row>
    <row r="458" spans="1:6" x14ac:dyDescent="0.3">
      <c r="A458" s="5">
        <v>33.65</v>
      </c>
      <c r="B458" s="5">
        <v>2.7961999999999998</v>
      </c>
      <c r="C458" s="1">
        <f>Tabela1[[#This Row],[Alongamento (mm/mm)]]/$I$2</f>
        <v>5.5923999999999995E-2</v>
      </c>
      <c r="D458" s="5">
        <v>634.47</v>
      </c>
      <c r="E458" s="1">
        <f>Tabela1[[#This Row],[Força (N)]]/$I$5</f>
        <v>14971824.737597222</v>
      </c>
      <c r="F458" s="1">
        <f>Tabela1[[#This Row],[Tensão (Pa)]]/1000000</f>
        <v>14.971824737597222</v>
      </c>
    </row>
    <row r="459" spans="1:6" x14ac:dyDescent="0.3">
      <c r="A459" s="5">
        <v>33.783000000000001</v>
      </c>
      <c r="B459" s="5">
        <v>2.8073000000000001</v>
      </c>
      <c r="C459" s="1">
        <f>Tabela1[[#This Row],[Alongamento (mm/mm)]]/$I$2</f>
        <v>5.6146000000000001E-2</v>
      </c>
      <c r="D459" s="5">
        <v>639.57000000000005</v>
      </c>
      <c r="E459" s="1">
        <f>Tabela1[[#This Row],[Força (N)]]/$I$5</f>
        <v>15092171.335800046</v>
      </c>
      <c r="F459" s="1">
        <f>Tabela1[[#This Row],[Tensão (Pa)]]/1000000</f>
        <v>15.092171335800046</v>
      </c>
    </row>
    <row r="460" spans="1:6" x14ac:dyDescent="0.3">
      <c r="A460" s="5">
        <v>33.917000000000002</v>
      </c>
      <c r="B460" s="5">
        <v>2.8184</v>
      </c>
      <c r="C460" s="1">
        <f>Tabela1[[#This Row],[Alongamento (mm/mm)]]/$I$2</f>
        <v>5.6368000000000001E-2</v>
      </c>
      <c r="D460" s="5">
        <v>644.84</v>
      </c>
      <c r="E460" s="1">
        <f>Tabela1[[#This Row],[Força (N)]]/$I$5</f>
        <v>15216529.487276299</v>
      </c>
      <c r="F460" s="1">
        <f>Tabela1[[#This Row],[Tensão (Pa)]]/1000000</f>
        <v>15.216529487276299</v>
      </c>
    </row>
    <row r="461" spans="1:6" x14ac:dyDescent="0.3">
      <c r="A461" s="5">
        <v>34.049999999999997</v>
      </c>
      <c r="B461" s="5">
        <v>2.8294999999999999</v>
      </c>
      <c r="C461" s="1">
        <f>Tabela1[[#This Row],[Alongamento (mm/mm)]]/$I$2</f>
        <v>5.6590000000000001E-2</v>
      </c>
      <c r="D461" s="5">
        <v>649.95000000000005</v>
      </c>
      <c r="E461" s="1">
        <f>Tabela1[[#This Row],[Força (N)]]/$I$5</f>
        <v>15337112.05920109</v>
      </c>
      <c r="F461" s="1">
        <f>Tabela1[[#This Row],[Tensão (Pa)]]/1000000</f>
        <v>15.33711205920109</v>
      </c>
    </row>
    <row r="462" spans="1:6" x14ac:dyDescent="0.3">
      <c r="A462" s="5">
        <v>34.183</v>
      </c>
      <c r="B462" s="5">
        <v>2.8407</v>
      </c>
      <c r="C462" s="1">
        <f>Tabela1[[#This Row],[Alongamento (mm/mm)]]/$I$2</f>
        <v>5.6814000000000003E-2</v>
      </c>
      <c r="D462" s="5">
        <v>655.22</v>
      </c>
      <c r="E462" s="1">
        <f>Tabela1[[#This Row],[Força (N)]]/$I$5</f>
        <v>15461470.210677341</v>
      </c>
      <c r="F462" s="1">
        <f>Tabela1[[#This Row],[Tensão (Pa)]]/1000000</f>
        <v>15.461470210677341</v>
      </c>
    </row>
    <row r="463" spans="1:6" x14ac:dyDescent="0.3">
      <c r="A463" s="5">
        <v>34.317</v>
      </c>
      <c r="B463" s="5">
        <v>2.8517999999999999</v>
      </c>
      <c r="C463" s="1">
        <f>Tabela1[[#This Row],[Alongamento (mm/mm)]]/$I$2</f>
        <v>5.7035999999999996E-2</v>
      </c>
      <c r="D463" s="5">
        <v>660.49</v>
      </c>
      <c r="E463" s="1">
        <f>Tabela1[[#This Row],[Força (N)]]/$I$5</f>
        <v>15585828.362153592</v>
      </c>
      <c r="F463" s="1">
        <f>Tabela1[[#This Row],[Tensão (Pa)]]/1000000</f>
        <v>15.585828362153592</v>
      </c>
    </row>
    <row r="464" spans="1:6" x14ac:dyDescent="0.3">
      <c r="A464" s="5">
        <v>34.450000000000003</v>
      </c>
      <c r="B464" s="5">
        <v>2.8628999999999998</v>
      </c>
      <c r="C464" s="1">
        <f>Tabela1[[#This Row],[Alongamento (mm/mm)]]/$I$2</f>
        <v>5.7257999999999996E-2</v>
      </c>
      <c r="D464" s="5">
        <v>665.77</v>
      </c>
      <c r="E464" s="1">
        <f>Tabela1[[#This Row],[Força (N)]]/$I$5</f>
        <v>15710422.487351809</v>
      </c>
      <c r="F464" s="1">
        <f>Tabela1[[#This Row],[Tensão (Pa)]]/1000000</f>
        <v>15.710422487351808</v>
      </c>
    </row>
    <row r="465" spans="1:6" x14ac:dyDescent="0.3">
      <c r="A465" s="5">
        <v>34.582999999999998</v>
      </c>
      <c r="B465" s="5">
        <v>2.8740000000000001</v>
      </c>
      <c r="C465" s="1">
        <f>Tabela1[[#This Row],[Alongamento (mm/mm)]]/$I$2</f>
        <v>5.7480000000000003E-2</v>
      </c>
      <c r="D465" s="5">
        <v>671.04</v>
      </c>
      <c r="E465" s="1">
        <f>Tabela1[[#This Row],[Força (N)]]/$I$5</f>
        <v>15834780.63882806</v>
      </c>
      <c r="F465" s="1">
        <f>Tabela1[[#This Row],[Tensão (Pa)]]/1000000</f>
        <v>15.834780638828059</v>
      </c>
    </row>
    <row r="466" spans="1:6" x14ac:dyDescent="0.3">
      <c r="A466" s="5">
        <v>34.716999999999999</v>
      </c>
      <c r="B466" s="5">
        <v>2.8851</v>
      </c>
      <c r="C466" s="1">
        <f>Tabela1[[#This Row],[Alongamento (mm/mm)]]/$I$2</f>
        <v>5.7702000000000003E-2</v>
      </c>
      <c r="D466" s="5">
        <v>676.31</v>
      </c>
      <c r="E466" s="1">
        <f>Tabela1[[#This Row],[Força (N)]]/$I$5</f>
        <v>15959138.790304311</v>
      </c>
      <c r="F466" s="1">
        <f>Tabela1[[#This Row],[Tensão (Pa)]]/1000000</f>
        <v>15.95913879030431</v>
      </c>
    </row>
    <row r="467" spans="1:6" x14ac:dyDescent="0.3">
      <c r="A467" s="5">
        <v>34.85</v>
      </c>
      <c r="B467" s="5">
        <v>2.8961999999999999</v>
      </c>
      <c r="C467" s="1">
        <f>Tabela1[[#This Row],[Alongamento (mm/mm)]]/$I$2</f>
        <v>5.7923999999999996E-2</v>
      </c>
      <c r="D467" s="5">
        <v>681.42</v>
      </c>
      <c r="E467" s="1">
        <f>Tabela1[[#This Row],[Força (N)]]/$I$5</f>
        <v>16079721.362229101</v>
      </c>
      <c r="F467" s="1">
        <f>Tabela1[[#This Row],[Tensão (Pa)]]/1000000</f>
        <v>16.079721362229101</v>
      </c>
    </row>
    <row r="468" spans="1:6" x14ac:dyDescent="0.3">
      <c r="A468" s="5">
        <v>34.982999999999997</v>
      </c>
      <c r="B468" s="5">
        <v>2.9073000000000002</v>
      </c>
      <c r="C468" s="1">
        <f>Tabela1[[#This Row],[Alongamento (mm/mm)]]/$I$2</f>
        <v>5.8146000000000003E-2</v>
      </c>
      <c r="D468" s="5">
        <v>686.52</v>
      </c>
      <c r="E468" s="1">
        <f>Tabela1[[#This Row],[Força (N)]]/$I$5</f>
        <v>16200067.960431926</v>
      </c>
      <c r="F468" s="1">
        <f>Tabela1[[#This Row],[Tensão (Pa)]]/1000000</f>
        <v>16.200067960431927</v>
      </c>
    </row>
    <row r="469" spans="1:6" x14ac:dyDescent="0.3">
      <c r="A469" s="5">
        <v>35.116999999999997</v>
      </c>
      <c r="B469" s="5">
        <v>2.9184000000000001</v>
      </c>
      <c r="C469" s="1">
        <f>Tabela1[[#This Row],[Alongamento (mm/mm)]]/$I$2</f>
        <v>5.8368000000000003E-2</v>
      </c>
      <c r="D469" s="5">
        <v>691.79</v>
      </c>
      <c r="E469" s="1">
        <f>Tabela1[[#This Row],[Força (N)]]/$I$5</f>
        <v>16324426.111908177</v>
      </c>
      <c r="F469" s="1">
        <f>Tabela1[[#This Row],[Tensão (Pa)]]/1000000</f>
        <v>16.324426111908178</v>
      </c>
    </row>
    <row r="470" spans="1:6" x14ac:dyDescent="0.3">
      <c r="A470" s="5">
        <v>35.25</v>
      </c>
      <c r="B470" s="5">
        <v>2.9296000000000002</v>
      </c>
      <c r="C470" s="1">
        <f>Tabela1[[#This Row],[Alongamento (mm/mm)]]/$I$2</f>
        <v>5.8592000000000005E-2</v>
      </c>
      <c r="D470" s="5">
        <v>697.06</v>
      </c>
      <c r="E470" s="1">
        <f>Tabela1[[#This Row],[Força (N)]]/$I$5</f>
        <v>16448784.263384428</v>
      </c>
      <c r="F470" s="1">
        <f>Tabela1[[#This Row],[Tensão (Pa)]]/1000000</f>
        <v>16.448784263384429</v>
      </c>
    </row>
    <row r="471" spans="1:6" x14ac:dyDescent="0.3">
      <c r="A471" s="5">
        <v>35.4</v>
      </c>
      <c r="B471" s="5">
        <v>2.9420000000000002</v>
      </c>
      <c r="C471" s="1">
        <f>Tabela1[[#This Row],[Alongamento (mm/mm)]]/$I$2</f>
        <v>5.8840000000000003E-2</v>
      </c>
      <c r="D471" s="5">
        <v>703.02</v>
      </c>
      <c r="E471" s="1">
        <f>Tabela1[[#This Row],[Força (N)]]/$I$5</f>
        <v>16589424.601676358</v>
      </c>
      <c r="F471" s="1">
        <f>Tabela1[[#This Row],[Tensão (Pa)]]/1000000</f>
        <v>16.58942460167636</v>
      </c>
    </row>
    <row r="472" spans="1:6" x14ac:dyDescent="0.3">
      <c r="A472" s="5">
        <v>35.549999999999997</v>
      </c>
      <c r="B472" s="5">
        <v>2.9544999999999999</v>
      </c>
      <c r="C472" s="1">
        <f>Tabela1[[#This Row],[Alongamento (mm/mm)]]/$I$2</f>
        <v>5.9089999999999997E-2</v>
      </c>
      <c r="D472" s="5">
        <v>708.97</v>
      </c>
      <c r="E472" s="1">
        <f>Tabela1[[#This Row],[Força (N)]]/$I$5</f>
        <v>16729828.96624632</v>
      </c>
      <c r="F472" s="1">
        <f>Tabela1[[#This Row],[Tensão (Pa)]]/1000000</f>
        <v>16.72982896624632</v>
      </c>
    </row>
    <row r="473" spans="1:6" x14ac:dyDescent="0.3">
      <c r="A473" s="5">
        <v>35.700000000000003</v>
      </c>
      <c r="B473" s="5">
        <v>2.9670999999999998</v>
      </c>
      <c r="C473" s="1">
        <f>Tabela1[[#This Row],[Alongamento (mm/mm)]]/$I$2</f>
        <v>5.9341999999999999E-2</v>
      </c>
      <c r="D473" s="5">
        <v>714.93</v>
      </c>
      <c r="E473" s="1">
        <f>Tabela1[[#This Row],[Força (N)]]/$I$5</f>
        <v>16870469.304538246</v>
      </c>
      <c r="F473" s="1">
        <f>Tabela1[[#This Row],[Tensão (Pa)]]/1000000</f>
        <v>16.870469304538247</v>
      </c>
    </row>
    <row r="474" spans="1:6" x14ac:dyDescent="0.3">
      <c r="A474" s="5">
        <v>35.85</v>
      </c>
      <c r="B474" s="5">
        <v>2.9794999999999998</v>
      </c>
      <c r="C474" s="1">
        <f>Tabela1[[#This Row],[Alongamento (mm/mm)]]/$I$2</f>
        <v>5.9589999999999997E-2</v>
      </c>
      <c r="D474" s="5">
        <v>720.88</v>
      </c>
      <c r="E474" s="1">
        <f>Tabela1[[#This Row],[Força (N)]]/$I$5</f>
        <v>17010873.669108208</v>
      </c>
      <c r="F474" s="1">
        <f>Tabela1[[#This Row],[Tensão (Pa)]]/1000000</f>
        <v>17.010873669108207</v>
      </c>
    </row>
    <row r="475" spans="1:6" x14ac:dyDescent="0.3">
      <c r="A475" s="5">
        <v>36</v>
      </c>
      <c r="B475" s="5">
        <v>2.9921000000000002</v>
      </c>
      <c r="C475" s="1">
        <f>Tabela1[[#This Row],[Alongamento (mm/mm)]]/$I$2</f>
        <v>5.9842000000000006E-2</v>
      </c>
      <c r="D475" s="5">
        <v>726.66</v>
      </c>
      <c r="E475" s="1">
        <f>Tabela1[[#This Row],[Força (N)]]/$I$5</f>
        <v>17147266.480404742</v>
      </c>
      <c r="F475" s="1">
        <f>Tabela1[[#This Row],[Tensão (Pa)]]/1000000</f>
        <v>17.147266480404742</v>
      </c>
    </row>
    <row r="476" spans="1:6" x14ac:dyDescent="0.3">
      <c r="A476" s="5">
        <v>36.15</v>
      </c>
      <c r="B476" s="5">
        <v>3.0045000000000002</v>
      </c>
      <c r="C476" s="1">
        <f>Tabela1[[#This Row],[Alongamento (mm/mm)]]/$I$2</f>
        <v>6.0090000000000005E-2</v>
      </c>
      <c r="D476" s="5">
        <v>732.62</v>
      </c>
      <c r="E476" s="1">
        <f>Tabela1[[#This Row],[Força (N)]]/$I$5</f>
        <v>17287906.81869667</v>
      </c>
      <c r="F476" s="1">
        <f>Tabela1[[#This Row],[Tensão (Pa)]]/1000000</f>
        <v>17.287906818696669</v>
      </c>
    </row>
    <row r="477" spans="1:6" x14ac:dyDescent="0.3">
      <c r="A477" s="5">
        <v>36.283000000000001</v>
      </c>
      <c r="B477" s="5">
        <v>3.0156000000000001</v>
      </c>
      <c r="C477" s="1">
        <f>Tabela1[[#This Row],[Alongamento (mm/mm)]]/$I$2</f>
        <v>6.0312000000000004E-2</v>
      </c>
      <c r="D477" s="5">
        <v>738.06</v>
      </c>
      <c r="E477" s="1">
        <f>Tabela1[[#This Row],[Força (N)]]/$I$5</f>
        <v>17416276.523446348</v>
      </c>
      <c r="F477" s="1">
        <f>Tabela1[[#This Row],[Tensão (Pa)]]/1000000</f>
        <v>17.416276523446349</v>
      </c>
    </row>
    <row r="478" spans="1:6" x14ac:dyDescent="0.3">
      <c r="A478" s="5">
        <v>36.433</v>
      </c>
      <c r="B478" s="5">
        <v>3.0282</v>
      </c>
      <c r="C478" s="1">
        <f>Tabela1[[#This Row],[Alongamento (mm/mm)]]/$I$2</f>
        <v>6.0564E-2</v>
      </c>
      <c r="D478" s="5">
        <v>744.01</v>
      </c>
      <c r="E478" s="1">
        <f>Tabela1[[#This Row],[Força (N)]]/$I$5</f>
        <v>17556680.88801631</v>
      </c>
      <c r="F478" s="1">
        <f>Tabela1[[#This Row],[Tensão (Pa)]]/1000000</f>
        <v>17.556680888016309</v>
      </c>
    </row>
    <row r="479" spans="1:6" x14ac:dyDescent="0.3">
      <c r="A479" s="5">
        <v>36.582999999999998</v>
      </c>
      <c r="B479" s="5">
        <v>3.0406</v>
      </c>
      <c r="C479" s="1">
        <f>Tabela1[[#This Row],[Alongamento (mm/mm)]]/$I$2</f>
        <v>6.0811999999999998E-2</v>
      </c>
      <c r="D479" s="5">
        <v>750.14</v>
      </c>
      <c r="E479" s="1">
        <f>Tabela1[[#This Row],[Força (N)]]/$I$5</f>
        <v>17701332.779581666</v>
      </c>
      <c r="F479" s="1">
        <f>Tabela1[[#This Row],[Tensão (Pa)]]/1000000</f>
        <v>17.701332779581666</v>
      </c>
    </row>
    <row r="480" spans="1:6" x14ac:dyDescent="0.3">
      <c r="A480" s="5">
        <v>36.732999999999997</v>
      </c>
      <c r="B480" s="5">
        <v>3.0531000000000001</v>
      </c>
      <c r="C480" s="1">
        <f>Tabela1[[#This Row],[Alongamento (mm/mm)]]/$I$2</f>
        <v>6.1062000000000005E-2</v>
      </c>
      <c r="D480" s="5">
        <v>756.09</v>
      </c>
      <c r="E480" s="1">
        <f>Tabela1[[#This Row],[Força (N)]]/$I$5</f>
        <v>17841737.144151628</v>
      </c>
      <c r="F480" s="1">
        <f>Tabela1[[#This Row],[Tensão (Pa)]]/1000000</f>
        <v>17.841737144151629</v>
      </c>
    </row>
    <row r="481" spans="1:6" x14ac:dyDescent="0.3">
      <c r="A481" s="5">
        <v>36.883000000000003</v>
      </c>
      <c r="B481" s="5">
        <v>3.0657000000000001</v>
      </c>
      <c r="C481" s="1">
        <f>Tabela1[[#This Row],[Alongamento (mm/mm)]]/$I$2</f>
        <v>6.1314E-2</v>
      </c>
      <c r="D481" s="5">
        <v>762.04</v>
      </c>
      <c r="E481" s="1">
        <f>Tabela1[[#This Row],[Força (N)]]/$I$5</f>
        <v>17982141.50872159</v>
      </c>
      <c r="F481" s="1">
        <f>Tabela1[[#This Row],[Tensão (Pa)]]/1000000</f>
        <v>17.98214150872159</v>
      </c>
    </row>
    <row r="482" spans="1:6" x14ac:dyDescent="0.3">
      <c r="A482" s="5">
        <v>37.033000000000001</v>
      </c>
      <c r="B482" s="5">
        <v>3.0781999999999998</v>
      </c>
      <c r="C482" s="1">
        <f>Tabela1[[#This Row],[Alongamento (mm/mm)]]/$I$2</f>
        <v>6.1563999999999994E-2</v>
      </c>
      <c r="D482" s="5">
        <v>768</v>
      </c>
      <c r="E482" s="1">
        <f>Tabela1[[#This Row],[Força (N)]]/$I$5</f>
        <v>18122781.847013518</v>
      </c>
      <c r="F482" s="1">
        <f>Tabela1[[#This Row],[Tensão (Pa)]]/1000000</f>
        <v>18.122781847013517</v>
      </c>
    </row>
    <row r="483" spans="1:6" x14ac:dyDescent="0.3">
      <c r="A483" s="5">
        <v>37.183</v>
      </c>
      <c r="B483" s="5">
        <v>3.0905999999999998</v>
      </c>
      <c r="C483" s="1">
        <f>Tabela1[[#This Row],[Alongamento (mm/mm)]]/$I$2</f>
        <v>6.1811999999999999E-2</v>
      </c>
      <c r="D483" s="5">
        <v>774.12</v>
      </c>
      <c r="E483" s="1">
        <f>Tabela1[[#This Row],[Força (N)]]/$I$5</f>
        <v>18267197.764856905</v>
      </c>
      <c r="F483" s="1">
        <f>Tabela1[[#This Row],[Tensão (Pa)]]/1000000</f>
        <v>18.267197764856906</v>
      </c>
    </row>
    <row r="484" spans="1:6" x14ac:dyDescent="0.3">
      <c r="A484" s="5">
        <v>37.332999999999998</v>
      </c>
      <c r="B484" s="5">
        <v>3.1031</v>
      </c>
      <c r="C484" s="1">
        <f>Tabela1[[#This Row],[Alongamento (mm/mm)]]/$I$2</f>
        <v>6.2061999999999999E-2</v>
      </c>
      <c r="D484" s="5">
        <v>780.07</v>
      </c>
      <c r="E484" s="1">
        <f>Tabela1[[#This Row],[Força (N)]]/$I$5</f>
        <v>18407602.12942687</v>
      </c>
      <c r="F484" s="1">
        <f>Tabela1[[#This Row],[Tensão (Pa)]]/1000000</f>
        <v>18.40760212942687</v>
      </c>
    </row>
    <row r="485" spans="1:6" x14ac:dyDescent="0.3">
      <c r="A485" s="5">
        <v>37.482999999999997</v>
      </c>
      <c r="B485" s="5">
        <v>3.1156999999999999</v>
      </c>
      <c r="C485" s="1">
        <f>Tabela1[[#This Row],[Alongamento (mm/mm)]]/$I$2</f>
        <v>6.2314000000000001E-2</v>
      </c>
      <c r="D485" s="5">
        <v>786.2</v>
      </c>
      <c r="E485" s="1">
        <f>Tabela1[[#This Row],[Força (N)]]/$I$5</f>
        <v>18552254.020992223</v>
      </c>
      <c r="F485" s="1">
        <f>Tabela1[[#This Row],[Tensão (Pa)]]/1000000</f>
        <v>18.552254020992223</v>
      </c>
    </row>
    <row r="486" spans="1:6" x14ac:dyDescent="0.3">
      <c r="A486" s="5">
        <v>37.65</v>
      </c>
      <c r="B486" s="5">
        <v>3.1295000000000002</v>
      </c>
      <c r="C486" s="1">
        <f>Tabela1[[#This Row],[Alongamento (mm/mm)]]/$I$2</f>
        <v>6.2590000000000007E-2</v>
      </c>
      <c r="D486" s="5">
        <v>792.83</v>
      </c>
      <c r="E486" s="1">
        <f>Tabela1[[#This Row],[Força (N)]]/$I$5</f>
        <v>18708704.598655894</v>
      </c>
      <c r="F486" s="1">
        <f>Tabela1[[#This Row],[Tensão (Pa)]]/1000000</f>
        <v>18.708704598655896</v>
      </c>
    </row>
    <row r="487" spans="1:6" x14ac:dyDescent="0.3">
      <c r="A487" s="5">
        <v>37.799999999999997</v>
      </c>
      <c r="B487" s="5">
        <v>3.1419999999999999</v>
      </c>
      <c r="C487" s="1">
        <f>Tabela1[[#This Row],[Alongamento (mm/mm)]]/$I$2</f>
        <v>6.2839999999999993E-2</v>
      </c>
      <c r="D487" s="5">
        <v>798.95</v>
      </c>
      <c r="E487" s="1">
        <f>Tabela1[[#This Row],[Força (N)]]/$I$5</f>
        <v>18853120.516499285</v>
      </c>
      <c r="F487" s="1">
        <f>Tabela1[[#This Row],[Tensão (Pa)]]/1000000</f>
        <v>18.853120516499285</v>
      </c>
    </row>
    <row r="488" spans="1:6" x14ac:dyDescent="0.3">
      <c r="A488" s="5">
        <v>37.950000000000003</v>
      </c>
      <c r="B488" s="5">
        <v>3.1545999999999998</v>
      </c>
      <c r="C488" s="1">
        <f>Tabela1[[#This Row],[Alongamento (mm/mm)]]/$I$2</f>
        <v>6.3091999999999995E-2</v>
      </c>
      <c r="D488" s="5">
        <v>805.25</v>
      </c>
      <c r="E488" s="1">
        <f>Tabela1[[#This Row],[Força (N)]]/$I$5</f>
        <v>19001783.961338066</v>
      </c>
      <c r="F488" s="1">
        <f>Tabela1[[#This Row],[Tensão (Pa)]]/1000000</f>
        <v>19.001783961338067</v>
      </c>
    </row>
    <row r="489" spans="1:6" x14ac:dyDescent="0.3">
      <c r="A489" s="5">
        <v>38.1</v>
      </c>
      <c r="B489" s="5">
        <v>3.1669999999999998</v>
      </c>
      <c r="C489" s="1">
        <f>Tabela1[[#This Row],[Alongamento (mm/mm)]]/$I$2</f>
        <v>6.3339999999999994E-2</v>
      </c>
      <c r="D489" s="5">
        <v>811.37</v>
      </c>
      <c r="E489" s="1">
        <f>Tabela1[[#This Row],[Força (N)]]/$I$5</f>
        <v>19146199.879181456</v>
      </c>
      <c r="F489" s="1">
        <f>Tabela1[[#This Row],[Tensão (Pa)]]/1000000</f>
        <v>19.146199879181456</v>
      </c>
    </row>
    <row r="490" spans="1:6" x14ac:dyDescent="0.3">
      <c r="A490" s="5">
        <v>38.25</v>
      </c>
      <c r="B490" s="5">
        <v>3.1795</v>
      </c>
      <c r="C490" s="1">
        <f>Tabela1[[#This Row],[Alongamento (mm/mm)]]/$I$2</f>
        <v>6.3589999999999994E-2</v>
      </c>
      <c r="D490" s="5">
        <v>817.66</v>
      </c>
      <c r="E490" s="1">
        <f>Tabela1[[#This Row],[Força (N)]]/$I$5</f>
        <v>19294627.350298271</v>
      </c>
      <c r="F490" s="1">
        <f>Tabela1[[#This Row],[Tensão (Pa)]]/1000000</f>
        <v>19.294627350298271</v>
      </c>
    </row>
    <row r="491" spans="1:6" x14ac:dyDescent="0.3">
      <c r="A491" s="5">
        <v>38.4</v>
      </c>
      <c r="B491" s="5">
        <v>3.1920999999999999</v>
      </c>
      <c r="C491" s="1">
        <f>Tabela1[[#This Row],[Alongamento (mm/mm)]]/$I$2</f>
        <v>6.3841999999999996E-2</v>
      </c>
      <c r="D491" s="5">
        <v>823.79</v>
      </c>
      <c r="E491" s="1">
        <f>Tabela1[[#This Row],[Força (N)]]/$I$5</f>
        <v>19439279.241863627</v>
      </c>
      <c r="F491" s="1">
        <f>Tabela1[[#This Row],[Tensão (Pa)]]/1000000</f>
        <v>19.439279241863627</v>
      </c>
    </row>
    <row r="492" spans="1:6" x14ac:dyDescent="0.3">
      <c r="A492" s="5">
        <v>38.549999999999997</v>
      </c>
      <c r="B492" s="5">
        <v>3.2044999999999999</v>
      </c>
      <c r="C492" s="1">
        <f>Tabela1[[#This Row],[Alongamento (mm/mm)]]/$I$2</f>
        <v>6.4089999999999994E-2</v>
      </c>
      <c r="D492" s="5">
        <v>830.08</v>
      </c>
      <c r="E492" s="1">
        <f>Tabela1[[#This Row],[Força (N)]]/$I$5</f>
        <v>19587706.712980445</v>
      </c>
      <c r="F492" s="1">
        <f>Tabela1[[#This Row],[Tensão (Pa)]]/1000000</f>
        <v>19.587706712980445</v>
      </c>
    </row>
    <row r="493" spans="1:6" x14ac:dyDescent="0.3">
      <c r="A493" s="5">
        <v>38.700000000000003</v>
      </c>
      <c r="B493" s="5">
        <v>3.2170000000000001</v>
      </c>
      <c r="C493" s="1">
        <f>Tabela1[[#This Row],[Alongamento (mm/mm)]]/$I$2</f>
        <v>6.4340000000000008E-2</v>
      </c>
      <c r="D493" s="5">
        <v>836.55</v>
      </c>
      <c r="E493" s="1">
        <f>Tabela1[[#This Row],[Força (N)]]/$I$5</f>
        <v>19740381.711092651</v>
      </c>
      <c r="F493" s="1">
        <f>Tabela1[[#This Row],[Tensão (Pa)]]/1000000</f>
        <v>19.740381711092652</v>
      </c>
    </row>
    <row r="494" spans="1:6" x14ac:dyDescent="0.3">
      <c r="A494" s="5">
        <v>38.866999999999997</v>
      </c>
      <c r="B494" s="5">
        <v>3.2309999999999999</v>
      </c>
      <c r="C494" s="1">
        <f>Tabela1[[#This Row],[Alongamento (mm/mm)]]/$I$2</f>
        <v>6.4619999999999997E-2</v>
      </c>
      <c r="D494" s="5">
        <v>843.52</v>
      </c>
      <c r="E494" s="1">
        <f>Tabela1[[#This Row],[Força (N)]]/$I$5</f>
        <v>19904855.395303179</v>
      </c>
      <c r="F494" s="1">
        <f>Tabela1[[#This Row],[Tensão (Pa)]]/1000000</f>
        <v>19.90485539530318</v>
      </c>
    </row>
    <row r="495" spans="1:6" x14ac:dyDescent="0.3">
      <c r="A495" s="5">
        <v>39.033000000000001</v>
      </c>
      <c r="B495" s="5">
        <v>3.2448000000000001</v>
      </c>
      <c r="C495" s="1">
        <f>Tabela1[[#This Row],[Alongamento (mm/mm)]]/$I$2</f>
        <v>6.4896000000000009E-2</v>
      </c>
      <c r="D495" s="5">
        <v>850.49</v>
      </c>
      <c r="E495" s="1">
        <f>Tabela1[[#This Row],[Força (N)]]/$I$5</f>
        <v>20069329.079513706</v>
      </c>
      <c r="F495" s="1">
        <f>Tabela1[[#This Row],[Tensão (Pa)]]/1000000</f>
        <v>20.069329079513707</v>
      </c>
    </row>
    <row r="496" spans="1:6" x14ac:dyDescent="0.3">
      <c r="A496" s="5">
        <v>39.183</v>
      </c>
      <c r="B496" s="5">
        <v>3.2572999999999999</v>
      </c>
      <c r="C496" s="1">
        <f>Tabela1[[#This Row],[Alongamento (mm/mm)]]/$I$2</f>
        <v>6.5145999999999996E-2</v>
      </c>
      <c r="D496" s="5">
        <v>856.96</v>
      </c>
      <c r="E496" s="1">
        <f>Tabela1[[#This Row],[Força (N)]]/$I$5</f>
        <v>20222004.077625915</v>
      </c>
      <c r="F496" s="1">
        <f>Tabela1[[#This Row],[Tensão (Pa)]]/1000000</f>
        <v>20.222004077625915</v>
      </c>
    </row>
    <row r="497" spans="1:6" x14ac:dyDescent="0.3">
      <c r="A497" s="5">
        <v>39.35</v>
      </c>
      <c r="B497" s="5">
        <v>3.2711999999999999</v>
      </c>
      <c r="C497" s="1">
        <f>Tabela1[[#This Row],[Alongamento (mm/mm)]]/$I$2</f>
        <v>6.5423999999999996E-2</v>
      </c>
      <c r="D497" s="5">
        <v>864.1</v>
      </c>
      <c r="E497" s="1">
        <f>Tabela1[[#This Row],[Força (N)]]/$I$5</f>
        <v>20390489.315109871</v>
      </c>
      <c r="F497" s="1">
        <f>Tabela1[[#This Row],[Tensão (Pa)]]/1000000</f>
        <v>20.390489315109871</v>
      </c>
    </row>
    <row r="498" spans="1:6" x14ac:dyDescent="0.3">
      <c r="A498" s="5">
        <v>39.517000000000003</v>
      </c>
      <c r="B498" s="5">
        <v>3.2850999999999999</v>
      </c>
      <c r="C498" s="1">
        <f>Tabela1[[#This Row],[Alongamento (mm/mm)]]/$I$2</f>
        <v>6.5701999999999997E-2</v>
      </c>
      <c r="D498" s="5">
        <v>871.25</v>
      </c>
      <c r="E498" s="1">
        <f>Tabela1[[#This Row],[Força (N)]]/$I$5</f>
        <v>20559210.52631579</v>
      </c>
      <c r="F498" s="1">
        <f>Tabela1[[#This Row],[Tensão (Pa)]]/1000000</f>
        <v>20.559210526315791</v>
      </c>
    </row>
    <row r="499" spans="1:6" x14ac:dyDescent="0.3">
      <c r="A499" s="5">
        <v>39.683</v>
      </c>
      <c r="B499" s="5">
        <v>3.2989999999999999</v>
      </c>
      <c r="C499" s="1">
        <f>Tabela1[[#This Row],[Alongamento (mm/mm)]]/$I$2</f>
        <v>6.5979999999999997E-2</v>
      </c>
      <c r="D499" s="5">
        <v>878.22</v>
      </c>
      <c r="E499" s="1">
        <f>Tabela1[[#This Row],[Força (N)]]/$I$5</f>
        <v>20723684.210526317</v>
      </c>
      <c r="F499" s="1">
        <f>Tabela1[[#This Row],[Tensão (Pa)]]/1000000</f>
        <v>20.723684210526319</v>
      </c>
    </row>
    <row r="500" spans="1:6" x14ac:dyDescent="0.3">
      <c r="A500" s="5">
        <v>39.85</v>
      </c>
      <c r="B500" s="5">
        <v>3.3129</v>
      </c>
      <c r="C500" s="1">
        <f>Tabela1[[#This Row],[Alongamento (mm/mm)]]/$I$2</f>
        <v>6.6257999999999997E-2</v>
      </c>
      <c r="D500" s="5">
        <v>885.36</v>
      </c>
      <c r="E500" s="1">
        <f>Tabela1[[#This Row],[Força (N)]]/$I$5</f>
        <v>20892169.44801027</v>
      </c>
      <c r="F500" s="1">
        <f>Tabela1[[#This Row],[Tensão (Pa)]]/1000000</f>
        <v>20.892169448010268</v>
      </c>
    </row>
    <row r="501" spans="1:6" x14ac:dyDescent="0.3">
      <c r="A501" s="5">
        <v>40.017000000000003</v>
      </c>
      <c r="B501" s="5">
        <v>3.3267000000000002</v>
      </c>
      <c r="C501" s="1">
        <f>Tabela1[[#This Row],[Alongamento (mm/mm)]]/$I$2</f>
        <v>6.653400000000001E-2</v>
      </c>
      <c r="D501" s="5">
        <v>892.51</v>
      </c>
      <c r="E501" s="1">
        <f>Tabela1[[#This Row],[Força (N)]]/$I$5</f>
        <v>21060890.659216192</v>
      </c>
      <c r="F501" s="1">
        <f>Tabela1[[#This Row],[Tensão (Pa)]]/1000000</f>
        <v>21.060890659216192</v>
      </c>
    </row>
    <row r="502" spans="1:6" x14ac:dyDescent="0.3">
      <c r="A502" s="5">
        <v>40.183</v>
      </c>
      <c r="B502" s="5">
        <v>3.3407</v>
      </c>
      <c r="C502" s="1">
        <f>Tabela1[[#This Row],[Alongamento (mm/mm)]]/$I$2</f>
        <v>6.6813999999999998E-2</v>
      </c>
      <c r="D502" s="5">
        <v>899.65</v>
      </c>
      <c r="E502" s="1">
        <f>Tabela1[[#This Row],[Força (N)]]/$I$5</f>
        <v>21229375.896700144</v>
      </c>
      <c r="F502" s="1">
        <f>Tabela1[[#This Row],[Tensão (Pa)]]/1000000</f>
        <v>21.229375896700144</v>
      </c>
    </row>
    <row r="503" spans="1:6" x14ac:dyDescent="0.3">
      <c r="A503" s="5">
        <v>40.35</v>
      </c>
      <c r="B503" s="5">
        <v>3.3546</v>
      </c>
      <c r="C503" s="1">
        <f>Tabela1[[#This Row],[Alongamento (mm/mm)]]/$I$2</f>
        <v>6.7091999999999999E-2</v>
      </c>
      <c r="D503" s="5">
        <v>906.8</v>
      </c>
      <c r="E503" s="1">
        <f>Tabela1[[#This Row],[Força (N)]]/$I$5</f>
        <v>21398097.107906062</v>
      </c>
      <c r="F503" s="1">
        <f>Tabela1[[#This Row],[Tensão (Pa)]]/1000000</f>
        <v>21.398097107906061</v>
      </c>
    </row>
    <row r="504" spans="1:6" x14ac:dyDescent="0.3">
      <c r="A504" s="5">
        <v>40.517000000000003</v>
      </c>
      <c r="B504" s="5">
        <v>3.3683999999999998</v>
      </c>
      <c r="C504" s="1">
        <f>Tabela1[[#This Row],[Alongamento (mm/mm)]]/$I$2</f>
        <v>6.7367999999999997E-2</v>
      </c>
      <c r="D504" s="5">
        <v>913.77</v>
      </c>
      <c r="E504" s="1">
        <f>Tabela1[[#This Row],[Força (N)]]/$I$5</f>
        <v>21562570.79211659</v>
      </c>
      <c r="F504" s="1">
        <f>Tabela1[[#This Row],[Tensão (Pa)]]/1000000</f>
        <v>21.562570792116588</v>
      </c>
    </row>
    <row r="505" spans="1:6" x14ac:dyDescent="0.3">
      <c r="A505" s="5">
        <v>40.683</v>
      </c>
      <c r="B505" s="5">
        <v>3.3822000000000001</v>
      </c>
      <c r="C505" s="1">
        <f>Tabela1[[#This Row],[Alongamento (mm/mm)]]/$I$2</f>
        <v>6.7643999999999996E-2</v>
      </c>
      <c r="D505" s="5">
        <v>920.91</v>
      </c>
      <c r="E505" s="1">
        <f>Tabela1[[#This Row],[Força (N)]]/$I$5</f>
        <v>21731056.029600542</v>
      </c>
      <c r="F505" s="1">
        <f>Tabela1[[#This Row],[Tensão (Pa)]]/1000000</f>
        <v>21.731056029600541</v>
      </c>
    </row>
    <row r="506" spans="1:6" x14ac:dyDescent="0.3">
      <c r="A506" s="5">
        <v>40.85</v>
      </c>
      <c r="B506" s="5">
        <v>3.3961999999999999</v>
      </c>
      <c r="C506" s="1">
        <f>Tabela1[[#This Row],[Alongamento (mm/mm)]]/$I$2</f>
        <v>6.7923999999999998E-2</v>
      </c>
      <c r="D506" s="5">
        <v>928.06</v>
      </c>
      <c r="E506" s="1">
        <f>Tabela1[[#This Row],[Força (N)]]/$I$5</f>
        <v>21899777.240806464</v>
      </c>
      <c r="F506" s="1">
        <f>Tabela1[[#This Row],[Tensão (Pa)]]/1000000</f>
        <v>21.899777240806465</v>
      </c>
    </row>
    <row r="507" spans="1:6" x14ac:dyDescent="0.3">
      <c r="A507" s="5">
        <v>41.017000000000003</v>
      </c>
      <c r="B507" s="5">
        <v>3.4100999999999999</v>
      </c>
      <c r="C507" s="1">
        <f>Tabela1[[#This Row],[Alongamento (mm/mm)]]/$I$2</f>
        <v>6.8201999999999999E-2</v>
      </c>
      <c r="D507" s="5">
        <v>935.2</v>
      </c>
      <c r="E507" s="1">
        <f>Tabela1[[#This Row],[Força (N)]]/$I$5</f>
        <v>22068262.47829042</v>
      </c>
      <c r="F507" s="1">
        <f>Tabela1[[#This Row],[Tensão (Pa)]]/1000000</f>
        <v>22.068262478290421</v>
      </c>
    </row>
    <row r="508" spans="1:6" x14ac:dyDescent="0.3">
      <c r="A508" s="5">
        <v>41.183</v>
      </c>
      <c r="B508" s="5">
        <v>3.4239999999999999</v>
      </c>
      <c r="C508" s="1">
        <f>Tabela1[[#This Row],[Alongamento (mm/mm)]]/$I$2</f>
        <v>6.8479999999999999E-2</v>
      </c>
      <c r="D508" s="5">
        <v>942.35</v>
      </c>
      <c r="E508" s="1">
        <f>Tabela1[[#This Row],[Força (N)]]/$I$5</f>
        <v>22236983.689496338</v>
      </c>
      <c r="F508" s="1">
        <f>Tabela1[[#This Row],[Tensão (Pa)]]/1000000</f>
        <v>22.236983689496338</v>
      </c>
    </row>
    <row r="509" spans="1:6" x14ac:dyDescent="0.3">
      <c r="A509" s="5">
        <v>41.366999999999997</v>
      </c>
      <c r="B509" s="5">
        <v>3.4392</v>
      </c>
      <c r="C509" s="1">
        <f>Tabela1[[#This Row],[Alongamento (mm/mm)]]/$I$2</f>
        <v>6.8783999999999998E-2</v>
      </c>
      <c r="D509" s="5">
        <v>950.17</v>
      </c>
      <c r="E509" s="1">
        <f>Tabela1[[#This Row],[Força (N)]]/$I$5</f>
        <v>22421515.140074</v>
      </c>
      <c r="F509" s="1">
        <f>Tabela1[[#This Row],[Tensão (Pa)]]/1000000</f>
        <v>22.421515140074</v>
      </c>
    </row>
    <row r="510" spans="1:6" x14ac:dyDescent="0.3">
      <c r="A510" s="5">
        <v>41.55</v>
      </c>
      <c r="B510" s="5">
        <v>3.4544999999999999</v>
      </c>
      <c r="C510" s="1">
        <f>Tabela1[[#This Row],[Alongamento (mm/mm)]]/$I$2</f>
        <v>6.9089999999999999E-2</v>
      </c>
      <c r="D510" s="5">
        <v>957.83</v>
      </c>
      <c r="E510" s="1">
        <f>Tabela1[[#This Row],[Força (N)]]/$I$5</f>
        <v>22602271.011100207</v>
      </c>
      <c r="F510" s="1">
        <f>Tabela1[[#This Row],[Tensão (Pa)]]/1000000</f>
        <v>22.602271011100207</v>
      </c>
    </row>
    <row r="511" spans="1:6" x14ac:dyDescent="0.3">
      <c r="A511" s="5">
        <v>41.732999999999997</v>
      </c>
      <c r="B511" s="5">
        <v>3.4698000000000002</v>
      </c>
      <c r="C511" s="1">
        <f>Tabela1[[#This Row],[Alongamento (mm/mm)]]/$I$2</f>
        <v>6.9395999999999999E-2</v>
      </c>
      <c r="D511" s="5">
        <v>965.31</v>
      </c>
      <c r="E511" s="1">
        <f>Tabela1[[#This Row],[Força (N)]]/$I$5</f>
        <v>22778779.355131011</v>
      </c>
      <c r="F511" s="1">
        <f>Tabela1[[#This Row],[Tensão (Pa)]]/1000000</f>
        <v>22.778779355131011</v>
      </c>
    </row>
    <row r="512" spans="1:6" x14ac:dyDescent="0.3">
      <c r="A512" s="5">
        <v>41.917000000000002</v>
      </c>
      <c r="B512" s="5">
        <v>3.4851000000000001</v>
      </c>
      <c r="C512" s="1">
        <f>Tabela1[[#This Row],[Alongamento (mm/mm)]]/$I$2</f>
        <v>6.9702E-2</v>
      </c>
      <c r="D512" s="5">
        <v>972.97</v>
      </c>
      <c r="E512" s="1">
        <f>Tabela1[[#This Row],[Força (N)]]/$I$5</f>
        <v>22959535.226157214</v>
      </c>
      <c r="F512" s="1">
        <f>Tabela1[[#This Row],[Tensão (Pa)]]/1000000</f>
        <v>22.959535226157215</v>
      </c>
    </row>
    <row r="513" spans="1:6" x14ac:dyDescent="0.3">
      <c r="A513" s="5">
        <v>42.1</v>
      </c>
      <c r="B513" s="5">
        <v>3.5004</v>
      </c>
      <c r="C513" s="1">
        <f>Tabela1[[#This Row],[Alongamento (mm/mm)]]/$I$2</f>
        <v>7.0008000000000001E-2</v>
      </c>
      <c r="D513" s="5">
        <v>980.79</v>
      </c>
      <c r="E513" s="1">
        <f>Tabela1[[#This Row],[Força (N)]]/$I$5</f>
        <v>23144066.67673488</v>
      </c>
      <c r="F513" s="1">
        <f>Tabela1[[#This Row],[Tensão (Pa)]]/1000000</f>
        <v>23.14406667673488</v>
      </c>
    </row>
    <row r="514" spans="1:6" x14ac:dyDescent="0.3">
      <c r="A514" s="5">
        <v>42.283000000000001</v>
      </c>
      <c r="B514" s="5">
        <v>3.5156000000000001</v>
      </c>
      <c r="C514" s="1">
        <f>Tabela1[[#This Row],[Alongamento (mm/mm)]]/$I$2</f>
        <v>7.0311999999999999E-2</v>
      </c>
      <c r="D514" s="5">
        <v>988.61</v>
      </c>
      <c r="E514" s="1">
        <f>Tabela1[[#This Row],[Força (N)]]/$I$5</f>
        <v>23328598.127312545</v>
      </c>
      <c r="F514" s="1">
        <f>Tabela1[[#This Row],[Tensão (Pa)]]/1000000</f>
        <v>23.328598127312546</v>
      </c>
    </row>
    <row r="515" spans="1:6" x14ac:dyDescent="0.3">
      <c r="A515" s="5">
        <v>42.466999999999999</v>
      </c>
      <c r="B515" s="5">
        <v>3.5310000000000001</v>
      </c>
      <c r="C515" s="1">
        <f>Tabela1[[#This Row],[Alongamento (mm/mm)]]/$I$2</f>
        <v>7.0620000000000002E-2</v>
      </c>
      <c r="D515" s="5">
        <v>996.44</v>
      </c>
      <c r="E515" s="1">
        <f>Tabela1[[#This Row],[Força (N)]]/$I$5</f>
        <v>23513365.551612176</v>
      </c>
      <c r="F515" s="1">
        <f>Tabela1[[#This Row],[Tensão (Pa)]]/1000000</f>
        <v>23.513365551612175</v>
      </c>
    </row>
    <row r="516" spans="1:6" x14ac:dyDescent="0.3">
      <c r="A516" s="5">
        <v>42.65</v>
      </c>
      <c r="B516" s="5">
        <v>3.5461999999999998</v>
      </c>
      <c r="C516" s="1">
        <f>Tabela1[[#This Row],[Alongamento (mm/mm)]]/$I$2</f>
        <v>7.0924000000000001E-2</v>
      </c>
      <c r="D516" s="5">
        <v>1004.1</v>
      </c>
      <c r="E516" s="1">
        <f>Tabela1[[#This Row],[Força (N)]]/$I$5</f>
        <v>23694121.422638375</v>
      </c>
      <c r="F516" s="1">
        <f>Tabela1[[#This Row],[Tensão (Pa)]]/1000000</f>
        <v>23.694121422638375</v>
      </c>
    </row>
    <row r="517" spans="1:6" x14ac:dyDescent="0.3">
      <c r="A517" s="5">
        <v>42.832999999999998</v>
      </c>
      <c r="B517" s="5">
        <v>3.5615000000000001</v>
      </c>
      <c r="C517" s="1">
        <f>Tabela1[[#This Row],[Alongamento (mm/mm)]]/$I$2</f>
        <v>7.1230000000000002E-2</v>
      </c>
      <c r="D517" s="5">
        <v>1011.9</v>
      </c>
      <c r="E517" s="1">
        <f>Tabela1[[#This Row],[Força (N)]]/$I$5</f>
        <v>23878180.925772104</v>
      </c>
      <c r="F517" s="1">
        <f>Tabela1[[#This Row],[Tensão (Pa)]]/1000000</f>
        <v>23.878180925772103</v>
      </c>
    </row>
    <row r="518" spans="1:6" x14ac:dyDescent="0.3">
      <c r="A518" s="5">
        <v>43.017000000000003</v>
      </c>
      <c r="B518" s="5">
        <v>3.5768</v>
      </c>
      <c r="C518" s="1">
        <f>Tabela1[[#This Row],[Alongamento (mm/mm)]]/$I$2</f>
        <v>7.1536000000000002E-2</v>
      </c>
      <c r="D518" s="5">
        <v>1019.7</v>
      </c>
      <c r="E518" s="1">
        <f>Tabela1[[#This Row],[Força (N)]]/$I$5</f>
        <v>24062240.428905837</v>
      </c>
      <c r="F518" s="1">
        <f>Tabela1[[#This Row],[Tensão (Pa)]]/1000000</f>
        <v>24.062240428905838</v>
      </c>
    </row>
    <row r="519" spans="1:6" x14ac:dyDescent="0.3">
      <c r="A519" s="5">
        <v>43.216999999999999</v>
      </c>
      <c r="B519" s="5">
        <v>3.5933999999999999</v>
      </c>
      <c r="C519" s="1">
        <f>Tabela1[[#This Row],[Alongamento (mm/mm)]]/$I$2</f>
        <v>7.1868000000000001E-2</v>
      </c>
      <c r="D519" s="5">
        <v>1028.0999999999999</v>
      </c>
      <c r="E519" s="1">
        <f>Tabela1[[#This Row],[Força (N)]]/$I$5</f>
        <v>24260458.355357546</v>
      </c>
      <c r="F519" s="1">
        <f>Tabela1[[#This Row],[Tensão (Pa)]]/1000000</f>
        <v>24.260458355357546</v>
      </c>
    </row>
    <row r="520" spans="1:6" x14ac:dyDescent="0.3">
      <c r="A520" s="5">
        <v>43.4</v>
      </c>
      <c r="B520" s="5">
        <v>3.6086999999999998</v>
      </c>
      <c r="C520" s="1">
        <f>Tabela1[[#This Row],[Alongamento (mm/mm)]]/$I$2</f>
        <v>7.2174000000000002E-2</v>
      </c>
      <c r="D520" s="5">
        <v>1035.9000000000001</v>
      </c>
      <c r="E520" s="1">
        <f>Tabela1[[#This Row],[Força (N)]]/$I$5</f>
        <v>24444517.858491283</v>
      </c>
      <c r="F520" s="1">
        <f>Tabela1[[#This Row],[Tensão (Pa)]]/1000000</f>
        <v>24.444517858491285</v>
      </c>
    </row>
    <row r="521" spans="1:6" x14ac:dyDescent="0.3">
      <c r="A521" s="5">
        <v>43.582999999999998</v>
      </c>
      <c r="B521" s="5">
        <v>3.6240000000000001</v>
      </c>
      <c r="C521" s="1">
        <f>Tabela1[[#This Row],[Alongamento (mm/mm)]]/$I$2</f>
        <v>7.2480000000000003E-2</v>
      </c>
      <c r="D521" s="5">
        <v>1043.7</v>
      </c>
      <c r="E521" s="1">
        <f>Tabela1[[#This Row],[Força (N)]]/$I$5</f>
        <v>24628577.361625012</v>
      </c>
      <c r="F521" s="1">
        <f>Tabela1[[#This Row],[Tensão (Pa)]]/1000000</f>
        <v>24.628577361625013</v>
      </c>
    </row>
    <row r="522" spans="1:6" x14ac:dyDescent="0.3">
      <c r="A522" s="5">
        <v>43.767000000000003</v>
      </c>
      <c r="B522" s="5">
        <v>3.6392000000000002</v>
      </c>
      <c r="C522" s="1">
        <f>Tabela1[[#This Row],[Alongamento (mm/mm)]]/$I$2</f>
        <v>7.2784000000000001E-2</v>
      </c>
      <c r="D522" s="5">
        <v>1051.5999999999999</v>
      </c>
      <c r="E522" s="1">
        <f>Tabela1[[#This Row],[Força (N)]]/$I$5</f>
        <v>24814996.601978403</v>
      </c>
      <c r="F522" s="1">
        <f>Tabela1[[#This Row],[Tensão (Pa)]]/1000000</f>
        <v>24.814996601978404</v>
      </c>
    </row>
    <row r="523" spans="1:6" x14ac:dyDescent="0.3">
      <c r="A523" s="5">
        <v>43.966999999999999</v>
      </c>
      <c r="B523" s="5">
        <v>3.6558999999999999</v>
      </c>
      <c r="C523" s="1">
        <f>Tabela1[[#This Row],[Alongamento (mm/mm)]]/$I$2</f>
        <v>7.3118000000000002E-2</v>
      </c>
      <c r="D523" s="5">
        <v>1060.2</v>
      </c>
      <c r="E523" s="1">
        <f>Tabela1[[#This Row],[Força (N)]]/$I$5</f>
        <v>25017934.002869442</v>
      </c>
      <c r="F523" s="1">
        <f>Tabela1[[#This Row],[Tensão (Pa)]]/1000000</f>
        <v>25.017934002869442</v>
      </c>
    </row>
    <row r="524" spans="1:6" x14ac:dyDescent="0.3">
      <c r="A524" s="5">
        <v>44.15</v>
      </c>
      <c r="B524" s="5">
        <v>3.6711999999999998</v>
      </c>
      <c r="C524" s="1">
        <f>Tabela1[[#This Row],[Alongamento (mm/mm)]]/$I$2</f>
        <v>7.3423999999999989E-2</v>
      </c>
      <c r="D524" s="5">
        <v>1068.4000000000001</v>
      </c>
      <c r="E524" s="1">
        <f>Tabela1[[#This Row],[Força (N)]]/$I$5</f>
        <v>25211432.454881828</v>
      </c>
      <c r="F524" s="1">
        <f>Tabela1[[#This Row],[Tensão (Pa)]]/1000000</f>
        <v>25.211432454881827</v>
      </c>
    </row>
    <row r="525" spans="1:6" x14ac:dyDescent="0.3">
      <c r="A525" s="5">
        <v>44.332999999999998</v>
      </c>
      <c r="B525" s="5">
        <v>3.6865000000000001</v>
      </c>
      <c r="C525" s="1">
        <f>Tabela1[[#This Row],[Alongamento (mm/mm)]]/$I$2</f>
        <v>7.3730000000000004E-2</v>
      </c>
      <c r="D525" s="5">
        <v>1076.5999999999999</v>
      </c>
      <c r="E525" s="1">
        <f>Tabela1[[#This Row],[Força (N)]]/$I$5</f>
        <v>25404930.906894207</v>
      </c>
      <c r="F525" s="1">
        <f>Tabela1[[#This Row],[Tensão (Pa)]]/1000000</f>
        <v>25.404930906894208</v>
      </c>
    </row>
    <row r="526" spans="1:6" x14ac:dyDescent="0.3">
      <c r="A526" s="5">
        <v>44.533000000000001</v>
      </c>
      <c r="B526" s="5">
        <v>3.7031999999999998</v>
      </c>
      <c r="C526" s="1">
        <f>Tabela1[[#This Row],[Alongamento (mm/mm)]]/$I$2</f>
        <v>7.4063999999999991E-2</v>
      </c>
      <c r="D526" s="5">
        <v>1085.2</v>
      </c>
      <c r="E526" s="1">
        <f>Tabela1[[#This Row],[Força (N)]]/$I$5</f>
        <v>25607868.307785247</v>
      </c>
      <c r="F526" s="1">
        <f>Tabela1[[#This Row],[Tensão (Pa)]]/1000000</f>
        <v>25.607868307785246</v>
      </c>
    </row>
    <row r="527" spans="1:6" x14ac:dyDescent="0.3">
      <c r="A527" s="5">
        <v>44.716999999999999</v>
      </c>
      <c r="B527" s="5">
        <v>3.7185000000000001</v>
      </c>
      <c r="C527" s="1">
        <f>Tabela1[[#This Row],[Alongamento (mm/mm)]]/$I$2</f>
        <v>7.4370000000000006E-2</v>
      </c>
      <c r="D527" s="5">
        <v>1093.4000000000001</v>
      </c>
      <c r="E527" s="1">
        <f>Tabela1[[#This Row],[Força (N)]]/$I$5</f>
        <v>25801366.759797633</v>
      </c>
      <c r="F527" s="1">
        <f>Tabela1[[#This Row],[Tensão (Pa)]]/1000000</f>
        <v>25.801366759797634</v>
      </c>
    </row>
    <row r="528" spans="1:6" x14ac:dyDescent="0.3">
      <c r="A528" s="5">
        <v>44.917000000000002</v>
      </c>
      <c r="B528" s="5">
        <v>3.7351000000000001</v>
      </c>
      <c r="C528" s="1">
        <f>Tabela1[[#This Row],[Alongamento (mm/mm)]]/$I$2</f>
        <v>7.4702000000000005E-2</v>
      </c>
      <c r="D528" s="5">
        <v>1102.2</v>
      </c>
      <c r="E528" s="1">
        <f>Tabela1[[#This Row],[Força (N)]]/$I$5</f>
        <v>26009023.635127995</v>
      </c>
      <c r="F528" s="1">
        <f>Tabela1[[#This Row],[Tensão (Pa)]]/1000000</f>
        <v>26.009023635127996</v>
      </c>
    </row>
    <row r="529" spans="1:6" x14ac:dyDescent="0.3">
      <c r="A529" s="5">
        <v>45.1</v>
      </c>
      <c r="B529" s="5">
        <v>3.7503000000000002</v>
      </c>
      <c r="C529" s="1">
        <f>Tabela1[[#This Row],[Alongamento (mm/mm)]]/$I$2</f>
        <v>7.5006000000000003E-2</v>
      </c>
      <c r="D529" s="5">
        <v>1110.7</v>
      </c>
      <c r="E529" s="1">
        <f>Tabela1[[#This Row],[Força (N)]]/$I$5</f>
        <v>26209601.298799366</v>
      </c>
      <c r="F529" s="1">
        <f>Tabela1[[#This Row],[Tensão (Pa)]]/1000000</f>
        <v>26.209601298799367</v>
      </c>
    </row>
    <row r="530" spans="1:6" x14ac:dyDescent="0.3">
      <c r="A530" s="5">
        <v>45.3</v>
      </c>
      <c r="B530" s="5">
        <v>3.7671000000000001</v>
      </c>
      <c r="C530" s="1">
        <f>Tabela1[[#This Row],[Alongamento (mm/mm)]]/$I$2</f>
        <v>7.5342000000000006E-2</v>
      </c>
      <c r="D530" s="5">
        <v>1119.5999999999999</v>
      </c>
      <c r="E530" s="1">
        <f>Tabela1[[#This Row],[Força (N)]]/$I$5</f>
        <v>26419617.91134939</v>
      </c>
      <c r="F530" s="1">
        <f>Tabela1[[#This Row],[Tensão (Pa)]]/1000000</f>
        <v>26.419617911349391</v>
      </c>
    </row>
    <row r="531" spans="1:6" x14ac:dyDescent="0.3">
      <c r="A531" s="5">
        <v>45.5</v>
      </c>
      <c r="B531" s="5">
        <v>3.7837000000000001</v>
      </c>
      <c r="C531" s="1">
        <f>Tabela1[[#This Row],[Alongamento (mm/mm)]]/$I$2</f>
        <v>7.5674000000000005E-2</v>
      </c>
      <c r="D531" s="5">
        <v>1128.5999999999999</v>
      </c>
      <c r="E531" s="1">
        <f>Tabela1[[#This Row],[Força (N)]]/$I$5</f>
        <v>26631994.261119079</v>
      </c>
      <c r="F531" s="1">
        <f>Tabela1[[#This Row],[Tensão (Pa)]]/1000000</f>
        <v>26.631994261119079</v>
      </c>
    </row>
    <row r="532" spans="1:6" x14ac:dyDescent="0.3">
      <c r="A532" s="5">
        <v>45.7</v>
      </c>
      <c r="B532" s="5">
        <v>3.8003</v>
      </c>
      <c r="C532" s="1">
        <f>Tabela1[[#This Row],[Alongamento (mm/mm)]]/$I$2</f>
        <v>7.6006000000000004E-2</v>
      </c>
      <c r="D532" s="5">
        <v>1137.5999999999999</v>
      </c>
      <c r="E532" s="1">
        <f>Tabela1[[#This Row],[Força (N)]]/$I$5</f>
        <v>26844370.610888772</v>
      </c>
      <c r="F532" s="1">
        <f>Tabela1[[#This Row],[Tensão (Pa)]]/1000000</f>
        <v>26.84437061088877</v>
      </c>
    </row>
    <row r="533" spans="1:6" x14ac:dyDescent="0.3">
      <c r="A533" s="5">
        <v>45.9</v>
      </c>
      <c r="B533" s="5">
        <v>3.8170999999999999</v>
      </c>
      <c r="C533" s="1">
        <f>Tabela1[[#This Row],[Alongamento (mm/mm)]]/$I$2</f>
        <v>7.6341999999999993E-2</v>
      </c>
      <c r="D533" s="5">
        <v>1146.5999999999999</v>
      </c>
      <c r="E533" s="1">
        <f>Tabela1[[#This Row],[Força (N)]]/$I$5</f>
        <v>27056746.960658461</v>
      </c>
      <c r="F533" s="1">
        <f>Tabela1[[#This Row],[Tensão (Pa)]]/1000000</f>
        <v>27.056746960658462</v>
      </c>
    </row>
    <row r="534" spans="1:6" x14ac:dyDescent="0.3">
      <c r="A534" s="5">
        <v>46.1</v>
      </c>
      <c r="B534" s="5">
        <v>3.8336999999999999</v>
      </c>
      <c r="C534" s="1">
        <f>Tabela1[[#This Row],[Alongamento (mm/mm)]]/$I$2</f>
        <v>7.6673999999999992E-2</v>
      </c>
      <c r="D534" s="5">
        <v>1155.7</v>
      </c>
      <c r="E534" s="1">
        <f>Tabela1[[#This Row],[Força (N)]]/$I$5</f>
        <v>27271483.047647815</v>
      </c>
      <c r="F534" s="1">
        <f>Tabela1[[#This Row],[Tensão (Pa)]]/1000000</f>
        <v>27.271483047647816</v>
      </c>
    </row>
    <row r="535" spans="1:6" x14ac:dyDescent="0.3">
      <c r="A535" s="5">
        <v>46.3</v>
      </c>
      <c r="B535" s="5">
        <v>3.8504</v>
      </c>
      <c r="C535" s="1">
        <f>Tabela1[[#This Row],[Alongamento (mm/mm)]]/$I$2</f>
        <v>7.7008000000000007E-2</v>
      </c>
      <c r="D535" s="5">
        <v>1164.7</v>
      </c>
      <c r="E535" s="1">
        <f>Tabela1[[#This Row],[Força (N)]]/$I$5</f>
        <v>27483859.397417504</v>
      </c>
      <c r="F535" s="1">
        <f>Tabela1[[#This Row],[Tensão (Pa)]]/1000000</f>
        <v>27.483859397417504</v>
      </c>
    </row>
    <row r="536" spans="1:6" x14ac:dyDescent="0.3">
      <c r="A536" s="5">
        <v>46.5</v>
      </c>
      <c r="B536" s="5">
        <v>3.867</v>
      </c>
      <c r="C536" s="1">
        <f>Tabela1[[#This Row],[Alongamento (mm/mm)]]/$I$2</f>
        <v>7.7340000000000006E-2</v>
      </c>
      <c r="D536" s="5">
        <v>1173.7</v>
      </c>
      <c r="E536" s="1">
        <f>Tabela1[[#This Row],[Força (N)]]/$I$5</f>
        <v>27696235.747187193</v>
      </c>
      <c r="F536" s="1">
        <f>Tabela1[[#This Row],[Tensão (Pa)]]/1000000</f>
        <v>27.696235747187192</v>
      </c>
    </row>
    <row r="537" spans="1:6" x14ac:dyDescent="0.3">
      <c r="A537" s="5">
        <v>46.7</v>
      </c>
      <c r="B537" s="5">
        <v>3.8837000000000002</v>
      </c>
      <c r="C537" s="1">
        <f>Tabela1[[#This Row],[Alongamento (mm/mm)]]/$I$2</f>
        <v>7.7674000000000007E-2</v>
      </c>
      <c r="D537" s="5">
        <v>1182.7</v>
      </c>
      <c r="E537" s="1">
        <f>Tabela1[[#This Row],[Força (N)]]/$I$5</f>
        <v>27908612.096956886</v>
      </c>
      <c r="F537" s="1">
        <f>Tabela1[[#This Row],[Tensão (Pa)]]/1000000</f>
        <v>27.908612096956887</v>
      </c>
    </row>
    <row r="538" spans="1:6" x14ac:dyDescent="0.3">
      <c r="A538" s="5">
        <v>46.917000000000002</v>
      </c>
      <c r="B538" s="5">
        <v>3.9018000000000002</v>
      </c>
      <c r="C538" s="1">
        <f>Tabela1[[#This Row],[Alongamento (mm/mm)]]/$I$2</f>
        <v>7.8036000000000008E-2</v>
      </c>
      <c r="D538" s="5">
        <v>1192.4000000000001</v>
      </c>
      <c r="E538" s="1">
        <f>Tabela1[[#This Row],[Força (N)]]/$I$5</f>
        <v>28137506.607264217</v>
      </c>
      <c r="F538" s="1">
        <f>Tabela1[[#This Row],[Tensão (Pa)]]/1000000</f>
        <v>28.137506607264218</v>
      </c>
    </row>
    <row r="539" spans="1:6" x14ac:dyDescent="0.3">
      <c r="A539" s="5">
        <v>47.133000000000003</v>
      </c>
      <c r="B539" s="5">
        <v>3.9198</v>
      </c>
      <c r="C539" s="1">
        <f>Tabela1[[#This Row],[Alongamento (mm/mm)]]/$I$2</f>
        <v>7.8395999999999993E-2</v>
      </c>
      <c r="D539" s="5">
        <v>1201.9000000000001</v>
      </c>
      <c r="E539" s="1">
        <f>Tabela1[[#This Row],[Força (N)]]/$I$5</f>
        <v>28361681.643132225</v>
      </c>
      <c r="F539" s="1">
        <f>Tabela1[[#This Row],[Tensão (Pa)]]/1000000</f>
        <v>28.361681643132226</v>
      </c>
    </row>
    <row r="540" spans="1:6" x14ac:dyDescent="0.3">
      <c r="A540" s="5">
        <v>47.35</v>
      </c>
      <c r="B540" s="5">
        <v>3.9379</v>
      </c>
      <c r="C540" s="1">
        <f>Tabela1[[#This Row],[Alongamento (mm/mm)]]/$I$2</f>
        <v>7.8757999999999995E-2</v>
      </c>
      <c r="D540" s="5">
        <v>1211.4000000000001</v>
      </c>
      <c r="E540" s="1">
        <f>Tabela1[[#This Row],[Força (N)]]/$I$5</f>
        <v>28585856.679000229</v>
      </c>
      <c r="F540" s="1">
        <f>Tabela1[[#This Row],[Tensão (Pa)]]/1000000</f>
        <v>28.58585667900023</v>
      </c>
    </row>
    <row r="541" spans="1:6" x14ac:dyDescent="0.3">
      <c r="A541" s="5">
        <v>47.567</v>
      </c>
      <c r="B541" s="5">
        <v>3.9559000000000002</v>
      </c>
      <c r="C541" s="1">
        <f>Tabela1[[#This Row],[Alongamento (mm/mm)]]/$I$2</f>
        <v>7.9118000000000008E-2</v>
      </c>
      <c r="D541" s="5">
        <v>1221</v>
      </c>
      <c r="E541" s="1">
        <f>Tabela1[[#This Row],[Força (N)]]/$I$5</f>
        <v>28812391.452087898</v>
      </c>
      <c r="F541" s="1">
        <f>Tabela1[[#This Row],[Tensão (Pa)]]/1000000</f>
        <v>28.812391452087898</v>
      </c>
    </row>
    <row r="542" spans="1:6" x14ac:dyDescent="0.3">
      <c r="A542" s="5">
        <v>47.783000000000001</v>
      </c>
      <c r="B542" s="5">
        <v>3.9740000000000002</v>
      </c>
      <c r="C542" s="1">
        <f>Tabela1[[#This Row],[Alongamento (mm/mm)]]/$I$2</f>
        <v>7.9480000000000009E-2</v>
      </c>
      <c r="D542" s="5">
        <v>1230.7</v>
      </c>
      <c r="E542" s="1">
        <f>Tabela1[[#This Row],[Força (N)]]/$I$5</f>
        <v>29041285.962395228</v>
      </c>
      <c r="F542" s="1">
        <f>Tabela1[[#This Row],[Tensão (Pa)]]/1000000</f>
        <v>29.041285962395229</v>
      </c>
    </row>
    <row r="543" spans="1:6" x14ac:dyDescent="0.3">
      <c r="A543" s="5">
        <v>48</v>
      </c>
      <c r="B543" s="5">
        <v>3.992</v>
      </c>
      <c r="C543" s="1">
        <f>Tabela1[[#This Row],[Alongamento (mm/mm)]]/$I$2</f>
        <v>7.9839999999999994E-2</v>
      </c>
      <c r="D543" s="5">
        <v>1240.4000000000001</v>
      </c>
      <c r="E543" s="1">
        <f>Tabela1[[#This Row],[Força (N)]]/$I$5</f>
        <v>29270180.472702563</v>
      </c>
      <c r="F543" s="1">
        <f>Tabela1[[#This Row],[Tensão (Pa)]]/1000000</f>
        <v>29.270180472702563</v>
      </c>
    </row>
    <row r="544" spans="1:6" x14ac:dyDescent="0.3">
      <c r="A544" s="5">
        <v>48.216999999999999</v>
      </c>
      <c r="B544" s="5">
        <v>4.0101000000000004</v>
      </c>
      <c r="C544" s="1">
        <f>Tabela1[[#This Row],[Alongamento (mm/mm)]]/$I$2</f>
        <v>8.0202000000000009E-2</v>
      </c>
      <c r="D544" s="5">
        <v>1250.0999999999999</v>
      </c>
      <c r="E544" s="1">
        <f>Tabela1[[#This Row],[Força (N)]]/$I$5</f>
        <v>29499074.98300989</v>
      </c>
      <c r="F544" s="1">
        <f>Tabela1[[#This Row],[Tensão (Pa)]]/1000000</f>
        <v>29.499074983009891</v>
      </c>
    </row>
    <row r="545" spans="1:6" x14ac:dyDescent="0.3">
      <c r="A545" s="5">
        <v>48.433</v>
      </c>
      <c r="B545" s="5">
        <v>4.0281000000000002</v>
      </c>
      <c r="C545" s="1">
        <f>Tabela1[[#This Row],[Alongamento (mm/mm)]]/$I$2</f>
        <v>8.0562000000000009E-2</v>
      </c>
      <c r="D545" s="5">
        <v>1259.8</v>
      </c>
      <c r="E545" s="1">
        <f>Tabela1[[#This Row],[Força (N)]]/$I$5</f>
        <v>29727969.493317224</v>
      </c>
      <c r="F545" s="1">
        <f>Tabela1[[#This Row],[Tensão (Pa)]]/1000000</f>
        <v>29.727969493317225</v>
      </c>
    </row>
    <row r="546" spans="1:6" x14ac:dyDescent="0.3">
      <c r="A546" s="5">
        <v>48.65</v>
      </c>
      <c r="B546" s="5">
        <v>4.0462999999999996</v>
      </c>
      <c r="C546" s="1">
        <f>Tabela1[[#This Row],[Alongamento (mm/mm)]]/$I$2</f>
        <v>8.0925999999999998E-2</v>
      </c>
      <c r="D546" s="5">
        <v>1269.4000000000001</v>
      </c>
      <c r="E546" s="1">
        <f>Tabela1[[#This Row],[Força (N)]]/$I$5</f>
        <v>29954504.266404897</v>
      </c>
      <c r="F546" s="1">
        <f>Tabela1[[#This Row],[Tensão (Pa)]]/1000000</f>
        <v>29.954504266404896</v>
      </c>
    </row>
    <row r="547" spans="1:6" x14ac:dyDescent="0.3">
      <c r="A547" s="5">
        <v>48.883000000000003</v>
      </c>
      <c r="B547" s="5">
        <v>4.0655999999999999</v>
      </c>
      <c r="C547" s="1">
        <f>Tabela1[[#This Row],[Alongamento (mm/mm)]]/$I$2</f>
        <v>8.1311999999999995E-2</v>
      </c>
      <c r="D547" s="5">
        <v>1279.8</v>
      </c>
      <c r="E547" s="1">
        <f>Tabela1[[#This Row],[Força (N)]]/$I$5</f>
        <v>30199916.937249869</v>
      </c>
      <c r="F547" s="1">
        <f>Tabela1[[#This Row],[Tensão (Pa)]]/1000000</f>
        <v>30.199916937249871</v>
      </c>
    </row>
    <row r="548" spans="1:6" x14ac:dyDescent="0.3">
      <c r="A548" s="5">
        <v>49.116999999999997</v>
      </c>
      <c r="B548" s="5">
        <v>4.0852000000000004</v>
      </c>
      <c r="C548" s="1">
        <f>Tabela1[[#This Row],[Alongamento (mm/mm)]]/$I$2</f>
        <v>8.1704000000000013E-2</v>
      </c>
      <c r="D548" s="5">
        <v>1290.2</v>
      </c>
      <c r="E548" s="1">
        <f>Tabela1[[#This Row],[Força (N)]]/$I$5</f>
        <v>30445329.608094845</v>
      </c>
      <c r="F548" s="1">
        <f>Tabela1[[#This Row],[Tensão (Pa)]]/1000000</f>
        <v>30.445329608094845</v>
      </c>
    </row>
    <row r="549" spans="1:6" x14ac:dyDescent="0.3">
      <c r="A549" s="5">
        <v>49.35</v>
      </c>
      <c r="B549" s="5">
        <v>4.1044999999999998</v>
      </c>
      <c r="C549" s="1">
        <f>Tabela1[[#This Row],[Alongamento (mm/mm)]]/$I$2</f>
        <v>8.2089999999999996E-2</v>
      </c>
      <c r="D549" s="5">
        <v>1300.4000000000001</v>
      </c>
      <c r="E549" s="1">
        <f>Tabela1[[#This Row],[Força (N)]]/$I$5</f>
        <v>30686022.804500494</v>
      </c>
      <c r="F549" s="1">
        <f>Tabela1[[#This Row],[Tensão (Pa)]]/1000000</f>
        <v>30.686022804500496</v>
      </c>
    </row>
    <row r="550" spans="1:6" x14ac:dyDescent="0.3">
      <c r="A550" s="5">
        <v>49.582999999999998</v>
      </c>
      <c r="B550" s="5">
        <v>4.1241000000000003</v>
      </c>
      <c r="C550" s="1">
        <f>Tabela1[[#This Row],[Alongamento (mm/mm)]]/$I$2</f>
        <v>8.2482E-2</v>
      </c>
      <c r="D550" s="5">
        <v>1310.8</v>
      </c>
      <c r="E550" s="1">
        <f>Tabela1[[#This Row],[Força (N)]]/$I$5</f>
        <v>30931435.475345466</v>
      </c>
      <c r="F550" s="1">
        <f>Tabela1[[#This Row],[Tensão (Pa)]]/1000000</f>
        <v>30.931435475345467</v>
      </c>
    </row>
    <row r="551" spans="1:6" x14ac:dyDescent="0.3">
      <c r="A551" s="5">
        <v>49.817</v>
      </c>
      <c r="B551" s="5">
        <v>4.1433999999999997</v>
      </c>
      <c r="C551" s="1">
        <f>Tabela1[[#This Row],[Alongamento (mm/mm)]]/$I$2</f>
        <v>8.2867999999999997E-2</v>
      </c>
      <c r="D551" s="5">
        <v>1321.2</v>
      </c>
      <c r="E551" s="1">
        <f>Tabela1[[#This Row],[Força (N)]]/$I$5</f>
        <v>31176848.146190442</v>
      </c>
      <c r="F551" s="1">
        <f>Tabela1[[#This Row],[Tensão (Pa)]]/1000000</f>
        <v>31.176848146190441</v>
      </c>
    </row>
    <row r="552" spans="1:6" x14ac:dyDescent="0.3">
      <c r="A552" s="5">
        <v>50.05</v>
      </c>
      <c r="B552" s="5">
        <v>4.1628999999999996</v>
      </c>
      <c r="C552" s="1">
        <f>Tabela1[[#This Row],[Alongamento (mm/mm)]]/$I$2</f>
        <v>8.3257999999999999E-2</v>
      </c>
      <c r="D552" s="5">
        <v>1331.5</v>
      </c>
      <c r="E552" s="1">
        <f>Tabela1[[#This Row],[Força (N)]]/$I$5</f>
        <v>31419901.079815753</v>
      </c>
      <c r="F552" s="1">
        <f>Tabela1[[#This Row],[Tensão (Pa)]]/1000000</f>
        <v>31.419901079815752</v>
      </c>
    </row>
    <row r="553" spans="1:6" x14ac:dyDescent="0.3">
      <c r="A553" s="5">
        <v>50.283000000000001</v>
      </c>
      <c r="B553" s="5">
        <v>4.1822999999999997</v>
      </c>
      <c r="C553" s="1">
        <f>Tabela1[[#This Row],[Alongamento (mm/mm)]]/$I$2</f>
        <v>8.3645999999999998E-2</v>
      </c>
      <c r="D553" s="5">
        <v>1342.1</v>
      </c>
      <c r="E553" s="1">
        <f>Tabela1[[#This Row],[Força (N)]]/$I$5</f>
        <v>31670033.225100052</v>
      </c>
      <c r="F553" s="1">
        <f>Tabela1[[#This Row],[Tensão (Pa)]]/1000000</f>
        <v>31.670033225100052</v>
      </c>
    </row>
    <row r="554" spans="1:6" x14ac:dyDescent="0.3">
      <c r="A554" s="5">
        <v>50.517000000000003</v>
      </c>
      <c r="B554" s="5">
        <v>4.2018000000000004</v>
      </c>
      <c r="C554" s="1">
        <f>Tabela1[[#This Row],[Alongamento (mm/mm)]]/$I$2</f>
        <v>8.4036000000000013E-2</v>
      </c>
      <c r="D554" s="5">
        <v>1352.5</v>
      </c>
      <c r="E554" s="1">
        <f>Tabela1[[#This Row],[Força (N)]]/$I$5</f>
        <v>31915445.895945027</v>
      </c>
      <c r="F554" s="1">
        <f>Tabela1[[#This Row],[Tensão (Pa)]]/1000000</f>
        <v>31.915445895945027</v>
      </c>
    </row>
    <row r="555" spans="1:6" x14ac:dyDescent="0.3">
      <c r="A555" s="5">
        <v>50.75</v>
      </c>
      <c r="B555" s="5">
        <v>4.2211999999999996</v>
      </c>
      <c r="C555" s="1">
        <f>Tabela1[[#This Row],[Alongamento (mm/mm)]]/$I$2</f>
        <v>8.4423999999999999E-2</v>
      </c>
      <c r="D555" s="5">
        <v>1363</v>
      </c>
      <c r="E555" s="1">
        <f>Tabela1[[#This Row],[Força (N)]]/$I$5</f>
        <v>32163218.304009665</v>
      </c>
      <c r="F555" s="1">
        <f>Tabela1[[#This Row],[Tensão (Pa)]]/1000000</f>
        <v>32.163218304009668</v>
      </c>
    </row>
    <row r="556" spans="1:6" x14ac:dyDescent="0.3">
      <c r="A556" s="5">
        <v>50.982999999999997</v>
      </c>
      <c r="B556" s="5">
        <v>4.2407000000000004</v>
      </c>
      <c r="C556" s="1">
        <f>Tabela1[[#This Row],[Alongamento (mm/mm)]]/$I$2</f>
        <v>8.4814000000000001E-2</v>
      </c>
      <c r="D556" s="5">
        <v>1373.5</v>
      </c>
      <c r="E556" s="1">
        <f>Tabela1[[#This Row],[Força (N)]]/$I$5</f>
        <v>32410990.712074306</v>
      </c>
      <c r="F556" s="1">
        <f>Tabela1[[#This Row],[Tensão (Pa)]]/1000000</f>
        <v>32.410990712074309</v>
      </c>
    </row>
    <row r="557" spans="1:6" x14ac:dyDescent="0.3">
      <c r="A557" s="5">
        <v>51.216999999999999</v>
      </c>
      <c r="B557" s="5">
        <v>4.2601000000000004</v>
      </c>
      <c r="C557" s="1">
        <f>Tabela1[[#This Row],[Alongamento (mm/mm)]]/$I$2</f>
        <v>8.5202000000000014E-2</v>
      </c>
      <c r="D557" s="5">
        <v>1384.3</v>
      </c>
      <c r="E557" s="1">
        <f>Tabela1[[#This Row],[Força (N)]]/$I$5</f>
        <v>32665842.331797931</v>
      </c>
      <c r="F557" s="1">
        <f>Tabela1[[#This Row],[Tensão (Pa)]]/1000000</f>
        <v>32.665842331797933</v>
      </c>
    </row>
    <row r="558" spans="1:6" x14ac:dyDescent="0.3">
      <c r="A558" s="5">
        <v>51.45</v>
      </c>
      <c r="B558" s="5">
        <v>4.2796000000000003</v>
      </c>
      <c r="C558" s="1">
        <f>Tabela1[[#This Row],[Alongamento (mm/mm)]]/$I$2</f>
        <v>8.5592000000000001E-2</v>
      </c>
      <c r="D558" s="5">
        <v>1394.8</v>
      </c>
      <c r="E558" s="1">
        <f>Tabela1[[#This Row],[Força (N)]]/$I$5</f>
        <v>32913614.739862569</v>
      </c>
      <c r="F558" s="1">
        <f>Tabela1[[#This Row],[Tensão (Pa)]]/1000000</f>
        <v>32.913614739862567</v>
      </c>
    </row>
    <row r="559" spans="1:6" x14ac:dyDescent="0.3">
      <c r="A559" s="5">
        <v>51.683</v>
      </c>
      <c r="B559" s="5">
        <v>4.2990000000000004</v>
      </c>
      <c r="C559" s="1">
        <f>Tabela1[[#This Row],[Alongamento (mm/mm)]]/$I$2</f>
        <v>8.5980000000000001E-2</v>
      </c>
      <c r="D559" s="5">
        <v>1405.7</v>
      </c>
      <c r="E559" s="1">
        <f>Tabela1[[#This Row],[Força (N)]]/$I$5</f>
        <v>33170826.096805863</v>
      </c>
      <c r="F559" s="1">
        <f>Tabela1[[#This Row],[Tensão (Pa)]]/1000000</f>
        <v>33.170826096805861</v>
      </c>
    </row>
    <row r="560" spans="1:6" x14ac:dyDescent="0.3">
      <c r="A560" s="5">
        <v>51.933</v>
      </c>
      <c r="B560" s="5">
        <v>4.3197999999999999</v>
      </c>
      <c r="C560" s="1">
        <f>Tabela1[[#This Row],[Alongamento (mm/mm)]]/$I$2</f>
        <v>8.6396000000000001E-2</v>
      </c>
      <c r="D560" s="5">
        <v>1417.3</v>
      </c>
      <c r="E560" s="1">
        <f>Tabela1[[#This Row],[Força (N)]]/$I$5</f>
        <v>33444555.614286792</v>
      </c>
      <c r="F560" s="1">
        <f>Tabela1[[#This Row],[Tensão (Pa)]]/1000000</f>
        <v>33.444555614286791</v>
      </c>
    </row>
    <row r="561" spans="1:6" x14ac:dyDescent="0.3">
      <c r="A561" s="5">
        <v>52.183</v>
      </c>
      <c r="B561" s="5">
        <v>4.3407</v>
      </c>
      <c r="C561" s="1">
        <f>Tabela1[[#This Row],[Alongamento (mm/mm)]]/$I$2</f>
        <v>8.6814000000000002E-2</v>
      </c>
      <c r="D561" s="5">
        <v>1428.8</v>
      </c>
      <c r="E561" s="1">
        <f>Tabela1[[#This Row],[Força (N)]]/$I$5</f>
        <v>33715925.394548066</v>
      </c>
      <c r="F561" s="1">
        <f>Tabela1[[#This Row],[Tensão (Pa)]]/1000000</f>
        <v>33.715925394548066</v>
      </c>
    </row>
    <row r="562" spans="1:6" x14ac:dyDescent="0.3">
      <c r="A562" s="5">
        <v>52.433</v>
      </c>
      <c r="B562" s="5">
        <v>4.3615000000000004</v>
      </c>
      <c r="C562" s="1">
        <f>Tabela1[[#This Row],[Alongamento (mm/mm)]]/$I$2</f>
        <v>8.7230000000000002E-2</v>
      </c>
      <c r="D562" s="5">
        <v>1440.2</v>
      </c>
      <c r="E562" s="1">
        <f>Tabela1[[#This Row],[Força (N)]]/$I$5</f>
        <v>33984935.437589675</v>
      </c>
      <c r="F562" s="1">
        <f>Tabela1[[#This Row],[Tensão (Pa)]]/1000000</f>
        <v>33.984935437589677</v>
      </c>
    </row>
    <row r="563" spans="1:6" x14ac:dyDescent="0.3">
      <c r="A563" s="5">
        <v>52.683</v>
      </c>
      <c r="B563" s="5">
        <v>4.3822999999999999</v>
      </c>
      <c r="C563" s="1">
        <f>Tabela1[[#This Row],[Alongamento (mm/mm)]]/$I$2</f>
        <v>8.7646000000000002E-2</v>
      </c>
      <c r="D563" s="5">
        <v>1451.6</v>
      </c>
      <c r="E563" s="1">
        <f>Tabela1[[#This Row],[Força (N)]]/$I$5</f>
        <v>34253945.480631277</v>
      </c>
      <c r="F563" s="1">
        <f>Tabela1[[#This Row],[Tensão (Pa)]]/1000000</f>
        <v>34.25394548063128</v>
      </c>
    </row>
    <row r="564" spans="1:6" x14ac:dyDescent="0.3">
      <c r="A564" s="5">
        <v>52.933</v>
      </c>
      <c r="B564" s="5">
        <v>4.4031000000000002</v>
      </c>
      <c r="C564" s="1">
        <f>Tabela1[[#This Row],[Alongamento (mm/mm)]]/$I$2</f>
        <v>8.8062000000000001E-2</v>
      </c>
      <c r="D564" s="5">
        <v>1462.8</v>
      </c>
      <c r="E564" s="1">
        <f>Tabela1[[#This Row],[Força (N)]]/$I$5</f>
        <v>34518236.049233556</v>
      </c>
      <c r="F564" s="1">
        <f>Tabela1[[#This Row],[Tensão (Pa)]]/1000000</f>
        <v>34.518236049233558</v>
      </c>
    </row>
    <row r="565" spans="1:6" x14ac:dyDescent="0.3">
      <c r="A565" s="5">
        <v>53.2</v>
      </c>
      <c r="B565" s="5">
        <v>4.4253999999999998</v>
      </c>
      <c r="C565" s="1">
        <f>Tabela1[[#This Row],[Alongamento (mm/mm)]]/$I$2</f>
        <v>8.8507999999999989E-2</v>
      </c>
      <c r="D565" s="5">
        <v>1474.6</v>
      </c>
      <c r="E565" s="1">
        <f>Tabela1[[#This Row],[Força (N)]]/$I$5</f>
        <v>34796685.041153818</v>
      </c>
      <c r="F565" s="1">
        <f>Tabela1[[#This Row],[Tensão (Pa)]]/1000000</f>
        <v>34.796685041153822</v>
      </c>
    </row>
    <row r="566" spans="1:6" x14ac:dyDescent="0.3">
      <c r="A566" s="5">
        <v>53.466999999999999</v>
      </c>
      <c r="B566" s="5">
        <v>4.4476000000000004</v>
      </c>
      <c r="C566" s="1">
        <f>Tabela1[[#This Row],[Alongamento (mm/mm)]]/$I$2</f>
        <v>8.8952000000000003E-2</v>
      </c>
      <c r="D566" s="5">
        <v>1486.5</v>
      </c>
      <c r="E566" s="1">
        <f>Tabela1[[#This Row],[Força (N)]]/$I$5</f>
        <v>35077493.770293742</v>
      </c>
      <c r="F566" s="1">
        <f>Tabela1[[#This Row],[Tensão (Pa)]]/1000000</f>
        <v>35.077493770293742</v>
      </c>
    </row>
    <row r="567" spans="1:6" x14ac:dyDescent="0.3">
      <c r="A567" s="5">
        <v>53.732999999999997</v>
      </c>
      <c r="B567" s="5">
        <v>4.4699</v>
      </c>
      <c r="C567" s="1">
        <f>Tabela1[[#This Row],[Alongamento (mm/mm)]]/$I$2</f>
        <v>8.9398000000000005E-2</v>
      </c>
      <c r="D567" s="5">
        <v>1498.2</v>
      </c>
      <c r="E567" s="1">
        <f>Tabela1[[#This Row],[Força (N)]]/$I$5</f>
        <v>35353583.024994336</v>
      </c>
      <c r="F567" s="1">
        <f>Tabela1[[#This Row],[Tensão (Pa)]]/1000000</f>
        <v>35.353583024994336</v>
      </c>
    </row>
    <row r="568" spans="1:6" x14ac:dyDescent="0.3">
      <c r="A568" s="5">
        <v>54</v>
      </c>
      <c r="B568" s="5">
        <v>4.4920999999999998</v>
      </c>
      <c r="C568" s="1">
        <f>Tabela1[[#This Row],[Alongamento (mm/mm)]]/$I$2</f>
        <v>8.9841999999999991E-2</v>
      </c>
      <c r="D568" s="5">
        <v>1510.1</v>
      </c>
      <c r="E568" s="1">
        <f>Tabela1[[#This Row],[Força (N)]]/$I$5</f>
        <v>35634391.75413426</v>
      </c>
      <c r="F568" s="1">
        <f>Tabela1[[#This Row],[Tensão (Pa)]]/1000000</f>
        <v>35.634391754134263</v>
      </c>
    </row>
    <row r="569" spans="1:6" x14ac:dyDescent="0.3">
      <c r="A569" s="5">
        <v>54.267000000000003</v>
      </c>
      <c r="B569" s="5">
        <v>4.5141999999999998</v>
      </c>
      <c r="C569" s="1">
        <f>Tabela1[[#This Row],[Alongamento (mm/mm)]]/$I$2</f>
        <v>9.0283999999999989E-2</v>
      </c>
      <c r="D569" s="5">
        <v>1522</v>
      </c>
      <c r="E569" s="1">
        <f>Tabela1[[#This Row],[Força (N)]]/$I$5</f>
        <v>35915200.483274184</v>
      </c>
      <c r="F569" s="1">
        <f>Tabela1[[#This Row],[Tensão (Pa)]]/1000000</f>
        <v>35.915200483274184</v>
      </c>
    </row>
    <row r="570" spans="1:6" x14ac:dyDescent="0.3">
      <c r="A570" s="5">
        <v>54.533000000000001</v>
      </c>
      <c r="B570" s="5">
        <v>4.5365000000000002</v>
      </c>
      <c r="C570" s="1">
        <f>Tabela1[[#This Row],[Alongamento (mm/mm)]]/$I$2</f>
        <v>9.0730000000000005E-2</v>
      </c>
      <c r="D570" s="5">
        <v>1534</v>
      </c>
      <c r="E570" s="1">
        <f>Tabela1[[#This Row],[Força (N)]]/$I$5</f>
        <v>36198368.94963377</v>
      </c>
      <c r="F570" s="1">
        <f>Tabela1[[#This Row],[Tensão (Pa)]]/1000000</f>
        <v>36.198368949633767</v>
      </c>
    </row>
    <row r="571" spans="1:6" x14ac:dyDescent="0.3">
      <c r="A571" s="5">
        <v>54.8</v>
      </c>
      <c r="B571" s="5">
        <v>4.5587</v>
      </c>
      <c r="C571" s="1">
        <f>Tabela1[[#This Row],[Alongamento (mm/mm)]]/$I$2</f>
        <v>9.1174000000000005E-2</v>
      </c>
      <c r="D571" s="5">
        <v>1545.9</v>
      </c>
      <c r="E571" s="1">
        <f>Tabela1[[#This Row],[Força (N)]]/$I$5</f>
        <v>36479177.678773694</v>
      </c>
      <c r="F571" s="1">
        <f>Tabela1[[#This Row],[Tensão (Pa)]]/1000000</f>
        <v>36.479177678773695</v>
      </c>
    </row>
    <row r="572" spans="1:6" x14ac:dyDescent="0.3">
      <c r="A572" s="5">
        <v>55.082999999999998</v>
      </c>
      <c r="B572" s="5">
        <v>4.5823</v>
      </c>
      <c r="C572" s="1">
        <f>Tabela1[[#This Row],[Alongamento (mm/mm)]]/$I$2</f>
        <v>9.1646000000000005E-2</v>
      </c>
      <c r="D572" s="5">
        <v>1558.3</v>
      </c>
      <c r="E572" s="1">
        <f>Tabela1[[#This Row],[Força (N)]]/$I$5</f>
        <v>36771785.094011933</v>
      </c>
      <c r="F572" s="1">
        <f>Tabela1[[#This Row],[Tensão (Pa)]]/1000000</f>
        <v>36.771785094011932</v>
      </c>
    </row>
    <row r="573" spans="1:6" x14ac:dyDescent="0.3">
      <c r="A573" s="5">
        <v>55.366999999999997</v>
      </c>
      <c r="B573" s="5">
        <v>4.6059000000000001</v>
      </c>
      <c r="C573" s="1">
        <f>Tabela1[[#This Row],[Alongamento (mm/mm)]]/$I$2</f>
        <v>9.2118000000000005E-2</v>
      </c>
      <c r="D573" s="5">
        <v>1570.7</v>
      </c>
      <c r="E573" s="1">
        <f>Tabela1[[#This Row],[Força (N)]]/$I$5</f>
        <v>37064392.509250171</v>
      </c>
      <c r="F573" s="1">
        <f>Tabela1[[#This Row],[Tensão (Pa)]]/1000000</f>
        <v>37.064392509250169</v>
      </c>
    </row>
    <row r="574" spans="1:6" x14ac:dyDescent="0.3">
      <c r="A574" s="5">
        <v>55.65</v>
      </c>
      <c r="B574" s="5">
        <v>4.6295000000000002</v>
      </c>
      <c r="C574" s="1">
        <f>Tabela1[[#This Row],[Alongamento (mm/mm)]]/$I$2</f>
        <v>9.2590000000000006E-2</v>
      </c>
      <c r="D574" s="5">
        <v>1583.3</v>
      </c>
      <c r="E574" s="1">
        <f>Tabela1[[#This Row],[Força (N)]]/$I$5</f>
        <v>37361719.398927733</v>
      </c>
      <c r="F574" s="1">
        <f>Tabela1[[#This Row],[Tensão (Pa)]]/1000000</f>
        <v>37.361719398927733</v>
      </c>
    </row>
    <row r="575" spans="1:6" x14ac:dyDescent="0.3">
      <c r="A575" s="5">
        <v>55.933</v>
      </c>
      <c r="B575" s="5">
        <v>4.6531000000000002</v>
      </c>
      <c r="C575" s="1">
        <f>Tabela1[[#This Row],[Alongamento (mm/mm)]]/$I$2</f>
        <v>9.3062000000000006E-2</v>
      </c>
      <c r="D575" s="5">
        <v>1595.9</v>
      </c>
      <c r="E575" s="1">
        <f>Tabela1[[#This Row],[Força (N)]]/$I$5</f>
        <v>37659046.288605303</v>
      </c>
      <c r="F575" s="1">
        <f>Tabela1[[#This Row],[Tensão (Pa)]]/1000000</f>
        <v>37.659046288605303</v>
      </c>
    </row>
    <row r="576" spans="1:6" x14ac:dyDescent="0.3">
      <c r="A576" s="5">
        <v>56.216999999999999</v>
      </c>
      <c r="B576" s="5">
        <v>4.6767000000000003</v>
      </c>
      <c r="C576" s="1">
        <f>Tabela1[[#This Row],[Alongamento (mm/mm)]]/$I$2</f>
        <v>9.3534000000000006E-2</v>
      </c>
      <c r="D576" s="5">
        <v>1608.1</v>
      </c>
      <c r="E576" s="1">
        <f>Tabela1[[#This Row],[Força (N)]]/$I$5</f>
        <v>37946934.229404211</v>
      </c>
      <c r="F576" s="1">
        <f>Tabela1[[#This Row],[Tensão (Pa)]]/1000000</f>
        <v>37.946934229404214</v>
      </c>
    </row>
    <row r="577" spans="1:6" x14ac:dyDescent="0.3">
      <c r="A577" s="5">
        <v>56.5</v>
      </c>
      <c r="B577" s="5">
        <v>4.7003000000000004</v>
      </c>
      <c r="C577" s="1">
        <f>Tabela1[[#This Row],[Alongamento (mm/mm)]]/$I$2</f>
        <v>9.4006000000000006E-2</v>
      </c>
      <c r="D577" s="5">
        <v>1620.9</v>
      </c>
      <c r="E577" s="1">
        <f>Tabela1[[#This Row],[Força (N)]]/$I$5</f>
        <v>38248980.593521111</v>
      </c>
      <c r="F577" s="1">
        <f>Tabela1[[#This Row],[Tensão (Pa)]]/1000000</f>
        <v>38.248980593521111</v>
      </c>
    </row>
    <row r="578" spans="1:6" x14ac:dyDescent="0.3">
      <c r="A578" s="5">
        <v>56.783000000000001</v>
      </c>
      <c r="B578" s="5">
        <v>4.7240000000000002</v>
      </c>
      <c r="C578" s="1">
        <f>Tabela1[[#This Row],[Alongamento (mm/mm)]]/$I$2</f>
        <v>9.4480000000000008E-2</v>
      </c>
      <c r="D578" s="5">
        <v>1633.5</v>
      </c>
      <c r="E578" s="1">
        <f>Tabela1[[#This Row],[Força (N)]]/$I$5</f>
        <v>38546307.483198673</v>
      </c>
      <c r="F578" s="1">
        <f>Tabela1[[#This Row],[Tensão (Pa)]]/1000000</f>
        <v>38.546307483198675</v>
      </c>
    </row>
    <row r="579" spans="1:6" x14ac:dyDescent="0.3">
      <c r="A579" s="5">
        <v>57.067</v>
      </c>
      <c r="B579" s="5">
        <v>4.7474999999999996</v>
      </c>
      <c r="C579" s="1">
        <f>Tabela1[[#This Row],[Alongamento (mm/mm)]]/$I$2</f>
        <v>9.4949999999999993E-2</v>
      </c>
      <c r="D579" s="5">
        <v>1646.2</v>
      </c>
      <c r="E579" s="1">
        <f>Tabela1[[#This Row],[Força (N)]]/$I$5</f>
        <v>38845994.110095903</v>
      </c>
      <c r="F579" s="1">
        <f>Tabela1[[#This Row],[Tensão (Pa)]]/1000000</f>
        <v>38.845994110095901</v>
      </c>
    </row>
    <row r="580" spans="1:6" x14ac:dyDescent="0.3">
      <c r="A580" s="5">
        <v>57.366999999999997</v>
      </c>
      <c r="B580" s="5">
        <v>4.7725999999999997</v>
      </c>
      <c r="C580" s="1">
        <f>Tabela1[[#This Row],[Alongamento (mm/mm)]]/$I$2</f>
        <v>9.5451999999999995E-2</v>
      </c>
      <c r="D580" s="5">
        <v>1659.5</v>
      </c>
      <c r="E580" s="1">
        <f>Tabela1[[#This Row],[Força (N)]]/$I$5</f>
        <v>39159839.16031111</v>
      </c>
      <c r="F580" s="1">
        <f>Tabela1[[#This Row],[Tensão (Pa)]]/1000000</f>
        <v>39.159839160311108</v>
      </c>
    </row>
    <row r="581" spans="1:6" x14ac:dyDescent="0.3">
      <c r="A581" s="5">
        <v>57.667000000000002</v>
      </c>
      <c r="B581" s="5">
        <v>4.7976000000000001</v>
      </c>
      <c r="C581" s="1">
        <f>Tabela1[[#This Row],[Alongamento (mm/mm)]]/$I$2</f>
        <v>9.5951999999999996E-2</v>
      </c>
      <c r="D581" s="5">
        <v>1672.6</v>
      </c>
      <c r="E581" s="1">
        <f>Tabela1[[#This Row],[Força (N)]]/$I$5</f>
        <v>39468964.736086987</v>
      </c>
      <c r="F581" s="1">
        <f>Tabela1[[#This Row],[Tensão (Pa)]]/1000000</f>
        <v>39.468964736086988</v>
      </c>
    </row>
    <row r="582" spans="1:6" x14ac:dyDescent="0.3">
      <c r="A582" s="5">
        <v>57.966999999999999</v>
      </c>
      <c r="B582" s="5">
        <v>4.8226000000000004</v>
      </c>
      <c r="C582" s="1">
        <f>Tabela1[[#This Row],[Alongamento (mm/mm)]]/$I$2</f>
        <v>9.645200000000001E-2</v>
      </c>
      <c r="D582" s="5">
        <v>1685.5</v>
      </c>
      <c r="E582" s="1">
        <f>Tabela1[[#This Row],[Força (N)]]/$I$5</f>
        <v>39773370.837423548</v>
      </c>
      <c r="F582" s="1">
        <f>Tabela1[[#This Row],[Tensão (Pa)]]/1000000</f>
        <v>39.773370837423549</v>
      </c>
    </row>
    <row r="583" spans="1:6" x14ac:dyDescent="0.3">
      <c r="A583" s="5">
        <v>58.283000000000001</v>
      </c>
      <c r="B583" s="5">
        <v>4.8490000000000002</v>
      </c>
      <c r="C583" s="1">
        <f>Tabela1[[#This Row],[Alongamento (mm/mm)]]/$I$2</f>
        <v>9.6980000000000011E-2</v>
      </c>
      <c r="D583" s="5">
        <v>1698.6</v>
      </c>
      <c r="E583" s="1">
        <f>Tabela1[[#This Row],[Força (N)]]/$I$5</f>
        <v>40082496.413199425</v>
      </c>
      <c r="F583" s="1">
        <f>Tabela1[[#This Row],[Tensão (Pa)]]/1000000</f>
        <v>40.082496413199422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B132-74FC-44C0-8F27-2391BE9BBF9D}">
  <dimension ref="A1:K663"/>
  <sheetViews>
    <sheetView workbookViewId="0">
      <selection sqref="A1:K1048576"/>
    </sheetView>
  </sheetViews>
  <sheetFormatPr defaultRowHeight="14.4" x14ac:dyDescent="0.3"/>
  <cols>
    <col min="1" max="1" width="11.88671875" style="4" bestFit="1" customWidth="1"/>
    <col min="2" max="2" width="25.5546875" style="4" bestFit="1" customWidth="1"/>
    <col min="3" max="3" width="24.44140625" bestFit="1" customWidth="1"/>
    <col min="4" max="4" width="11.44140625" style="4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5">
        <v>1.6667000000000001E-2</v>
      </c>
      <c r="B2" s="5">
        <v>0</v>
      </c>
      <c r="C2" s="1">
        <f>Tabela3[[#This Row],[Alongamento (mm/mm)]]/$I$2</f>
        <v>0</v>
      </c>
      <c r="D2" s="5">
        <v>0</v>
      </c>
      <c r="E2" s="1">
        <f>Tabela3[[#This Row],[Força (N)]]/$I$5</f>
        <v>0</v>
      </c>
      <c r="F2" s="1">
        <f>Tabela3[[#This Row],[Tensão (Pa)]]/1000000</f>
        <v>0</v>
      </c>
      <c r="H2" t="s">
        <v>10</v>
      </c>
      <c r="I2">
        <v>50</v>
      </c>
      <c r="J2">
        <v>12.91</v>
      </c>
      <c r="K2">
        <v>3.32</v>
      </c>
    </row>
    <row r="3" spans="1:11" x14ac:dyDescent="0.3">
      <c r="A3" s="5">
        <v>4.5833000000000004</v>
      </c>
      <c r="B3" s="5">
        <v>0.37456</v>
      </c>
      <c r="C3" s="1">
        <f>Tabela3[[#This Row],[Alongamento (mm/mm)]]/$I$2</f>
        <v>7.4911999999999999E-3</v>
      </c>
      <c r="D3" s="5">
        <v>1.5308999999999999</v>
      </c>
      <c r="E3" s="1">
        <f>Tabela3[[#This Row],[Força (N)]]/$I$5</f>
        <v>48797.513746115226</v>
      </c>
      <c r="F3" s="1">
        <f>Tabela3[[#This Row],[Tensão (Pa)]]/1000000</f>
        <v>4.8797513746115226E-2</v>
      </c>
      <c r="H3" t="s">
        <v>11</v>
      </c>
      <c r="I3">
        <v>0.05</v>
      </c>
      <c r="J3">
        <v>1.3349999999999999E-2</v>
      </c>
      <c r="K3">
        <v>2.3500000000000001E-3</v>
      </c>
    </row>
    <row r="4" spans="1:11" x14ac:dyDescent="0.3">
      <c r="A4" s="5">
        <v>4.6333000000000002</v>
      </c>
      <c r="B4" s="5">
        <v>0.37874999999999998</v>
      </c>
      <c r="C4" s="1">
        <f>Tabela3[[#This Row],[Alongamento (mm/mm)]]/$I$2</f>
        <v>7.5749999999999993E-3</v>
      </c>
      <c r="D4" s="5">
        <v>1.5308999999999999</v>
      </c>
      <c r="E4" s="1">
        <f>Tabela3[[#This Row],[Força (N)]]/$I$5</f>
        <v>48797.513746115226</v>
      </c>
      <c r="F4" s="1">
        <f>Tabela3[[#This Row],[Tensão (Pa)]]/1000000</f>
        <v>4.8797513746115226E-2</v>
      </c>
    </row>
    <row r="5" spans="1:11" x14ac:dyDescent="0.3">
      <c r="A5" s="5">
        <v>4.6833</v>
      </c>
      <c r="B5" s="5">
        <v>0.38292999999999999</v>
      </c>
      <c r="C5" s="1">
        <f>Tabela3[[#This Row],[Alongamento (mm/mm)]]/$I$2</f>
        <v>7.6585999999999998E-3</v>
      </c>
      <c r="D5" s="5">
        <v>1.5308999999999999</v>
      </c>
      <c r="E5" s="1">
        <f>Tabela3[[#This Row],[Força (N)]]/$I$5</f>
        <v>48797.513746115226</v>
      </c>
      <c r="F5" s="1">
        <f>Tabela3[[#This Row],[Tensão (Pa)]]/1000000</f>
        <v>4.8797513746115226E-2</v>
      </c>
      <c r="H5" t="s">
        <v>12</v>
      </c>
      <c r="I5">
        <v>3.1372499999999998E-5</v>
      </c>
    </row>
    <row r="6" spans="1:11" x14ac:dyDescent="0.3">
      <c r="A6" s="5">
        <v>4.7332999999999998</v>
      </c>
      <c r="B6" s="5">
        <v>0.38712000000000002</v>
      </c>
      <c r="C6" s="1">
        <f>Tabela3[[#This Row],[Alongamento (mm/mm)]]/$I$2</f>
        <v>7.7424E-3</v>
      </c>
      <c r="D6" s="5">
        <v>1.5308999999999999</v>
      </c>
      <c r="E6" s="1">
        <f>Tabela3[[#This Row],[Força (N)]]/$I$5</f>
        <v>48797.513746115226</v>
      </c>
      <c r="F6" s="1">
        <f>Tabela3[[#This Row],[Tensão (Pa)]]/1000000</f>
        <v>4.8797513746115226E-2</v>
      </c>
    </row>
    <row r="7" spans="1:11" x14ac:dyDescent="0.3">
      <c r="A7" s="5">
        <v>4.7832999999999997</v>
      </c>
      <c r="B7" s="5">
        <v>0.39122000000000001</v>
      </c>
      <c r="C7" s="1">
        <f>Tabela3[[#This Row],[Alongamento (mm/mm)]]/$I$2</f>
        <v>7.8244000000000005E-3</v>
      </c>
      <c r="D7" s="5">
        <v>1.5308999999999999</v>
      </c>
      <c r="E7" s="1">
        <f>Tabela3[[#This Row],[Força (N)]]/$I$5</f>
        <v>48797.513746115226</v>
      </c>
      <c r="F7" s="1">
        <f>Tabela3[[#This Row],[Tensão (Pa)]]/1000000</f>
        <v>4.8797513746115226E-2</v>
      </c>
    </row>
    <row r="8" spans="1:11" x14ac:dyDescent="0.3">
      <c r="A8" s="5">
        <v>4.8333000000000004</v>
      </c>
      <c r="B8" s="5">
        <v>0.39539999999999997</v>
      </c>
      <c r="C8" s="1">
        <f>Tabela3[[#This Row],[Alongamento (mm/mm)]]/$I$2</f>
        <v>7.9080000000000001E-3</v>
      </c>
      <c r="D8" s="5">
        <v>1.5308999999999999</v>
      </c>
      <c r="E8" s="1">
        <f>Tabela3[[#This Row],[Força (N)]]/$I$5</f>
        <v>48797.513746115226</v>
      </c>
      <c r="F8" s="1">
        <f>Tabela3[[#This Row],[Tensão (Pa)]]/1000000</f>
        <v>4.8797513746115226E-2</v>
      </c>
    </row>
    <row r="9" spans="1:11" x14ac:dyDescent="0.3">
      <c r="A9" s="5">
        <v>4.8833000000000002</v>
      </c>
      <c r="B9" s="5">
        <v>0.39950000000000002</v>
      </c>
      <c r="C9" s="1">
        <f>Tabela3[[#This Row],[Alongamento (mm/mm)]]/$I$2</f>
        <v>7.9900000000000006E-3</v>
      </c>
      <c r="D9" s="5">
        <v>1.5308999999999999</v>
      </c>
      <c r="E9" s="1">
        <f>Tabela3[[#This Row],[Força (N)]]/$I$5</f>
        <v>48797.513746115226</v>
      </c>
      <c r="F9" s="1">
        <f>Tabela3[[#This Row],[Tensão (Pa)]]/1000000</f>
        <v>4.8797513746115226E-2</v>
      </c>
    </row>
    <row r="10" spans="1:11" x14ac:dyDescent="0.3">
      <c r="A10" s="5">
        <v>4.9333</v>
      </c>
      <c r="B10" s="5">
        <v>0.40377999999999997</v>
      </c>
      <c r="C10" s="1">
        <f>Tabela3[[#This Row],[Alongamento (mm/mm)]]/$I$2</f>
        <v>8.0755999999999988E-3</v>
      </c>
      <c r="D10" s="5">
        <v>1.5308999999999999</v>
      </c>
      <c r="E10" s="1">
        <f>Tabela3[[#This Row],[Força (N)]]/$I$5</f>
        <v>48797.513746115226</v>
      </c>
      <c r="F10" s="1">
        <f>Tabela3[[#This Row],[Tensão (Pa)]]/1000000</f>
        <v>4.8797513746115226E-2</v>
      </c>
    </row>
    <row r="11" spans="1:11" x14ac:dyDescent="0.3">
      <c r="A11" s="5">
        <v>4.9832999999999998</v>
      </c>
      <c r="B11" s="5">
        <v>0.40797</v>
      </c>
      <c r="C11" s="1">
        <f>Tabela3[[#This Row],[Alongamento (mm/mm)]]/$I$2</f>
        <v>8.1594000000000007E-3</v>
      </c>
      <c r="D11" s="5">
        <v>1.5308999999999999</v>
      </c>
      <c r="E11" s="1">
        <f>Tabela3[[#This Row],[Força (N)]]/$I$5</f>
        <v>48797.513746115226</v>
      </c>
      <c r="F11" s="1">
        <f>Tabela3[[#This Row],[Tensão (Pa)]]/1000000</f>
        <v>4.8797513746115226E-2</v>
      </c>
    </row>
    <row r="12" spans="1:11" x14ac:dyDescent="0.3">
      <c r="A12" s="5">
        <v>5.0332999999999997</v>
      </c>
      <c r="B12" s="5">
        <v>0.41215000000000002</v>
      </c>
      <c r="C12" s="1">
        <f>Tabela3[[#This Row],[Alongamento (mm/mm)]]/$I$2</f>
        <v>8.2430000000000003E-3</v>
      </c>
      <c r="D12" s="5">
        <v>1.5308999999999999</v>
      </c>
      <c r="E12" s="1">
        <f>Tabela3[[#This Row],[Força (N)]]/$I$5</f>
        <v>48797.513746115226</v>
      </c>
      <c r="F12" s="1">
        <f>Tabela3[[#This Row],[Tensão (Pa)]]/1000000</f>
        <v>4.8797513746115226E-2</v>
      </c>
    </row>
    <row r="13" spans="1:11" x14ac:dyDescent="0.3">
      <c r="A13" s="5">
        <v>5.0833000000000004</v>
      </c>
      <c r="B13" s="5">
        <v>0.41625000000000001</v>
      </c>
      <c r="C13" s="1">
        <f>Tabela3[[#This Row],[Alongamento (mm/mm)]]/$I$2</f>
        <v>8.3250000000000008E-3</v>
      </c>
      <c r="D13" s="5">
        <v>1.5308999999999999</v>
      </c>
      <c r="E13" s="1">
        <f>Tabela3[[#This Row],[Força (N)]]/$I$5</f>
        <v>48797.513746115226</v>
      </c>
      <c r="F13" s="1">
        <f>Tabela3[[#This Row],[Tensão (Pa)]]/1000000</f>
        <v>4.8797513746115226E-2</v>
      </c>
    </row>
    <row r="14" spans="1:11" x14ac:dyDescent="0.3">
      <c r="A14" s="5">
        <v>5.1333000000000002</v>
      </c>
      <c r="B14" s="5">
        <v>0.42043999999999998</v>
      </c>
      <c r="C14" s="1">
        <f>Tabela3[[#This Row],[Alongamento (mm/mm)]]/$I$2</f>
        <v>8.4087999999999993E-3</v>
      </c>
      <c r="D14" s="5">
        <v>1.5308999999999999</v>
      </c>
      <c r="E14" s="1">
        <f>Tabela3[[#This Row],[Força (N)]]/$I$5</f>
        <v>48797.513746115226</v>
      </c>
      <c r="F14" s="1">
        <f>Tabela3[[#This Row],[Tensão (Pa)]]/1000000</f>
        <v>4.8797513746115226E-2</v>
      </c>
    </row>
    <row r="15" spans="1:11" x14ac:dyDescent="0.3">
      <c r="A15" s="5">
        <v>5.1833</v>
      </c>
      <c r="B15" s="5">
        <v>0.42462</v>
      </c>
      <c r="C15" s="1">
        <f>Tabela3[[#This Row],[Alongamento (mm/mm)]]/$I$2</f>
        <v>8.4924000000000006E-3</v>
      </c>
      <c r="D15" s="5">
        <v>1.5308999999999999</v>
      </c>
      <c r="E15" s="1">
        <f>Tabela3[[#This Row],[Força (N)]]/$I$5</f>
        <v>48797.513746115226</v>
      </c>
      <c r="F15" s="1">
        <f>Tabela3[[#This Row],[Tensão (Pa)]]/1000000</f>
        <v>4.8797513746115226E-2</v>
      </c>
    </row>
    <row r="16" spans="1:11" x14ac:dyDescent="0.3">
      <c r="A16" s="5">
        <v>5.2332999999999998</v>
      </c>
      <c r="B16" s="5">
        <v>0.42881000000000002</v>
      </c>
      <c r="C16" s="1">
        <f>Tabela3[[#This Row],[Alongamento (mm/mm)]]/$I$2</f>
        <v>8.5762000000000008E-3</v>
      </c>
      <c r="D16" s="5">
        <v>1.5308999999999999</v>
      </c>
      <c r="E16" s="1">
        <f>Tabela3[[#This Row],[Força (N)]]/$I$5</f>
        <v>48797.513746115226</v>
      </c>
      <c r="F16" s="1">
        <f>Tabela3[[#This Row],[Tensão (Pa)]]/1000000</f>
        <v>4.8797513746115226E-2</v>
      </c>
    </row>
    <row r="17" spans="1:6" x14ac:dyDescent="0.3">
      <c r="A17" s="5">
        <v>5.2832999999999997</v>
      </c>
      <c r="B17" s="5">
        <v>0.433</v>
      </c>
      <c r="C17" s="1">
        <f>Tabela3[[#This Row],[Alongamento (mm/mm)]]/$I$2</f>
        <v>8.6599999999999993E-3</v>
      </c>
      <c r="D17" s="5">
        <v>1.5308999999999999</v>
      </c>
      <c r="E17" s="1">
        <f>Tabela3[[#This Row],[Força (N)]]/$I$5</f>
        <v>48797.513746115226</v>
      </c>
      <c r="F17" s="1">
        <f>Tabela3[[#This Row],[Tensão (Pa)]]/1000000</f>
        <v>4.8797513746115226E-2</v>
      </c>
    </row>
    <row r="18" spans="1:6" x14ac:dyDescent="0.3">
      <c r="A18" s="5">
        <v>5.3333000000000004</v>
      </c>
      <c r="B18" s="5">
        <v>0.43708999999999998</v>
      </c>
      <c r="C18" s="1">
        <f>Tabela3[[#This Row],[Alongamento (mm/mm)]]/$I$2</f>
        <v>8.7417999999999992E-3</v>
      </c>
      <c r="D18" s="5">
        <v>1.5308999999999999</v>
      </c>
      <c r="E18" s="1">
        <f>Tabela3[[#This Row],[Força (N)]]/$I$5</f>
        <v>48797.513746115226</v>
      </c>
      <c r="F18" s="1">
        <f>Tabela3[[#This Row],[Tensão (Pa)]]/1000000</f>
        <v>4.8797513746115226E-2</v>
      </c>
    </row>
    <row r="19" spans="1:6" x14ac:dyDescent="0.3">
      <c r="A19" s="5">
        <v>5.3833000000000002</v>
      </c>
      <c r="B19" s="5">
        <v>0.44119000000000003</v>
      </c>
      <c r="C19" s="1">
        <f>Tabela3[[#This Row],[Alongamento (mm/mm)]]/$I$2</f>
        <v>8.8237999999999997E-3</v>
      </c>
      <c r="D19" s="5">
        <v>1.7010000000000001</v>
      </c>
      <c r="E19" s="1">
        <f>Tabela3[[#This Row],[Força (N)]]/$I$5</f>
        <v>54219.459717905811</v>
      </c>
      <c r="F19" s="1">
        <f>Tabela3[[#This Row],[Tensão (Pa)]]/1000000</f>
        <v>5.4219459717905809E-2</v>
      </c>
    </row>
    <row r="20" spans="1:6" x14ac:dyDescent="0.3">
      <c r="A20" s="5">
        <v>5.4333</v>
      </c>
      <c r="B20" s="5">
        <v>0.44538</v>
      </c>
      <c r="C20" s="1">
        <f>Tabela3[[#This Row],[Alongamento (mm/mm)]]/$I$2</f>
        <v>8.9075999999999999E-3</v>
      </c>
      <c r="D20" s="5">
        <v>1.5308999999999999</v>
      </c>
      <c r="E20" s="1">
        <f>Tabela3[[#This Row],[Força (N)]]/$I$5</f>
        <v>48797.513746115226</v>
      </c>
      <c r="F20" s="1">
        <f>Tabela3[[#This Row],[Tensão (Pa)]]/1000000</f>
        <v>4.8797513746115226E-2</v>
      </c>
    </row>
    <row r="21" spans="1:6" x14ac:dyDescent="0.3">
      <c r="A21" s="5">
        <v>5.4832999999999998</v>
      </c>
      <c r="B21" s="5">
        <v>0.44966</v>
      </c>
      <c r="C21" s="1">
        <f>Tabela3[[#This Row],[Alongamento (mm/mm)]]/$I$2</f>
        <v>8.9931999999999998E-3</v>
      </c>
      <c r="D21" s="5">
        <v>1.5308999999999999</v>
      </c>
      <c r="E21" s="1">
        <f>Tabela3[[#This Row],[Força (N)]]/$I$5</f>
        <v>48797.513746115226</v>
      </c>
      <c r="F21" s="1">
        <f>Tabela3[[#This Row],[Tensão (Pa)]]/1000000</f>
        <v>4.8797513746115226E-2</v>
      </c>
    </row>
    <row r="22" spans="1:6" x14ac:dyDescent="0.3">
      <c r="A22" s="5">
        <v>5.5332999999999997</v>
      </c>
      <c r="B22" s="5">
        <v>0.45374999999999999</v>
      </c>
      <c r="C22" s="1">
        <f>Tabela3[[#This Row],[Alongamento (mm/mm)]]/$I$2</f>
        <v>9.0749999999999997E-3</v>
      </c>
      <c r="D22" s="5">
        <v>1.7010000000000001</v>
      </c>
      <c r="E22" s="1">
        <f>Tabela3[[#This Row],[Força (N)]]/$I$5</f>
        <v>54219.459717905811</v>
      </c>
      <c r="F22" s="1">
        <f>Tabela3[[#This Row],[Tensão (Pa)]]/1000000</f>
        <v>5.4219459717905809E-2</v>
      </c>
    </row>
    <row r="23" spans="1:6" x14ac:dyDescent="0.3">
      <c r="A23" s="5">
        <v>5.5833000000000004</v>
      </c>
      <c r="B23" s="5">
        <v>0.45794000000000001</v>
      </c>
      <c r="C23" s="1">
        <f>Tabela3[[#This Row],[Alongamento (mm/mm)]]/$I$2</f>
        <v>9.1587999999999999E-3</v>
      </c>
      <c r="D23" s="5">
        <v>1.7010000000000001</v>
      </c>
      <c r="E23" s="1">
        <f>Tabela3[[#This Row],[Força (N)]]/$I$5</f>
        <v>54219.459717905811</v>
      </c>
      <c r="F23" s="1">
        <f>Tabela3[[#This Row],[Tensão (Pa)]]/1000000</f>
        <v>5.4219459717905809E-2</v>
      </c>
    </row>
    <row r="24" spans="1:6" x14ac:dyDescent="0.3">
      <c r="A24" s="5">
        <v>5.6333000000000002</v>
      </c>
      <c r="B24" s="5">
        <v>0.46203</v>
      </c>
      <c r="C24" s="1">
        <f>Tabela3[[#This Row],[Alongamento (mm/mm)]]/$I$2</f>
        <v>9.2405999999999999E-3</v>
      </c>
      <c r="D24" s="5">
        <v>1.7010000000000001</v>
      </c>
      <c r="E24" s="1">
        <f>Tabela3[[#This Row],[Força (N)]]/$I$5</f>
        <v>54219.459717905811</v>
      </c>
      <c r="F24" s="1">
        <f>Tabela3[[#This Row],[Tensão (Pa)]]/1000000</f>
        <v>5.4219459717905809E-2</v>
      </c>
    </row>
    <row r="25" spans="1:6" x14ac:dyDescent="0.3">
      <c r="A25" s="5">
        <v>5.6833</v>
      </c>
      <c r="B25" s="5">
        <v>0.46622000000000002</v>
      </c>
      <c r="C25" s="1">
        <f>Tabela3[[#This Row],[Alongamento (mm/mm)]]/$I$2</f>
        <v>9.3244E-3</v>
      </c>
      <c r="D25" s="5">
        <v>1.7010000000000001</v>
      </c>
      <c r="E25" s="1">
        <f>Tabela3[[#This Row],[Força (N)]]/$I$5</f>
        <v>54219.459717905811</v>
      </c>
      <c r="F25" s="1">
        <f>Tabela3[[#This Row],[Tensão (Pa)]]/1000000</f>
        <v>5.4219459717905809E-2</v>
      </c>
    </row>
    <row r="26" spans="1:6" x14ac:dyDescent="0.3">
      <c r="A26" s="5">
        <v>5.7332999999999998</v>
      </c>
      <c r="B26" s="5">
        <v>0.47040999999999999</v>
      </c>
      <c r="C26" s="1">
        <f>Tabela3[[#This Row],[Alongamento (mm/mm)]]/$I$2</f>
        <v>9.4082000000000002E-3</v>
      </c>
      <c r="D26" s="5">
        <v>1.7010000000000001</v>
      </c>
      <c r="E26" s="1">
        <f>Tabela3[[#This Row],[Força (N)]]/$I$5</f>
        <v>54219.459717905811</v>
      </c>
      <c r="F26" s="1">
        <f>Tabela3[[#This Row],[Tensão (Pa)]]/1000000</f>
        <v>5.4219459717905809E-2</v>
      </c>
    </row>
    <row r="27" spans="1:6" x14ac:dyDescent="0.3">
      <c r="A27" s="5">
        <v>5.7832999999999997</v>
      </c>
      <c r="B27" s="5">
        <v>0.47460000000000002</v>
      </c>
      <c r="C27" s="1">
        <f>Tabela3[[#This Row],[Alongamento (mm/mm)]]/$I$2</f>
        <v>9.4920000000000004E-3</v>
      </c>
      <c r="D27" s="5">
        <v>1.7010000000000001</v>
      </c>
      <c r="E27" s="1">
        <f>Tabela3[[#This Row],[Força (N)]]/$I$5</f>
        <v>54219.459717905811</v>
      </c>
      <c r="F27" s="1">
        <f>Tabela3[[#This Row],[Tensão (Pa)]]/1000000</f>
        <v>5.4219459717905809E-2</v>
      </c>
    </row>
    <row r="28" spans="1:6" x14ac:dyDescent="0.3">
      <c r="A28" s="5">
        <v>5.8333000000000004</v>
      </c>
      <c r="B28" s="5">
        <v>0.47877999999999998</v>
      </c>
      <c r="C28" s="1">
        <f>Tabela3[[#This Row],[Alongamento (mm/mm)]]/$I$2</f>
        <v>9.5756000000000001E-3</v>
      </c>
      <c r="D28" s="5">
        <v>1.7010000000000001</v>
      </c>
      <c r="E28" s="1">
        <f>Tabela3[[#This Row],[Força (N)]]/$I$5</f>
        <v>54219.459717905811</v>
      </c>
      <c r="F28" s="1">
        <f>Tabela3[[#This Row],[Tensão (Pa)]]/1000000</f>
        <v>5.4219459717905809E-2</v>
      </c>
    </row>
    <row r="29" spans="1:6" x14ac:dyDescent="0.3">
      <c r="A29" s="5">
        <v>5.8833000000000002</v>
      </c>
      <c r="B29" s="5">
        <v>0.48287999999999998</v>
      </c>
      <c r="C29" s="1">
        <f>Tabela3[[#This Row],[Alongamento (mm/mm)]]/$I$2</f>
        <v>9.6575999999999988E-3</v>
      </c>
      <c r="D29" s="5">
        <v>1.7010000000000001</v>
      </c>
      <c r="E29" s="1">
        <f>Tabela3[[#This Row],[Força (N)]]/$I$5</f>
        <v>54219.459717905811</v>
      </c>
      <c r="F29" s="1">
        <f>Tabela3[[#This Row],[Tensão (Pa)]]/1000000</f>
        <v>5.4219459717905809E-2</v>
      </c>
    </row>
    <row r="30" spans="1:6" x14ac:dyDescent="0.3">
      <c r="A30" s="5">
        <v>5.9333</v>
      </c>
      <c r="B30" s="5">
        <v>0.48707</v>
      </c>
      <c r="C30" s="1">
        <f>Tabela3[[#This Row],[Alongamento (mm/mm)]]/$I$2</f>
        <v>9.7414000000000008E-3</v>
      </c>
      <c r="D30" s="5">
        <v>1.7010000000000001</v>
      </c>
      <c r="E30" s="1">
        <f>Tabela3[[#This Row],[Força (N)]]/$I$5</f>
        <v>54219.459717905811</v>
      </c>
      <c r="F30" s="1">
        <f>Tabela3[[#This Row],[Tensão (Pa)]]/1000000</f>
        <v>5.4219459717905809E-2</v>
      </c>
    </row>
    <row r="31" spans="1:6" x14ac:dyDescent="0.3">
      <c r="A31" s="5">
        <v>5.9832999999999998</v>
      </c>
      <c r="B31" s="5">
        <v>0.49125000000000002</v>
      </c>
      <c r="C31" s="1">
        <f>Tabela3[[#This Row],[Alongamento (mm/mm)]]/$I$2</f>
        <v>9.8250000000000004E-3</v>
      </c>
      <c r="D31" s="5">
        <v>1.8711</v>
      </c>
      <c r="E31" s="1">
        <f>Tabela3[[#This Row],[Força (N)]]/$I$5</f>
        <v>59641.405689696396</v>
      </c>
      <c r="F31" s="1">
        <f>Tabela3[[#This Row],[Tensão (Pa)]]/1000000</f>
        <v>5.9641405689696399E-2</v>
      </c>
    </row>
    <row r="32" spans="1:6" x14ac:dyDescent="0.3">
      <c r="A32" s="5">
        <v>6.0332999999999997</v>
      </c>
      <c r="B32" s="5">
        <v>0.49543999999999999</v>
      </c>
      <c r="C32" s="1">
        <f>Tabela3[[#This Row],[Alongamento (mm/mm)]]/$I$2</f>
        <v>9.9088000000000006E-3</v>
      </c>
      <c r="D32" s="5">
        <v>1.8711</v>
      </c>
      <c r="E32" s="1">
        <f>Tabela3[[#This Row],[Força (N)]]/$I$5</f>
        <v>59641.405689696396</v>
      </c>
      <c r="F32" s="1">
        <f>Tabela3[[#This Row],[Tensão (Pa)]]/1000000</f>
        <v>5.9641405689696399E-2</v>
      </c>
    </row>
    <row r="33" spans="1:6" x14ac:dyDescent="0.3">
      <c r="A33" s="5">
        <v>6.0833000000000004</v>
      </c>
      <c r="B33" s="5">
        <v>0.49953999999999998</v>
      </c>
      <c r="C33" s="1">
        <f>Tabela3[[#This Row],[Alongamento (mm/mm)]]/$I$2</f>
        <v>9.9907999999999993E-3</v>
      </c>
      <c r="D33" s="5">
        <v>1.8711</v>
      </c>
      <c r="E33" s="1">
        <f>Tabela3[[#This Row],[Força (N)]]/$I$5</f>
        <v>59641.405689696396</v>
      </c>
      <c r="F33" s="1">
        <f>Tabela3[[#This Row],[Tensão (Pa)]]/1000000</f>
        <v>5.9641405689696399E-2</v>
      </c>
    </row>
    <row r="34" spans="1:6" x14ac:dyDescent="0.3">
      <c r="A34" s="5">
        <v>6.1333000000000002</v>
      </c>
      <c r="B34" s="5">
        <v>0.50371999999999995</v>
      </c>
      <c r="C34" s="1">
        <f>Tabela3[[#This Row],[Alongamento (mm/mm)]]/$I$2</f>
        <v>1.0074399999999999E-2</v>
      </c>
      <c r="D34" s="5">
        <v>1.8711</v>
      </c>
      <c r="E34" s="1">
        <f>Tabela3[[#This Row],[Força (N)]]/$I$5</f>
        <v>59641.405689696396</v>
      </c>
      <c r="F34" s="1">
        <f>Tabela3[[#This Row],[Tensão (Pa)]]/1000000</f>
        <v>5.9641405689696399E-2</v>
      </c>
    </row>
    <row r="35" spans="1:6" x14ac:dyDescent="0.3">
      <c r="A35" s="5">
        <v>6.1833</v>
      </c>
      <c r="B35" s="5">
        <v>0.50782000000000005</v>
      </c>
      <c r="C35" s="1">
        <f>Tabela3[[#This Row],[Alongamento (mm/mm)]]/$I$2</f>
        <v>1.0156400000000001E-2</v>
      </c>
      <c r="D35" s="5">
        <v>1.8711</v>
      </c>
      <c r="E35" s="1">
        <f>Tabela3[[#This Row],[Força (N)]]/$I$5</f>
        <v>59641.405689696396</v>
      </c>
      <c r="F35" s="1">
        <f>Tabela3[[#This Row],[Tensão (Pa)]]/1000000</f>
        <v>5.9641405689696399E-2</v>
      </c>
    </row>
    <row r="36" spans="1:6" x14ac:dyDescent="0.3">
      <c r="A36" s="5">
        <v>6.2332999999999998</v>
      </c>
      <c r="B36" s="5">
        <v>0.5121</v>
      </c>
      <c r="C36" s="1">
        <f>Tabela3[[#This Row],[Alongamento (mm/mm)]]/$I$2</f>
        <v>1.0241999999999999E-2</v>
      </c>
      <c r="D36" s="5">
        <v>1.8711</v>
      </c>
      <c r="E36" s="1">
        <f>Tabela3[[#This Row],[Força (N)]]/$I$5</f>
        <v>59641.405689696396</v>
      </c>
      <c r="F36" s="1">
        <f>Tabela3[[#This Row],[Tensão (Pa)]]/1000000</f>
        <v>5.9641405689696399E-2</v>
      </c>
    </row>
    <row r="37" spans="1:6" x14ac:dyDescent="0.3">
      <c r="A37" s="5">
        <v>6.2832999999999997</v>
      </c>
      <c r="B37" s="5">
        <v>0.51629000000000003</v>
      </c>
      <c r="C37" s="1">
        <f>Tabela3[[#This Row],[Alongamento (mm/mm)]]/$I$2</f>
        <v>1.0325800000000001E-2</v>
      </c>
      <c r="D37" s="5">
        <v>1.8711</v>
      </c>
      <c r="E37" s="1">
        <f>Tabela3[[#This Row],[Força (N)]]/$I$5</f>
        <v>59641.405689696396</v>
      </c>
      <c r="F37" s="1">
        <f>Tabela3[[#This Row],[Tensão (Pa)]]/1000000</f>
        <v>5.9641405689696399E-2</v>
      </c>
    </row>
    <row r="38" spans="1:6" x14ac:dyDescent="0.3">
      <c r="A38" s="5">
        <v>6.3333000000000004</v>
      </c>
      <c r="B38" s="5">
        <v>0.52046999999999999</v>
      </c>
      <c r="C38" s="1">
        <f>Tabela3[[#This Row],[Alongamento (mm/mm)]]/$I$2</f>
        <v>1.0409399999999999E-2</v>
      </c>
      <c r="D38" s="5">
        <v>2.0411999999999999</v>
      </c>
      <c r="E38" s="1">
        <f>Tabela3[[#This Row],[Força (N)]]/$I$5</f>
        <v>65063.351661486973</v>
      </c>
      <c r="F38" s="1">
        <f>Tabela3[[#This Row],[Tensão (Pa)]]/1000000</f>
        <v>6.5063351661486968E-2</v>
      </c>
    </row>
    <row r="39" spans="1:6" x14ac:dyDescent="0.3">
      <c r="A39" s="5">
        <v>6.3833000000000002</v>
      </c>
      <c r="B39" s="5">
        <v>0.52456999999999998</v>
      </c>
      <c r="C39" s="1">
        <f>Tabela3[[#This Row],[Alongamento (mm/mm)]]/$I$2</f>
        <v>1.04914E-2</v>
      </c>
      <c r="D39" s="5">
        <v>2.0411999999999999</v>
      </c>
      <c r="E39" s="1">
        <f>Tabela3[[#This Row],[Força (N)]]/$I$5</f>
        <v>65063.351661486973</v>
      </c>
      <c r="F39" s="1">
        <f>Tabela3[[#This Row],[Tensão (Pa)]]/1000000</f>
        <v>6.5063351661486968E-2</v>
      </c>
    </row>
    <row r="40" spans="1:6" x14ac:dyDescent="0.3">
      <c r="A40" s="5">
        <v>6.4333</v>
      </c>
      <c r="B40" s="5">
        <v>0.52876000000000001</v>
      </c>
      <c r="C40" s="1">
        <f>Tabela3[[#This Row],[Alongamento (mm/mm)]]/$I$2</f>
        <v>1.05752E-2</v>
      </c>
      <c r="D40" s="5">
        <v>2.0411999999999999</v>
      </c>
      <c r="E40" s="1">
        <f>Tabela3[[#This Row],[Força (N)]]/$I$5</f>
        <v>65063.351661486973</v>
      </c>
      <c r="F40" s="1">
        <f>Tabela3[[#This Row],[Tensão (Pa)]]/1000000</f>
        <v>6.5063351661486968E-2</v>
      </c>
    </row>
    <row r="41" spans="1:6" x14ac:dyDescent="0.3">
      <c r="A41" s="5">
        <v>6.4832999999999998</v>
      </c>
      <c r="B41" s="5">
        <v>0.53293999999999997</v>
      </c>
      <c r="C41" s="1">
        <f>Tabela3[[#This Row],[Alongamento (mm/mm)]]/$I$2</f>
        <v>1.06588E-2</v>
      </c>
      <c r="D41" s="5">
        <v>2.0411999999999999</v>
      </c>
      <c r="E41" s="1">
        <f>Tabela3[[#This Row],[Força (N)]]/$I$5</f>
        <v>65063.351661486973</v>
      </c>
      <c r="F41" s="1">
        <f>Tabela3[[#This Row],[Tensão (Pa)]]/1000000</f>
        <v>6.5063351661486968E-2</v>
      </c>
    </row>
    <row r="42" spans="1:6" x14ac:dyDescent="0.3">
      <c r="A42" s="5">
        <v>6.5332999999999997</v>
      </c>
      <c r="B42" s="5">
        <v>0.53713</v>
      </c>
      <c r="C42" s="1">
        <f>Tabela3[[#This Row],[Alongamento (mm/mm)]]/$I$2</f>
        <v>1.07426E-2</v>
      </c>
      <c r="D42" s="5">
        <v>2.2113</v>
      </c>
      <c r="E42" s="1">
        <f>Tabela3[[#This Row],[Força (N)]]/$I$5</f>
        <v>70485.297633277558</v>
      </c>
      <c r="F42" s="1">
        <f>Tabela3[[#This Row],[Tensão (Pa)]]/1000000</f>
        <v>7.0485297633277558E-2</v>
      </c>
    </row>
    <row r="43" spans="1:6" x14ac:dyDescent="0.3">
      <c r="A43" s="5">
        <v>6.6</v>
      </c>
      <c r="B43" s="5">
        <v>0.54271000000000003</v>
      </c>
      <c r="C43" s="1">
        <f>Tabela3[[#This Row],[Alongamento (mm/mm)]]/$I$2</f>
        <v>1.0854200000000001E-2</v>
      </c>
      <c r="D43" s="5">
        <v>2.2113</v>
      </c>
      <c r="E43" s="1">
        <f>Tabela3[[#This Row],[Força (N)]]/$I$5</f>
        <v>70485.297633277558</v>
      </c>
      <c r="F43" s="1">
        <f>Tabela3[[#This Row],[Tensão (Pa)]]/1000000</f>
        <v>7.0485297633277558E-2</v>
      </c>
    </row>
    <row r="44" spans="1:6" x14ac:dyDescent="0.3">
      <c r="A44" s="5">
        <v>6.6666999999999996</v>
      </c>
      <c r="B44" s="5">
        <v>0.54820000000000002</v>
      </c>
      <c r="C44" s="1">
        <f>Tabela3[[#This Row],[Alongamento (mm/mm)]]/$I$2</f>
        <v>1.0964E-2</v>
      </c>
      <c r="D44" s="5">
        <v>2.2113</v>
      </c>
      <c r="E44" s="1">
        <f>Tabela3[[#This Row],[Força (N)]]/$I$5</f>
        <v>70485.297633277558</v>
      </c>
      <c r="F44" s="1">
        <f>Tabela3[[#This Row],[Tensão (Pa)]]/1000000</f>
        <v>7.0485297633277558E-2</v>
      </c>
    </row>
    <row r="45" spans="1:6" x14ac:dyDescent="0.3">
      <c r="A45" s="5">
        <v>6.7332999999999998</v>
      </c>
      <c r="B45" s="5">
        <v>0.55379</v>
      </c>
      <c r="C45" s="1">
        <f>Tabela3[[#This Row],[Alongamento (mm/mm)]]/$I$2</f>
        <v>1.10758E-2</v>
      </c>
      <c r="D45" s="5">
        <v>2.2113</v>
      </c>
      <c r="E45" s="1">
        <f>Tabela3[[#This Row],[Força (N)]]/$I$5</f>
        <v>70485.297633277558</v>
      </c>
      <c r="F45" s="1">
        <f>Tabela3[[#This Row],[Tensão (Pa)]]/1000000</f>
        <v>7.0485297633277558E-2</v>
      </c>
    </row>
    <row r="46" spans="1:6" x14ac:dyDescent="0.3">
      <c r="A46" s="5">
        <v>6.8</v>
      </c>
      <c r="B46" s="5">
        <v>0.55928</v>
      </c>
      <c r="C46" s="1">
        <f>Tabela3[[#This Row],[Alongamento (mm/mm)]]/$I$2</f>
        <v>1.11856E-2</v>
      </c>
      <c r="D46" s="5">
        <v>2.2113</v>
      </c>
      <c r="E46" s="1">
        <f>Tabela3[[#This Row],[Força (N)]]/$I$5</f>
        <v>70485.297633277558</v>
      </c>
      <c r="F46" s="1">
        <f>Tabela3[[#This Row],[Tensão (Pa)]]/1000000</f>
        <v>7.0485297633277558E-2</v>
      </c>
    </row>
    <row r="47" spans="1:6" x14ac:dyDescent="0.3">
      <c r="A47" s="5">
        <v>6.8666999999999998</v>
      </c>
      <c r="B47" s="5">
        <v>0.56486000000000003</v>
      </c>
      <c r="C47" s="1">
        <f>Tabela3[[#This Row],[Alongamento (mm/mm)]]/$I$2</f>
        <v>1.12972E-2</v>
      </c>
      <c r="D47" s="5">
        <v>2.2113</v>
      </c>
      <c r="E47" s="1">
        <f>Tabela3[[#This Row],[Força (N)]]/$I$5</f>
        <v>70485.297633277558</v>
      </c>
      <c r="F47" s="1">
        <f>Tabela3[[#This Row],[Tensão (Pa)]]/1000000</f>
        <v>7.0485297633277558E-2</v>
      </c>
    </row>
    <row r="48" spans="1:6" x14ac:dyDescent="0.3">
      <c r="A48" s="5">
        <v>6.9333</v>
      </c>
      <c r="B48" s="5">
        <v>0.57035000000000002</v>
      </c>
      <c r="C48" s="1">
        <f>Tabela3[[#This Row],[Alongamento (mm/mm)]]/$I$2</f>
        <v>1.1407E-2</v>
      </c>
      <c r="D48" s="5">
        <v>2.2113</v>
      </c>
      <c r="E48" s="1">
        <f>Tabela3[[#This Row],[Força (N)]]/$I$5</f>
        <v>70485.297633277558</v>
      </c>
      <c r="F48" s="1">
        <f>Tabela3[[#This Row],[Tensão (Pa)]]/1000000</f>
        <v>7.0485297633277558E-2</v>
      </c>
    </row>
    <row r="49" spans="1:6" x14ac:dyDescent="0.3">
      <c r="A49" s="5">
        <v>7</v>
      </c>
      <c r="B49" s="5">
        <v>0.57594000000000001</v>
      </c>
      <c r="C49" s="1">
        <f>Tabela3[[#This Row],[Alongamento (mm/mm)]]/$I$2</f>
        <v>1.1518800000000001E-2</v>
      </c>
      <c r="D49" s="5">
        <v>2.3814000000000002</v>
      </c>
      <c r="E49" s="1">
        <f>Tabela3[[#This Row],[Força (N)]]/$I$5</f>
        <v>75907.243605068143</v>
      </c>
      <c r="F49" s="1">
        <f>Tabela3[[#This Row],[Tensão (Pa)]]/1000000</f>
        <v>7.5907243605068148E-2</v>
      </c>
    </row>
    <row r="50" spans="1:6" x14ac:dyDescent="0.3">
      <c r="A50" s="5">
        <v>7.0667</v>
      </c>
      <c r="B50" s="5">
        <v>0.58152000000000004</v>
      </c>
      <c r="C50" s="1">
        <f>Tabela3[[#This Row],[Alongamento (mm/mm)]]/$I$2</f>
        <v>1.1630400000000001E-2</v>
      </c>
      <c r="D50" s="5">
        <v>2.3814000000000002</v>
      </c>
      <c r="E50" s="1">
        <f>Tabela3[[#This Row],[Força (N)]]/$I$5</f>
        <v>75907.243605068143</v>
      </c>
      <c r="F50" s="1">
        <f>Tabela3[[#This Row],[Tensão (Pa)]]/1000000</f>
        <v>7.5907243605068148E-2</v>
      </c>
    </row>
    <row r="51" spans="1:6" x14ac:dyDescent="0.3">
      <c r="A51" s="5">
        <v>7.1333000000000002</v>
      </c>
      <c r="B51" s="5">
        <v>0.58709999999999996</v>
      </c>
      <c r="C51" s="1">
        <f>Tabela3[[#This Row],[Alongamento (mm/mm)]]/$I$2</f>
        <v>1.1741999999999999E-2</v>
      </c>
      <c r="D51" s="5">
        <v>2.5514999999999999</v>
      </c>
      <c r="E51" s="1">
        <f>Tabela3[[#This Row],[Força (N)]]/$I$5</f>
        <v>81329.189576858713</v>
      </c>
      <c r="F51" s="1">
        <f>Tabela3[[#This Row],[Tensão (Pa)]]/1000000</f>
        <v>8.132918957685871E-2</v>
      </c>
    </row>
    <row r="52" spans="1:6" x14ac:dyDescent="0.3">
      <c r="A52" s="5">
        <v>7.2</v>
      </c>
      <c r="B52" s="5">
        <v>0.59258999999999995</v>
      </c>
      <c r="C52" s="1">
        <f>Tabela3[[#This Row],[Alongamento (mm/mm)]]/$I$2</f>
        <v>1.1851799999999999E-2</v>
      </c>
      <c r="D52" s="5">
        <v>2.5514999999999999</v>
      </c>
      <c r="E52" s="1">
        <f>Tabela3[[#This Row],[Força (N)]]/$I$5</f>
        <v>81329.189576858713</v>
      </c>
      <c r="F52" s="1">
        <f>Tabela3[[#This Row],[Tensão (Pa)]]/1000000</f>
        <v>8.132918957685871E-2</v>
      </c>
    </row>
    <row r="53" spans="1:6" x14ac:dyDescent="0.3">
      <c r="A53" s="5">
        <v>7.2667000000000002</v>
      </c>
      <c r="B53" s="5">
        <v>0.59826999999999997</v>
      </c>
      <c r="C53" s="1">
        <f>Tabela3[[#This Row],[Alongamento (mm/mm)]]/$I$2</f>
        <v>1.1965399999999999E-2</v>
      </c>
      <c r="D53" s="5">
        <v>2.8917000000000002</v>
      </c>
      <c r="E53" s="1">
        <f>Tabela3[[#This Row],[Força (N)]]/$I$5</f>
        <v>92173.081520439882</v>
      </c>
      <c r="F53" s="1">
        <f>Tabela3[[#This Row],[Tensão (Pa)]]/1000000</f>
        <v>9.2173081520439876E-2</v>
      </c>
    </row>
    <row r="54" spans="1:6" x14ac:dyDescent="0.3">
      <c r="A54" s="5">
        <v>7.3333000000000004</v>
      </c>
      <c r="B54" s="5">
        <v>0.60375999999999996</v>
      </c>
      <c r="C54" s="1">
        <f>Tabela3[[#This Row],[Alongamento (mm/mm)]]/$I$2</f>
        <v>1.2075199999999999E-2</v>
      </c>
      <c r="D54" s="5">
        <v>3.0617999999999999</v>
      </c>
      <c r="E54" s="1">
        <f>Tabela3[[#This Row],[Força (N)]]/$I$5</f>
        <v>97595.027492230452</v>
      </c>
      <c r="F54" s="1">
        <f>Tabela3[[#This Row],[Tensão (Pa)]]/1000000</f>
        <v>9.7595027492230452E-2</v>
      </c>
    </row>
    <row r="55" spans="1:6" x14ac:dyDescent="0.3">
      <c r="A55" s="5">
        <v>7.4</v>
      </c>
      <c r="B55" s="5">
        <v>0.60933999999999999</v>
      </c>
      <c r="C55" s="1">
        <f>Tabela3[[#This Row],[Alongamento (mm/mm)]]/$I$2</f>
        <v>1.2186799999999999E-2</v>
      </c>
      <c r="D55" s="5">
        <v>3.4020000000000001</v>
      </c>
      <c r="E55" s="1">
        <f>Tabela3[[#This Row],[Força (N)]]/$I$5</f>
        <v>108438.91943581162</v>
      </c>
      <c r="F55" s="1">
        <f>Tabela3[[#This Row],[Tensão (Pa)]]/1000000</f>
        <v>0.10843891943581162</v>
      </c>
    </row>
    <row r="56" spans="1:6" x14ac:dyDescent="0.3">
      <c r="A56" s="5">
        <v>7.4667000000000003</v>
      </c>
      <c r="B56" s="5">
        <v>0.61492999999999998</v>
      </c>
      <c r="C56" s="1">
        <f>Tabela3[[#This Row],[Alongamento (mm/mm)]]/$I$2</f>
        <v>1.22986E-2</v>
      </c>
      <c r="D56" s="5">
        <v>3.5720999999999998</v>
      </c>
      <c r="E56" s="1">
        <f>Tabela3[[#This Row],[Força (N)]]/$I$5</f>
        <v>113860.86540760221</v>
      </c>
      <c r="F56" s="1">
        <f>Tabela3[[#This Row],[Tensão (Pa)]]/1000000</f>
        <v>0.11386086540760221</v>
      </c>
    </row>
    <row r="57" spans="1:6" x14ac:dyDescent="0.3">
      <c r="A57" s="5">
        <v>7.5332999999999997</v>
      </c>
      <c r="B57" s="5">
        <v>0.62051000000000001</v>
      </c>
      <c r="C57" s="1">
        <f>Tabela3[[#This Row],[Alongamento (mm/mm)]]/$I$2</f>
        <v>1.24102E-2</v>
      </c>
      <c r="D57" s="5">
        <v>3.7422</v>
      </c>
      <c r="E57" s="1">
        <f>Tabela3[[#This Row],[Força (N)]]/$I$5</f>
        <v>119282.81137939279</v>
      </c>
      <c r="F57" s="1">
        <f>Tabela3[[#This Row],[Tensão (Pa)]]/1000000</f>
        <v>0.1192828113793928</v>
      </c>
    </row>
    <row r="58" spans="1:6" x14ac:dyDescent="0.3">
      <c r="A58" s="5">
        <v>7.6</v>
      </c>
      <c r="B58" s="5">
        <v>0.626</v>
      </c>
      <c r="C58" s="1">
        <f>Tabela3[[#This Row],[Alongamento (mm/mm)]]/$I$2</f>
        <v>1.252E-2</v>
      </c>
      <c r="D58" s="5">
        <v>3.9123000000000001</v>
      </c>
      <c r="E58" s="1">
        <f>Tabela3[[#This Row],[Força (N)]]/$I$5</f>
        <v>124704.75735118338</v>
      </c>
      <c r="F58" s="1">
        <f>Tabela3[[#This Row],[Tensão (Pa)]]/1000000</f>
        <v>0.12470475735118337</v>
      </c>
    </row>
    <row r="59" spans="1:6" x14ac:dyDescent="0.3">
      <c r="A59" s="5">
        <v>7.6666999999999996</v>
      </c>
      <c r="B59" s="5">
        <v>0.63149</v>
      </c>
      <c r="C59" s="1">
        <f>Tabela3[[#This Row],[Alongamento (mm/mm)]]/$I$2</f>
        <v>1.26298E-2</v>
      </c>
      <c r="D59" s="5">
        <v>3.7422</v>
      </c>
      <c r="E59" s="1">
        <f>Tabela3[[#This Row],[Força (N)]]/$I$5</f>
        <v>119282.81137939279</v>
      </c>
      <c r="F59" s="1">
        <f>Tabela3[[#This Row],[Tensão (Pa)]]/1000000</f>
        <v>0.1192828113793928</v>
      </c>
    </row>
    <row r="60" spans="1:6" x14ac:dyDescent="0.3">
      <c r="A60" s="5">
        <v>7.7332999999999998</v>
      </c>
      <c r="B60" s="5">
        <v>0.63707999999999998</v>
      </c>
      <c r="C60" s="1">
        <f>Tabela3[[#This Row],[Alongamento (mm/mm)]]/$I$2</f>
        <v>1.2741599999999999E-2</v>
      </c>
      <c r="D60" s="5">
        <v>3.2319</v>
      </c>
      <c r="E60" s="1">
        <f>Tabela3[[#This Row],[Força (N)]]/$I$5</f>
        <v>103016.97346402104</v>
      </c>
      <c r="F60" s="1">
        <f>Tabela3[[#This Row],[Tensão (Pa)]]/1000000</f>
        <v>0.10301697346402104</v>
      </c>
    </row>
    <row r="61" spans="1:6" x14ac:dyDescent="0.3">
      <c r="A61" s="5">
        <v>7.8</v>
      </c>
      <c r="B61" s="5">
        <v>0.64256999999999997</v>
      </c>
      <c r="C61" s="1">
        <f>Tabela3[[#This Row],[Alongamento (mm/mm)]]/$I$2</f>
        <v>1.2851399999999999E-2</v>
      </c>
      <c r="D61" s="5">
        <v>2.8917000000000002</v>
      </c>
      <c r="E61" s="1">
        <f>Tabela3[[#This Row],[Força (N)]]/$I$5</f>
        <v>92173.081520439882</v>
      </c>
      <c r="F61" s="1">
        <f>Tabela3[[#This Row],[Tensão (Pa)]]/1000000</f>
        <v>9.2173081520439876E-2</v>
      </c>
    </row>
    <row r="62" spans="1:6" x14ac:dyDescent="0.3">
      <c r="A62" s="5">
        <v>7.8666999999999998</v>
      </c>
      <c r="B62" s="5">
        <v>0.64815</v>
      </c>
      <c r="C62" s="1">
        <f>Tabela3[[#This Row],[Alongamento (mm/mm)]]/$I$2</f>
        <v>1.2963000000000001E-2</v>
      </c>
      <c r="D62" s="5">
        <v>2.7216</v>
      </c>
      <c r="E62" s="1">
        <f>Tabela3[[#This Row],[Força (N)]]/$I$5</f>
        <v>86751.135548649298</v>
      </c>
      <c r="F62" s="1">
        <f>Tabela3[[#This Row],[Tensão (Pa)]]/1000000</f>
        <v>8.67511355486493E-2</v>
      </c>
    </row>
    <row r="63" spans="1:6" x14ac:dyDescent="0.3">
      <c r="A63" s="5">
        <v>7.9333</v>
      </c>
      <c r="B63" s="5">
        <v>0.65373000000000003</v>
      </c>
      <c r="C63" s="1">
        <f>Tabela3[[#This Row],[Alongamento (mm/mm)]]/$I$2</f>
        <v>1.30746E-2</v>
      </c>
      <c r="D63" s="5">
        <v>2.7216</v>
      </c>
      <c r="E63" s="1">
        <f>Tabela3[[#This Row],[Força (N)]]/$I$5</f>
        <v>86751.135548649298</v>
      </c>
      <c r="F63" s="1">
        <f>Tabela3[[#This Row],[Tensão (Pa)]]/1000000</f>
        <v>8.67511355486493E-2</v>
      </c>
    </row>
    <row r="64" spans="1:6" x14ac:dyDescent="0.3">
      <c r="A64" s="5">
        <v>8</v>
      </c>
      <c r="B64" s="5">
        <v>0.65932000000000002</v>
      </c>
      <c r="C64" s="1">
        <f>Tabela3[[#This Row],[Alongamento (mm/mm)]]/$I$2</f>
        <v>1.3186400000000001E-2</v>
      </c>
      <c r="D64" s="5">
        <v>2.7216</v>
      </c>
      <c r="E64" s="1">
        <f>Tabela3[[#This Row],[Força (N)]]/$I$5</f>
        <v>86751.135548649298</v>
      </c>
      <c r="F64" s="1">
        <f>Tabela3[[#This Row],[Tensão (Pa)]]/1000000</f>
        <v>8.67511355486493E-2</v>
      </c>
    </row>
    <row r="65" spans="1:6" x14ac:dyDescent="0.3">
      <c r="A65" s="5">
        <v>8.0667000000000009</v>
      </c>
      <c r="B65" s="5">
        <v>0.66490000000000005</v>
      </c>
      <c r="C65" s="1">
        <f>Tabela3[[#This Row],[Alongamento (mm/mm)]]/$I$2</f>
        <v>1.3298000000000001E-2</v>
      </c>
      <c r="D65" s="5">
        <v>2.7216</v>
      </c>
      <c r="E65" s="1">
        <f>Tabela3[[#This Row],[Força (N)]]/$I$5</f>
        <v>86751.135548649298</v>
      </c>
      <c r="F65" s="1">
        <f>Tabela3[[#This Row],[Tensão (Pa)]]/1000000</f>
        <v>8.67511355486493E-2</v>
      </c>
    </row>
    <row r="66" spans="1:6" x14ac:dyDescent="0.3">
      <c r="A66" s="5">
        <v>8.1333000000000002</v>
      </c>
      <c r="B66" s="5">
        <v>0.67039000000000004</v>
      </c>
      <c r="C66" s="1">
        <f>Tabela3[[#This Row],[Alongamento (mm/mm)]]/$I$2</f>
        <v>1.3407800000000001E-2</v>
      </c>
      <c r="D66" s="5">
        <v>2.7216</v>
      </c>
      <c r="E66" s="1">
        <f>Tabela3[[#This Row],[Força (N)]]/$I$5</f>
        <v>86751.135548649298</v>
      </c>
      <c r="F66" s="1">
        <f>Tabela3[[#This Row],[Tensão (Pa)]]/1000000</f>
        <v>8.67511355486493E-2</v>
      </c>
    </row>
    <row r="67" spans="1:6" x14ac:dyDescent="0.3">
      <c r="A67" s="5">
        <v>8.1999999999999993</v>
      </c>
      <c r="B67" s="5">
        <v>0.67596999999999996</v>
      </c>
      <c r="C67" s="1">
        <f>Tabela3[[#This Row],[Alongamento (mm/mm)]]/$I$2</f>
        <v>1.3519399999999999E-2</v>
      </c>
      <c r="D67" s="5">
        <v>2.8917000000000002</v>
      </c>
      <c r="E67" s="1">
        <f>Tabela3[[#This Row],[Força (N)]]/$I$5</f>
        <v>92173.081520439882</v>
      </c>
      <c r="F67" s="1">
        <f>Tabela3[[#This Row],[Tensão (Pa)]]/1000000</f>
        <v>9.2173081520439876E-2</v>
      </c>
    </row>
    <row r="68" spans="1:6" x14ac:dyDescent="0.3">
      <c r="A68" s="5">
        <v>8.2667000000000002</v>
      </c>
      <c r="B68" s="5">
        <v>0.68156000000000005</v>
      </c>
      <c r="C68" s="1">
        <f>Tabela3[[#This Row],[Alongamento (mm/mm)]]/$I$2</f>
        <v>1.3631200000000001E-2</v>
      </c>
      <c r="D68" s="5">
        <v>3.2319</v>
      </c>
      <c r="E68" s="1">
        <f>Tabela3[[#This Row],[Força (N)]]/$I$5</f>
        <v>103016.97346402104</v>
      </c>
      <c r="F68" s="1">
        <f>Tabela3[[#This Row],[Tensão (Pa)]]/1000000</f>
        <v>0.10301697346402104</v>
      </c>
    </row>
    <row r="69" spans="1:6" x14ac:dyDescent="0.3">
      <c r="A69" s="5">
        <v>8.3332999999999995</v>
      </c>
      <c r="B69" s="5">
        <v>0.68713999999999997</v>
      </c>
      <c r="C69" s="1">
        <f>Tabela3[[#This Row],[Alongamento (mm/mm)]]/$I$2</f>
        <v>1.3742799999999999E-2</v>
      </c>
      <c r="D69" s="5">
        <v>3.5720999999999998</v>
      </c>
      <c r="E69" s="1">
        <f>Tabela3[[#This Row],[Força (N)]]/$I$5</f>
        <v>113860.86540760221</v>
      </c>
      <c r="F69" s="1">
        <f>Tabela3[[#This Row],[Tensão (Pa)]]/1000000</f>
        <v>0.11386086540760221</v>
      </c>
    </row>
    <row r="70" spans="1:6" x14ac:dyDescent="0.3">
      <c r="A70" s="5">
        <v>8.4</v>
      </c>
      <c r="B70" s="5">
        <v>0.69262999999999997</v>
      </c>
      <c r="C70" s="1">
        <f>Tabela3[[#This Row],[Alongamento (mm/mm)]]/$I$2</f>
        <v>1.38526E-2</v>
      </c>
      <c r="D70" s="5">
        <v>3.9123000000000001</v>
      </c>
      <c r="E70" s="1">
        <f>Tabela3[[#This Row],[Força (N)]]/$I$5</f>
        <v>124704.75735118338</v>
      </c>
      <c r="F70" s="1">
        <f>Tabela3[[#This Row],[Tensão (Pa)]]/1000000</f>
        <v>0.12470475735118337</v>
      </c>
    </row>
    <row r="71" spans="1:6" x14ac:dyDescent="0.3">
      <c r="A71" s="5">
        <v>8.4666999999999994</v>
      </c>
      <c r="B71" s="5">
        <v>0.69821</v>
      </c>
      <c r="C71" s="1">
        <f>Tabela3[[#This Row],[Alongamento (mm/mm)]]/$I$2</f>
        <v>1.39642E-2</v>
      </c>
      <c r="D71" s="5">
        <v>4.0823999999999998</v>
      </c>
      <c r="E71" s="1">
        <f>Tabela3[[#This Row],[Força (N)]]/$I$5</f>
        <v>130126.70332297395</v>
      </c>
      <c r="F71" s="1">
        <f>Tabela3[[#This Row],[Tensão (Pa)]]/1000000</f>
        <v>0.13012670332297394</v>
      </c>
    </row>
    <row r="72" spans="1:6" x14ac:dyDescent="0.3">
      <c r="A72" s="5">
        <v>8.5333000000000006</v>
      </c>
      <c r="B72" s="5">
        <v>0.70379999999999998</v>
      </c>
      <c r="C72" s="1">
        <f>Tabela3[[#This Row],[Alongamento (mm/mm)]]/$I$2</f>
        <v>1.4076E-2</v>
      </c>
      <c r="D72" s="5">
        <v>4.4226000000000001</v>
      </c>
      <c r="E72" s="1">
        <f>Tabela3[[#This Row],[Força (N)]]/$I$5</f>
        <v>140970.59526655512</v>
      </c>
      <c r="F72" s="1">
        <f>Tabela3[[#This Row],[Tensão (Pa)]]/1000000</f>
        <v>0.14097059526655512</v>
      </c>
    </row>
    <row r="73" spans="1:6" x14ac:dyDescent="0.3">
      <c r="A73" s="5">
        <v>8.6</v>
      </c>
      <c r="B73" s="5">
        <v>0.70928999999999998</v>
      </c>
      <c r="C73" s="1">
        <f>Tabela3[[#This Row],[Alongamento (mm/mm)]]/$I$2</f>
        <v>1.41858E-2</v>
      </c>
      <c r="D73" s="5">
        <v>4.7628000000000004</v>
      </c>
      <c r="E73" s="1">
        <f>Tabela3[[#This Row],[Força (N)]]/$I$5</f>
        <v>151814.48721013629</v>
      </c>
      <c r="F73" s="1">
        <f>Tabela3[[#This Row],[Tensão (Pa)]]/1000000</f>
        <v>0.1518144872101363</v>
      </c>
    </row>
    <row r="74" spans="1:6" x14ac:dyDescent="0.3">
      <c r="A74" s="5">
        <v>8.6667000000000005</v>
      </c>
      <c r="B74" s="5">
        <v>0.71487000000000001</v>
      </c>
      <c r="C74" s="1">
        <f>Tabela3[[#This Row],[Alongamento (mm/mm)]]/$I$2</f>
        <v>1.42974E-2</v>
      </c>
      <c r="D74" s="5">
        <v>4.9329000000000001</v>
      </c>
      <c r="E74" s="1">
        <f>Tabela3[[#This Row],[Força (N)]]/$I$5</f>
        <v>157236.43318192687</v>
      </c>
      <c r="F74" s="1">
        <f>Tabela3[[#This Row],[Tensão (Pa)]]/1000000</f>
        <v>0.15723643318192687</v>
      </c>
    </row>
    <row r="75" spans="1:6" x14ac:dyDescent="0.3">
      <c r="A75" s="5">
        <v>8.75</v>
      </c>
      <c r="B75" s="5">
        <v>0.72184999999999999</v>
      </c>
      <c r="C75" s="1">
        <f>Tabela3[[#This Row],[Alongamento (mm/mm)]]/$I$2</f>
        <v>1.4437E-2</v>
      </c>
      <c r="D75" s="5">
        <v>4.9329000000000001</v>
      </c>
      <c r="E75" s="1">
        <f>Tabela3[[#This Row],[Força (N)]]/$I$5</f>
        <v>157236.43318192687</v>
      </c>
      <c r="F75" s="1">
        <f>Tabela3[[#This Row],[Tensão (Pa)]]/1000000</f>
        <v>0.15723643318192687</v>
      </c>
    </row>
    <row r="76" spans="1:6" x14ac:dyDescent="0.3">
      <c r="A76" s="5">
        <v>8.8332999999999995</v>
      </c>
      <c r="B76" s="5">
        <v>0.72882999999999998</v>
      </c>
      <c r="C76" s="1">
        <f>Tabela3[[#This Row],[Alongamento (mm/mm)]]/$I$2</f>
        <v>1.45766E-2</v>
      </c>
      <c r="D76" s="5">
        <v>4.9329000000000001</v>
      </c>
      <c r="E76" s="1">
        <f>Tabela3[[#This Row],[Força (N)]]/$I$5</f>
        <v>157236.43318192687</v>
      </c>
      <c r="F76" s="1">
        <f>Tabela3[[#This Row],[Tensão (Pa)]]/1000000</f>
        <v>0.15723643318192687</v>
      </c>
    </row>
    <row r="77" spans="1:6" x14ac:dyDescent="0.3">
      <c r="A77" s="5">
        <v>8.9167000000000005</v>
      </c>
      <c r="B77" s="5">
        <v>0.73562000000000005</v>
      </c>
      <c r="C77" s="1">
        <f>Tabela3[[#This Row],[Alongamento (mm/mm)]]/$I$2</f>
        <v>1.47124E-2</v>
      </c>
      <c r="D77" s="5">
        <v>4.9329000000000001</v>
      </c>
      <c r="E77" s="1">
        <f>Tabela3[[#This Row],[Força (N)]]/$I$5</f>
        <v>157236.43318192687</v>
      </c>
      <c r="F77" s="1">
        <f>Tabela3[[#This Row],[Tensão (Pa)]]/1000000</f>
        <v>0.15723643318192687</v>
      </c>
    </row>
    <row r="78" spans="1:6" x14ac:dyDescent="0.3">
      <c r="A78" s="5">
        <v>9</v>
      </c>
      <c r="B78" s="5">
        <v>0.74260000000000004</v>
      </c>
      <c r="C78" s="1">
        <f>Tabela3[[#This Row],[Alongamento (mm/mm)]]/$I$2</f>
        <v>1.4852000000000001E-2</v>
      </c>
      <c r="D78" s="5">
        <v>4.9329000000000001</v>
      </c>
      <c r="E78" s="1">
        <f>Tabela3[[#This Row],[Força (N)]]/$I$5</f>
        <v>157236.43318192687</v>
      </c>
      <c r="F78" s="1">
        <f>Tabela3[[#This Row],[Tensão (Pa)]]/1000000</f>
        <v>0.15723643318192687</v>
      </c>
    </row>
    <row r="79" spans="1:6" x14ac:dyDescent="0.3">
      <c r="A79" s="5">
        <v>9.0832999999999995</v>
      </c>
      <c r="B79" s="5">
        <v>0.74958000000000002</v>
      </c>
      <c r="C79" s="1">
        <f>Tabela3[[#This Row],[Alongamento (mm/mm)]]/$I$2</f>
        <v>1.4991600000000001E-2</v>
      </c>
      <c r="D79" s="5">
        <v>4.9329000000000001</v>
      </c>
      <c r="E79" s="1">
        <f>Tabela3[[#This Row],[Força (N)]]/$I$5</f>
        <v>157236.43318192687</v>
      </c>
      <c r="F79" s="1">
        <f>Tabela3[[#This Row],[Tensão (Pa)]]/1000000</f>
        <v>0.15723643318192687</v>
      </c>
    </row>
    <row r="80" spans="1:6" x14ac:dyDescent="0.3">
      <c r="A80" s="5">
        <v>9.1667000000000005</v>
      </c>
      <c r="B80" s="5">
        <v>0.75646999999999998</v>
      </c>
      <c r="C80" s="1">
        <f>Tabela3[[#This Row],[Alongamento (mm/mm)]]/$I$2</f>
        <v>1.5129399999999999E-2</v>
      </c>
      <c r="D80" s="5">
        <v>5.1029999999999998</v>
      </c>
      <c r="E80" s="1">
        <f>Tabela3[[#This Row],[Força (N)]]/$I$5</f>
        <v>162658.37915371743</v>
      </c>
      <c r="F80" s="1">
        <f>Tabela3[[#This Row],[Tensão (Pa)]]/1000000</f>
        <v>0.16265837915371742</v>
      </c>
    </row>
    <row r="81" spans="1:6" x14ac:dyDescent="0.3">
      <c r="A81" s="5">
        <v>9.25</v>
      </c>
      <c r="B81" s="5">
        <v>0.76344999999999996</v>
      </c>
      <c r="C81" s="1">
        <f>Tabela3[[#This Row],[Alongamento (mm/mm)]]/$I$2</f>
        <v>1.5269E-2</v>
      </c>
      <c r="D81" s="5">
        <v>5.1029999999999998</v>
      </c>
      <c r="E81" s="1">
        <f>Tabela3[[#This Row],[Força (N)]]/$I$5</f>
        <v>162658.37915371743</v>
      </c>
      <c r="F81" s="1">
        <f>Tabela3[[#This Row],[Tensão (Pa)]]/1000000</f>
        <v>0.16265837915371742</v>
      </c>
    </row>
    <row r="82" spans="1:6" x14ac:dyDescent="0.3">
      <c r="A82" s="5">
        <v>9.3332999999999995</v>
      </c>
      <c r="B82" s="5">
        <v>0.77042999999999995</v>
      </c>
      <c r="C82" s="1">
        <f>Tabela3[[#This Row],[Alongamento (mm/mm)]]/$I$2</f>
        <v>1.54086E-2</v>
      </c>
      <c r="D82" s="5">
        <v>5.1029999999999998</v>
      </c>
      <c r="E82" s="1">
        <f>Tabela3[[#This Row],[Força (N)]]/$I$5</f>
        <v>162658.37915371743</v>
      </c>
      <c r="F82" s="1">
        <f>Tabela3[[#This Row],[Tensão (Pa)]]/1000000</f>
        <v>0.16265837915371742</v>
      </c>
    </row>
    <row r="83" spans="1:6" x14ac:dyDescent="0.3">
      <c r="A83" s="5">
        <v>9.4167000000000005</v>
      </c>
      <c r="B83" s="5">
        <v>0.77730999999999995</v>
      </c>
      <c r="C83" s="1">
        <f>Tabela3[[#This Row],[Alongamento (mm/mm)]]/$I$2</f>
        <v>1.55462E-2</v>
      </c>
      <c r="D83" s="5">
        <v>5.1029999999999998</v>
      </c>
      <c r="E83" s="1">
        <f>Tabela3[[#This Row],[Força (N)]]/$I$5</f>
        <v>162658.37915371743</v>
      </c>
      <c r="F83" s="1">
        <f>Tabela3[[#This Row],[Tensão (Pa)]]/1000000</f>
        <v>0.16265837915371742</v>
      </c>
    </row>
    <row r="84" spans="1:6" x14ac:dyDescent="0.3">
      <c r="A84" s="5">
        <v>9.5</v>
      </c>
      <c r="B84" s="5">
        <v>0.78429000000000004</v>
      </c>
      <c r="C84" s="1">
        <f>Tabela3[[#This Row],[Alongamento (mm/mm)]]/$I$2</f>
        <v>1.56858E-2</v>
      </c>
      <c r="D84" s="5">
        <v>5.1029999999999998</v>
      </c>
      <c r="E84" s="1">
        <f>Tabela3[[#This Row],[Força (N)]]/$I$5</f>
        <v>162658.37915371743</v>
      </c>
      <c r="F84" s="1">
        <f>Tabela3[[#This Row],[Tensão (Pa)]]/1000000</f>
        <v>0.16265837915371742</v>
      </c>
    </row>
    <row r="85" spans="1:6" x14ac:dyDescent="0.3">
      <c r="A85" s="5">
        <v>9.5832999999999995</v>
      </c>
      <c r="B85" s="5">
        <v>0.79127000000000003</v>
      </c>
      <c r="C85" s="1">
        <f>Tabela3[[#This Row],[Alongamento (mm/mm)]]/$I$2</f>
        <v>1.58254E-2</v>
      </c>
      <c r="D85" s="5">
        <v>5.1029999999999998</v>
      </c>
      <c r="E85" s="1">
        <f>Tabela3[[#This Row],[Força (N)]]/$I$5</f>
        <v>162658.37915371743</v>
      </c>
      <c r="F85" s="1">
        <f>Tabela3[[#This Row],[Tensão (Pa)]]/1000000</f>
        <v>0.16265837915371742</v>
      </c>
    </row>
    <row r="86" spans="1:6" x14ac:dyDescent="0.3">
      <c r="A86" s="5">
        <v>9.6667000000000005</v>
      </c>
      <c r="B86" s="5">
        <v>0.79825000000000002</v>
      </c>
      <c r="C86" s="1">
        <f>Tabela3[[#This Row],[Alongamento (mm/mm)]]/$I$2</f>
        <v>1.5965E-2</v>
      </c>
      <c r="D86" s="5">
        <v>5.1029999999999998</v>
      </c>
      <c r="E86" s="1">
        <f>Tabela3[[#This Row],[Força (N)]]/$I$5</f>
        <v>162658.37915371743</v>
      </c>
      <c r="F86" s="1">
        <f>Tabela3[[#This Row],[Tensão (Pa)]]/1000000</f>
        <v>0.16265837915371742</v>
      </c>
    </row>
    <row r="87" spans="1:6" x14ac:dyDescent="0.3">
      <c r="A87" s="5">
        <v>9.75</v>
      </c>
      <c r="B87" s="5">
        <v>0.80523</v>
      </c>
      <c r="C87" s="1">
        <f>Tabela3[[#This Row],[Alongamento (mm/mm)]]/$I$2</f>
        <v>1.61046E-2</v>
      </c>
      <c r="D87" s="5">
        <v>5.1029999999999998</v>
      </c>
      <c r="E87" s="1">
        <f>Tabela3[[#This Row],[Força (N)]]/$I$5</f>
        <v>162658.37915371743</v>
      </c>
      <c r="F87" s="1">
        <f>Tabela3[[#This Row],[Tensão (Pa)]]/1000000</f>
        <v>0.16265837915371742</v>
      </c>
    </row>
    <row r="88" spans="1:6" x14ac:dyDescent="0.3">
      <c r="A88" s="5">
        <v>9.8332999999999995</v>
      </c>
      <c r="B88" s="5">
        <v>0.81211999999999995</v>
      </c>
      <c r="C88" s="1">
        <f>Tabela3[[#This Row],[Alongamento (mm/mm)]]/$I$2</f>
        <v>1.6242400000000001E-2</v>
      </c>
      <c r="D88" s="5">
        <v>5.1029999999999998</v>
      </c>
      <c r="E88" s="1">
        <f>Tabela3[[#This Row],[Força (N)]]/$I$5</f>
        <v>162658.37915371743</v>
      </c>
      <c r="F88" s="1">
        <f>Tabela3[[#This Row],[Tensão (Pa)]]/1000000</f>
        <v>0.16265837915371742</v>
      </c>
    </row>
    <row r="89" spans="1:6" x14ac:dyDescent="0.3">
      <c r="A89" s="5">
        <v>9.9167000000000005</v>
      </c>
      <c r="B89" s="5">
        <v>0.81891000000000003</v>
      </c>
      <c r="C89" s="1">
        <f>Tabela3[[#This Row],[Alongamento (mm/mm)]]/$I$2</f>
        <v>1.6378199999999999E-2</v>
      </c>
      <c r="D89" s="5">
        <v>5.1029999999999998</v>
      </c>
      <c r="E89" s="1">
        <f>Tabela3[[#This Row],[Força (N)]]/$I$5</f>
        <v>162658.37915371743</v>
      </c>
      <c r="F89" s="1">
        <f>Tabela3[[#This Row],[Tensão (Pa)]]/1000000</f>
        <v>0.16265837915371742</v>
      </c>
    </row>
    <row r="90" spans="1:6" x14ac:dyDescent="0.3">
      <c r="A90" s="5">
        <v>10</v>
      </c>
      <c r="B90" s="5">
        <v>0.82598000000000005</v>
      </c>
      <c r="C90" s="1">
        <f>Tabela3[[#This Row],[Alongamento (mm/mm)]]/$I$2</f>
        <v>1.6519600000000002E-2</v>
      </c>
      <c r="D90" s="5">
        <v>5.1029999999999998</v>
      </c>
      <c r="E90" s="1">
        <f>Tabela3[[#This Row],[Força (N)]]/$I$5</f>
        <v>162658.37915371743</v>
      </c>
      <c r="F90" s="1">
        <f>Tabela3[[#This Row],[Tensão (Pa)]]/1000000</f>
        <v>0.16265837915371742</v>
      </c>
    </row>
    <row r="91" spans="1:6" x14ac:dyDescent="0.3">
      <c r="A91" s="5">
        <v>10.083</v>
      </c>
      <c r="B91" s="5">
        <v>0.83287</v>
      </c>
      <c r="C91" s="1">
        <f>Tabela3[[#This Row],[Alongamento (mm/mm)]]/$I$2</f>
        <v>1.6657399999999999E-2</v>
      </c>
      <c r="D91" s="5">
        <v>5.2731000000000003</v>
      </c>
      <c r="E91" s="1">
        <f>Tabela3[[#This Row],[Força (N)]]/$I$5</f>
        <v>168080.32512550804</v>
      </c>
      <c r="F91" s="1">
        <f>Tabela3[[#This Row],[Tensão (Pa)]]/1000000</f>
        <v>0.16808032512550805</v>
      </c>
    </row>
    <row r="92" spans="1:6" x14ac:dyDescent="0.3">
      <c r="A92" s="5">
        <v>10.167</v>
      </c>
      <c r="B92" s="5">
        <v>0.83984999999999999</v>
      </c>
      <c r="C92" s="1">
        <f>Tabela3[[#This Row],[Alongamento (mm/mm)]]/$I$2</f>
        <v>1.6796999999999999E-2</v>
      </c>
      <c r="D92" s="5">
        <v>5.2731000000000003</v>
      </c>
      <c r="E92" s="1">
        <f>Tabela3[[#This Row],[Força (N)]]/$I$5</f>
        <v>168080.32512550804</v>
      </c>
      <c r="F92" s="1">
        <f>Tabela3[[#This Row],[Tensão (Pa)]]/1000000</f>
        <v>0.16808032512550805</v>
      </c>
    </row>
    <row r="93" spans="1:6" x14ac:dyDescent="0.3">
      <c r="A93" s="5">
        <v>10.25</v>
      </c>
      <c r="B93" s="5">
        <v>0.84682999999999997</v>
      </c>
      <c r="C93" s="1">
        <f>Tabela3[[#This Row],[Alongamento (mm/mm)]]/$I$2</f>
        <v>1.69366E-2</v>
      </c>
      <c r="D93" s="5">
        <v>5.2731000000000003</v>
      </c>
      <c r="E93" s="1">
        <f>Tabela3[[#This Row],[Força (N)]]/$I$5</f>
        <v>168080.32512550804</v>
      </c>
      <c r="F93" s="1">
        <f>Tabela3[[#This Row],[Tensão (Pa)]]/1000000</f>
        <v>0.16808032512550805</v>
      </c>
    </row>
    <row r="94" spans="1:6" x14ac:dyDescent="0.3">
      <c r="A94" s="5">
        <v>10.333</v>
      </c>
      <c r="B94" s="5">
        <v>0.85370999999999997</v>
      </c>
      <c r="C94" s="1">
        <f>Tabela3[[#This Row],[Alongamento (mm/mm)]]/$I$2</f>
        <v>1.7074199999999998E-2</v>
      </c>
      <c r="D94" s="5">
        <v>5.2731000000000003</v>
      </c>
      <c r="E94" s="1">
        <f>Tabela3[[#This Row],[Força (N)]]/$I$5</f>
        <v>168080.32512550804</v>
      </c>
      <c r="F94" s="1">
        <f>Tabela3[[#This Row],[Tensão (Pa)]]/1000000</f>
        <v>0.16808032512550805</v>
      </c>
    </row>
    <row r="95" spans="1:6" x14ac:dyDescent="0.3">
      <c r="A95" s="5">
        <v>10.417</v>
      </c>
      <c r="B95" s="5">
        <v>0.86068999999999996</v>
      </c>
      <c r="C95" s="1">
        <f>Tabela3[[#This Row],[Alongamento (mm/mm)]]/$I$2</f>
        <v>1.7213799999999998E-2</v>
      </c>
      <c r="D95" s="5">
        <v>5.4432</v>
      </c>
      <c r="E95" s="1">
        <f>Tabela3[[#This Row],[Força (N)]]/$I$5</f>
        <v>173502.2710972986</v>
      </c>
      <c r="F95" s="1">
        <f>Tabela3[[#This Row],[Tensão (Pa)]]/1000000</f>
        <v>0.1735022710972986</v>
      </c>
    </row>
    <row r="96" spans="1:6" x14ac:dyDescent="0.3">
      <c r="A96" s="5">
        <v>10.5</v>
      </c>
      <c r="B96" s="5">
        <v>0.86767000000000005</v>
      </c>
      <c r="C96" s="1">
        <f>Tabela3[[#This Row],[Alongamento (mm/mm)]]/$I$2</f>
        <v>1.7353400000000001E-2</v>
      </c>
      <c r="D96" s="5">
        <v>5.9535</v>
      </c>
      <c r="E96" s="1">
        <f>Tabela3[[#This Row],[Força (N)]]/$I$5</f>
        <v>189768.10901267035</v>
      </c>
      <c r="F96" s="1">
        <f>Tabela3[[#This Row],[Tensão (Pa)]]/1000000</f>
        <v>0.18976810901267036</v>
      </c>
    </row>
    <row r="97" spans="1:6" x14ac:dyDescent="0.3">
      <c r="A97" s="5">
        <v>10.583</v>
      </c>
      <c r="B97" s="5">
        <v>0.87456</v>
      </c>
      <c r="C97" s="1">
        <f>Tabela3[[#This Row],[Alongamento (mm/mm)]]/$I$2</f>
        <v>1.7491199999999998E-2</v>
      </c>
      <c r="D97" s="5">
        <v>6.4638</v>
      </c>
      <c r="E97" s="1">
        <f>Tabela3[[#This Row],[Força (N)]]/$I$5</f>
        <v>206033.94692804207</v>
      </c>
      <c r="F97" s="1">
        <f>Tabela3[[#This Row],[Tensão (Pa)]]/1000000</f>
        <v>0.20603394692804208</v>
      </c>
    </row>
    <row r="98" spans="1:6" x14ac:dyDescent="0.3">
      <c r="A98" s="5">
        <v>10.667</v>
      </c>
      <c r="B98" s="5">
        <v>0.88153999999999999</v>
      </c>
      <c r="C98" s="1">
        <f>Tabela3[[#This Row],[Alongamento (mm/mm)]]/$I$2</f>
        <v>1.7630799999999999E-2</v>
      </c>
      <c r="D98" s="5">
        <v>6.8040000000000003</v>
      </c>
      <c r="E98" s="1">
        <f>Tabela3[[#This Row],[Força (N)]]/$I$5</f>
        <v>216877.83887162324</v>
      </c>
      <c r="F98" s="1">
        <f>Tabela3[[#This Row],[Tensão (Pa)]]/1000000</f>
        <v>0.21687783887162324</v>
      </c>
    </row>
    <row r="99" spans="1:6" x14ac:dyDescent="0.3">
      <c r="A99" s="5">
        <v>10.75</v>
      </c>
      <c r="B99" s="5">
        <v>0.88851999999999998</v>
      </c>
      <c r="C99" s="1">
        <f>Tabela3[[#This Row],[Alongamento (mm/mm)]]/$I$2</f>
        <v>1.7770399999999999E-2</v>
      </c>
      <c r="D99" s="5">
        <v>6.8040000000000003</v>
      </c>
      <c r="E99" s="1">
        <f>Tabela3[[#This Row],[Força (N)]]/$I$5</f>
        <v>216877.83887162324</v>
      </c>
      <c r="F99" s="1">
        <f>Tabela3[[#This Row],[Tensão (Pa)]]/1000000</f>
        <v>0.21687783887162324</v>
      </c>
    </row>
    <row r="100" spans="1:6" x14ac:dyDescent="0.3">
      <c r="A100" s="5">
        <v>10.833</v>
      </c>
      <c r="B100" s="5">
        <v>0.89539999999999997</v>
      </c>
      <c r="C100" s="1">
        <f>Tabela3[[#This Row],[Alongamento (mm/mm)]]/$I$2</f>
        <v>1.7908E-2</v>
      </c>
      <c r="D100" s="5">
        <v>6.9741</v>
      </c>
      <c r="E100" s="1">
        <f>Tabela3[[#This Row],[Força (N)]]/$I$5</f>
        <v>222299.78484341383</v>
      </c>
      <c r="F100" s="1">
        <f>Tabela3[[#This Row],[Tensão (Pa)]]/1000000</f>
        <v>0.22229978484341384</v>
      </c>
    </row>
    <row r="101" spans="1:6" x14ac:dyDescent="0.3">
      <c r="A101" s="5">
        <v>10.917</v>
      </c>
      <c r="B101" s="5">
        <v>0.90237999999999996</v>
      </c>
      <c r="C101" s="1">
        <f>Tabela3[[#This Row],[Alongamento (mm/mm)]]/$I$2</f>
        <v>1.80476E-2</v>
      </c>
      <c r="D101" s="5">
        <v>6.9741</v>
      </c>
      <c r="E101" s="1">
        <f>Tabela3[[#This Row],[Força (N)]]/$I$5</f>
        <v>222299.78484341383</v>
      </c>
      <c r="F101" s="1">
        <f>Tabela3[[#This Row],[Tensão (Pa)]]/1000000</f>
        <v>0.22229978484341384</v>
      </c>
    </row>
    <row r="102" spans="1:6" x14ac:dyDescent="0.3">
      <c r="A102" s="5">
        <v>11</v>
      </c>
      <c r="B102" s="5">
        <v>0.90935999999999995</v>
      </c>
      <c r="C102" s="1">
        <f>Tabela3[[#This Row],[Alongamento (mm/mm)]]/$I$2</f>
        <v>1.8187200000000001E-2</v>
      </c>
      <c r="D102" s="5">
        <v>7.1441999999999997</v>
      </c>
      <c r="E102" s="1">
        <f>Tabela3[[#This Row],[Força (N)]]/$I$5</f>
        <v>227721.73081520441</v>
      </c>
      <c r="F102" s="1">
        <f>Tabela3[[#This Row],[Tensão (Pa)]]/1000000</f>
        <v>0.22772173081520442</v>
      </c>
    </row>
    <row r="103" spans="1:6" x14ac:dyDescent="0.3">
      <c r="A103" s="5">
        <v>11.1</v>
      </c>
      <c r="B103" s="5">
        <v>0.91764000000000001</v>
      </c>
      <c r="C103" s="1">
        <f>Tabela3[[#This Row],[Alongamento (mm/mm)]]/$I$2</f>
        <v>1.8352799999999999E-2</v>
      </c>
      <c r="D103" s="5">
        <v>7.1441999999999997</v>
      </c>
      <c r="E103" s="1">
        <f>Tabela3[[#This Row],[Força (N)]]/$I$5</f>
        <v>227721.73081520441</v>
      </c>
      <c r="F103" s="1">
        <f>Tabela3[[#This Row],[Tensão (Pa)]]/1000000</f>
        <v>0.22772173081520442</v>
      </c>
    </row>
    <row r="104" spans="1:6" x14ac:dyDescent="0.3">
      <c r="A104" s="5">
        <v>11.2</v>
      </c>
      <c r="B104" s="5">
        <v>0.92593000000000003</v>
      </c>
      <c r="C104" s="1">
        <f>Tabela3[[#This Row],[Alongamento (mm/mm)]]/$I$2</f>
        <v>1.85186E-2</v>
      </c>
      <c r="D104" s="5">
        <v>7.3141999999999996</v>
      </c>
      <c r="E104" s="1">
        <f>Tabela3[[#This Row],[Força (N)]]/$I$5</f>
        <v>233140.48928201452</v>
      </c>
      <c r="F104" s="1">
        <f>Tabela3[[#This Row],[Tensão (Pa)]]/1000000</f>
        <v>0.23314048928201453</v>
      </c>
    </row>
    <row r="105" spans="1:6" x14ac:dyDescent="0.3">
      <c r="A105" s="5">
        <v>11.3</v>
      </c>
      <c r="B105" s="5">
        <v>0.93430000000000002</v>
      </c>
      <c r="C105" s="1">
        <f>Tabela3[[#This Row],[Alongamento (mm/mm)]]/$I$2</f>
        <v>1.8686000000000001E-2</v>
      </c>
      <c r="D105" s="5">
        <v>7.3141999999999996</v>
      </c>
      <c r="E105" s="1">
        <f>Tabela3[[#This Row],[Força (N)]]/$I$5</f>
        <v>233140.48928201452</v>
      </c>
      <c r="F105" s="1">
        <f>Tabela3[[#This Row],[Tensão (Pa)]]/1000000</f>
        <v>0.23314048928201453</v>
      </c>
    </row>
    <row r="106" spans="1:6" x14ac:dyDescent="0.3">
      <c r="A106" s="5">
        <v>11.4</v>
      </c>
      <c r="B106" s="5">
        <v>0.94257999999999997</v>
      </c>
      <c r="C106" s="1">
        <f>Tabela3[[#This Row],[Alongamento (mm/mm)]]/$I$2</f>
        <v>1.88516E-2</v>
      </c>
      <c r="D106" s="5">
        <v>7.3141999999999996</v>
      </c>
      <c r="E106" s="1">
        <f>Tabela3[[#This Row],[Força (N)]]/$I$5</f>
        <v>233140.48928201452</v>
      </c>
      <c r="F106" s="1">
        <f>Tabela3[[#This Row],[Tensão (Pa)]]/1000000</f>
        <v>0.23314048928201453</v>
      </c>
    </row>
    <row r="107" spans="1:6" x14ac:dyDescent="0.3">
      <c r="A107" s="5">
        <v>11.5</v>
      </c>
      <c r="B107" s="5">
        <v>0.95096000000000003</v>
      </c>
      <c r="C107" s="1">
        <f>Tabela3[[#This Row],[Alongamento (mm/mm)]]/$I$2</f>
        <v>1.90192E-2</v>
      </c>
      <c r="D107" s="5">
        <v>7.3141999999999996</v>
      </c>
      <c r="E107" s="1">
        <f>Tabela3[[#This Row],[Força (N)]]/$I$5</f>
        <v>233140.48928201452</v>
      </c>
      <c r="F107" s="1">
        <f>Tabela3[[#This Row],[Tensão (Pa)]]/1000000</f>
        <v>0.23314048928201453</v>
      </c>
    </row>
    <row r="108" spans="1:6" x14ac:dyDescent="0.3">
      <c r="A108" s="5">
        <v>11.6</v>
      </c>
      <c r="B108" s="5">
        <v>0.95933000000000002</v>
      </c>
      <c r="C108" s="1">
        <f>Tabela3[[#This Row],[Alongamento (mm/mm)]]/$I$2</f>
        <v>1.9186600000000002E-2</v>
      </c>
      <c r="D108" s="5">
        <v>7.3141999999999996</v>
      </c>
      <c r="E108" s="1">
        <f>Tabela3[[#This Row],[Força (N)]]/$I$5</f>
        <v>233140.48928201452</v>
      </c>
      <c r="F108" s="1">
        <f>Tabela3[[#This Row],[Tensão (Pa)]]/1000000</f>
        <v>0.23314048928201453</v>
      </c>
    </row>
    <row r="109" spans="1:6" x14ac:dyDescent="0.3">
      <c r="A109" s="5">
        <v>11.7</v>
      </c>
      <c r="B109" s="5">
        <v>0.96762000000000004</v>
      </c>
      <c r="C109" s="1">
        <f>Tabela3[[#This Row],[Alongamento (mm/mm)]]/$I$2</f>
        <v>1.9352400000000002E-2</v>
      </c>
      <c r="D109" s="5">
        <v>7.3141999999999996</v>
      </c>
      <c r="E109" s="1">
        <f>Tabela3[[#This Row],[Força (N)]]/$I$5</f>
        <v>233140.48928201452</v>
      </c>
      <c r="F109" s="1">
        <f>Tabela3[[#This Row],[Tensão (Pa)]]/1000000</f>
        <v>0.23314048928201453</v>
      </c>
    </row>
    <row r="110" spans="1:6" x14ac:dyDescent="0.3">
      <c r="A110" s="5">
        <v>11.8</v>
      </c>
      <c r="B110" s="5">
        <v>0.97599000000000002</v>
      </c>
      <c r="C110" s="1">
        <f>Tabela3[[#This Row],[Alongamento (mm/mm)]]/$I$2</f>
        <v>1.95198E-2</v>
      </c>
      <c r="D110" s="5">
        <v>7.3141999999999996</v>
      </c>
      <c r="E110" s="1">
        <f>Tabela3[[#This Row],[Força (N)]]/$I$5</f>
        <v>233140.48928201452</v>
      </c>
      <c r="F110" s="1">
        <f>Tabela3[[#This Row],[Tensão (Pa)]]/1000000</f>
        <v>0.23314048928201453</v>
      </c>
    </row>
    <row r="111" spans="1:6" x14ac:dyDescent="0.3">
      <c r="A111" s="5">
        <v>11.9</v>
      </c>
      <c r="B111" s="5">
        <v>0.98436999999999997</v>
      </c>
      <c r="C111" s="1">
        <f>Tabela3[[#This Row],[Alongamento (mm/mm)]]/$I$2</f>
        <v>1.9687400000000001E-2</v>
      </c>
      <c r="D111" s="5">
        <v>7.3141999999999996</v>
      </c>
      <c r="E111" s="1">
        <f>Tabela3[[#This Row],[Força (N)]]/$I$5</f>
        <v>233140.48928201452</v>
      </c>
      <c r="F111" s="1">
        <f>Tabela3[[#This Row],[Tensão (Pa)]]/1000000</f>
        <v>0.23314048928201453</v>
      </c>
    </row>
    <row r="112" spans="1:6" x14ac:dyDescent="0.3">
      <c r="A112" s="5">
        <v>12</v>
      </c>
      <c r="B112" s="5">
        <v>0.99265000000000003</v>
      </c>
      <c r="C112" s="1">
        <f>Tabela3[[#This Row],[Alongamento (mm/mm)]]/$I$2</f>
        <v>1.9852999999999999E-2</v>
      </c>
      <c r="D112" s="5">
        <v>7.3141999999999996</v>
      </c>
      <c r="E112" s="1">
        <f>Tabela3[[#This Row],[Força (N)]]/$I$5</f>
        <v>233140.48928201452</v>
      </c>
      <c r="F112" s="1">
        <f>Tabela3[[#This Row],[Tensão (Pa)]]/1000000</f>
        <v>0.23314048928201453</v>
      </c>
    </row>
    <row r="113" spans="1:6" x14ac:dyDescent="0.3">
      <c r="A113" s="5">
        <v>12.1</v>
      </c>
      <c r="B113" s="5">
        <v>1.0009999999999999</v>
      </c>
      <c r="C113" s="1">
        <f>Tabela3[[#This Row],[Alongamento (mm/mm)]]/$I$2</f>
        <v>2.0019999999999996E-2</v>
      </c>
      <c r="D113" s="5">
        <v>7.4843000000000002</v>
      </c>
      <c r="E113" s="1">
        <f>Tabela3[[#This Row],[Força (N)]]/$I$5</f>
        <v>238562.4352538051</v>
      </c>
      <c r="F113" s="1">
        <f>Tabela3[[#This Row],[Tensão (Pa)]]/1000000</f>
        <v>0.23856243525380511</v>
      </c>
    </row>
    <row r="114" spans="1:6" x14ac:dyDescent="0.3">
      <c r="A114" s="5">
        <v>12.2</v>
      </c>
      <c r="B114" s="5">
        <v>1.0093000000000001</v>
      </c>
      <c r="C114" s="1">
        <f>Tabela3[[#This Row],[Alongamento (mm/mm)]]/$I$2</f>
        <v>2.0186000000000003E-2</v>
      </c>
      <c r="D114" s="5">
        <v>7.4843000000000002</v>
      </c>
      <c r="E114" s="1">
        <f>Tabela3[[#This Row],[Força (N)]]/$I$5</f>
        <v>238562.4352538051</v>
      </c>
      <c r="F114" s="1">
        <f>Tabela3[[#This Row],[Tensão (Pa)]]/1000000</f>
        <v>0.23856243525380511</v>
      </c>
    </row>
    <row r="115" spans="1:6" x14ac:dyDescent="0.3">
      <c r="A115" s="5">
        <v>12.3</v>
      </c>
      <c r="B115" s="5">
        <v>1.0177</v>
      </c>
      <c r="C115" s="1">
        <f>Tabela3[[#This Row],[Alongamento (mm/mm)]]/$I$2</f>
        <v>2.0354000000000001E-2</v>
      </c>
      <c r="D115" s="5">
        <v>7.4843000000000002</v>
      </c>
      <c r="E115" s="1">
        <f>Tabela3[[#This Row],[Força (N)]]/$I$5</f>
        <v>238562.4352538051</v>
      </c>
      <c r="F115" s="1">
        <f>Tabela3[[#This Row],[Tensão (Pa)]]/1000000</f>
        <v>0.23856243525380511</v>
      </c>
    </row>
    <row r="116" spans="1:6" x14ac:dyDescent="0.3">
      <c r="A116" s="5">
        <v>12.4</v>
      </c>
      <c r="B116" s="5">
        <v>1.026</v>
      </c>
      <c r="C116" s="1">
        <f>Tabela3[[#This Row],[Alongamento (mm/mm)]]/$I$2</f>
        <v>2.052E-2</v>
      </c>
      <c r="D116" s="5">
        <v>7.4843000000000002</v>
      </c>
      <c r="E116" s="1">
        <f>Tabela3[[#This Row],[Força (N)]]/$I$5</f>
        <v>238562.4352538051</v>
      </c>
      <c r="F116" s="1">
        <f>Tabela3[[#This Row],[Tensão (Pa)]]/1000000</f>
        <v>0.23856243525380511</v>
      </c>
    </row>
    <row r="117" spans="1:6" x14ac:dyDescent="0.3">
      <c r="A117" s="5">
        <v>12.5</v>
      </c>
      <c r="B117" s="5">
        <v>1.0343</v>
      </c>
      <c r="C117" s="1">
        <f>Tabela3[[#This Row],[Alongamento (mm/mm)]]/$I$2</f>
        <v>2.0686E-2</v>
      </c>
      <c r="D117" s="5">
        <v>7.3141999999999996</v>
      </c>
      <c r="E117" s="1">
        <f>Tabela3[[#This Row],[Força (N)]]/$I$5</f>
        <v>233140.48928201452</v>
      </c>
      <c r="F117" s="1">
        <f>Tabela3[[#This Row],[Tensão (Pa)]]/1000000</f>
        <v>0.23314048928201453</v>
      </c>
    </row>
    <row r="118" spans="1:6" x14ac:dyDescent="0.3">
      <c r="A118" s="5">
        <v>12.6</v>
      </c>
      <c r="B118" s="5">
        <v>1.0426</v>
      </c>
      <c r="C118" s="1">
        <f>Tabela3[[#This Row],[Alongamento (mm/mm)]]/$I$2</f>
        <v>2.0851999999999999E-2</v>
      </c>
      <c r="D118" s="5">
        <v>7.4843000000000002</v>
      </c>
      <c r="E118" s="1">
        <f>Tabela3[[#This Row],[Força (N)]]/$I$5</f>
        <v>238562.4352538051</v>
      </c>
      <c r="F118" s="1">
        <f>Tabela3[[#This Row],[Tensão (Pa)]]/1000000</f>
        <v>0.23856243525380511</v>
      </c>
    </row>
    <row r="119" spans="1:6" x14ac:dyDescent="0.3">
      <c r="A119" s="5">
        <v>12.7</v>
      </c>
      <c r="B119" s="5">
        <v>1.0508999999999999</v>
      </c>
      <c r="C119" s="1">
        <f>Tabela3[[#This Row],[Alongamento (mm/mm)]]/$I$2</f>
        <v>2.1017999999999998E-2</v>
      </c>
      <c r="D119" s="5">
        <v>7.4843000000000002</v>
      </c>
      <c r="E119" s="1">
        <f>Tabela3[[#This Row],[Força (N)]]/$I$5</f>
        <v>238562.4352538051</v>
      </c>
      <c r="F119" s="1">
        <f>Tabela3[[#This Row],[Tensão (Pa)]]/1000000</f>
        <v>0.23856243525380511</v>
      </c>
    </row>
    <row r="120" spans="1:6" x14ac:dyDescent="0.3">
      <c r="A120" s="5">
        <v>12.8</v>
      </c>
      <c r="B120" s="5">
        <v>1.0592999999999999</v>
      </c>
      <c r="C120" s="1">
        <f>Tabela3[[#This Row],[Alongamento (mm/mm)]]/$I$2</f>
        <v>2.1185999999999997E-2</v>
      </c>
      <c r="D120" s="5">
        <v>7.4843000000000002</v>
      </c>
      <c r="E120" s="1">
        <f>Tabela3[[#This Row],[Força (N)]]/$I$5</f>
        <v>238562.4352538051</v>
      </c>
      <c r="F120" s="1">
        <f>Tabela3[[#This Row],[Tensão (Pa)]]/1000000</f>
        <v>0.23856243525380511</v>
      </c>
    </row>
    <row r="121" spans="1:6" x14ac:dyDescent="0.3">
      <c r="A121" s="5">
        <v>12.9</v>
      </c>
      <c r="B121" s="5">
        <v>1.0676000000000001</v>
      </c>
      <c r="C121" s="1">
        <f>Tabela3[[#This Row],[Alongamento (mm/mm)]]/$I$2</f>
        <v>2.1352000000000003E-2</v>
      </c>
      <c r="D121" s="5">
        <v>7.4843000000000002</v>
      </c>
      <c r="E121" s="1">
        <f>Tabela3[[#This Row],[Força (N)]]/$I$5</f>
        <v>238562.4352538051</v>
      </c>
      <c r="F121" s="1">
        <f>Tabela3[[#This Row],[Tensão (Pa)]]/1000000</f>
        <v>0.23856243525380511</v>
      </c>
    </row>
    <row r="122" spans="1:6" x14ac:dyDescent="0.3">
      <c r="A122" s="5">
        <v>13</v>
      </c>
      <c r="B122" s="5">
        <v>1.0760000000000001</v>
      </c>
      <c r="C122" s="1">
        <f>Tabela3[[#This Row],[Alongamento (mm/mm)]]/$I$2</f>
        <v>2.1520000000000001E-2</v>
      </c>
      <c r="D122" s="5">
        <v>7.4843000000000002</v>
      </c>
      <c r="E122" s="1">
        <f>Tabela3[[#This Row],[Força (N)]]/$I$5</f>
        <v>238562.4352538051</v>
      </c>
      <c r="F122" s="1">
        <f>Tabela3[[#This Row],[Tensão (Pa)]]/1000000</f>
        <v>0.23856243525380511</v>
      </c>
    </row>
    <row r="123" spans="1:6" x14ac:dyDescent="0.3">
      <c r="A123" s="5">
        <v>13.1</v>
      </c>
      <c r="B123" s="5">
        <v>1.0844</v>
      </c>
      <c r="C123" s="1">
        <f>Tabela3[[#This Row],[Alongamento (mm/mm)]]/$I$2</f>
        <v>2.1687999999999999E-2</v>
      </c>
      <c r="D123" s="5">
        <v>7.4843000000000002</v>
      </c>
      <c r="E123" s="1">
        <f>Tabela3[[#This Row],[Força (N)]]/$I$5</f>
        <v>238562.4352538051</v>
      </c>
      <c r="F123" s="1">
        <f>Tabela3[[#This Row],[Tensão (Pa)]]/1000000</f>
        <v>0.23856243525380511</v>
      </c>
    </row>
    <row r="124" spans="1:6" x14ac:dyDescent="0.3">
      <c r="A124" s="5">
        <v>13.217000000000001</v>
      </c>
      <c r="B124" s="5">
        <v>1.0941000000000001</v>
      </c>
      <c r="C124" s="1">
        <f>Tabela3[[#This Row],[Alongamento (mm/mm)]]/$I$2</f>
        <v>2.1882000000000002E-2</v>
      </c>
      <c r="D124" s="5">
        <v>7.4843000000000002</v>
      </c>
      <c r="E124" s="1">
        <f>Tabela3[[#This Row],[Força (N)]]/$I$5</f>
        <v>238562.4352538051</v>
      </c>
      <c r="F124" s="1">
        <f>Tabela3[[#This Row],[Tensão (Pa)]]/1000000</f>
        <v>0.23856243525380511</v>
      </c>
    </row>
    <row r="125" spans="1:6" x14ac:dyDescent="0.3">
      <c r="A125" s="5">
        <v>13.333</v>
      </c>
      <c r="B125" s="5">
        <v>1.1037999999999999</v>
      </c>
      <c r="C125" s="1">
        <f>Tabela3[[#This Row],[Alongamento (mm/mm)]]/$I$2</f>
        <v>2.2075999999999998E-2</v>
      </c>
      <c r="D125" s="5">
        <v>7.4843000000000002</v>
      </c>
      <c r="E125" s="1">
        <f>Tabela3[[#This Row],[Força (N)]]/$I$5</f>
        <v>238562.4352538051</v>
      </c>
      <c r="F125" s="1">
        <f>Tabela3[[#This Row],[Tensão (Pa)]]/1000000</f>
        <v>0.23856243525380511</v>
      </c>
    </row>
    <row r="126" spans="1:6" x14ac:dyDescent="0.3">
      <c r="A126" s="5">
        <v>13.45</v>
      </c>
      <c r="B126" s="5">
        <v>1.1133999999999999</v>
      </c>
      <c r="C126" s="1">
        <f>Tabela3[[#This Row],[Alongamento (mm/mm)]]/$I$2</f>
        <v>2.2268E-2</v>
      </c>
      <c r="D126" s="5">
        <v>7.6543999999999999</v>
      </c>
      <c r="E126" s="1">
        <f>Tabela3[[#This Row],[Força (N)]]/$I$5</f>
        <v>243984.38122559569</v>
      </c>
      <c r="F126" s="1">
        <f>Tabela3[[#This Row],[Tensão (Pa)]]/1000000</f>
        <v>0.24398438122559568</v>
      </c>
    </row>
    <row r="127" spans="1:6" x14ac:dyDescent="0.3">
      <c r="A127" s="5">
        <v>13.567</v>
      </c>
      <c r="B127" s="5">
        <v>1.1232</v>
      </c>
      <c r="C127" s="1">
        <f>Tabela3[[#This Row],[Alongamento (mm/mm)]]/$I$2</f>
        <v>2.2463999999999998E-2</v>
      </c>
      <c r="D127" s="5">
        <v>7.6543999999999999</v>
      </c>
      <c r="E127" s="1">
        <f>Tabela3[[#This Row],[Força (N)]]/$I$5</f>
        <v>243984.38122559569</v>
      </c>
      <c r="F127" s="1">
        <f>Tabela3[[#This Row],[Tensão (Pa)]]/1000000</f>
        <v>0.24398438122559568</v>
      </c>
    </row>
    <row r="128" spans="1:6" x14ac:dyDescent="0.3">
      <c r="A128" s="5">
        <v>13.683</v>
      </c>
      <c r="B128" s="5">
        <v>1.1329</v>
      </c>
      <c r="C128" s="1">
        <f>Tabela3[[#This Row],[Alongamento (mm/mm)]]/$I$2</f>
        <v>2.2658000000000001E-2</v>
      </c>
      <c r="D128" s="5">
        <v>7.4843000000000002</v>
      </c>
      <c r="E128" s="1">
        <f>Tabela3[[#This Row],[Força (N)]]/$I$5</f>
        <v>238562.4352538051</v>
      </c>
      <c r="F128" s="1">
        <f>Tabela3[[#This Row],[Tensão (Pa)]]/1000000</f>
        <v>0.23856243525380511</v>
      </c>
    </row>
    <row r="129" spans="1:6" x14ac:dyDescent="0.3">
      <c r="A129" s="5">
        <v>13.8</v>
      </c>
      <c r="B129" s="5">
        <v>1.1427</v>
      </c>
      <c r="C129" s="1">
        <f>Tabela3[[#This Row],[Alongamento (mm/mm)]]/$I$2</f>
        <v>2.2853999999999999E-2</v>
      </c>
      <c r="D129" s="5">
        <v>7.4843000000000002</v>
      </c>
      <c r="E129" s="1">
        <f>Tabela3[[#This Row],[Força (N)]]/$I$5</f>
        <v>238562.4352538051</v>
      </c>
      <c r="F129" s="1">
        <f>Tabela3[[#This Row],[Tensão (Pa)]]/1000000</f>
        <v>0.23856243525380511</v>
      </c>
    </row>
    <row r="130" spans="1:6" x14ac:dyDescent="0.3">
      <c r="A130" s="5">
        <v>13.917</v>
      </c>
      <c r="B130" s="5">
        <v>1.1523000000000001</v>
      </c>
      <c r="C130" s="1">
        <f>Tabela3[[#This Row],[Alongamento (mm/mm)]]/$I$2</f>
        <v>2.3046000000000001E-2</v>
      </c>
      <c r="D130" s="5">
        <v>7.4843000000000002</v>
      </c>
      <c r="E130" s="1">
        <f>Tabela3[[#This Row],[Força (N)]]/$I$5</f>
        <v>238562.4352538051</v>
      </c>
      <c r="F130" s="1">
        <f>Tabela3[[#This Row],[Tensão (Pa)]]/1000000</f>
        <v>0.23856243525380511</v>
      </c>
    </row>
    <row r="131" spans="1:6" x14ac:dyDescent="0.3">
      <c r="A131" s="5">
        <v>14.032999999999999</v>
      </c>
      <c r="B131" s="5">
        <v>1.1620999999999999</v>
      </c>
      <c r="C131" s="1">
        <f>Tabela3[[#This Row],[Alongamento (mm/mm)]]/$I$2</f>
        <v>2.3241999999999999E-2</v>
      </c>
      <c r="D131" s="5">
        <v>7.6543999999999999</v>
      </c>
      <c r="E131" s="1">
        <f>Tabela3[[#This Row],[Força (N)]]/$I$5</f>
        <v>243984.38122559569</v>
      </c>
      <c r="F131" s="1">
        <f>Tabela3[[#This Row],[Tensão (Pa)]]/1000000</f>
        <v>0.24398438122559568</v>
      </c>
    </row>
    <row r="132" spans="1:6" x14ac:dyDescent="0.3">
      <c r="A132" s="5">
        <v>14.15</v>
      </c>
      <c r="B132" s="5">
        <v>1.1718999999999999</v>
      </c>
      <c r="C132" s="1">
        <f>Tabela3[[#This Row],[Alongamento (mm/mm)]]/$I$2</f>
        <v>2.3438000000000001E-2</v>
      </c>
      <c r="D132" s="5">
        <v>7.6543999999999999</v>
      </c>
      <c r="E132" s="1">
        <f>Tabela3[[#This Row],[Força (N)]]/$I$5</f>
        <v>243984.38122559569</v>
      </c>
      <c r="F132" s="1">
        <f>Tabela3[[#This Row],[Tensão (Pa)]]/1000000</f>
        <v>0.24398438122559568</v>
      </c>
    </row>
    <row r="133" spans="1:6" x14ac:dyDescent="0.3">
      <c r="A133" s="5">
        <v>14.266999999999999</v>
      </c>
      <c r="B133" s="5">
        <v>1.1816</v>
      </c>
      <c r="C133" s="1">
        <f>Tabela3[[#This Row],[Alongamento (mm/mm)]]/$I$2</f>
        <v>2.3632E-2</v>
      </c>
      <c r="D133" s="5">
        <v>7.6543999999999999</v>
      </c>
      <c r="E133" s="1">
        <f>Tabela3[[#This Row],[Força (N)]]/$I$5</f>
        <v>243984.38122559569</v>
      </c>
      <c r="F133" s="1">
        <f>Tabela3[[#This Row],[Tensão (Pa)]]/1000000</f>
        <v>0.24398438122559568</v>
      </c>
    </row>
    <row r="134" spans="1:6" x14ac:dyDescent="0.3">
      <c r="A134" s="5">
        <v>14.382999999999999</v>
      </c>
      <c r="B134" s="5">
        <v>1.1911</v>
      </c>
      <c r="C134" s="1">
        <f>Tabela3[[#This Row],[Alongamento (mm/mm)]]/$I$2</f>
        <v>2.3821999999999999E-2</v>
      </c>
      <c r="D134" s="5">
        <v>7.6543999999999999</v>
      </c>
      <c r="E134" s="1">
        <f>Tabela3[[#This Row],[Força (N)]]/$I$5</f>
        <v>243984.38122559569</v>
      </c>
      <c r="F134" s="1">
        <f>Tabela3[[#This Row],[Tensão (Pa)]]/1000000</f>
        <v>0.24398438122559568</v>
      </c>
    </row>
    <row r="135" spans="1:6" x14ac:dyDescent="0.3">
      <c r="A135" s="5">
        <v>14.5</v>
      </c>
      <c r="B135" s="5">
        <v>1.2009000000000001</v>
      </c>
      <c r="C135" s="1">
        <f>Tabela3[[#This Row],[Alongamento (mm/mm)]]/$I$2</f>
        <v>2.4018000000000001E-2</v>
      </c>
      <c r="D135" s="5">
        <v>7.8244999999999996</v>
      </c>
      <c r="E135" s="1">
        <f>Tabela3[[#This Row],[Força (N)]]/$I$5</f>
        <v>249406.32719738624</v>
      </c>
      <c r="F135" s="1">
        <f>Tabela3[[#This Row],[Tensão (Pa)]]/1000000</f>
        <v>0.24940632719738623</v>
      </c>
    </row>
    <row r="136" spans="1:6" x14ac:dyDescent="0.3">
      <c r="A136" s="5">
        <v>14.617000000000001</v>
      </c>
      <c r="B136" s="5">
        <v>1.2107000000000001</v>
      </c>
      <c r="C136" s="1">
        <f>Tabela3[[#This Row],[Alongamento (mm/mm)]]/$I$2</f>
        <v>2.4214000000000003E-2</v>
      </c>
      <c r="D136" s="5">
        <v>7.8244999999999996</v>
      </c>
      <c r="E136" s="1">
        <f>Tabela3[[#This Row],[Força (N)]]/$I$5</f>
        <v>249406.32719738624</v>
      </c>
      <c r="F136" s="1">
        <f>Tabela3[[#This Row],[Tensão (Pa)]]/1000000</f>
        <v>0.24940632719738623</v>
      </c>
    </row>
    <row r="137" spans="1:6" x14ac:dyDescent="0.3">
      <c r="A137" s="5">
        <v>14.733000000000001</v>
      </c>
      <c r="B137" s="5">
        <v>1.2204999999999999</v>
      </c>
      <c r="C137" s="1">
        <f>Tabela3[[#This Row],[Alongamento (mm/mm)]]/$I$2</f>
        <v>2.4409999999999998E-2</v>
      </c>
      <c r="D137" s="5">
        <v>7.8244999999999996</v>
      </c>
      <c r="E137" s="1">
        <f>Tabela3[[#This Row],[Força (N)]]/$I$5</f>
        <v>249406.32719738624</v>
      </c>
      <c r="F137" s="1">
        <f>Tabela3[[#This Row],[Tensão (Pa)]]/1000000</f>
        <v>0.24940632719738623</v>
      </c>
    </row>
    <row r="138" spans="1:6" x14ac:dyDescent="0.3">
      <c r="A138" s="5">
        <v>14.85</v>
      </c>
      <c r="B138" s="5">
        <v>1.2301</v>
      </c>
      <c r="C138" s="1">
        <f>Tabela3[[#This Row],[Alongamento (mm/mm)]]/$I$2</f>
        <v>2.4601999999999999E-2</v>
      </c>
      <c r="D138" s="5">
        <v>7.8244999999999996</v>
      </c>
      <c r="E138" s="1">
        <f>Tabela3[[#This Row],[Força (N)]]/$I$5</f>
        <v>249406.32719738624</v>
      </c>
      <c r="F138" s="1">
        <f>Tabela3[[#This Row],[Tensão (Pa)]]/1000000</f>
        <v>0.24940632719738623</v>
      </c>
    </row>
    <row r="139" spans="1:6" x14ac:dyDescent="0.3">
      <c r="A139" s="5">
        <v>14.967000000000001</v>
      </c>
      <c r="B139" s="5">
        <v>1.2399</v>
      </c>
      <c r="C139" s="1">
        <f>Tabela3[[#This Row],[Alongamento (mm/mm)]]/$I$2</f>
        <v>2.4798000000000001E-2</v>
      </c>
      <c r="D139" s="5">
        <v>7.9946000000000002</v>
      </c>
      <c r="E139" s="1">
        <f>Tabela3[[#This Row],[Força (N)]]/$I$5</f>
        <v>254828.27316917686</v>
      </c>
      <c r="F139" s="1">
        <f>Tabela3[[#This Row],[Tensão (Pa)]]/1000000</f>
        <v>0.25482827316917683</v>
      </c>
    </row>
    <row r="140" spans="1:6" x14ac:dyDescent="0.3">
      <c r="A140" s="5">
        <v>15.083</v>
      </c>
      <c r="B140" s="5">
        <v>1.2496</v>
      </c>
      <c r="C140" s="1">
        <f>Tabela3[[#This Row],[Alongamento (mm/mm)]]/$I$2</f>
        <v>2.4992E-2</v>
      </c>
      <c r="D140" s="5">
        <v>7.9946000000000002</v>
      </c>
      <c r="E140" s="1">
        <f>Tabela3[[#This Row],[Força (N)]]/$I$5</f>
        <v>254828.27316917686</v>
      </c>
      <c r="F140" s="1">
        <f>Tabela3[[#This Row],[Tensão (Pa)]]/1000000</f>
        <v>0.25482827316917683</v>
      </c>
    </row>
    <row r="141" spans="1:6" x14ac:dyDescent="0.3">
      <c r="A141" s="5">
        <v>15.2</v>
      </c>
      <c r="B141" s="5">
        <v>1.2593000000000001</v>
      </c>
      <c r="C141" s="1">
        <f>Tabela3[[#This Row],[Alongamento (mm/mm)]]/$I$2</f>
        <v>2.5186E-2</v>
      </c>
      <c r="D141" s="5">
        <v>7.9946000000000002</v>
      </c>
      <c r="E141" s="1">
        <f>Tabela3[[#This Row],[Força (N)]]/$I$5</f>
        <v>254828.27316917686</v>
      </c>
      <c r="F141" s="1">
        <f>Tabela3[[#This Row],[Tensão (Pa)]]/1000000</f>
        <v>0.25482827316917683</v>
      </c>
    </row>
    <row r="142" spans="1:6" x14ac:dyDescent="0.3">
      <c r="A142" s="5">
        <v>15.317</v>
      </c>
      <c r="B142" s="5">
        <v>1.2689999999999999</v>
      </c>
      <c r="C142" s="1">
        <f>Tabela3[[#This Row],[Alongamento (mm/mm)]]/$I$2</f>
        <v>2.538E-2</v>
      </c>
      <c r="D142" s="5">
        <v>8.1646999999999998</v>
      </c>
      <c r="E142" s="1">
        <f>Tabela3[[#This Row],[Força (N)]]/$I$5</f>
        <v>260250.21914096741</v>
      </c>
      <c r="F142" s="1">
        <f>Tabela3[[#This Row],[Tensão (Pa)]]/1000000</f>
        <v>0.26025021914096741</v>
      </c>
    </row>
    <row r="143" spans="1:6" x14ac:dyDescent="0.3">
      <c r="A143" s="5">
        <v>15.45</v>
      </c>
      <c r="B143" s="5">
        <v>1.2802</v>
      </c>
      <c r="C143" s="1">
        <f>Tabela3[[#This Row],[Alongamento (mm/mm)]]/$I$2</f>
        <v>2.5604000000000002E-2</v>
      </c>
      <c r="D143" s="5">
        <v>8.1646999999999998</v>
      </c>
      <c r="E143" s="1">
        <f>Tabela3[[#This Row],[Força (N)]]/$I$5</f>
        <v>260250.21914096741</v>
      </c>
      <c r="F143" s="1">
        <f>Tabela3[[#This Row],[Tensão (Pa)]]/1000000</f>
        <v>0.26025021914096741</v>
      </c>
    </row>
    <row r="144" spans="1:6" x14ac:dyDescent="0.3">
      <c r="A144" s="5">
        <v>15.583</v>
      </c>
      <c r="B144" s="5">
        <v>1.2912999999999999</v>
      </c>
      <c r="C144" s="1">
        <f>Tabela3[[#This Row],[Alongamento (mm/mm)]]/$I$2</f>
        <v>2.5825999999999998E-2</v>
      </c>
      <c r="D144" s="5">
        <v>8.3347999999999995</v>
      </c>
      <c r="E144" s="1">
        <f>Tabela3[[#This Row],[Força (N)]]/$I$5</f>
        <v>265672.165112758</v>
      </c>
      <c r="F144" s="1">
        <f>Tabela3[[#This Row],[Tensão (Pa)]]/1000000</f>
        <v>0.26567216511275799</v>
      </c>
    </row>
    <row r="145" spans="1:6" x14ac:dyDescent="0.3">
      <c r="A145" s="5">
        <v>15.717000000000001</v>
      </c>
      <c r="B145" s="5">
        <v>1.3024</v>
      </c>
      <c r="C145" s="1">
        <f>Tabela3[[#This Row],[Alongamento (mm/mm)]]/$I$2</f>
        <v>2.6048000000000002E-2</v>
      </c>
      <c r="D145" s="5">
        <v>8.5048999999999992</v>
      </c>
      <c r="E145" s="1">
        <f>Tabela3[[#This Row],[Força (N)]]/$I$5</f>
        <v>271094.11108454858</v>
      </c>
      <c r="F145" s="1">
        <f>Tabela3[[#This Row],[Tensão (Pa)]]/1000000</f>
        <v>0.27109411108454856</v>
      </c>
    </row>
    <row r="146" spans="1:6" x14ac:dyDescent="0.3">
      <c r="A146" s="5">
        <v>15.85</v>
      </c>
      <c r="B146" s="5">
        <v>1.3134999999999999</v>
      </c>
      <c r="C146" s="1">
        <f>Tabela3[[#This Row],[Alongamento (mm/mm)]]/$I$2</f>
        <v>2.6269999999999998E-2</v>
      </c>
      <c r="D146" s="5">
        <v>8.5048999999999992</v>
      </c>
      <c r="E146" s="1">
        <f>Tabela3[[#This Row],[Força (N)]]/$I$5</f>
        <v>271094.11108454858</v>
      </c>
      <c r="F146" s="1">
        <f>Tabela3[[#This Row],[Tensão (Pa)]]/1000000</f>
        <v>0.27109411108454856</v>
      </c>
    </row>
    <row r="147" spans="1:6" x14ac:dyDescent="0.3">
      <c r="A147" s="5">
        <v>15.983000000000001</v>
      </c>
      <c r="B147" s="5">
        <v>1.3246</v>
      </c>
      <c r="C147" s="1">
        <f>Tabela3[[#This Row],[Alongamento (mm/mm)]]/$I$2</f>
        <v>2.6492000000000002E-2</v>
      </c>
      <c r="D147" s="5">
        <v>8.8451000000000004</v>
      </c>
      <c r="E147" s="1">
        <f>Tabela3[[#This Row],[Força (N)]]/$I$5</f>
        <v>281938.00302812975</v>
      </c>
      <c r="F147" s="1">
        <f>Tabela3[[#This Row],[Tensão (Pa)]]/1000000</f>
        <v>0.28193800302812977</v>
      </c>
    </row>
    <row r="148" spans="1:6" x14ac:dyDescent="0.3">
      <c r="A148" s="5">
        <v>16.117000000000001</v>
      </c>
      <c r="B148" s="5">
        <v>1.3357000000000001</v>
      </c>
      <c r="C148" s="1">
        <f>Tabela3[[#This Row],[Alongamento (mm/mm)]]/$I$2</f>
        <v>2.6714000000000002E-2</v>
      </c>
      <c r="D148" s="5">
        <v>9.5254999999999992</v>
      </c>
      <c r="E148" s="1">
        <f>Tabela3[[#This Row],[Força (N)]]/$I$5</f>
        <v>303625.78691529203</v>
      </c>
      <c r="F148" s="1">
        <f>Tabela3[[#This Row],[Tensão (Pa)]]/1000000</f>
        <v>0.30362578691529202</v>
      </c>
    </row>
    <row r="149" spans="1:6" x14ac:dyDescent="0.3">
      <c r="A149" s="5">
        <v>16.216999999999999</v>
      </c>
      <c r="B149" s="5">
        <v>1.3440000000000001</v>
      </c>
      <c r="C149" s="1">
        <f>Tabela3[[#This Row],[Alongamento (mm/mm)]]/$I$2</f>
        <v>2.6880000000000001E-2</v>
      </c>
      <c r="D149" s="5">
        <v>10.206</v>
      </c>
      <c r="E149" s="1">
        <f>Tabela3[[#This Row],[Força (N)]]/$I$5</f>
        <v>325316.75830743485</v>
      </c>
      <c r="F149" s="1">
        <f>Tabela3[[#This Row],[Tensão (Pa)]]/1000000</f>
        <v>0.32531675830743484</v>
      </c>
    </row>
    <row r="150" spans="1:6" x14ac:dyDescent="0.3">
      <c r="A150" s="5">
        <v>16.317</v>
      </c>
      <c r="B150" s="5">
        <v>1.3524</v>
      </c>
      <c r="C150" s="1">
        <f>Tabela3[[#This Row],[Alongamento (mm/mm)]]/$I$2</f>
        <v>2.7048000000000003E-2</v>
      </c>
      <c r="D150" s="5">
        <v>10.885999999999999</v>
      </c>
      <c r="E150" s="1">
        <f>Tabela3[[#This Row],[Força (N)]]/$I$5</f>
        <v>346991.79217467527</v>
      </c>
      <c r="F150" s="1">
        <f>Tabela3[[#This Row],[Tensão (Pa)]]/1000000</f>
        <v>0.3469917921746753</v>
      </c>
    </row>
    <row r="151" spans="1:6" x14ac:dyDescent="0.3">
      <c r="A151" s="5">
        <v>16.433</v>
      </c>
      <c r="B151" s="5">
        <v>1.3621000000000001</v>
      </c>
      <c r="C151" s="1">
        <f>Tabela3[[#This Row],[Alongamento (mm/mm)]]/$I$2</f>
        <v>2.7242000000000002E-2</v>
      </c>
      <c r="D151" s="5">
        <v>11.567</v>
      </c>
      <c r="E151" s="1">
        <f>Tabela3[[#This Row],[Força (N)]]/$I$5</f>
        <v>368698.70109172049</v>
      </c>
      <c r="F151" s="1">
        <f>Tabela3[[#This Row],[Tensão (Pa)]]/1000000</f>
        <v>0.36869870109172048</v>
      </c>
    </row>
    <row r="152" spans="1:6" x14ac:dyDescent="0.3">
      <c r="A152" s="5">
        <v>16.567</v>
      </c>
      <c r="B152" s="5">
        <v>1.3732</v>
      </c>
      <c r="C152" s="1">
        <f>Tabela3[[#This Row],[Alongamento (mm/mm)]]/$I$2</f>
        <v>2.7463999999999999E-2</v>
      </c>
      <c r="D152" s="5">
        <v>12.077</v>
      </c>
      <c r="E152" s="1">
        <f>Tabela3[[#This Row],[Força (N)]]/$I$5</f>
        <v>384954.9764921508</v>
      </c>
      <c r="F152" s="1">
        <f>Tabela3[[#This Row],[Tensão (Pa)]]/1000000</f>
        <v>0.38495497649215082</v>
      </c>
    </row>
    <row r="153" spans="1:6" x14ac:dyDescent="0.3">
      <c r="A153" s="5">
        <v>16.683</v>
      </c>
      <c r="B153" s="5">
        <v>1.3829</v>
      </c>
      <c r="C153" s="1">
        <f>Tabela3[[#This Row],[Alongamento (mm/mm)]]/$I$2</f>
        <v>2.7658000000000002E-2</v>
      </c>
      <c r="D153" s="5">
        <v>12.757</v>
      </c>
      <c r="E153" s="1">
        <f>Tabela3[[#This Row],[Força (N)]]/$I$5</f>
        <v>406630.01035939122</v>
      </c>
      <c r="F153" s="1">
        <f>Tabela3[[#This Row],[Tensão (Pa)]]/1000000</f>
        <v>0.40663001035939123</v>
      </c>
    </row>
    <row r="154" spans="1:6" x14ac:dyDescent="0.3">
      <c r="A154" s="5">
        <v>16.817</v>
      </c>
      <c r="B154" s="5">
        <v>1.3939999999999999</v>
      </c>
      <c r="C154" s="1">
        <f>Tabela3[[#This Row],[Alongamento (mm/mm)]]/$I$2</f>
        <v>2.7879999999999999E-2</v>
      </c>
      <c r="D154" s="5">
        <v>13.438000000000001</v>
      </c>
      <c r="E154" s="1">
        <f>Tabela3[[#This Row],[Força (N)]]/$I$5</f>
        <v>428336.91927643644</v>
      </c>
      <c r="F154" s="1">
        <f>Tabela3[[#This Row],[Tensão (Pa)]]/1000000</f>
        <v>0.42833691927643647</v>
      </c>
    </row>
    <row r="155" spans="1:6" x14ac:dyDescent="0.3">
      <c r="A155" s="5">
        <v>16.933</v>
      </c>
      <c r="B155" s="5">
        <v>1.4037999999999999</v>
      </c>
      <c r="C155" s="1">
        <f>Tabela3[[#This Row],[Alongamento (mm/mm)]]/$I$2</f>
        <v>2.8076E-2</v>
      </c>
      <c r="D155" s="5">
        <v>14.118</v>
      </c>
      <c r="E155" s="1">
        <f>Tabela3[[#This Row],[Força (N)]]/$I$5</f>
        <v>450011.9531436768</v>
      </c>
      <c r="F155" s="1">
        <f>Tabela3[[#This Row],[Tensão (Pa)]]/1000000</f>
        <v>0.45001195314367681</v>
      </c>
    </row>
    <row r="156" spans="1:6" x14ac:dyDescent="0.3">
      <c r="A156" s="5">
        <v>17.067</v>
      </c>
      <c r="B156" s="5">
        <v>1.4149</v>
      </c>
      <c r="C156" s="1">
        <f>Tabela3[[#This Row],[Alongamento (mm/mm)]]/$I$2</f>
        <v>2.8298E-2</v>
      </c>
      <c r="D156" s="5">
        <v>14.798999999999999</v>
      </c>
      <c r="E156" s="1">
        <f>Tabela3[[#This Row],[Força (N)]]/$I$5</f>
        <v>471718.86206072196</v>
      </c>
      <c r="F156" s="1">
        <f>Tabela3[[#This Row],[Tensão (Pa)]]/1000000</f>
        <v>0.47171886206072194</v>
      </c>
    </row>
    <row r="157" spans="1:6" x14ac:dyDescent="0.3">
      <c r="A157" s="5">
        <v>17.2</v>
      </c>
      <c r="B157" s="5">
        <v>1.4259999999999999</v>
      </c>
      <c r="C157" s="1">
        <f>Tabela3[[#This Row],[Alongamento (mm/mm)]]/$I$2</f>
        <v>2.852E-2</v>
      </c>
      <c r="D157" s="5">
        <v>15.478999999999999</v>
      </c>
      <c r="E157" s="1">
        <f>Tabela3[[#This Row],[Força (N)]]/$I$5</f>
        <v>493393.89592796238</v>
      </c>
      <c r="F157" s="1">
        <f>Tabela3[[#This Row],[Tensão (Pa)]]/1000000</f>
        <v>0.4933938959279624</v>
      </c>
    </row>
    <row r="158" spans="1:6" x14ac:dyDescent="0.3">
      <c r="A158" s="5">
        <v>17.317</v>
      </c>
      <c r="B158" s="5">
        <v>1.4357</v>
      </c>
      <c r="C158" s="1">
        <f>Tabela3[[#This Row],[Alongamento (mm/mm)]]/$I$2</f>
        <v>2.8714E-2</v>
      </c>
      <c r="D158" s="5">
        <v>16.158999999999999</v>
      </c>
      <c r="E158" s="1">
        <f>Tabela3[[#This Row],[Força (N)]]/$I$5</f>
        <v>515068.9297952028</v>
      </c>
      <c r="F158" s="1">
        <f>Tabela3[[#This Row],[Tensão (Pa)]]/1000000</f>
        <v>0.5150689297952028</v>
      </c>
    </row>
    <row r="159" spans="1:6" x14ac:dyDescent="0.3">
      <c r="A159" s="5">
        <v>17.45</v>
      </c>
      <c r="B159" s="5">
        <v>1.4469000000000001</v>
      </c>
      <c r="C159" s="1">
        <f>Tabela3[[#This Row],[Alongamento (mm/mm)]]/$I$2</f>
        <v>2.8938000000000002E-2</v>
      </c>
      <c r="D159" s="5">
        <v>16.5</v>
      </c>
      <c r="E159" s="1">
        <f>Tabela3[[#This Row],[Força (N)]]/$I$5</f>
        <v>525938.32177862781</v>
      </c>
      <c r="F159" s="1">
        <f>Tabela3[[#This Row],[Tensão (Pa)]]/1000000</f>
        <v>0.52593832177862776</v>
      </c>
    </row>
    <row r="160" spans="1:6" x14ac:dyDescent="0.3">
      <c r="A160" s="5">
        <v>17.567</v>
      </c>
      <c r="B160" s="5">
        <v>1.4564999999999999</v>
      </c>
      <c r="C160" s="1">
        <f>Tabela3[[#This Row],[Alongamento (mm/mm)]]/$I$2</f>
        <v>2.913E-2</v>
      </c>
      <c r="D160" s="5">
        <v>17.18</v>
      </c>
      <c r="E160" s="1">
        <f>Tabela3[[#This Row],[Força (N)]]/$I$5</f>
        <v>547613.35564586823</v>
      </c>
      <c r="F160" s="1">
        <f>Tabela3[[#This Row],[Tensão (Pa)]]/1000000</f>
        <v>0.54761335564586822</v>
      </c>
    </row>
    <row r="161" spans="1:6" x14ac:dyDescent="0.3">
      <c r="A161" s="5">
        <v>17.683</v>
      </c>
      <c r="B161" s="5">
        <v>1.4661999999999999</v>
      </c>
      <c r="C161" s="1">
        <f>Tabela3[[#This Row],[Alongamento (mm/mm)]]/$I$2</f>
        <v>2.9323999999999999E-2</v>
      </c>
      <c r="D161" s="5">
        <v>17.86</v>
      </c>
      <c r="E161" s="1">
        <f>Tabela3[[#This Row],[Força (N)]]/$I$5</f>
        <v>569288.38951310865</v>
      </c>
      <c r="F161" s="1">
        <f>Tabela3[[#This Row],[Tensão (Pa)]]/1000000</f>
        <v>0.56928838951310867</v>
      </c>
    </row>
    <row r="162" spans="1:6" x14ac:dyDescent="0.3">
      <c r="A162" s="5">
        <v>17.832999999999998</v>
      </c>
      <c r="B162" s="5">
        <v>1.4787999999999999</v>
      </c>
      <c r="C162" s="1">
        <f>Tabela3[[#This Row],[Alongamento (mm/mm)]]/$I$2</f>
        <v>2.9575999999999998E-2</v>
      </c>
      <c r="D162" s="5">
        <v>18.541</v>
      </c>
      <c r="E162" s="1">
        <f>Tabela3[[#This Row],[Força (N)]]/$I$5</f>
        <v>590995.29843015387</v>
      </c>
      <c r="F162" s="1">
        <f>Tabela3[[#This Row],[Tensão (Pa)]]/1000000</f>
        <v>0.59099529843015386</v>
      </c>
    </row>
    <row r="163" spans="1:6" x14ac:dyDescent="0.3">
      <c r="A163" s="5">
        <v>17.983000000000001</v>
      </c>
      <c r="B163" s="5">
        <v>1.4913000000000001</v>
      </c>
      <c r="C163" s="1">
        <f>Tabela3[[#This Row],[Alongamento (mm/mm)]]/$I$2</f>
        <v>2.9826000000000002E-2</v>
      </c>
      <c r="D163" s="5">
        <v>19.221</v>
      </c>
      <c r="E163" s="1">
        <f>Tabela3[[#This Row],[Força (N)]]/$I$5</f>
        <v>612670.33229739428</v>
      </c>
      <c r="F163" s="1">
        <f>Tabela3[[#This Row],[Tensão (Pa)]]/1000000</f>
        <v>0.61267033229739432</v>
      </c>
    </row>
    <row r="164" spans="1:6" x14ac:dyDescent="0.3">
      <c r="A164" s="5">
        <v>18.117000000000001</v>
      </c>
      <c r="B164" s="5">
        <v>1.5024</v>
      </c>
      <c r="C164" s="1">
        <f>Tabela3[[#This Row],[Alongamento (mm/mm)]]/$I$2</f>
        <v>3.0047999999999998E-2</v>
      </c>
      <c r="D164" s="5">
        <v>19.902000000000001</v>
      </c>
      <c r="E164" s="1">
        <f>Tabela3[[#This Row],[Força (N)]]/$I$5</f>
        <v>634377.24121443951</v>
      </c>
      <c r="F164" s="1">
        <f>Tabela3[[#This Row],[Tensão (Pa)]]/1000000</f>
        <v>0.6343772412144395</v>
      </c>
    </row>
    <row r="165" spans="1:6" x14ac:dyDescent="0.3">
      <c r="A165" s="5">
        <v>18.25</v>
      </c>
      <c r="B165" s="5">
        <v>1.5135000000000001</v>
      </c>
      <c r="C165" s="1">
        <f>Tabela3[[#This Row],[Alongamento (mm/mm)]]/$I$2</f>
        <v>3.0270000000000002E-2</v>
      </c>
      <c r="D165" s="5">
        <v>20.582000000000001</v>
      </c>
      <c r="E165" s="1">
        <f>Tabela3[[#This Row],[Força (N)]]/$I$5</f>
        <v>656052.27508167992</v>
      </c>
      <c r="F165" s="1">
        <f>Tabela3[[#This Row],[Tensão (Pa)]]/1000000</f>
        <v>0.65605227508167996</v>
      </c>
    </row>
    <row r="166" spans="1:6" x14ac:dyDescent="0.3">
      <c r="A166" s="5">
        <v>18.399999999999999</v>
      </c>
      <c r="B166" s="5">
        <v>1.526</v>
      </c>
      <c r="C166" s="1">
        <f>Tabela3[[#This Row],[Alongamento (mm/mm)]]/$I$2</f>
        <v>3.0520000000000002E-2</v>
      </c>
      <c r="D166" s="5">
        <v>21.262</v>
      </c>
      <c r="E166" s="1">
        <f>Tabela3[[#This Row],[Força (N)]]/$I$5</f>
        <v>677727.30894892034</v>
      </c>
      <c r="F166" s="1">
        <f>Tabela3[[#This Row],[Tensão (Pa)]]/1000000</f>
        <v>0.6777273089489203</v>
      </c>
    </row>
    <row r="167" spans="1:6" x14ac:dyDescent="0.3">
      <c r="A167" s="5">
        <v>18.533000000000001</v>
      </c>
      <c r="B167" s="5">
        <v>1.5370999999999999</v>
      </c>
      <c r="C167" s="1">
        <f>Tabela3[[#This Row],[Alongamento (mm/mm)]]/$I$2</f>
        <v>3.0741999999999998E-2</v>
      </c>
      <c r="D167" s="5">
        <v>21.943000000000001</v>
      </c>
      <c r="E167" s="1">
        <f>Tabela3[[#This Row],[Força (N)]]/$I$5</f>
        <v>699434.21786596545</v>
      </c>
      <c r="F167" s="1">
        <f>Tabela3[[#This Row],[Tensão (Pa)]]/1000000</f>
        <v>0.69943421786596549</v>
      </c>
    </row>
    <row r="168" spans="1:6" x14ac:dyDescent="0.3">
      <c r="A168" s="5">
        <v>18.667000000000002</v>
      </c>
      <c r="B168" s="5">
        <v>1.5482</v>
      </c>
      <c r="C168" s="1">
        <f>Tabela3[[#This Row],[Alongamento (mm/mm)]]/$I$2</f>
        <v>3.0964000000000002E-2</v>
      </c>
      <c r="D168" s="5">
        <v>22.623000000000001</v>
      </c>
      <c r="E168" s="1">
        <f>Tabela3[[#This Row],[Força (N)]]/$I$5</f>
        <v>721109.25173320586</v>
      </c>
      <c r="F168" s="1">
        <f>Tabela3[[#This Row],[Tensão (Pa)]]/1000000</f>
        <v>0.72110925173320584</v>
      </c>
    </row>
    <row r="169" spans="1:6" x14ac:dyDescent="0.3">
      <c r="A169" s="5">
        <v>18.8</v>
      </c>
      <c r="B169" s="5">
        <v>1.5592999999999999</v>
      </c>
      <c r="C169" s="1">
        <f>Tabela3[[#This Row],[Alongamento (mm/mm)]]/$I$2</f>
        <v>3.1185999999999998E-2</v>
      </c>
      <c r="D169" s="5">
        <v>23.303999999999998</v>
      </c>
      <c r="E169" s="1">
        <f>Tabela3[[#This Row],[Força (N)]]/$I$5</f>
        <v>742816.16065025097</v>
      </c>
      <c r="F169" s="1">
        <f>Tabela3[[#This Row],[Tensão (Pa)]]/1000000</f>
        <v>0.74281616065025102</v>
      </c>
    </row>
    <row r="170" spans="1:6" x14ac:dyDescent="0.3">
      <c r="A170" s="5">
        <v>18.933</v>
      </c>
      <c r="B170" s="5">
        <v>1.5704</v>
      </c>
      <c r="C170" s="1">
        <f>Tabela3[[#This Row],[Alongamento (mm/mm)]]/$I$2</f>
        <v>3.1407999999999998E-2</v>
      </c>
      <c r="D170" s="5">
        <v>23.984000000000002</v>
      </c>
      <c r="E170" s="1">
        <f>Tabela3[[#This Row],[Força (N)]]/$I$5</f>
        <v>764491.1945174915</v>
      </c>
      <c r="F170" s="1">
        <f>Tabela3[[#This Row],[Tensão (Pa)]]/1000000</f>
        <v>0.76449119451749148</v>
      </c>
    </row>
    <row r="171" spans="1:6" x14ac:dyDescent="0.3">
      <c r="A171" s="5">
        <v>19.067</v>
      </c>
      <c r="B171" s="5">
        <v>1.5814999999999999</v>
      </c>
      <c r="C171" s="1">
        <f>Tabela3[[#This Row],[Alongamento (mm/mm)]]/$I$2</f>
        <v>3.1629999999999998E-2</v>
      </c>
      <c r="D171" s="5">
        <v>24.664000000000001</v>
      </c>
      <c r="E171" s="1">
        <f>Tabela3[[#This Row],[Força (N)]]/$I$5</f>
        <v>786166.22838473192</v>
      </c>
      <c r="F171" s="1">
        <f>Tabela3[[#This Row],[Tensão (Pa)]]/1000000</f>
        <v>0.78616622838473194</v>
      </c>
    </row>
    <row r="172" spans="1:6" x14ac:dyDescent="0.3">
      <c r="A172" s="5">
        <v>19.2</v>
      </c>
      <c r="B172" s="5">
        <v>1.5927</v>
      </c>
      <c r="C172" s="1">
        <f>Tabela3[[#This Row],[Alongamento (mm/mm)]]/$I$2</f>
        <v>3.1854E-2</v>
      </c>
      <c r="D172" s="5">
        <v>25.344999999999999</v>
      </c>
      <c r="E172" s="1">
        <f>Tabela3[[#This Row],[Força (N)]]/$I$5</f>
        <v>807873.13730177702</v>
      </c>
      <c r="F172" s="1">
        <f>Tabela3[[#This Row],[Tensão (Pa)]]/1000000</f>
        <v>0.80787313730177701</v>
      </c>
    </row>
    <row r="173" spans="1:6" x14ac:dyDescent="0.3">
      <c r="A173" s="5">
        <v>19.332999999999998</v>
      </c>
      <c r="B173" s="5">
        <v>1.6037999999999999</v>
      </c>
      <c r="C173" s="1">
        <f>Tabela3[[#This Row],[Alongamento (mm/mm)]]/$I$2</f>
        <v>3.2076E-2</v>
      </c>
      <c r="D173" s="5">
        <v>26.024999999999999</v>
      </c>
      <c r="E173" s="1">
        <f>Tabela3[[#This Row],[Força (N)]]/$I$5</f>
        <v>829548.17116901744</v>
      </c>
      <c r="F173" s="1">
        <f>Tabela3[[#This Row],[Tensão (Pa)]]/1000000</f>
        <v>0.82954817116901747</v>
      </c>
    </row>
    <row r="174" spans="1:6" x14ac:dyDescent="0.3">
      <c r="A174" s="5">
        <v>19.45</v>
      </c>
      <c r="B174" s="5">
        <v>1.6134999999999999</v>
      </c>
      <c r="C174" s="1">
        <f>Tabela3[[#This Row],[Alongamento (mm/mm)]]/$I$2</f>
        <v>3.227E-2</v>
      </c>
      <c r="D174" s="5">
        <v>26.706</v>
      </c>
      <c r="E174" s="1">
        <f>Tabela3[[#This Row],[Força (N)]]/$I$5</f>
        <v>851255.08008606266</v>
      </c>
      <c r="F174" s="1">
        <f>Tabela3[[#This Row],[Tensão (Pa)]]/1000000</f>
        <v>0.85125508008606265</v>
      </c>
    </row>
    <row r="175" spans="1:6" x14ac:dyDescent="0.3">
      <c r="A175" s="5">
        <v>19.55</v>
      </c>
      <c r="B175" s="5">
        <v>1.6217999999999999</v>
      </c>
      <c r="C175" s="1">
        <f>Tabela3[[#This Row],[Alongamento (mm/mm)]]/$I$2</f>
        <v>3.2436E-2</v>
      </c>
      <c r="D175" s="5">
        <v>27.385999999999999</v>
      </c>
      <c r="E175" s="1">
        <f>Tabela3[[#This Row],[Força (N)]]/$I$5</f>
        <v>872930.11395330308</v>
      </c>
      <c r="F175" s="1">
        <f>Tabela3[[#This Row],[Tensão (Pa)]]/1000000</f>
        <v>0.87293011395330311</v>
      </c>
    </row>
    <row r="176" spans="1:6" x14ac:dyDescent="0.3">
      <c r="A176" s="5">
        <v>19.667000000000002</v>
      </c>
      <c r="B176" s="5">
        <v>1.6315</v>
      </c>
      <c r="C176" s="1">
        <f>Tabela3[[#This Row],[Alongamento (mm/mm)]]/$I$2</f>
        <v>3.2629999999999999E-2</v>
      </c>
      <c r="D176" s="5">
        <v>28.065999999999999</v>
      </c>
      <c r="E176" s="1">
        <f>Tabela3[[#This Row],[Força (N)]]/$I$5</f>
        <v>894605.1478205435</v>
      </c>
      <c r="F176" s="1">
        <f>Tabela3[[#This Row],[Tensão (Pa)]]/1000000</f>
        <v>0.89460514782054346</v>
      </c>
    </row>
    <row r="177" spans="1:6" x14ac:dyDescent="0.3">
      <c r="A177" s="5">
        <v>19.766999999999999</v>
      </c>
      <c r="B177" s="5">
        <v>1.6398999999999999</v>
      </c>
      <c r="C177" s="1">
        <f>Tabela3[[#This Row],[Alongamento (mm/mm)]]/$I$2</f>
        <v>3.2798000000000001E-2</v>
      </c>
      <c r="D177" s="5">
        <v>28.747</v>
      </c>
      <c r="E177" s="1">
        <f>Tabela3[[#This Row],[Força (N)]]/$I$5</f>
        <v>916312.05673758872</v>
      </c>
      <c r="F177" s="1">
        <f>Tabela3[[#This Row],[Tensão (Pa)]]/1000000</f>
        <v>0.91631205673758875</v>
      </c>
    </row>
    <row r="178" spans="1:6" x14ac:dyDescent="0.3">
      <c r="A178" s="5">
        <v>19.850000000000001</v>
      </c>
      <c r="B178" s="5">
        <v>1.6468</v>
      </c>
      <c r="C178" s="1">
        <f>Tabela3[[#This Row],[Alongamento (mm/mm)]]/$I$2</f>
        <v>3.2936E-2</v>
      </c>
      <c r="D178" s="5">
        <v>29.427</v>
      </c>
      <c r="E178" s="1">
        <f>Tabela3[[#This Row],[Força (N)]]/$I$5</f>
        <v>937987.09060482914</v>
      </c>
      <c r="F178" s="1">
        <f>Tabela3[[#This Row],[Tensão (Pa)]]/1000000</f>
        <v>0.9379870906048291</v>
      </c>
    </row>
    <row r="179" spans="1:6" x14ac:dyDescent="0.3">
      <c r="A179" s="5">
        <v>19.95</v>
      </c>
      <c r="B179" s="5">
        <v>1.6551</v>
      </c>
      <c r="C179" s="1">
        <f>Tabela3[[#This Row],[Alongamento (mm/mm)]]/$I$2</f>
        <v>3.3101999999999999E-2</v>
      </c>
      <c r="D179" s="5">
        <v>30.106999999999999</v>
      </c>
      <c r="E179" s="1">
        <f>Tabela3[[#This Row],[Força (N)]]/$I$5</f>
        <v>959662.12447206955</v>
      </c>
      <c r="F179" s="1">
        <f>Tabela3[[#This Row],[Tensão (Pa)]]/1000000</f>
        <v>0.95966212447206956</v>
      </c>
    </row>
    <row r="180" spans="1:6" x14ac:dyDescent="0.3">
      <c r="A180" s="5">
        <v>20.067</v>
      </c>
      <c r="B180" s="5">
        <v>1.6649</v>
      </c>
      <c r="C180" s="1">
        <f>Tabela3[[#This Row],[Alongamento (mm/mm)]]/$I$2</f>
        <v>3.3298000000000001E-2</v>
      </c>
      <c r="D180" s="5">
        <v>30.788</v>
      </c>
      <c r="E180" s="1">
        <f>Tabela3[[#This Row],[Força (N)]]/$I$5</f>
        <v>981369.03338911477</v>
      </c>
      <c r="F180" s="1">
        <f>Tabela3[[#This Row],[Tensão (Pa)]]/1000000</f>
        <v>0.98136903338911474</v>
      </c>
    </row>
    <row r="181" spans="1:6" x14ac:dyDescent="0.3">
      <c r="A181" s="5">
        <v>20.167000000000002</v>
      </c>
      <c r="B181" s="5">
        <v>1.6732</v>
      </c>
      <c r="C181" s="1">
        <f>Tabela3[[#This Row],[Alongamento (mm/mm)]]/$I$2</f>
        <v>3.3464000000000001E-2</v>
      </c>
      <c r="D181" s="5">
        <v>31.468</v>
      </c>
      <c r="E181" s="1">
        <f>Tabela3[[#This Row],[Força (N)]]/$I$5</f>
        <v>1003044.0672563552</v>
      </c>
      <c r="F181" s="1">
        <f>Tabela3[[#This Row],[Tensão (Pa)]]/1000000</f>
        <v>1.0030440672563552</v>
      </c>
    </row>
    <row r="182" spans="1:6" x14ac:dyDescent="0.3">
      <c r="A182" s="5">
        <v>20.283000000000001</v>
      </c>
      <c r="B182" s="5">
        <v>1.6830000000000001</v>
      </c>
      <c r="C182" s="1">
        <f>Tabela3[[#This Row],[Alongamento (mm/mm)]]/$I$2</f>
        <v>3.3660000000000002E-2</v>
      </c>
      <c r="D182" s="5">
        <v>32.149000000000001</v>
      </c>
      <c r="E182" s="1">
        <f>Tabela3[[#This Row],[Força (N)]]/$I$5</f>
        <v>1024750.9761734004</v>
      </c>
      <c r="F182" s="1">
        <f>Tabela3[[#This Row],[Tensão (Pa)]]/1000000</f>
        <v>1.0247509761734004</v>
      </c>
    </row>
    <row r="183" spans="1:6" x14ac:dyDescent="0.3">
      <c r="A183" s="5">
        <v>20.382999999999999</v>
      </c>
      <c r="B183" s="5">
        <v>1.6912</v>
      </c>
      <c r="C183" s="1">
        <f>Tabela3[[#This Row],[Alongamento (mm/mm)]]/$I$2</f>
        <v>3.3824E-2</v>
      </c>
      <c r="D183" s="5">
        <v>32.829000000000001</v>
      </c>
      <c r="E183" s="1">
        <f>Tabela3[[#This Row],[Força (N)]]/$I$5</f>
        <v>1046426.0100406407</v>
      </c>
      <c r="F183" s="1">
        <f>Tabela3[[#This Row],[Tensão (Pa)]]/1000000</f>
        <v>1.0464260100406406</v>
      </c>
    </row>
    <row r="184" spans="1:6" x14ac:dyDescent="0.3">
      <c r="A184" s="5">
        <v>20.5</v>
      </c>
      <c r="B184" s="5">
        <v>1.7010000000000001</v>
      </c>
      <c r="C184" s="1">
        <f>Tabela3[[#This Row],[Alongamento (mm/mm)]]/$I$2</f>
        <v>3.4020000000000002E-2</v>
      </c>
      <c r="D184" s="5">
        <v>33.509</v>
      </c>
      <c r="E184" s="1">
        <f>Tabela3[[#This Row],[Força (N)]]/$I$5</f>
        <v>1068101.0439078812</v>
      </c>
      <c r="F184" s="1">
        <f>Tabela3[[#This Row],[Tensão (Pa)]]/1000000</f>
        <v>1.0681010439078813</v>
      </c>
    </row>
    <row r="185" spans="1:6" x14ac:dyDescent="0.3">
      <c r="A185" s="5">
        <v>20.6</v>
      </c>
      <c r="B185" s="5">
        <v>1.7093</v>
      </c>
      <c r="C185" s="1">
        <f>Tabela3[[#This Row],[Alongamento (mm/mm)]]/$I$2</f>
        <v>3.4186000000000001E-2</v>
      </c>
      <c r="D185" s="5">
        <v>34.19</v>
      </c>
      <c r="E185" s="1">
        <f>Tabela3[[#This Row],[Força (N)]]/$I$5</f>
        <v>1089807.9528249262</v>
      </c>
      <c r="F185" s="1">
        <f>Tabela3[[#This Row],[Tensão (Pa)]]/1000000</f>
        <v>1.0898079528249263</v>
      </c>
    </row>
    <row r="186" spans="1:6" x14ac:dyDescent="0.3">
      <c r="A186" s="5">
        <v>20.716999999999999</v>
      </c>
      <c r="B186" s="5">
        <v>1.7190000000000001</v>
      </c>
      <c r="C186" s="1">
        <f>Tabela3[[#This Row],[Alongamento (mm/mm)]]/$I$2</f>
        <v>3.4380000000000001E-2</v>
      </c>
      <c r="D186" s="5">
        <v>34.869999999999997</v>
      </c>
      <c r="E186" s="1">
        <f>Tabela3[[#This Row],[Força (N)]]/$I$5</f>
        <v>1111482.9866921667</v>
      </c>
      <c r="F186" s="1">
        <f>Tabela3[[#This Row],[Tensão (Pa)]]/1000000</f>
        <v>1.1114829866921667</v>
      </c>
    </row>
    <row r="187" spans="1:6" x14ac:dyDescent="0.3">
      <c r="A187" s="5">
        <v>20.832999999999998</v>
      </c>
      <c r="B187" s="5">
        <v>1.7286999999999999</v>
      </c>
      <c r="C187" s="1">
        <f>Tabela3[[#This Row],[Alongamento (mm/mm)]]/$I$2</f>
        <v>3.4574000000000001E-2</v>
      </c>
      <c r="D187" s="5">
        <v>35.551000000000002</v>
      </c>
      <c r="E187" s="1">
        <f>Tabela3[[#This Row],[Força (N)]]/$I$5</f>
        <v>1133189.8956092121</v>
      </c>
      <c r="F187" s="1">
        <f>Tabela3[[#This Row],[Tensão (Pa)]]/1000000</f>
        <v>1.1331898956092121</v>
      </c>
    </row>
    <row r="188" spans="1:6" x14ac:dyDescent="0.3">
      <c r="A188" s="5">
        <v>20.95</v>
      </c>
      <c r="B188" s="5">
        <v>1.7384999999999999</v>
      </c>
      <c r="C188" s="1">
        <f>Tabela3[[#This Row],[Alongamento (mm/mm)]]/$I$2</f>
        <v>3.4769999999999995E-2</v>
      </c>
      <c r="D188" s="5">
        <v>36.231000000000002</v>
      </c>
      <c r="E188" s="1">
        <f>Tabela3[[#This Row],[Força (N)]]/$I$5</f>
        <v>1154864.9294764525</v>
      </c>
      <c r="F188" s="1">
        <f>Tabela3[[#This Row],[Tensão (Pa)]]/1000000</f>
        <v>1.1548649294764526</v>
      </c>
    </row>
    <row r="189" spans="1:6" x14ac:dyDescent="0.3">
      <c r="A189" s="5">
        <v>21.067</v>
      </c>
      <c r="B189" s="5">
        <v>1.7482</v>
      </c>
      <c r="C189" s="1">
        <f>Tabela3[[#This Row],[Alongamento (mm/mm)]]/$I$2</f>
        <v>3.4964000000000002E-2</v>
      </c>
      <c r="D189" s="5">
        <v>36.911000000000001</v>
      </c>
      <c r="E189" s="1">
        <f>Tabela3[[#This Row],[Força (N)]]/$I$5</f>
        <v>1176539.9633436929</v>
      </c>
      <c r="F189" s="1">
        <f>Tabela3[[#This Row],[Tensão (Pa)]]/1000000</f>
        <v>1.176539963343693</v>
      </c>
    </row>
    <row r="190" spans="1:6" x14ac:dyDescent="0.3">
      <c r="A190" s="5">
        <v>21.183</v>
      </c>
      <c r="B190" s="5">
        <v>1.758</v>
      </c>
      <c r="C190" s="1">
        <f>Tabela3[[#This Row],[Alongamento (mm/mm)]]/$I$2</f>
        <v>3.5159999999999997E-2</v>
      </c>
      <c r="D190" s="5">
        <v>37.591999999999999</v>
      </c>
      <c r="E190" s="1">
        <f>Tabela3[[#This Row],[Força (N)]]/$I$5</f>
        <v>1198246.8722607379</v>
      </c>
      <c r="F190" s="1">
        <f>Tabela3[[#This Row],[Tensão (Pa)]]/1000000</f>
        <v>1.198246872260738</v>
      </c>
    </row>
    <row r="191" spans="1:6" x14ac:dyDescent="0.3">
      <c r="A191" s="5">
        <v>21.3</v>
      </c>
      <c r="B191" s="5">
        <v>1.7676000000000001</v>
      </c>
      <c r="C191" s="1">
        <f>Tabela3[[#This Row],[Alongamento (mm/mm)]]/$I$2</f>
        <v>3.5352000000000001E-2</v>
      </c>
      <c r="D191" s="5">
        <v>38.271999999999998</v>
      </c>
      <c r="E191" s="1">
        <f>Tabela3[[#This Row],[Força (N)]]/$I$5</f>
        <v>1219921.9061279783</v>
      </c>
      <c r="F191" s="1">
        <f>Tabela3[[#This Row],[Tensão (Pa)]]/1000000</f>
        <v>1.2199219061279782</v>
      </c>
    </row>
    <row r="192" spans="1:6" x14ac:dyDescent="0.3">
      <c r="A192" s="5">
        <v>21.433</v>
      </c>
      <c r="B192" s="5">
        <v>1.7787999999999999</v>
      </c>
      <c r="C192" s="1">
        <f>Tabela3[[#This Row],[Alongamento (mm/mm)]]/$I$2</f>
        <v>3.5575999999999997E-2</v>
      </c>
      <c r="D192" s="5">
        <v>38.953000000000003</v>
      </c>
      <c r="E192" s="1">
        <f>Tabela3[[#This Row],[Força (N)]]/$I$5</f>
        <v>1241628.8150450236</v>
      </c>
      <c r="F192" s="1">
        <f>Tabela3[[#This Row],[Tensão (Pa)]]/1000000</f>
        <v>1.2416288150450236</v>
      </c>
    </row>
    <row r="193" spans="1:6" x14ac:dyDescent="0.3">
      <c r="A193" s="5">
        <v>21.55</v>
      </c>
      <c r="B193" s="5">
        <v>1.7885</v>
      </c>
      <c r="C193" s="1">
        <f>Tabela3[[#This Row],[Alongamento (mm/mm)]]/$I$2</f>
        <v>3.5769999999999996E-2</v>
      </c>
      <c r="D193" s="5">
        <v>39.633000000000003</v>
      </c>
      <c r="E193" s="1">
        <f>Tabela3[[#This Row],[Força (N)]]/$I$5</f>
        <v>1263303.848912264</v>
      </c>
      <c r="F193" s="1">
        <f>Tabela3[[#This Row],[Tensão (Pa)]]/1000000</f>
        <v>1.2633038489122639</v>
      </c>
    </row>
    <row r="194" spans="1:6" x14ac:dyDescent="0.3">
      <c r="A194" s="5">
        <v>21.65</v>
      </c>
      <c r="B194" s="5">
        <v>1.7968</v>
      </c>
      <c r="C194" s="1">
        <f>Tabela3[[#This Row],[Alongamento (mm/mm)]]/$I$2</f>
        <v>3.5935999999999996E-2</v>
      </c>
      <c r="D194" s="5">
        <v>40.313000000000002</v>
      </c>
      <c r="E194" s="1">
        <f>Tabela3[[#This Row],[Força (N)]]/$I$5</f>
        <v>1284978.8827795044</v>
      </c>
      <c r="F194" s="1">
        <f>Tabela3[[#This Row],[Tensão (Pa)]]/1000000</f>
        <v>1.2849788827795043</v>
      </c>
    </row>
    <row r="195" spans="1:6" x14ac:dyDescent="0.3">
      <c r="A195" s="5">
        <v>21.766999999999999</v>
      </c>
      <c r="B195" s="5">
        <v>1.8065</v>
      </c>
      <c r="C195" s="1">
        <f>Tabela3[[#This Row],[Alongamento (mm/mm)]]/$I$2</f>
        <v>3.6130000000000002E-2</v>
      </c>
      <c r="D195" s="5">
        <v>40.994</v>
      </c>
      <c r="E195" s="1">
        <f>Tabela3[[#This Row],[Força (N)]]/$I$5</f>
        <v>1306685.7916965496</v>
      </c>
      <c r="F195" s="1">
        <f>Tabela3[[#This Row],[Tensão (Pa)]]/1000000</f>
        <v>1.3066857916965495</v>
      </c>
    </row>
    <row r="196" spans="1:6" x14ac:dyDescent="0.3">
      <c r="A196" s="5">
        <v>21.882999999999999</v>
      </c>
      <c r="B196" s="5">
        <v>1.8162</v>
      </c>
      <c r="C196" s="1">
        <f>Tabela3[[#This Row],[Alongamento (mm/mm)]]/$I$2</f>
        <v>3.6324000000000002E-2</v>
      </c>
      <c r="D196" s="5">
        <v>41.673999999999999</v>
      </c>
      <c r="E196" s="1">
        <f>Tabela3[[#This Row],[Força (N)]]/$I$5</f>
        <v>1328360.82556379</v>
      </c>
      <c r="F196" s="1">
        <f>Tabela3[[#This Row],[Tensão (Pa)]]/1000000</f>
        <v>1.32836082556379</v>
      </c>
    </row>
    <row r="197" spans="1:6" x14ac:dyDescent="0.3">
      <c r="A197" s="5">
        <v>21.983000000000001</v>
      </c>
      <c r="B197" s="5">
        <v>1.8246</v>
      </c>
      <c r="C197" s="1">
        <f>Tabela3[[#This Row],[Alongamento (mm/mm)]]/$I$2</f>
        <v>3.6491999999999997E-2</v>
      </c>
      <c r="D197" s="5">
        <v>42.354999999999997</v>
      </c>
      <c r="E197" s="1">
        <f>Tabela3[[#This Row],[Força (N)]]/$I$5</f>
        <v>1350067.734480835</v>
      </c>
      <c r="F197" s="1">
        <f>Tabela3[[#This Row],[Tensão (Pa)]]/1000000</f>
        <v>1.3500677344808349</v>
      </c>
    </row>
    <row r="198" spans="1:6" x14ac:dyDescent="0.3">
      <c r="A198" s="5">
        <v>22.082999999999998</v>
      </c>
      <c r="B198" s="5">
        <v>1.8329</v>
      </c>
      <c r="C198" s="1">
        <f>Tabela3[[#This Row],[Alongamento (mm/mm)]]/$I$2</f>
        <v>3.6657999999999996E-2</v>
      </c>
      <c r="D198" s="5">
        <v>43.034999999999997</v>
      </c>
      <c r="E198" s="1">
        <f>Tabela3[[#This Row],[Força (N)]]/$I$5</f>
        <v>1371742.7683480754</v>
      </c>
      <c r="F198" s="1">
        <f>Tabela3[[#This Row],[Tensão (Pa)]]/1000000</f>
        <v>1.3717427683480754</v>
      </c>
    </row>
    <row r="199" spans="1:6" x14ac:dyDescent="0.3">
      <c r="A199" s="5">
        <v>22.183</v>
      </c>
      <c r="B199" s="5">
        <v>1.8411999999999999</v>
      </c>
      <c r="C199" s="1">
        <f>Tabela3[[#This Row],[Alongamento (mm/mm)]]/$I$2</f>
        <v>3.6823999999999996E-2</v>
      </c>
      <c r="D199" s="5">
        <v>43.715000000000003</v>
      </c>
      <c r="E199" s="1">
        <f>Tabela3[[#This Row],[Força (N)]]/$I$5</f>
        <v>1393417.8022153161</v>
      </c>
      <c r="F199" s="1">
        <f>Tabela3[[#This Row],[Tensão (Pa)]]/1000000</f>
        <v>1.3934178022153161</v>
      </c>
    </row>
    <row r="200" spans="1:6" x14ac:dyDescent="0.3">
      <c r="A200" s="5">
        <v>22.283000000000001</v>
      </c>
      <c r="B200" s="5">
        <v>1.8495999999999999</v>
      </c>
      <c r="C200" s="1">
        <f>Tabela3[[#This Row],[Alongamento (mm/mm)]]/$I$2</f>
        <v>3.6991999999999997E-2</v>
      </c>
      <c r="D200" s="5">
        <v>44.396000000000001</v>
      </c>
      <c r="E200" s="1">
        <f>Tabela3[[#This Row],[Força (N)]]/$I$5</f>
        <v>1415124.7111323613</v>
      </c>
      <c r="F200" s="1">
        <f>Tabela3[[#This Row],[Tensão (Pa)]]/1000000</f>
        <v>1.4151247111323613</v>
      </c>
    </row>
    <row r="201" spans="1:6" x14ac:dyDescent="0.3">
      <c r="A201" s="5">
        <v>22.4</v>
      </c>
      <c r="B201" s="5">
        <v>1.8593</v>
      </c>
      <c r="C201" s="1">
        <f>Tabela3[[#This Row],[Alongamento (mm/mm)]]/$I$2</f>
        <v>3.7185999999999997E-2</v>
      </c>
      <c r="D201" s="5">
        <v>45.076000000000001</v>
      </c>
      <c r="E201" s="1">
        <f>Tabela3[[#This Row],[Força (N)]]/$I$5</f>
        <v>1436799.7449996017</v>
      </c>
      <c r="F201" s="1">
        <f>Tabela3[[#This Row],[Tensão (Pa)]]/1000000</f>
        <v>1.4367997449996017</v>
      </c>
    </row>
    <row r="202" spans="1:6" x14ac:dyDescent="0.3">
      <c r="A202" s="5">
        <v>22.483000000000001</v>
      </c>
      <c r="B202" s="5">
        <v>1.8663000000000001</v>
      </c>
      <c r="C202" s="1">
        <f>Tabela3[[#This Row],[Alongamento (mm/mm)]]/$I$2</f>
        <v>3.7325999999999998E-2</v>
      </c>
      <c r="D202" s="5">
        <v>45.756999999999998</v>
      </c>
      <c r="E202" s="1">
        <f>Tabela3[[#This Row],[Força (N)]]/$I$5</f>
        <v>1458506.6539166467</v>
      </c>
      <c r="F202" s="1">
        <f>Tabela3[[#This Row],[Tensão (Pa)]]/1000000</f>
        <v>1.4585066539166467</v>
      </c>
    </row>
    <row r="203" spans="1:6" x14ac:dyDescent="0.3">
      <c r="A203" s="5">
        <v>22.6</v>
      </c>
      <c r="B203" s="5">
        <v>1.8759999999999999</v>
      </c>
      <c r="C203" s="1">
        <f>Tabela3[[#This Row],[Alongamento (mm/mm)]]/$I$2</f>
        <v>3.7519999999999998E-2</v>
      </c>
      <c r="D203" s="5">
        <v>46.436999999999998</v>
      </c>
      <c r="E203" s="1">
        <f>Tabela3[[#This Row],[Força (N)]]/$I$5</f>
        <v>1480181.6877838871</v>
      </c>
      <c r="F203" s="1">
        <f>Tabela3[[#This Row],[Tensão (Pa)]]/1000000</f>
        <v>1.4801816877838871</v>
      </c>
    </row>
    <row r="204" spans="1:6" x14ac:dyDescent="0.3">
      <c r="A204" s="5">
        <v>22.7</v>
      </c>
      <c r="B204" s="5">
        <v>1.8843000000000001</v>
      </c>
      <c r="C204" s="1">
        <f>Tabela3[[#This Row],[Alongamento (mm/mm)]]/$I$2</f>
        <v>3.7686000000000004E-2</v>
      </c>
      <c r="D204" s="5">
        <v>47.116999999999997</v>
      </c>
      <c r="E204" s="1">
        <f>Tabela3[[#This Row],[Força (N)]]/$I$5</f>
        <v>1501856.7216511276</v>
      </c>
      <c r="F204" s="1">
        <f>Tabela3[[#This Row],[Tensão (Pa)]]/1000000</f>
        <v>1.5018567216511276</v>
      </c>
    </row>
    <row r="205" spans="1:6" x14ac:dyDescent="0.3">
      <c r="A205" s="5">
        <v>22.8</v>
      </c>
      <c r="B205" s="5">
        <v>1.8927</v>
      </c>
      <c r="C205" s="1">
        <f>Tabela3[[#This Row],[Alongamento (mm/mm)]]/$I$2</f>
        <v>3.7853999999999999E-2</v>
      </c>
      <c r="D205" s="5">
        <v>47.798000000000002</v>
      </c>
      <c r="E205" s="1">
        <f>Tabela3[[#This Row],[Força (N)]]/$I$5</f>
        <v>1523563.630568173</v>
      </c>
      <c r="F205" s="1">
        <f>Tabela3[[#This Row],[Tensão (Pa)]]/1000000</f>
        <v>1.523563630568173</v>
      </c>
    </row>
    <row r="206" spans="1:6" x14ac:dyDescent="0.3">
      <c r="A206" s="5">
        <v>22.9</v>
      </c>
      <c r="B206" s="5">
        <v>1.901</v>
      </c>
      <c r="C206" s="1">
        <f>Tabela3[[#This Row],[Alongamento (mm/mm)]]/$I$2</f>
        <v>3.8019999999999998E-2</v>
      </c>
      <c r="D206" s="5">
        <v>48.478000000000002</v>
      </c>
      <c r="E206" s="1">
        <f>Tabela3[[#This Row],[Força (N)]]/$I$5</f>
        <v>1545238.6644354134</v>
      </c>
      <c r="F206" s="1">
        <f>Tabela3[[#This Row],[Tensão (Pa)]]/1000000</f>
        <v>1.5452386644354135</v>
      </c>
    </row>
    <row r="207" spans="1:6" x14ac:dyDescent="0.3">
      <c r="A207" s="5">
        <v>23.016999999999999</v>
      </c>
      <c r="B207" s="5">
        <v>1.9108000000000001</v>
      </c>
      <c r="C207" s="1">
        <f>Tabela3[[#This Row],[Alongamento (mm/mm)]]/$I$2</f>
        <v>3.8216E-2</v>
      </c>
      <c r="D207" s="5">
        <v>49.158999999999999</v>
      </c>
      <c r="E207" s="1">
        <f>Tabela3[[#This Row],[Força (N)]]/$I$5</f>
        <v>1566945.5733524584</v>
      </c>
      <c r="F207" s="1">
        <f>Tabela3[[#This Row],[Tensão (Pa)]]/1000000</f>
        <v>1.5669455733524584</v>
      </c>
    </row>
    <row r="208" spans="1:6" x14ac:dyDescent="0.3">
      <c r="A208" s="5">
        <v>23.117000000000001</v>
      </c>
      <c r="B208" s="5">
        <v>1.919</v>
      </c>
      <c r="C208" s="1">
        <f>Tabela3[[#This Row],[Alongamento (mm/mm)]]/$I$2</f>
        <v>3.8379999999999997E-2</v>
      </c>
      <c r="D208" s="5">
        <v>49.838999999999999</v>
      </c>
      <c r="E208" s="1">
        <f>Tabela3[[#This Row],[Força (N)]]/$I$5</f>
        <v>1588620.6072196988</v>
      </c>
      <c r="F208" s="1">
        <f>Tabela3[[#This Row],[Tensão (Pa)]]/1000000</f>
        <v>1.5886206072196989</v>
      </c>
    </row>
    <row r="209" spans="1:6" x14ac:dyDescent="0.3">
      <c r="A209" s="5">
        <v>23.233000000000001</v>
      </c>
      <c r="B209" s="5">
        <v>1.9287000000000001</v>
      </c>
      <c r="C209" s="1">
        <f>Tabela3[[#This Row],[Alongamento (mm/mm)]]/$I$2</f>
        <v>3.8574000000000004E-2</v>
      </c>
      <c r="D209" s="5">
        <v>50.518999999999998</v>
      </c>
      <c r="E209" s="1">
        <f>Tabela3[[#This Row],[Força (N)]]/$I$5</f>
        <v>1610295.6410869393</v>
      </c>
      <c r="F209" s="1">
        <f>Tabela3[[#This Row],[Tensão (Pa)]]/1000000</f>
        <v>1.6102956410869393</v>
      </c>
    </row>
    <row r="210" spans="1:6" x14ac:dyDescent="0.3">
      <c r="A210" s="5">
        <v>23.332999999999998</v>
      </c>
      <c r="B210" s="5">
        <v>1.9371</v>
      </c>
      <c r="C210" s="1">
        <f>Tabela3[[#This Row],[Alongamento (mm/mm)]]/$I$2</f>
        <v>3.8741999999999999E-2</v>
      </c>
      <c r="D210" s="5">
        <v>51.2</v>
      </c>
      <c r="E210" s="1">
        <f>Tabela3[[#This Row],[Força (N)]]/$I$5</f>
        <v>1632002.5500039845</v>
      </c>
      <c r="F210" s="1">
        <f>Tabela3[[#This Row],[Tensão (Pa)]]/1000000</f>
        <v>1.6320025500039845</v>
      </c>
    </row>
    <row r="211" spans="1:6" x14ac:dyDescent="0.3">
      <c r="A211" s="5">
        <v>23.433</v>
      </c>
      <c r="B211" s="5">
        <v>1.9454</v>
      </c>
      <c r="C211" s="1">
        <f>Tabela3[[#This Row],[Alongamento (mm/mm)]]/$I$2</f>
        <v>3.8907999999999998E-2</v>
      </c>
      <c r="D211" s="5">
        <v>51.88</v>
      </c>
      <c r="E211" s="1">
        <f>Tabela3[[#This Row],[Força (N)]]/$I$5</f>
        <v>1653677.5838712249</v>
      </c>
      <c r="F211" s="1">
        <f>Tabela3[[#This Row],[Tensão (Pa)]]/1000000</f>
        <v>1.653677583871225</v>
      </c>
    </row>
    <row r="212" spans="1:6" x14ac:dyDescent="0.3">
      <c r="A212" s="5">
        <v>23.55</v>
      </c>
      <c r="B212" s="5">
        <v>1.9551000000000001</v>
      </c>
      <c r="C212" s="1">
        <f>Tabela3[[#This Row],[Alongamento (mm/mm)]]/$I$2</f>
        <v>3.9101999999999998E-2</v>
      </c>
      <c r="D212" s="5">
        <v>52.561</v>
      </c>
      <c r="E212" s="1">
        <f>Tabela3[[#This Row],[Força (N)]]/$I$5</f>
        <v>1675384.4927882701</v>
      </c>
      <c r="F212" s="1">
        <f>Tabela3[[#This Row],[Tensão (Pa)]]/1000000</f>
        <v>1.6753844927882702</v>
      </c>
    </row>
    <row r="213" spans="1:6" x14ac:dyDescent="0.3">
      <c r="A213" s="5">
        <v>23.632999999999999</v>
      </c>
      <c r="B213" s="5">
        <v>1.9621</v>
      </c>
      <c r="C213" s="1">
        <f>Tabela3[[#This Row],[Alongamento (mm/mm)]]/$I$2</f>
        <v>3.9241999999999999E-2</v>
      </c>
      <c r="D213" s="5">
        <v>53.241</v>
      </c>
      <c r="E213" s="1">
        <f>Tabela3[[#This Row],[Força (N)]]/$I$5</f>
        <v>1697059.5266555105</v>
      </c>
      <c r="F213" s="1">
        <f>Tabela3[[#This Row],[Tensão (Pa)]]/1000000</f>
        <v>1.6970595266555106</v>
      </c>
    </row>
    <row r="214" spans="1:6" x14ac:dyDescent="0.3">
      <c r="A214" s="5">
        <v>23.733000000000001</v>
      </c>
      <c r="B214" s="5">
        <v>1.9703999999999999</v>
      </c>
      <c r="C214" s="1">
        <f>Tabela3[[#This Row],[Alongamento (mm/mm)]]/$I$2</f>
        <v>3.9407999999999999E-2</v>
      </c>
      <c r="D214" s="5">
        <v>53.920999999999999</v>
      </c>
      <c r="E214" s="1">
        <f>Tabela3[[#This Row],[Força (N)]]/$I$5</f>
        <v>1718734.560522751</v>
      </c>
      <c r="F214" s="1">
        <f>Tabela3[[#This Row],[Tensão (Pa)]]/1000000</f>
        <v>1.7187345605227509</v>
      </c>
    </row>
    <row r="215" spans="1:6" x14ac:dyDescent="0.3">
      <c r="A215" s="5">
        <v>23.832999999999998</v>
      </c>
      <c r="B215" s="5">
        <v>1.9787999999999999</v>
      </c>
      <c r="C215" s="1">
        <f>Tabela3[[#This Row],[Alongamento (mm/mm)]]/$I$2</f>
        <v>3.9576E-2</v>
      </c>
      <c r="D215" s="5">
        <v>54.601999999999997</v>
      </c>
      <c r="E215" s="1">
        <f>Tabela3[[#This Row],[Força (N)]]/$I$5</f>
        <v>1740441.4694397959</v>
      </c>
      <c r="F215" s="1">
        <f>Tabela3[[#This Row],[Tensão (Pa)]]/1000000</f>
        <v>1.7404414694397958</v>
      </c>
    </row>
    <row r="216" spans="1:6" x14ac:dyDescent="0.3">
      <c r="A216" s="5">
        <v>23.933</v>
      </c>
      <c r="B216" s="5">
        <v>1.9871000000000001</v>
      </c>
      <c r="C216" s="1">
        <f>Tabela3[[#This Row],[Alongamento (mm/mm)]]/$I$2</f>
        <v>3.9742E-2</v>
      </c>
      <c r="D216" s="5">
        <v>55.281999999999996</v>
      </c>
      <c r="E216" s="1">
        <f>Tabela3[[#This Row],[Força (N)]]/$I$5</f>
        <v>1762116.5033070364</v>
      </c>
      <c r="F216" s="1">
        <f>Tabela3[[#This Row],[Tensão (Pa)]]/1000000</f>
        <v>1.7621165033070363</v>
      </c>
    </row>
    <row r="217" spans="1:6" x14ac:dyDescent="0.3">
      <c r="A217" s="5">
        <v>24.05</v>
      </c>
      <c r="B217" s="5">
        <v>1.9966999999999999</v>
      </c>
      <c r="C217" s="1">
        <f>Tabela3[[#This Row],[Alongamento (mm/mm)]]/$I$2</f>
        <v>3.9933999999999997E-2</v>
      </c>
      <c r="D217" s="5">
        <v>55.963000000000001</v>
      </c>
      <c r="E217" s="1">
        <f>Tabela3[[#This Row],[Força (N)]]/$I$5</f>
        <v>1783823.4122240818</v>
      </c>
      <c r="F217" s="1">
        <f>Tabela3[[#This Row],[Tensão (Pa)]]/1000000</f>
        <v>1.7838234122240819</v>
      </c>
    </row>
    <row r="218" spans="1:6" x14ac:dyDescent="0.3">
      <c r="A218" s="5">
        <v>24.15</v>
      </c>
      <c r="B218" s="5">
        <v>2.0051000000000001</v>
      </c>
      <c r="C218" s="1">
        <f>Tabela3[[#This Row],[Alongamento (mm/mm)]]/$I$2</f>
        <v>4.0101999999999999E-2</v>
      </c>
      <c r="D218" s="5">
        <v>56.643000000000001</v>
      </c>
      <c r="E218" s="1">
        <f>Tabela3[[#This Row],[Força (N)]]/$I$5</f>
        <v>1805498.4460913222</v>
      </c>
      <c r="F218" s="1">
        <f>Tabela3[[#This Row],[Tensão (Pa)]]/1000000</f>
        <v>1.8054984460913222</v>
      </c>
    </row>
    <row r="219" spans="1:6" x14ac:dyDescent="0.3">
      <c r="A219" s="5">
        <v>24.25</v>
      </c>
      <c r="B219" s="5">
        <v>2.0135000000000001</v>
      </c>
      <c r="C219" s="1">
        <f>Tabela3[[#This Row],[Alongamento (mm/mm)]]/$I$2</f>
        <v>4.027E-2</v>
      </c>
      <c r="D219" s="5">
        <v>57.323</v>
      </c>
      <c r="E219" s="1">
        <f>Tabela3[[#This Row],[Força (N)]]/$I$5</f>
        <v>1827173.4799585626</v>
      </c>
      <c r="F219" s="1">
        <f>Tabela3[[#This Row],[Tensão (Pa)]]/1000000</f>
        <v>1.8271734799585626</v>
      </c>
    </row>
    <row r="220" spans="1:6" x14ac:dyDescent="0.3">
      <c r="A220" s="5">
        <v>24.35</v>
      </c>
      <c r="B220" s="5">
        <v>2.0217999999999998</v>
      </c>
      <c r="C220" s="1">
        <f>Tabela3[[#This Row],[Alongamento (mm/mm)]]/$I$2</f>
        <v>4.0436E-2</v>
      </c>
      <c r="D220" s="5">
        <v>58.003999999999998</v>
      </c>
      <c r="E220" s="1">
        <f>Tabela3[[#This Row],[Força (N)]]/$I$5</f>
        <v>1848880.3888756076</v>
      </c>
      <c r="F220" s="1">
        <f>Tabela3[[#This Row],[Tensão (Pa)]]/1000000</f>
        <v>1.8488803888756076</v>
      </c>
    </row>
    <row r="221" spans="1:6" x14ac:dyDescent="0.3">
      <c r="A221" s="5">
        <v>24.45</v>
      </c>
      <c r="B221" s="5">
        <v>2.0301999999999998</v>
      </c>
      <c r="C221" s="1">
        <f>Tabela3[[#This Row],[Alongamento (mm/mm)]]/$I$2</f>
        <v>4.0603999999999994E-2</v>
      </c>
      <c r="D221" s="5">
        <v>58.683999999999997</v>
      </c>
      <c r="E221" s="1">
        <f>Tabela3[[#This Row],[Força (N)]]/$I$5</f>
        <v>1870555.4227428481</v>
      </c>
      <c r="F221" s="1">
        <f>Tabela3[[#This Row],[Tensão (Pa)]]/1000000</f>
        <v>1.870555422742848</v>
      </c>
    </row>
    <row r="222" spans="1:6" x14ac:dyDescent="0.3">
      <c r="A222" s="5">
        <v>24.567</v>
      </c>
      <c r="B222" s="5">
        <v>2.0398999999999998</v>
      </c>
      <c r="C222" s="1">
        <f>Tabela3[[#This Row],[Alongamento (mm/mm)]]/$I$2</f>
        <v>4.0797999999999994E-2</v>
      </c>
      <c r="D222" s="5">
        <v>59.363999999999997</v>
      </c>
      <c r="E222" s="1">
        <f>Tabela3[[#This Row],[Força (N)]]/$I$5</f>
        <v>1892230.4566100885</v>
      </c>
      <c r="F222" s="1">
        <f>Tabela3[[#This Row],[Tensão (Pa)]]/1000000</f>
        <v>1.8922304566100885</v>
      </c>
    </row>
    <row r="223" spans="1:6" x14ac:dyDescent="0.3">
      <c r="A223" s="5">
        <v>24.667000000000002</v>
      </c>
      <c r="B223" s="5">
        <v>2.0482</v>
      </c>
      <c r="C223" s="1">
        <f>Tabela3[[#This Row],[Alongamento (mm/mm)]]/$I$2</f>
        <v>4.0964E-2</v>
      </c>
      <c r="D223" s="5">
        <v>60.045000000000002</v>
      </c>
      <c r="E223" s="1">
        <f>Tabela3[[#This Row],[Força (N)]]/$I$5</f>
        <v>1913937.3655271337</v>
      </c>
      <c r="F223" s="1">
        <f>Tabela3[[#This Row],[Tensão (Pa)]]/1000000</f>
        <v>1.9139373655271337</v>
      </c>
    </row>
    <row r="224" spans="1:6" x14ac:dyDescent="0.3">
      <c r="A224" s="5">
        <v>24.766999999999999</v>
      </c>
      <c r="B224" s="5">
        <v>2.0566</v>
      </c>
      <c r="C224" s="1">
        <f>Tabela3[[#This Row],[Alongamento (mm/mm)]]/$I$2</f>
        <v>4.1132000000000002E-2</v>
      </c>
      <c r="D224" s="5">
        <v>60.725000000000001</v>
      </c>
      <c r="E224" s="1">
        <f>Tabela3[[#This Row],[Força (N)]]/$I$5</f>
        <v>1935612.3993943741</v>
      </c>
      <c r="F224" s="1">
        <f>Tabela3[[#This Row],[Tensão (Pa)]]/1000000</f>
        <v>1.9356123993943741</v>
      </c>
    </row>
    <row r="225" spans="1:6" x14ac:dyDescent="0.3">
      <c r="A225" s="5">
        <v>24.882999999999999</v>
      </c>
      <c r="B225" s="5">
        <v>2.0663</v>
      </c>
      <c r="C225" s="1">
        <f>Tabela3[[#This Row],[Alongamento (mm/mm)]]/$I$2</f>
        <v>4.1326000000000002E-2</v>
      </c>
      <c r="D225" s="5">
        <v>61.405999999999999</v>
      </c>
      <c r="E225" s="1">
        <f>Tabela3[[#This Row],[Força (N)]]/$I$5</f>
        <v>1957319.3083114193</v>
      </c>
      <c r="F225" s="1">
        <f>Tabela3[[#This Row],[Tensão (Pa)]]/1000000</f>
        <v>1.9573193083114193</v>
      </c>
    </row>
    <row r="226" spans="1:6" x14ac:dyDescent="0.3">
      <c r="A226" s="5">
        <v>24.983000000000001</v>
      </c>
      <c r="B226" s="5">
        <v>2.0745</v>
      </c>
      <c r="C226" s="1">
        <f>Tabela3[[#This Row],[Alongamento (mm/mm)]]/$I$2</f>
        <v>4.1489999999999999E-2</v>
      </c>
      <c r="D226" s="5">
        <v>62.085999999999999</v>
      </c>
      <c r="E226" s="1">
        <f>Tabela3[[#This Row],[Força (N)]]/$I$5</f>
        <v>1978994.3421786597</v>
      </c>
      <c r="F226" s="1">
        <f>Tabela3[[#This Row],[Tensão (Pa)]]/1000000</f>
        <v>1.9789943421786598</v>
      </c>
    </row>
    <row r="227" spans="1:6" x14ac:dyDescent="0.3">
      <c r="A227" s="5">
        <v>25.1</v>
      </c>
      <c r="B227" s="5">
        <v>2.0842999999999998</v>
      </c>
      <c r="C227" s="1">
        <f>Tabela3[[#This Row],[Alongamento (mm/mm)]]/$I$2</f>
        <v>4.1685999999999994E-2</v>
      </c>
      <c r="D227" s="5">
        <v>62.765999999999998</v>
      </c>
      <c r="E227" s="1">
        <f>Tabela3[[#This Row],[Força (N)]]/$I$5</f>
        <v>2000669.3760459002</v>
      </c>
      <c r="F227" s="1">
        <f>Tabela3[[#This Row],[Tensão (Pa)]]/1000000</f>
        <v>2.0006693760459</v>
      </c>
    </row>
    <row r="228" spans="1:6" x14ac:dyDescent="0.3">
      <c r="A228" s="5">
        <v>25.216999999999999</v>
      </c>
      <c r="B228" s="5">
        <v>2.0941000000000001</v>
      </c>
      <c r="C228" s="1">
        <f>Tabela3[[#This Row],[Alongamento (mm/mm)]]/$I$2</f>
        <v>4.1882000000000003E-2</v>
      </c>
      <c r="D228" s="5">
        <v>63.447000000000003</v>
      </c>
      <c r="E228" s="1">
        <f>Tabela3[[#This Row],[Força (N)]]/$I$5</f>
        <v>2022376.2849629454</v>
      </c>
      <c r="F228" s="1">
        <f>Tabela3[[#This Row],[Tensão (Pa)]]/1000000</f>
        <v>2.0223762849629452</v>
      </c>
    </row>
    <row r="229" spans="1:6" x14ac:dyDescent="0.3">
      <c r="A229" s="5">
        <v>25.317</v>
      </c>
      <c r="B229" s="5">
        <v>2.1025</v>
      </c>
      <c r="C229" s="1">
        <f>Tabela3[[#This Row],[Alongamento (mm/mm)]]/$I$2</f>
        <v>4.2050000000000004E-2</v>
      </c>
      <c r="D229" s="5">
        <v>64.126999999999995</v>
      </c>
      <c r="E229" s="1">
        <f>Tabela3[[#This Row],[Força (N)]]/$I$5</f>
        <v>2044051.3188301856</v>
      </c>
      <c r="F229" s="1">
        <f>Tabela3[[#This Row],[Tensão (Pa)]]/1000000</f>
        <v>2.0440513188301854</v>
      </c>
    </row>
    <row r="230" spans="1:6" x14ac:dyDescent="0.3">
      <c r="A230" s="5">
        <v>25.417000000000002</v>
      </c>
      <c r="B230" s="5">
        <v>2.1105999999999998</v>
      </c>
      <c r="C230" s="1">
        <f>Tabela3[[#This Row],[Alongamento (mm/mm)]]/$I$2</f>
        <v>4.2212E-2</v>
      </c>
      <c r="D230" s="5">
        <v>64.808000000000007</v>
      </c>
      <c r="E230" s="1">
        <f>Tabela3[[#This Row],[Força (N)]]/$I$5</f>
        <v>2065758.2277472313</v>
      </c>
      <c r="F230" s="1">
        <f>Tabela3[[#This Row],[Tensão (Pa)]]/1000000</f>
        <v>2.0657582277472311</v>
      </c>
    </row>
    <row r="231" spans="1:6" x14ac:dyDescent="0.3">
      <c r="A231" s="5">
        <v>25.5</v>
      </c>
      <c r="B231" s="5">
        <v>2.1175999999999999</v>
      </c>
      <c r="C231" s="1">
        <f>Tabela3[[#This Row],[Alongamento (mm/mm)]]/$I$2</f>
        <v>4.2352000000000001E-2</v>
      </c>
      <c r="D231" s="5">
        <v>65.488</v>
      </c>
      <c r="E231" s="1">
        <f>Tabela3[[#This Row],[Força (N)]]/$I$5</f>
        <v>2087433.2616144714</v>
      </c>
      <c r="F231" s="1">
        <f>Tabela3[[#This Row],[Tensão (Pa)]]/1000000</f>
        <v>2.0874332616144713</v>
      </c>
    </row>
    <row r="232" spans="1:6" x14ac:dyDescent="0.3">
      <c r="A232" s="5">
        <v>25.582999999999998</v>
      </c>
      <c r="B232" s="5">
        <v>2.1246</v>
      </c>
      <c r="C232" s="1">
        <f>Tabela3[[#This Row],[Alongamento (mm/mm)]]/$I$2</f>
        <v>4.2492000000000002E-2</v>
      </c>
      <c r="D232" s="5">
        <v>66.168000000000006</v>
      </c>
      <c r="E232" s="1">
        <f>Tabela3[[#This Row],[Força (N)]]/$I$5</f>
        <v>2109108.2954817121</v>
      </c>
      <c r="F232" s="1">
        <f>Tabela3[[#This Row],[Tensão (Pa)]]/1000000</f>
        <v>2.109108295481712</v>
      </c>
    </row>
    <row r="233" spans="1:6" x14ac:dyDescent="0.3">
      <c r="A233" s="5">
        <v>25.667000000000002</v>
      </c>
      <c r="B233" s="5">
        <v>2.1315</v>
      </c>
      <c r="C233" s="1">
        <f>Tabela3[[#This Row],[Alongamento (mm/mm)]]/$I$2</f>
        <v>4.2630000000000001E-2</v>
      </c>
      <c r="D233" s="5">
        <v>66.849000000000004</v>
      </c>
      <c r="E233" s="1">
        <f>Tabela3[[#This Row],[Força (N)]]/$I$5</f>
        <v>2130815.2043987573</v>
      </c>
      <c r="F233" s="1">
        <f>Tabela3[[#This Row],[Tensão (Pa)]]/1000000</f>
        <v>2.1308152043987572</v>
      </c>
    </row>
    <row r="234" spans="1:6" x14ac:dyDescent="0.3">
      <c r="A234" s="5">
        <v>25.75</v>
      </c>
      <c r="B234" s="5">
        <v>2.1385000000000001</v>
      </c>
      <c r="C234" s="1">
        <f>Tabela3[[#This Row],[Alongamento (mm/mm)]]/$I$2</f>
        <v>4.2770000000000002E-2</v>
      </c>
      <c r="D234" s="5">
        <v>67.528999999999996</v>
      </c>
      <c r="E234" s="1">
        <f>Tabela3[[#This Row],[Força (N)]]/$I$5</f>
        <v>2152490.2382659973</v>
      </c>
      <c r="F234" s="1">
        <f>Tabela3[[#This Row],[Tensão (Pa)]]/1000000</f>
        <v>2.1524902382659974</v>
      </c>
    </row>
    <row r="235" spans="1:6" x14ac:dyDescent="0.3">
      <c r="A235" s="5">
        <v>25.832999999999998</v>
      </c>
      <c r="B235" s="5">
        <v>2.1455000000000002</v>
      </c>
      <c r="C235" s="1">
        <f>Tabela3[[#This Row],[Alongamento (mm/mm)]]/$I$2</f>
        <v>4.2910000000000004E-2</v>
      </c>
      <c r="D235" s="5">
        <v>68.209999999999994</v>
      </c>
      <c r="E235" s="1">
        <f>Tabela3[[#This Row],[Força (N)]]/$I$5</f>
        <v>2174197.1471830425</v>
      </c>
      <c r="F235" s="1">
        <f>Tabela3[[#This Row],[Tensão (Pa)]]/1000000</f>
        <v>2.1741971471830426</v>
      </c>
    </row>
    <row r="236" spans="1:6" x14ac:dyDescent="0.3">
      <c r="A236" s="5">
        <v>25.9</v>
      </c>
      <c r="B236" s="5">
        <v>2.1509999999999998</v>
      </c>
      <c r="C236" s="1">
        <f>Tabela3[[#This Row],[Alongamento (mm/mm)]]/$I$2</f>
        <v>4.3019999999999996E-2</v>
      </c>
      <c r="D236" s="5">
        <v>68.89</v>
      </c>
      <c r="E236" s="1">
        <f>Tabela3[[#This Row],[Força (N)]]/$I$5</f>
        <v>2195872.1810502829</v>
      </c>
      <c r="F236" s="1">
        <f>Tabela3[[#This Row],[Tensão (Pa)]]/1000000</f>
        <v>2.1958721810502828</v>
      </c>
    </row>
    <row r="237" spans="1:6" x14ac:dyDescent="0.3">
      <c r="A237" s="5">
        <v>25.983000000000001</v>
      </c>
      <c r="B237" s="5">
        <v>2.1579000000000002</v>
      </c>
      <c r="C237" s="1">
        <f>Tabela3[[#This Row],[Alongamento (mm/mm)]]/$I$2</f>
        <v>4.3158000000000002E-2</v>
      </c>
      <c r="D237" s="5">
        <v>69.569999999999993</v>
      </c>
      <c r="E237" s="1">
        <f>Tabela3[[#This Row],[Força (N)]]/$I$5</f>
        <v>2217547.2149175233</v>
      </c>
      <c r="F237" s="1">
        <f>Tabela3[[#This Row],[Tensão (Pa)]]/1000000</f>
        <v>2.2175472149175235</v>
      </c>
    </row>
    <row r="238" spans="1:6" x14ac:dyDescent="0.3">
      <c r="A238" s="5">
        <v>26.067</v>
      </c>
      <c r="B238" s="5">
        <v>2.1648999999999998</v>
      </c>
      <c r="C238" s="1">
        <f>Tabela3[[#This Row],[Alongamento (mm/mm)]]/$I$2</f>
        <v>4.3297999999999996E-2</v>
      </c>
      <c r="D238" s="5">
        <v>70.251000000000005</v>
      </c>
      <c r="E238" s="1">
        <f>Tabela3[[#This Row],[Força (N)]]/$I$5</f>
        <v>2239254.1238345685</v>
      </c>
      <c r="F238" s="1">
        <f>Tabela3[[#This Row],[Tensão (Pa)]]/1000000</f>
        <v>2.2392541238345687</v>
      </c>
    </row>
    <row r="239" spans="1:6" x14ac:dyDescent="0.3">
      <c r="A239" s="5">
        <v>26.15</v>
      </c>
      <c r="B239" s="5">
        <v>2.1718000000000002</v>
      </c>
      <c r="C239" s="1">
        <f>Tabela3[[#This Row],[Alongamento (mm/mm)]]/$I$2</f>
        <v>4.3436000000000002E-2</v>
      </c>
      <c r="D239" s="5">
        <v>70.930999999999997</v>
      </c>
      <c r="E239" s="1">
        <f>Tabela3[[#This Row],[Força (N)]]/$I$5</f>
        <v>2260929.157701809</v>
      </c>
      <c r="F239" s="1">
        <f>Tabela3[[#This Row],[Tensão (Pa)]]/1000000</f>
        <v>2.2609291577018089</v>
      </c>
    </row>
    <row r="240" spans="1:6" x14ac:dyDescent="0.3">
      <c r="A240" s="5">
        <v>26.233000000000001</v>
      </c>
      <c r="B240" s="5">
        <v>2.1787999999999998</v>
      </c>
      <c r="C240" s="1">
        <f>Tabela3[[#This Row],[Alongamento (mm/mm)]]/$I$2</f>
        <v>4.3575999999999997E-2</v>
      </c>
      <c r="D240" s="5">
        <v>71.611999999999995</v>
      </c>
      <c r="E240" s="1">
        <f>Tabela3[[#This Row],[Força (N)]]/$I$5</f>
        <v>2282636.0666188542</v>
      </c>
      <c r="F240" s="1">
        <f>Tabela3[[#This Row],[Tensão (Pa)]]/1000000</f>
        <v>2.2826360666188541</v>
      </c>
    </row>
    <row r="241" spans="1:6" x14ac:dyDescent="0.3">
      <c r="A241" s="5">
        <v>26.317</v>
      </c>
      <c r="B241" s="5">
        <v>2.1857000000000002</v>
      </c>
      <c r="C241" s="1">
        <f>Tabela3[[#This Row],[Alongamento (mm/mm)]]/$I$2</f>
        <v>4.3714000000000003E-2</v>
      </c>
      <c r="D241" s="5">
        <v>72.292000000000002</v>
      </c>
      <c r="E241" s="1">
        <f>Tabela3[[#This Row],[Força (N)]]/$I$5</f>
        <v>2304311.1004860946</v>
      </c>
      <c r="F241" s="1">
        <f>Tabela3[[#This Row],[Tensão (Pa)]]/1000000</f>
        <v>2.3043111004860948</v>
      </c>
    </row>
    <row r="242" spans="1:6" x14ac:dyDescent="0.3">
      <c r="A242" s="5">
        <v>26.4</v>
      </c>
      <c r="B242" s="5">
        <v>2.1926000000000001</v>
      </c>
      <c r="C242" s="1">
        <f>Tabela3[[#This Row],[Alongamento (mm/mm)]]/$I$2</f>
        <v>4.3852000000000002E-2</v>
      </c>
      <c r="D242" s="5">
        <v>72.971999999999994</v>
      </c>
      <c r="E242" s="1">
        <f>Tabela3[[#This Row],[Força (N)]]/$I$5</f>
        <v>2325986.134353335</v>
      </c>
      <c r="F242" s="1">
        <f>Tabela3[[#This Row],[Tensão (Pa)]]/1000000</f>
        <v>2.325986134353335</v>
      </c>
    </row>
    <row r="243" spans="1:6" x14ac:dyDescent="0.3">
      <c r="A243" s="5">
        <v>26.466999999999999</v>
      </c>
      <c r="B243" s="5">
        <v>2.1981000000000002</v>
      </c>
      <c r="C243" s="1">
        <f>Tabela3[[#This Row],[Alongamento (mm/mm)]]/$I$2</f>
        <v>4.3962000000000001E-2</v>
      </c>
      <c r="D243" s="5">
        <v>73.653000000000006</v>
      </c>
      <c r="E243" s="1">
        <f>Tabela3[[#This Row],[Força (N)]]/$I$5</f>
        <v>2347693.0432703802</v>
      </c>
      <c r="F243" s="1">
        <f>Tabela3[[#This Row],[Tensão (Pa)]]/1000000</f>
        <v>2.3476930432703802</v>
      </c>
    </row>
    <row r="244" spans="1:6" x14ac:dyDescent="0.3">
      <c r="A244" s="5">
        <v>26.55</v>
      </c>
      <c r="B244" s="5">
        <v>2.2050999999999998</v>
      </c>
      <c r="C244" s="1">
        <f>Tabela3[[#This Row],[Alongamento (mm/mm)]]/$I$2</f>
        <v>4.4101999999999995E-2</v>
      </c>
      <c r="D244" s="5">
        <v>74.332999999999998</v>
      </c>
      <c r="E244" s="1">
        <f>Tabela3[[#This Row],[Força (N)]]/$I$5</f>
        <v>2369368.0771376207</v>
      </c>
      <c r="F244" s="1">
        <f>Tabela3[[#This Row],[Tensão (Pa)]]/1000000</f>
        <v>2.3693680771376204</v>
      </c>
    </row>
    <row r="245" spans="1:6" x14ac:dyDescent="0.3">
      <c r="A245" s="5">
        <v>26.632999999999999</v>
      </c>
      <c r="B245" s="5">
        <v>2.2121</v>
      </c>
      <c r="C245" s="1">
        <f>Tabela3[[#This Row],[Alongamento (mm/mm)]]/$I$2</f>
        <v>4.4241999999999997E-2</v>
      </c>
      <c r="D245" s="5">
        <v>75.013999999999996</v>
      </c>
      <c r="E245" s="1">
        <f>Tabela3[[#This Row],[Força (N)]]/$I$5</f>
        <v>2391074.9860546659</v>
      </c>
      <c r="F245" s="1">
        <f>Tabela3[[#This Row],[Tensão (Pa)]]/1000000</f>
        <v>2.3910749860546661</v>
      </c>
    </row>
    <row r="246" spans="1:6" x14ac:dyDescent="0.3">
      <c r="A246" s="5">
        <v>26.716999999999999</v>
      </c>
      <c r="B246" s="5">
        <v>2.2189999999999999</v>
      </c>
      <c r="C246" s="1">
        <f>Tabela3[[#This Row],[Alongamento (mm/mm)]]/$I$2</f>
        <v>4.4379999999999996E-2</v>
      </c>
      <c r="D246" s="5">
        <v>75.694000000000003</v>
      </c>
      <c r="E246" s="1">
        <f>Tabela3[[#This Row],[Força (N)]]/$I$5</f>
        <v>2412750.0199219063</v>
      </c>
      <c r="F246" s="1">
        <f>Tabela3[[#This Row],[Tensão (Pa)]]/1000000</f>
        <v>2.4127500199219063</v>
      </c>
    </row>
    <row r="247" spans="1:6" x14ac:dyDescent="0.3">
      <c r="A247" s="5">
        <v>26.8</v>
      </c>
      <c r="B247" s="5">
        <v>2.226</v>
      </c>
      <c r="C247" s="1">
        <f>Tabela3[[#This Row],[Alongamento (mm/mm)]]/$I$2</f>
        <v>4.4519999999999997E-2</v>
      </c>
      <c r="D247" s="5">
        <v>76.373999999999995</v>
      </c>
      <c r="E247" s="1">
        <f>Tabela3[[#This Row],[Força (N)]]/$I$5</f>
        <v>2434425.0537891467</v>
      </c>
      <c r="F247" s="1">
        <f>Tabela3[[#This Row],[Tensão (Pa)]]/1000000</f>
        <v>2.4344250537891465</v>
      </c>
    </row>
    <row r="248" spans="1:6" x14ac:dyDescent="0.3">
      <c r="A248" s="5">
        <v>26.882999999999999</v>
      </c>
      <c r="B248" s="5">
        <v>2.2328999999999999</v>
      </c>
      <c r="C248" s="1">
        <f>Tabela3[[#This Row],[Alongamento (mm/mm)]]/$I$2</f>
        <v>4.4657999999999996E-2</v>
      </c>
      <c r="D248" s="5">
        <v>77.055000000000007</v>
      </c>
      <c r="E248" s="1">
        <f>Tabela3[[#This Row],[Força (N)]]/$I$5</f>
        <v>2456131.9627061919</v>
      </c>
      <c r="F248" s="1">
        <f>Tabela3[[#This Row],[Tensão (Pa)]]/1000000</f>
        <v>2.4561319627061917</v>
      </c>
    </row>
    <row r="249" spans="1:6" x14ac:dyDescent="0.3">
      <c r="A249" s="5">
        <v>26.966999999999999</v>
      </c>
      <c r="B249" s="5">
        <v>2.2397999999999998</v>
      </c>
      <c r="C249" s="1">
        <f>Tabela3[[#This Row],[Alongamento (mm/mm)]]/$I$2</f>
        <v>4.4795999999999996E-2</v>
      </c>
      <c r="D249" s="5">
        <v>77.734999999999999</v>
      </c>
      <c r="E249" s="1">
        <f>Tabela3[[#This Row],[Força (N)]]/$I$5</f>
        <v>2477806.9965734323</v>
      </c>
      <c r="F249" s="1">
        <f>Tabela3[[#This Row],[Tensão (Pa)]]/1000000</f>
        <v>2.4778069965734324</v>
      </c>
    </row>
    <row r="250" spans="1:6" x14ac:dyDescent="0.3">
      <c r="A250" s="5">
        <v>27.033000000000001</v>
      </c>
      <c r="B250" s="5">
        <v>2.2454000000000001</v>
      </c>
      <c r="C250" s="1">
        <f>Tabela3[[#This Row],[Alongamento (mm/mm)]]/$I$2</f>
        <v>4.4908000000000003E-2</v>
      </c>
      <c r="D250" s="5">
        <v>78.415999999999997</v>
      </c>
      <c r="E250" s="1">
        <f>Tabela3[[#This Row],[Força (N)]]/$I$5</f>
        <v>2499513.9054904776</v>
      </c>
      <c r="F250" s="1">
        <f>Tabela3[[#This Row],[Tensão (Pa)]]/1000000</f>
        <v>2.4995139054904776</v>
      </c>
    </row>
    <row r="251" spans="1:6" x14ac:dyDescent="0.3">
      <c r="A251" s="5">
        <v>27.117000000000001</v>
      </c>
      <c r="B251" s="5">
        <v>2.2524000000000002</v>
      </c>
      <c r="C251" s="1">
        <f>Tabela3[[#This Row],[Alongamento (mm/mm)]]/$I$2</f>
        <v>4.5048000000000005E-2</v>
      </c>
      <c r="D251" s="5">
        <v>79.096000000000004</v>
      </c>
      <c r="E251" s="1">
        <f>Tabela3[[#This Row],[Força (N)]]/$I$5</f>
        <v>2521188.939357718</v>
      </c>
      <c r="F251" s="1">
        <f>Tabela3[[#This Row],[Tensão (Pa)]]/1000000</f>
        <v>2.5211889393577178</v>
      </c>
    </row>
    <row r="252" spans="1:6" x14ac:dyDescent="0.3">
      <c r="A252" s="5">
        <v>27.2</v>
      </c>
      <c r="B252" s="5">
        <v>2.2593999999999999</v>
      </c>
      <c r="C252" s="1">
        <f>Tabela3[[#This Row],[Alongamento (mm/mm)]]/$I$2</f>
        <v>4.5187999999999999E-2</v>
      </c>
      <c r="D252" s="5">
        <v>79.775999999999996</v>
      </c>
      <c r="E252" s="1">
        <f>Tabela3[[#This Row],[Força (N)]]/$I$5</f>
        <v>2542863.9732249584</v>
      </c>
      <c r="F252" s="1">
        <f>Tabela3[[#This Row],[Tensão (Pa)]]/1000000</f>
        <v>2.5428639732249585</v>
      </c>
    </row>
    <row r="253" spans="1:6" x14ac:dyDescent="0.3">
      <c r="A253" s="5">
        <v>27.283000000000001</v>
      </c>
      <c r="B253" s="5">
        <v>2.2662</v>
      </c>
      <c r="C253" s="1">
        <f>Tabela3[[#This Row],[Alongamento (mm/mm)]]/$I$2</f>
        <v>4.5324000000000003E-2</v>
      </c>
      <c r="D253" s="5">
        <v>80.456999999999994</v>
      </c>
      <c r="E253" s="1">
        <f>Tabela3[[#This Row],[Força (N)]]/$I$5</f>
        <v>2564570.8821420032</v>
      </c>
      <c r="F253" s="1">
        <f>Tabela3[[#This Row],[Tensão (Pa)]]/1000000</f>
        <v>2.5645708821420032</v>
      </c>
    </row>
    <row r="254" spans="1:6" x14ac:dyDescent="0.3">
      <c r="A254" s="5">
        <v>27.367000000000001</v>
      </c>
      <c r="B254" s="5">
        <v>2.2732000000000001</v>
      </c>
      <c r="C254" s="1">
        <f>Tabela3[[#This Row],[Alongamento (mm/mm)]]/$I$2</f>
        <v>4.5464000000000004E-2</v>
      </c>
      <c r="D254" s="5">
        <v>81.137</v>
      </c>
      <c r="E254" s="1">
        <f>Tabela3[[#This Row],[Força (N)]]/$I$5</f>
        <v>2586245.916009244</v>
      </c>
      <c r="F254" s="1">
        <f>Tabela3[[#This Row],[Tensão (Pa)]]/1000000</f>
        <v>2.5862459160092439</v>
      </c>
    </row>
    <row r="255" spans="1:6" x14ac:dyDescent="0.3">
      <c r="A255" s="5">
        <v>27.45</v>
      </c>
      <c r="B255" s="5">
        <v>2.2801999999999998</v>
      </c>
      <c r="C255" s="1">
        <f>Tabela3[[#This Row],[Alongamento (mm/mm)]]/$I$2</f>
        <v>4.5603999999999999E-2</v>
      </c>
      <c r="D255" s="5">
        <v>81.817999999999998</v>
      </c>
      <c r="E255" s="1">
        <f>Tabela3[[#This Row],[Força (N)]]/$I$5</f>
        <v>2607952.8249262888</v>
      </c>
      <c r="F255" s="1">
        <f>Tabela3[[#This Row],[Tensão (Pa)]]/1000000</f>
        <v>2.6079528249262887</v>
      </c>
    </row>
    <row r="256" spans="1:6" x14ac:dyDescent="0.3">
      <c r="A256" s="5">
        <v>27.55</v>
      </c>
      <c r="B256" s="5">
        <v>2.2886000000000002</v>
      </c>
      <c r="C256" s="1">
        <f>Tabela3[[#This Row],[Alongamento (mm/mm)]]/$I$2</f>
        <v>4.5772000000000007E-2</v>
      </c>
      <c r="D256" s="5">
        <v>82.498000000000005</v>
      </c>
      <c r="E256" s="1">
        <f>Tabela3[[#This Row],[Força (N)]]/$I$5</f>
        <v>2629627.8587935297</v>
      </c>
      <c r="F256" s="1">
        <f>Tabela3[[#This Row],[Tensão (Pa)]]/1000000</f>
        <v>2.6296278587935298</v>
      </c>
    </row>
    <row r="257" spans="1:6" x14ac:dyDescent="0.3">
      <c r="A257" s="5">
        <v>27.632999999999999</v>
      </c>
      <c r="B257" s="5">
        <v>2.2955000000000001</v>
      </c>
      <c r="C257" s="1">
        <f>Tabela3[[#This Row],[Alongamento (mm/mm)]]/$I$2</f>
        <v>4.5909999999999999E-2</v>
      </c>
      <c r="D257" s="5">
        <v>83.177999999999997</v>
      </c>
      <c r="E257" s="1">
        <f>Tabela3[[#This Row],[Força (N)]]/$I$5</f>
        <v>2651302.8926607696</v>
      </c>
      <c r="F257" s="1">
        <f>Tabela3[[#This Row],[Tensão (Pa)]]/1000000</f>
        <v>2.6513028926607696</v>
      </c>
    </row>
    <row r="258" spans="1:6" x14ac:dyDescent="0.3">
      <c r="A258" s="5">
        <v>27.733000000000001</v>
      </c>
      <c r="B258" s="5">
        <v>2.3037000000000001</v>
      </c>
      <c r="C258" s="1">
        <f>Tabela3[[#This Row],[Alongamento (mm/mm)]]/$I$2</f>
        <v>4.6074000000000004E-2</v>
      </c>
      <c r="D258" s="5">
        <v>83.858999999999995</v>
      </c>
      <c r="E258" s="1">
        <f>Tabela3[[#This Row],[Força (N)]]/$I$5</f>
        <v>2673009.8015778149</v>
      </c>
      <c r="F258" s="1">
        <f>Tabela3[[#This Row],[Tensão (Pa)]]/1000000</f>
        <v>2.6730098015778148</v>
      </c>
    </row>
    <row r="259" spans="1:6" x14ac:dyDescent="0.3">
      <c r="A259" s="5">
        <v>27.817</v>
      </c>
      <c r="B259" s="5">
        <v>2.3107000000000002</v>
      </c>
      <c r="C259" s="1">
        <f>Tabela3[[#This Row],[Alongamento (mm/mm)]]/$I$2</f>
        <v>4.6214000000000005E-2</v>
      </c>
      <c r="D259" s="5">
        <v>84.539000000000001</v>
      </c>
      <c r="E259" s="1">
        <f>Tabela3[[#This Row],[Força (N)]]/$I$5</f>
        <v>2694684.8354450557</v>
      </c>
      <c r="F259" s="1">
        <f>Tabela3[[#This Row],[Tensão (Pa)]]/1000000</f>
        <v>2.6946848354450559</v>
      </c>
    </row>
    <row r="260" spans="1:6" x14ac:dyDescent="0.3">
      <c r="A260" s="5">
        <v>27.917000000000002</v>
      </c>
      <c r="B260" s="5">
        <v>2.319</v>
      </c>
      <c r="C260" s="1">
        <f>Tabela3[[#This Row],[Alongamento (mm/mm)]]/$I$2</f>
        <v>4.6379999999999998E-2</v>
      </c>
      <c r="D260" s="5">
        <v>85.22</v>
      </c>
      <c r="E260" s="1">
        <f>Tabela3[[#This Row],[Força (N)]]/$I$5</f>
        <v>2716391.7443621005</v>
      </c>
      <c r="F260" s="1">
        <f>Tabela3[[#This Row],[Tensão (Pa)]]/1000000</f>
        <v>2.7163917443621006</v>
      </c>
    </row>
    <row r="261" spans="1:6" x14ac:dyDescent="0.3">
      <c r="A261" s="5">
        <v>27.983000000000001</v>
      </c>
      <c r="B261" s="5">
        <v>2.3246000000000002</v>
      </c>
      <c r="C261" s="1">
        <f>Tabela3[[#This Row],[Alongamento (mm/mm)]]/$I$2</f>
        <v>4.6492000000000006E-2</v>
      </c>
      <c r="D261" s="5">
        <v>85.9</v>
      </c>
      <c r="E261" s="1">
        <f>Tabela3[[#This Row],[Força (N)]]/$I$5</f>
        <v>2738066.7782293414</v>
      </c>
      <c r="F261" s="1">
        <f>Tabela3[[#This Row],[Tensão (Pa)]]/1000000</f>
        <v>2.7380667782293413</v>
      </c>
    </row>
    <row r="262" spans="1:6" x14ac:dyDescent="0.3">
      <c r="A262" s="5">
        <v>28.067</v>
      </c>
      <c r="B262" s="5">
        <v>2.3315999999999999</v>
      </c>
      <c r="C262" s="1">
        <f>Tabela3[[#This Row],[Alongamento (mm/mm)]]/$I$2</f>
        <v>4.6632E-2</v>
      </c>
      <c r="D262" s="5">
        <v>86.58</v>
      </c>
      <c r="E262" s="1">
        <f>Tabela3[[#This Row],[Força (N)]]/$I$5</f>
        <v>2759741.8120965813</v>
      </c>
      <c r="F262" s="1">
        <f>Tabela3[[#This Row],[Tensão (Pa)]]/1000000</f>
        <v>2.7597418120965815</v>
      </c>
    </row>
    <row r="263" spans="1:6" x14ac:dyDescent="0.3">
      <c r="A263" s="5">
        <v>28.15</v>
      </c>
      <c r="B263" s="5">
        <v>2.3384999999999998</v>
      </c>
      <c r="C263" s="1">
        <f>Tabela3[[#This Row],[Alongamento (mm/mm)]]/$I$2</f>
        <v>4.6769999999999999E-2</v>
      </c>
      <c r="D263" s="5">
        <v>87.260999999999996</v>
      </c>
      <c r="E263" s="1">
        <f>Tabela3[[#This Row],[Força (N)]]/$I$5</f>
        <v>2781448.7210136265</v>
      </c>
      <c r="F263" s="1">
        <f>Tabela3[[#This Row],[Tensão (Pa)]]/1000000</f>
        <v>2.7814487210136267</v>
      </c>
    </row>
    <row r="264" spans="1:6" x14ac:dyDescent="0.3">
      <c r="A264" s="5">
        <v>28.233000000000001</v>
      </c>
      <c r="B264" s="5">
        <v>2.3454000000000002</v>
      </c>
      <c r="C264" s="1">
        <f>Tabela3[[#This Row],[Alongamento (mm/mm)]]/$I$2</f>
        <v>4.6908000000000005E-2</v>
      </c>
      <c r="D264" s="5">
        <v>87.941000000000003</v>
      </c>
      <c r="E264" s="1">
        <f>Tabela3[[#This Row],[Força (N)]]/$I$5</f>
        <v>2803123.7548808674</v>
      </c>
      <c r="F264" s="1">
        <f>Tabela3[[#This Row],[Tensão (Pa)]]/1000000</f>
        <v>2.8031237548808674</v>
      </c>
    </row>
    <row r="265" spans="1:6" x14ac:dyDescent="0.3">
      <c r="A265" s="5">
        <v>28.317</v>
      </c>
      <c r="B265" s="5">
        <v>2.3523999999999998</v>
      </c>
      <c r="C265" s="1">
        <f>Tabela3[[#This Row],[Alongamento (mm/mm)]]/$I$2</f>
        <v>4.7048E-2</v>
      </c>
      <c r="D265" s="5">
        <v>88.620999999999995</v>
      </c>
      <c r="E265" s="1">
        <f>Tabela3[[#This Row],[Força (N)]]/$I$5</f>
        <v>2824798.7887481074</v>
      </c>
      <c r="F265" s="1">
        <f>Tabela3[[#This Row],[Tensão (Pa)]]/1000000</f>
        <v>2.8247987887481072</v>
      </c>
    </row>
    <row r="266" spans="1:6" x14ac:dyDescent="0.3">
      <c r="A266" s="5">
        <v>28.4</v>
      </c>
      <c r="B266" s="5">
        <v>2.3593000000000002</v>
      </c>
      <c r="C266" s="1">
        <f>Tabela3[[#This Row],[Alongamento (mm/mm)]]/$I$2</f>
        <v>4.7186000000000006E-2</v>
      </c>
      <c r="D266" s="5">
        <v>89.302000000000007</v>
      </c>
      <c r="E266" s="1">
        <f>Tabela3[[#This Row],[Força (N)]]/$I$5</f>
        <v>2846505.6976651531</v>
      </c>
      <c r="F266" s="1">
        <f>Tabela3[[#This Row],[Tensão (Pa)]]/1000000</f>
        <v>2.8465056976651533</v>
      </c>
    </row>
    <row r="267" spans="1:6" x14ac:dyDescent="0.3">
      <c r="A267" s="5">
        <v>28.483000000000001</v>
      </c>
      <c r="B267" s="5">
        <v>2.3662999999999998</v>
      </c>
      <c r="C267" s="1">
        <f>Tabela3[[#This Row],[Alongamento (mm/mm)]]/$I$2</f>
        <v>4.7326E-2</v>
      </c>
      <c r="D267" s="5">
        <v>89.981999999999999</v>
      </c>
      <c r="E267" s="1">
        <f>Tabela3[[#This Row],[Força (N)]]/$I$5</f>
        <v>2868180.731532393</v>
      </c>
      <c r="F267" s="1">
        <f>Tabela3[[#This Row],[Tensão (Pa)]]/1000000</f>
        <v>2.8681807315323931</v>
      </c>
    </row>
    <row r="268" spans="1:6" x14ac:dyDescent="0.3">
      <c r="A268" s="5">
        <v>28.567</v>
      </c>
      <c r="B268" s="5">
        <v>2.3733</v>
      </c>
      <c r="C268" s="1">
        <f>Tabela3[[#This Row],[Alongamento (mm/mm)]]/$I$2</f>
        <v>4.7466000000000001E-2</v>
      </c>
      <c r="D268" s="5">
        <v>90.662999999999997</v>
      </c>
      <c r="E268" s="1">
        <f>Tabela3[[#This Row],[Força (N)]]/$I$5</f>
        <v>2889887.6404494382</v>
      </c>
      <c r="F268" s="1">
        <f>Tabela3[[#This Row],[Tensão (Pa)]]/1000000</f>
        <v>2.8898876404494382</v>
      </c>
    </row>
    <row r="269" spans="1:6" x14ac:dyDescent="0.3">
      <c r="A269" s="5">
        <v>28.632999999999999</v>
      </c>
      <c r="B269" s="5">
        <v>2.3786999999999998</v>
      </c>
      <c r="C269" s="1">
        <f>Tabela3[[#This Row],[Alongamento (mm/mm)]]/$I$2</f>
        <v>4.7573999999999998E-2</v>
      </c>
      <c r="D269" s="5">
        <v>91.343000000000004</v>
      </c>
      <c r="E269" s="1">
        <f>Tabela3[[#This Row],[Força (N)]]/$I$5</f>
        <v>2911562.6743166791</v>
      </c>
      <c r="F269" s="1">
        <f>Tabela3[[#This Row],[Tensão (Pa)]]/1000000</f>
        <v>2.9115626743166789</v>
      </c>
    </row>
    <row r="270" spans="1:6" x14ac:dyDescent="0.3">
      <c r="A270" s="5">
        <v>28.716999999999999</v>
      </c>
      <c r="B270" s="5">
        <v>2.3856999999999999</v>
      </c>
      <c r="C270" s="1">
        <f>Tabela3[[#This Row],[Alongamento (mm/mm)]]/$I$2</f>
        <v>4.7713999999999999E-2</v>
      </c>
      <c r="D270" s="5">
        <v>92.022999999999996</v>
      </c>
      <c r="E270" s="1">
        <f>Tabela3[[#This Row],[Força (N)]]/$I$5</f>
        <v>2933237.7081839191</v>
      </c>
      <c r="F270" s="1">
        <f>Tabela3[[#This Row],[Tensão (Pa)]]/1000000</f>
        <v>2.9332377081839192</v>
      </c>
    </row>
    <row r="271" spans="1:6" x14ac:dyDescent="0.3">
      <c r="A271" s="5">
        <v>28.8</v>
      </c>
      <c r="B271" s="5">
        <v>2.3925999999999998</v>
      </c>
      <c r="C271" s="1">
        <f>Tabela3[[#This Row],[Alongamento (mm/mm)]]/$I$2</f>
        <v>4.7851999999999999E-2</v>
      </c>
      <c r="D271" s="5">
        <v>92.703999999999994</v>
      </c>
      <c r="E271" s="1">
        <f>Tabela3[[#This Row],[Força (N)]]/$I$5</f>
        <v>2954944.6171009643</v>
      </c>
      <c r="F271" s="1">
        <f>Tabela3[[#This Row],[Tensão (Pa)]]/1000000</f>
        <v>2.9549446171009643</v>
      </c>
    </row>
    <row r="272" spans="1:6" x14ac:dyDescent="0.3">
      <c r="A272" s="5">
        <v>28.882999999999999</v>
      </c>
      <c r="B272" s="5">
        <v>2.3996</v>
      </c>
      <c r="C272" s="1">
        <f>Tabela3[[#This Row],[Alongamento (mm/mm)]]/$I$2</f>
        <v>4.7992E-2</v>
      </c>
      <c r="D272" s="5">
        <v>93.384</v>
      </c>
      <c r="E272" s="1">
        <f>Tabela3[[#This Row],[Força (N)]]/$I$5</f>
        <v>2976619.6509682047</v>
      </c>
      <c r="F272" s="1">
        <f>Tabela3[[#This Row],[Tensão (Pa)]]/1000000</f>
        <v>2.9766196509682046</v>
      </c>
    </row>
    <row r="273" spans="1:6" x14ac:dyDescent="0.3">
      <c r="A273" s="5">
        <v>28.966999999999999</v>
      </c>
      <c r="B273" s="5">
        <v>2.4064999999999999</v>
      </c>
      <c r="C273" s="1">
        <f>Tabela3[[#This Row],[Alongamento (mm/mm)]]/$I$2</f>
        <v>4.8129999999999999E-2</v>
      </c>
      <c r="D273" s="5">
        <v>94.064999999999998</v>
      </c>
      <c r="E273" s="1">
        <f>Tabela3[[#This Row],[Força (N)]]/$I$5</f>
        <v>2998326.5598852499</v>
      </c>
      <c r="F273" s="1">
        <f>Tabela3[[#This Row],[Tensão (Pa)]]/1000000</f>
        <v>2.9983265598852498</v>
      </c>
    </row>
    <row r="274" spans="1:6" x14ac:dyDescent="0.3">
      <c r="A274" s="5">
        <v>29.033000000000001</v>
      </c>
      <c r="B274" s="5">
        <v>2.4121000000000001</v>
      </c>
      <c r="C274" s="1">
        <f>Tabela3[[#This Row],[Alongamento (mm/mm)]]/$I$2</f>
        <v>4.8242E-2</v>
      </c>
      <c r="D274" s="5">
        <v>94.745000000000005</v>
      </c>
      <c r="E274" s="1">
        <f>Tabela3[[#This Row],[Força (N)]]/$I$5</f>
        <v>3020001.5937524904</v>
      </c>
      <c r="F274" s="1">
        <f>Tabela3[[#This Row],[Tensão (Pa)]]/1000000</f>
        <v>3.0200015937524904</v>
      </c>
    </row>
    <row r="275" spans="1:6" x14ac:dyDescent="0.3">
      <c r="A275" s="5">
        <v>29.117000000000001</v>
      </c>
      <c r="B275" s="5">
        <v>2.419</v>
      </c>
      <c r="C275" s="1">
        <f>Tabela3[[#This Row],[Alongamento (mm/mm)]]/$I$2</f>
        <v>4.8379999999999999E-2</v>
      </c>
      <c r="D275" s="5">
        <v>95.424999999999997</v>
      </c>
      <c r="E275" s="1">
        <f>Tabela3[[#This Row],[Força (N)]]/$I$5</f>
        <v>3041676.6276197308</v>
      </c>
      <c r="F275" s="1">
        <f>Tabela3[[#This Row],[Tensão (Pa)]]/1000000</f>
        <v>3.0416766276197307</v>
      </c>
    </row>
    <row r="276" spans="1:6" x14ac:dyDescent="0.3">
      <c r="A276" s="5">
        <v>29.183</v>
      </c>
      <c r="B276" s="5">
        <v>2.4245999999999999</v>
      </c>
      <c r="C276" s="1">
        <f>Tabela3[[#This Row],[Alongamento (mm/mm)]]/$I$2</f>
        <v>4.8492E-2</v>
      </c>
      <c r="D276" s="5">
        <v>96.105999999999995</v>
      </c>
      <c r="E276" s="1">
        <f>Tabela3[[#This Row],[Força (N)]]/$I$5</f>
        <v>3063383.536536776</v>
      </c>
      <c r="F276" s="1">
        <f>Tabela3[[#This Row],[Tensão (Pa)]]/1000000</f>
        <v>3.0633835365367759</v>
      </c>
    </row>
    <row r="277" spans="1:6" x14ac:dyDescent="0.3">
      <c r="A277" s="5">
        <v>29.266999999999999</v>
      </c>
      <c r="B277" s="5">
        <v>2.4315000000000002</v>
      </c>
      <c r="C277" s="1">
        <f>Tabela3[[#This Row],[Alongamento (mm/mm)]]/$I$2</f>
        <v>4.8630000000000007E-2</v>
      </c>
      <c r="D277" s="5">
        <v>96.786000000000001</v>
      </c>
      <c r="E277" s="1">
        <f>Tabela3[[#This Row],[Força (N)]]/$I$5</f>
        <v>3085058.5704040164</v>
      </c>
      <c r="F277" s="1">
        <f>Tabela3[[#This Row],[Tensão (Pa)]]/1000000</f>
        <v>3.0850585704040165</v>
      </c>
    </row>
    <row r="278" spans="1:6" x14ac:dyDescent="0.3">
      <c r="A278" s="5">
        <v>29.332999999999998</v>
      </c>
      <c r="B278" s="5">
        <v>2.4371</v>
      </c>
      <c r="C278" s="1">
        <f>Tabela3[[#This Row],[Alongamento (mm/mm)]]/$I$2</f>
        <v>4.8742000000000001E-2</v>
      </c>
      <c r="D278" s="5">
        <v>97.466999999999999</v>
      </c>
      <c r="E278" s="1">
        <f>Tabela3[[#This Row],[Força (N)]]/$I$5</f>
        <v>3106765.4793210616</v>
      </c>
      <c r="F278" s="1">
        <f>Tabela3[[#This Row],[Tensão (Pa)]]/1000000</f>
        <v>3.1067654793210617</v>
      </c>
    </row>
    <row r="279" spans="1:6" x14ac:dyDescent="0.3">
      <c r="A279" s="5">
        <v>29.417000000000002</v>
      </c>
      <c r="B279" s="5">
        <v>2.4441000000000002</v>
      </c>
      <c r="C279" s="1">
        <f>Tabela3[[#This Row],[Alongamento (mm/mm)]]/$I$2</f>
        <v>4.8882000000000002E-2</v>
      </c>
      <c r="D279" s="5">
        <v>98.147000000000006</v>
      </c>
      <c r="E279" s="1">
        <f>Tabela3[[#This Row],[Força (N)]]/$I$5</f>
        <v>3128440.5131883021</v>
      </c>
      <c r="F279" s="1">
        <f>Tabela3[[#This Row],[Tensão (Pa)]]/1000000</f>
        <v>3.128440513188302</v>
      </c>
    </row>
    <row r="280" spans="1:6" x14ac:dyDescent="0.3">
      <c r="A280" s="5">
        <v>29.483000000000001</v>
      </c>
      <c r="B280" s="5">
        <v>2.4497</v>
      </c>
      <c r="C280" s="1">
        <f>Tabela3[[#This Row],[Alongamento (mm/mm)]]/$I$2</f>
        <v>4.8994000000000003E-2</v>
      </c>
      <c r="D280" s="5">
        <v>98.826999999999998</v>
      </c>
      <c r="E280" s="1">
        <f>Tabela3[[#This Row],[Força (N)]]/$I$5</f>
        <v>3150115.5470555425</v>
      </c>
      <c r="F280" s="1">
        <f>Tabela3[[#This Row],[Tensão (Pa)]]/1000000</f>
        <v>3.1501155470555426</v>
      </c>
    </row>
    <row r="281" spans="1:6" x14ac:dyDescent="0.3">
      <c r="A281" s="5">
        <v>29.55</v>
      </c>
      <c r="B281" s="5">
        <v>2.4550999999999998</v>
      </c>
      <c r="C281" s="1">
        <f>Tabela3[[#This Row],[Alongamento (mm/mm)]]/$I$2</f>
        <v>4.9102E-2</v>
      </c>
      <c r="D281" s="5">
        <v>99.507999999999996</v>
      </c>
      <c r="E281" s="1">
        <f>Tabela3[[#This Row],[Força (N)]]/$I$5</f>
        <v>3171822.4559725877</v>
      </c>
      <c r="F281" s="1">
        <f>Tabela3[[#This Row],[Tensão (Pa)]]/1000000</f>
        <v>3.1718224559725878</v>
      </c>
    </row>
    <row r="282" spans="1:6" x14ac:dyDescent="0.3">
      <c r="A282" s="5">
        <v>29.632999999999999</v>
      </c>
      <c r="B282" s="5">
        <v>2.4620000000000002</v>
      </c>
      <c r="C282" s="1">
        <f>Tabela3[[#This Row],[Alongamento (mm/mm)]]/$I$2</f>
        <v>4.9240000000000006E-2</v>
      </c>
      <c r="D282" s="5">
        <v>100.19</v>
      </c>
      <c r="E282" s="1">
        <f>Tabela3[[#This Row],[Força (N)]]/$I$5</f>
        <v>3193561.2399394377</v>
      </c>
      <c r="F282" s="1">
        <f>Tabela3[[#This Row],[Tensão (Pa)]]/1000000</f>
        <v>3.1935612399394375</v>
      </c>
    </row>
    <row r="283" spans="1:6" x14ac:dyDescent="0.3">
      <c r="A283" s="5">
        <v>29.7</v>
      </c>
      <c r="B283" s="5">
        <v>2.4676</v>
      </c>
      <c r="C283" s="1">
        <f>Tabela3[[#This Row],[Alongamento (mm/mm)]]/$I$2</f>
        <v>4.9352E-2</v>
      </c>
      <c r="D283" s="5">
        <v>100.87</v>
      </c>
      <c r="E283" s="1">
        <f>Tabela3[[#This Row],[Força (N)]]/$I$5</f>
        <v>3215236.2738066781</v>
      </c>
      <c r="F283" s="1">
        <f>Tabela3[[#This Row],[Tensão (Pa)]]/1000000</f>
        <v>3.2152362738066782</v>
      </c>
    </row>
    <row r="284" spans="1:6" x14ac:dyDescent="0.3">
      <c r="A284" s="5">
        <v>29.766999999999999</v>
      </c>
      <c r="B284" s="5">
        <v>2.4731999999999998</v>
      </c>
      <c r="C284" s="1">
        <f>Tabela3[[#This Row],[Alongamento (mm/mm)]]/$I$2</f>
        <v>4.9463999999999994E-2</v>
      </c>
      <c r="D284" s="5">
        <v>101.55</v>
      </c>
      <c r="E284" s="1">
        <f>Tabela3[[#This Row],[Força (N)]]/$I$5</f>
        <v>3236911.3076739185</v>
      </c>
      <c r="F284" s="1">
        <f>Tabela3[[#This Row],[Tensão (Pa)]]/1000000</f>
        <v>3.2369113076739184</v>
      </c>
    </row>
    <row r="285" spans="1:6" x14ac:dyDescent="0.3">
      <c r="A285" s="5">
        <v>29.832999999999998</v>
      </c>
      <c r="B285" s="5">
        <v>2.4788000000000001</v>
      </c>
      <c r="C285" s="1">
        <f>Tabela3[[#This Row],[Alongamento (mm/mm)]]/$I$2</f>
        <v>4.9576000000000002E-2</v>
      </c>
      <c r="D285" s="5">
        <v>102.23</v>
      </c>
      <c r="E285" s="1">
        <f>Tabela3[[#This Row],[Força (N)]]/$I$5</f>
        <v>3258586.341541159</v>
      </c>
      <c r="F285" s="1">
        <f>Tabela3[[#This Row],[Tensão (Pa)]]/1000000</f>
        <v>3.2585863415411591</v>
      </c>
    </row>
    <row r="286" spans="1:6" x14ac:dyDescent="0.3">
      <c r="A286" s="5">
        <v>29.917000000000002</v>
      </c>
      <c r="B286" s="5">
        <v>2.4857</v>
      </c>
      <c r="C286" s="1">
        <f>Tabela3[[#This Row],[Alongamento (mm/mm)]]/$I$2</f>
        <v>4.9714000000000001E-2</v>
      </c>
      <c r="D286" s="5">
        <v>102.91</v>
      </c>
      <c r="E286" s="1">
        <f>Tabela3[[#This Row],[Força (N)]]/$I$5</f>
        <v>3280261.3754083994</v>
      </c>
      <c r="F286" s="1">
        <f>Tabela3[[#This Row],[Tensão (Pa)]]/1000000</f>
        <v>3.2802613754083993</v>
      </c>
    </row>
    <row r="287" spans="1:6" x14ac:dyDescent="0.3">
      <c r="A287" s="5">
        <v>29.983000000000001</v>
      </c>
      <c r="B287" s="5">
        <v>2.4912999999999998</v>
      </c>
      <c r="C287" s="1">
        <f>Tabela3[[#This Row],[Alongamento (mm/mm)]]/$I$2</f>
        <v>4.9825999999999995E-2</v>
      </c>
      <c r="D287" s="5">
        <v>103.59</v>
      </c>
      <c r="E287" s="1">
        <f>Tabela3[[#This Row],[Força (N)]]/$I$5</f>
        <v>3301936.4092756398</v>
      </c>
      <c r="F287" s="1">
        <f>Tabela3[[#This Row],[Tensão (Pa)]]/1000000</f>
        <v>3.3019364092756396</v>
      </c>
    </row>
    <row r="288" spans="1:6" x14ac:dyDescent="0.3">
      <c r="A288" s="5">
        <v>30.05</v>
      </c>
      <c r="B288" s="5">
        <v>2.4967999999999999</v>
      </c>
      <c r="C288" s="1">
        <f>Tabela3[[#This Row],[Alongamento (mm/mm)]]/$I$2</f>
        <v>4.9936000000000001E-2</v>
      </c>
      <c r="D288" s="5">
        <v>104.27</v>
      </c>
      <c r="E288" s="1">
        <f>Tabela3[[#This Row],[Força (N)]]/$I$5</f>
        <v>3323611.4431428798</v>
      </c>
      <c r="F288" s="1">
        <f>Tabela3[[#This Row],[Tensão (Pa)]]/1000000</f>
        <v>3.3236114431428798</v>
      </c>
    </row>
    <row r="289" spans="1:6" x14ac:dyDescent="0.3">
      <c r="A289" s="5">
        <v>30.132999999999999</v>
      </c>
      <c r="B289" s="5">
        <v>2.5036999999999998</v>
      </c>
      <c r="C289" s="1">
        <f>Tabela3[[#This Row],[Alongamento (mm/mm)]]/$I$2</f>
        <v>5.0073999999999994E-2</v>
      </c>
      <c r="D289" s="5">
        <v>104.95</v>
      </c>
      <c r="E289" s="1">
        <f>Tabela3[[#This Row],[Força (N)]]/$I$5</f>
        <v>3345286.4770101206</v>
      </c>
      <c r="F289" s="1">
        <f>Tabela3[[#This Row],[Tensão (Pa)]]/1000000</f>
        <v>3.3452864770101205</v>
      </c>
    </row>
    <row r="290" spans="1:6" x14ac:dyDescent="0.3">
      <c r="A290" s="5">
        <v>30.2</v>
      </c>
      <c r="B290" s="5">
        <v>2.5091999999999999</v>
      </c>
      <c r="C290" s="1">
        <f>Tabela3[[#This Row],[Alongamento (mm/mm)]]/$I$2</f>
        <v>5.0183999999999999E-2</v>
      </c>
      <c r="D290" s="5">
        <v>105.63</v>
      </c>
      <c r="E290" s="1">
        <f>Tabela3[[#This Row],[Força (N)]]/$I$5</f>
        <v>3366961.5108773606</v>
      </c>
      <c r="F290" s="1">
        <f>Tabela3[[#This Row],[Tensão (Pa)]]/1000000</f>
        <v>3.3669615108773607</v>
      </c>
    </row>
    <row r="291" spans="1:6" x14ac:dyDescent="0.3">
      <c r="A291" s="5">
        <v>30.266999999999999</v>
      </c>
      <c r="B291" s="5">
        <v>2.5148999999999999</v>
      </c>
      <c r="C291" s="1">
        <f>Tabela3[[#This Row],[Alongamento (mm/mm)]]/$I$2</f>
        <v>5.0297999999999995E-2</v>
      </c>
      <c r="D291" s="5">
        <v>106.31</v>
      </c>
      <c r="E291" s="1">
        <f>Tabela3[[#This Row],[Força (N)]]/$I$5</f>
        <v>3388636.5447446015</v>
      </c>
      <c r="F291" s="1">
        <f>Tabela3[[#This Row],[Tensão (Pa)]]/1000000</f>
        <v>3.3886365447446014</v>
      </c>
    </row>
    <row r="292" spans="1:6" x14ac:dyDescent="0.3">
      <c r="A292" s="5">
        <v>30.332999999999998</v>
      </c>
      <c r="B292" s="5">
        <v>2.5205000000000002</v>
      </c>
      <c r="C292" s="1">
        <f>Tabela3[[#This Row],[Alongamento (mm/mm)]]/$I$2</f>
        <v>5.0410000000000003E-2</v>
      </c>
      <c r="D292" s="5">
        <v>106.99</v>
      </c>
      <c r="E292" s="1">
        <f>Tabela3[[#This Row],[Força (N)]]/$I$5</f>
        <v>3410311.5786118414</v>
      </c>
      <c r="F292" s="1">
        <f>Tabela3[[#This Row],[Tensão (Pa)]]/1000000</f>
        <v>3.4103115786118416</v>
      </c>
    </row>
    <row r="293" spans="1:6" x14ac:dyDescent="0.3">
      <c r="A293" s="5">
        <v>30.4</v>
      </c>
      <c r="B293" s="5">
        <v>2.5259999999999998</v>
      </c>
      <c r="C293" s="1">
        <f>Tabela3[[#This Row],[Alongamento (mm/mm)]]/$I$2</f>
        <v>5.0519999999999995E-2</v>
      </c>
      <c r="D293" s="5">
        <v>107.67</v>
      </c>
      <c r="E293" s="1">
        <f>Tabela3[[#This Row],[Força (N)]]/$I$5</f>
        <v>3431986.6124790823</v>
      </c>
      <c r="F293" s="1">
        <f>Tabela3[[#This Row],[Tensão (Pa)]]/1000000</f>
        <v>3.4319866124790823</v>
      </c>
    </row>
    <row r="294" spans="1:6" x14ac:dyDescent="0.3">
      <c r="A294" s="5">
        <v>30.466999999999999</v>
      </c>
      <c r="B294" s="5">
        <v>2.5314999999999999</v>
      </c>
      <c r="C294" s="1">
        <f>Tabela3[[#This Row],[Alongamento (mm/mm)]]/$I$2</f>
        <v>5.0629999999999994E-2</v>
      </c>
      <c r="D294" s="5">
        <v>108.35</v>
      </c>
      <c r="E294" s="1">
        <f>Tabela3[[#This Row],[Força (N)]]/$I$5</f>
        <v>3453661.6463463223</v>
      </c>
      <c r="F294" s="1">
        <f>Tabela3[[#This Row],[Tensão (Pa)]]/1000000</f>
        <v>3.4536616463463221</v>
      </c>
    </row>
    <row r="295" spans="1:6" x14ac:dyDescent="0.3">
      <c r="A295" s="5">
        <v>30.533000000000001</v>
      </c>
      <c r="B295" s="5">
        <v>2.5371000000000001</v>
      </c>
      <c r="C295" s="1">
        <f>Tabela3[[#This Row],[Alongamento (mm/mm)]]/$I$2</f>
        <v>5.0742000000000002E-2</v>
      </c>
      <c r="D295" s="5">
        <v>109.03</v>
      </c>
      <c r="E295" s="1">
        <f>Tabela3[[#This Row],[Força (N)]]/$I$5</f>
        <v>3475336.6802135631</v>
      </c>
      <c r="F295" s="1">
        <f>Tabela3[[#This Row],[Tensão (Pa)]]/1000000</f>
        <v>3.4753366802135632</v>
      </c>
    </row>
    <row r="296" spans="1:6" x14ac:dyDescent="0.3">
      <c r="A296" s="5">
        <v>30.6</v>
      </c>
      <c r="B296" s="5">
        <v>2.5427</v>
      </c>
      <c r="C296" s="1">
        <f>Tabela3[[#This Row],[Alongamento (mm/mm)]]/$I$2</f>
        <v>5.0853999999999996E-2</v>
      </c>
      <c r="D296" s="5">
        <v>109.71</v>
      </c>
      <c r="E296" s="1">
        <f>Tabela3[[#This Row],[Força (N)]]/$I$5</f>
        <v>3497011.7140808031</v>
      </c>
      <c r="F296" s="1">
        <f>Tabela3[[#This Row],[Tensão (Pa)]]/1000000</f>
        <v>3.497011714080803</v>
      </c>
    </row>
    <row r="297" spans="1:6" x14ac:dyDescent="0.3">
      <c r="A297" s="5">
        <v>30.667000000000002</v>
      </c>
      <c r="B297" s="5">
        <v>2.5482</v>
      </c>
      <c r="C297" s="1">
        <f>Tabela3[[#This Row],[Alongamento (mm/mm)]]/$I$2</f>
        <v>5.0964000000000002E-2</v>
      </c>
      <c r="D297" s="5">
        <v>110.39</v>
      </c>
      <c r="E297" s="1">
        <f>Tabela3[[#This Row],[Força (N)]]/$I$5</f>
        <v>3518686.747948044</v>
      </c>
      <c r="F297" s="1">
        <f>Tabela3[[#This Row],[Tensão (Pa)]]/1000000</f>
        <v>3.5186867479480441</v>
      </c>
    </row>
    <row r="298" spans="1:6" x14ac:dyDescent="0.3">
      <c r="A298" s="5">
        <v>30.733000000000001</v>
      </c>
      <c r="B298" s="5">
        <v>2.5537999999999998</v>
      </c>
      <c r="C298" s="1">
        <f>Tabela3[[#This Row],[Alongamento (mm/mm)]]/$I$2</f>
        <v>5.1075999999999996E-2</v>
      </c>
      <c r="D298" s="5">
        <v>111.07</v>
      </c>
      <c r="E298" s="1">
        <f>Tabela3[[#This Row],[Força (N)]]/$I$5</f>
        <v>3540361.7818152839</v>
      </c>
      <c r="F298" s="1">
        <f>Tabela3[[#This Row],[Tensão (Pa)]]/1000000</f>
        <v>3.5403617818152839</v>
      </c>
    </row>
    <row r="299" spans="1:6" x14ac:dyDescent="0.3">
      <c r="A299" s="5">
        <v>30.8</v>
      </c>
      <c r="B299" s="5">
        <v>2.5594000000000001</v>
      </c>
      <c r="C299" s="1">
        <f>Tabela3[[#This Row],[Alongamento (mm/mm)]]/$I$2</f>
        <v>5.1188000000000004E-2</v>
      </c>
      <c r="D299" s="5">
        <v>111.75</v>
      </c>
      <c r="E299" s="1">
        <f>Tabela3[[#This Row],[Força (N)]]/$I$5</f>
        <v>3562036.8156825248</v>
      </c>
      <c r="F299" s="1">
        <f>Tabela3[[#This Row],[Tensão (Pa)]]/1000000</f>
        <v>3.5620368156825246</v>
      </c>
    </row>
    <row r="300" spans="1:6" x14ac:dyDescent="0.3">
      <c r="A300" s="5">
        <v>30.867000000000001</v>
      </c>
      <c r="B300" s="5">
        <v>2.5649000000000002</v>
      </c>
      <c r="C300" s="1">
        <f>Tabela3[[#This Row],[Alongamento (mm/mm)]]/$I$2</f>
        <v>5.1298000000000003E-2</v>
      </c>
      <c r="D300" s="5">
        <v>112.44</v>
      </c>
      <c r="E300" s="1">
        <f>Tabela3[[#This Row],[Força (N)]]/$I$5</f>
        <v>3584030.6000478128</v>
      </c>
      <c r="F300" s="1">
        <f>Tabela3[[#This Row],[Tensão (Pa)]]/1000000</f>
        <v>3.5840306000478126</v>
      </c>
    </row>
    <row r="301" spans="1:6" x14ac:dyDescent="0.3">
      <c r="A301" s="5">
        <v>30.933</v>
      </c>
      <c r="B301" s="5">
        <v>2.5703999999999998</v>
      </c>
      <c r="C301" s="1">
        <f>Tabela3[[#This Row],[Alongamento (mm/mm)]]/$I$2</f>
        <v>5.1407999999999995E-2</v>
      </c>
      <c r="D301" s="5">
        <v>113.12</v>
      </c>
      <c r="E301" s="1">
        <f>Tabela3[[#This Row],[Força (N)]]/$I$5</f>
        <v>3605705.6339150532</v>
      </c>
      <c r="F301" s="1">
        <f>Tabela3[[#This Row],[Tensão (Pa)]]/1000000</f>
        <v>3.6057056339150533</v>
      </c>
    </row>
    <row r="302" spans="1:6" x14ac:dyDescent="0.3">
      <c r="A302" s="5">
        <v>31</v>
      </c>
      <c r="B302" s="5">
        <v>2.5758999999999999</v>
      </c>
      <c r="C302" s="1">
        <f>Tabela3[[#This Row],[Alongamento (mm/mm)]]/$I$2</f>
        <v>5.1517999999999994E-2</v>
      </c>
      <c r="D302" s="5">
        <v>113.8</v>
      </c>
      <c r="E302" s="1">
        <f>Tabela3[[#This Row],[Força (N)]]/$I$5</f>
        <v>3627380.6677822936</v>
      </c>
      <c r="F302" s="1">
        <f>Tabela3[[#This Row],[Tensão (Pa)]]/1000000</f>
        <v>3.6273806677822935</v>
      </c>
    </row>
    <row r="303" spans="1:6" x14ac:dyDescent="0.3">
      <c r="A303" s="5">
        <v>31.05</v>
      </c>
      <c r="B303" s="5">
        <v>2.5800999999999998</v>
      </c>
      <c r="C303" s="1">
        <f>Tabela3[[#This Row],[Alongamento (mm/mm)]]/$I$2</f>
        <v>5.1601999999999995E-2</v>
      </c>
      <c r="D303" s="5">
        <v>114.48</v>
      </c>
      <c r="E303" s="1">
        <f>Tabela3[[#This Row],[Força (N)]]/$I$5</f>
        <v>3649055.7016495341</v>
      </c>
      <c r="F303" s="1">
        <f>Tabela3[[#This Row],[Tensão (Pa)]]/1000000</f>
        <v>3.6490557016495342</v>
      </c>
    </row>
    <row r="304" spans="1:6" x14ac:dyDescent="0.3">
      <c r="A304" s="5">
        <v>31.117000000000001</v>
      </c>
      <c r="B304" s="5">
        <v>2.5855999999999999</v>
      </c>
      <c r="C304" s="1">
        <f>Tabela3[[#This Row],[Alongamento (mm/mm)]]/$I$2</f>
        <v>5.1712000000000001E-2</v>
      </c>
      <c r="D304" s="5">
        <v>115.16</v>
      </c>
      <c r="E304" s="1">
        <f>Tabela3[[#This Row],[Força (N)]]/$I$5</f>
        <v>3670730.7355167745</v>
      </c>
      <c r="F304" s="1">
        <f>Tabela3[[#This Row],[Tensão (Pa)]]/1000000</f>
        <v>3.6707307355167744</v>
      </c>
    </row>
    <row r="305" spans="1:6" x14ac:dyDescent="0.3">
      <c r="A305" s="5">
        <v>31.167000000000002</v>
      </c>
      <c r="B305" s="5">
        <v>2.5899000000000001</v>
      </c>
      <c r="C305" s="1">
        <f>Tabela3[[#This Row],[Alongamento (mm/mm)]]/$I$2</f>
        <v>5.1798000000000004E-2</v>
      </c>
      <c r="D305" s="5">
        <v>115.84</v>
      </c>
      <c r="E305" s="1">
        <f>Tabela3[[#This Row],[Força (N)]]/$I$5</f>
        <v>3692405.7693840149</v>
      </c>
      <c r="F305" s="1">
        <f>Tabela3[[#This Row],[Tensão (Pa)]]/1000000</f>
        <v>3.6924057693840151</v>
      </c>
    </row>
    <row r="306" spans="1:6" x14ac:dyDescent="0.3">
      <c r="A306" s="5">
        <v>31.216999999999999</v>
      </c>
      <c r="B306" s="5">
        <v>2.5941000000000001</v>
      </c>
      <c r="C306" s="1">
        <f>Tabela3[[#This Row],[Alongamento (mm/mm)]]/$I$2</f>
        <v>5.1882000000000005E-2</v>
      </c>
      <c r="D306" s="5">
        <v>116.52</v>
      </c>
      <c r="E306" s="1">
        <f>Tabela3[[#This Row],[Força (N)]]/$I$5</f>
        <v>3714080.8032512553</v>
      </c>
      <c r="F306" s="1">
        <f>Tabela3[[#This Row],[Tensão (Pa)]]/1000000</f>
        <v>3.7140808032512553</v>
      </c>
    </row>
    <row r="307" spans="1:6" x14ac:dyDescent="0.3">
      <c r="A307" s="5">
        <v>31.283000000000001</v>
      </c>
      <c r="B307" s="5">
        <v>2.5996999999999999</v>
      </c>
      <c r="C307" s="1">
        <f>Tabela3[[#This Row],[Alongamento (mm/mm)]]/$I$2</f>
        <v>5.1993999999999999E-2</v>
      </c>
      <c r="D307" s="5">
        <v>117.37</v>
      </c>
      <c r="E307" s="1">
        <f>Tabela3[[#This Row],[Força (N)]]/$I$5</f>
        <v>3741174.5955853062</v>
      </c>
      <c r="F307" s="1">
        <f>Tabela3[[#This Row],[Tensão (Pa)]]/1000000</f>
        <v>3.741174595585306</v>
      </c>
    </row>
    <row r="308" spans="1:6" x14ac:dyDescent="0.3">
      <c r="A308" s="5">
        <v>31.35</v>
      </c>
      <c r="B308" s="5">
        <v>2.6052</v>
      </c>
      <c r="C308" s="1">
        <f>Tabela3[[#This Row],[Alongamento (mm/mm)]]/$I$2</f>
        <v>5.2103999999999998E-2</v>
      </c>
      <c r="D308" s="5">
        <v>118.22</v>
      </c>
      <c r="E308" s="1">
        <f>Tabela3[[#This Row],[Força (N)]]/$I$5</f>
        <v>3768268.3879193561</v>
      </c>
      <c r="F308" s="1">
        <f>Tabela3[[#This Row],[Tensão (Pa)]]/1000000</f>
        <v>3.7682683879193561</v>
      </c>
    </row>
    <row r="309" spans="1:6" x14ac:dyDescent="0.3">
      <c r="A309" s="5">
        <v>31.4</v>
      </c>
      <c r="B309" s="5">
        <v>2.6093000000000002</v>
      </c>
      <c r="C309" s="1">
        <f>Tabela3[[#This Row],[Alongamento (mm/mm)]]/$I$2</f>
        <v>5.2186000000000003E-2</v>
      </c>
      <c r="D309" s="5">
        <v>118.9</v>
      </c>
      <c r="E309" s="1">
        <f>Tabela3[[#This Row],[Força (N)]]/$I$5</f>
        <v>3789943.421786597</v>
      </c>
      <c r="F309" s="1">
        <f>Tabela3[[#This Row],[Tensão (Pa)]]/1000000</f>
        <v>3.7899434217865968</v>
      </c>
    </row>
    <row r="310" spans="1:6" x14ac:dyDescent="0.3">
      <c r="A310" s="5">
        <v>31.466999999999999</v>
      </c>
      <c r="B310" s="5">
        <v>2.6149</v>
      </c>
      <c r="C310" s="1">
        <f>Tabela3[[#This Row],[Alongamento (mm/mm)]]/$I$2</f>
        <v>5.2297999999999997E-2</v>
      </c>
      <c r="D310" s="5">
        <v>119.75</v>
      </c>
      <c r="E310" s="1">
        <f>Tabela3[[#This Row],[Força (N)]]/$I$5</f>
        <v>3817037.2141206474</v>
      </c>
      <c r="F310" s="1">
        <f>Tabela3[[#This Row],[Tensão (Pa)]]/1000000</f>
        <v>3.8170372141206474</v>
      </c>
    </row>
    <row r="311" spans="1:6" x14ac:dyDescent="0.3">
      <c r="A311" s="5">
        <v>31.533000000000001</v>
      </c>
      <c r="B311" s="5">
        <v>2.6204000000000001</v>
      </c>
      <c r="C311" s="1">
        <f>Tabela3[[#This Row],[Alongamento (mm/mm)]]/$I$2</f>
        <v>5.2408000000000003E-2</v>
      </c>
      <c r="D311" s="5">
        <v>120.6</v>
      </c>
      <c r="E311" s="1">
        <f>Tabela3[[#This Row],[Força (N)]]/$I$5</f>
        <v>3844131.0064546978</v>
      </c>
      <c r="F311" s="1">
        <f>Tabela3[[#This Row],[Tensão (Pa)]]/1000000</f>
        <v>3.8441310064546976</v>
      </c>
    </row>
    <row r="312" spans="1:6" x14ac:dyDescent="0.3">
      <c r="A312" s="5">
        <v>31.582999999999998</v>
      </c>
      <c r="B312" s="5">
        <v>2.6246</v>
      </c>
      <c r="C312" s="1">
        <f>Tabela3[[#This Row],[Alongamento (mm/mm)]]/$I$2</f>
        <v>5.2492000000000004E-2</v>
      </c>
      <c r="D312" s="5">
        <v>121.28</v>
      </c>
      <c r="E312" s="1">
        <f>Tabela3[[#This Row],[Força (N)]]/$I$5</f>
        <v>3865806.0403219382</v>
      </c>
      <c r="F312" s="1">
        <f>Tabela3[[#This Row],[Tensão (Pa)]]/1000000</f>
        <v>3.8658060403219383</v>
      </c>
    </row>
    <row r="313" spans="1:6" x14ac:dyDescent="0.3">
      <c r="A313" s="5">
        <v>31.632999999999999</v>
      </c>
      <c r="B313" s="5">
        <v>2.6288</v>
      </c>
      <c r="C313" s="1">
        <f>Tabela3[[#This Row],[Alongamento (mm/mm)]]/$I$2</f>
        <v>5.2575999999999998E-2</v>
      </c>
      <c r="D313" s="5">
        <v>121.96</v>
      </c>
      <c r="E313" s="1">
        <f>Tabela3[[#This Row],[Força (N)]]/$I$5</f>
        <v>3887481.0741891786</v>
      </c>
      <c r="F313" s="1">
        <f>Tabela3[[#This Row],[Tensão (Pa)]]/1000000</f>
        <v>3.8874810741891785</v>
      </c>
    </row>
    <row r="314" spans="1:6" x14ac:dyDescent="0.3">
      <c r="A314" s="5">
        <v>31.683</v>
      </c>
      <c r="B314" s="5">
        <v>2.6328999999999998</v>
      </c>
      <c r="C314" s="1">
        <f>Tabela3[[#This Row],[Alongamento (mm/mm)]]/$I$2</f>
        <v>5.2657999999999996E-2</v>
      </c>
      <c r="D314" s="5">
        <v>122.64</v>
      </c>
      <c r="E314" s="1">
        <f>Tabela3[[#This Row],[Força (N)]]/$I$5</f>
        <v>3909156.1080564191</v>
      </c>
      <c r="F314" s="1">
        <f>Tabela3[[#This Row],[Tensão (Pa)]]/1000000</f>
        <v>3.9091561080564192</v>
      </c>
    </row>
    <row r="315" spans="1:6" x14ac:dyDescent="0.3">
      <c r="A315" s="5">
        <v>31.733000000000001</v>
      </c>
      <c r="B315" s="5">
        <v>2.6371000000000002</v>
      </c>
      <c r="C315" s="1">
        <f>Tabela3[[#This Row],[Alongamento (mm/mm)]]/$I$2</f>
        <v>5.2742000000000004E-2</v>
      </c>
      <c r="D315" s="5">
        <v>123.32</v>
      </c>
      <c r="E315" s="1">
        <f>Tabela3[[#This Row],[Força (N)]]/$I$5</f>
        <v>3930831.1419236595</v>
      </c>
      <c r="F315" s="1">
        <f>Tabela3[[#This Row],[Tensão (Pa)]]/1000000</f>
        <v>3.9308311419236595</v>
      </c>
    </row>
    <row r="316" spans="1:6" x14ac:dyDescent="0.3">
      <c r="A316" s="5">
        <v>31.783000000000001</v>
      </c>
      <c r="B316" s="5">
        <v>2.6413000000000002</v>
      </c>
      <c r="C316" s="1">
        <f>Tabela3[[#This Row],[Alongamento (mm/mm)]]/$I$2</f>
        <v>5.2826000000000005E-2</v>
      </c>
      <c r="D316" s="5">
        <v>124.17</v>
      </c>
      <c r="E316" s="1">
        <f>Tabela3[[#This Row],[Força (N)]]/$I$5</f>
        <v>3957924.9342577099</v>
      </c>
      <c r="F316" s="1">
        <f>Tabela3[[#This Row],[Tensão (Pa)]]/1000000</f>
        <v>3.9579249342577101</v>
      </c>
    </row>
    <row r="317" spans="1:6" x14ac:dyDescent="0.3">
      <c r="A317" s="5">
        <v>31.832999999999998</v>
      </c>
      <c r="B317" s="5">
        <v>2.6455000000000002</v>
      </c>
      <c r="C317" s="1">
        <f>Tabela3[[#This Row],[Alongamento (mm/mm)]]/$I$2</f>
        <v>5.2910000000000006E-2</v>
      </c>
      <c r="D317" s="5">
        <v>124.85</v>
      </c>
      <c r="E317" s="1">
        <f>Tabela3[[#This Row],[Força (N)]]/$I$5</f>
        <v>3979599.9681249503</v>
      </c>
      <c r="F317" s="1">
        <f>Tabela3[[#This Row],[Tensão (Pa)]]/1000000</f>
        <v>3.9795999681249503</v>
      </c>
    </row>
    <row r="318" spans="1:6" x14ac:dyDescent="0.3">
      <c r="A318" s="5">
        <v>31.882999999999999</v>
      </c>
      <c r="B318" s="5">
        <v>2.6495000000000002</v>
      </c>
      <c r="C318" s="1">
        <f>Tabela3[[#This Row],[Alongamento (mm/mm)]]/$I$2</f>
        <v>5.2990000000000002E-2</v>
      </c>
      <c r="D318" s="5">
        <v>125.53</v>
      </c>
      <c r="E318" s="1">
        <f>Tabela3[[#This Row],[Força (N)]]/$I$5</f>
        <v>4001275.0019921907</v>
      </c>
      <c r="F318" s="1">
        <f>Tabela3[[#This Row],[Tensão (Pa)]]/1000000</f>
        <v>4.001275001992191</v>
      </c>
    </row>
    <row r="319" spans="1:6" x14ac:dyDescent="0.3">
      <c r="A319" s="5">
        <v>31.933</v>
      </c>
      <c r="B319" s="5">
        <v>2.6537999999999999</v>
      </c>
      <c r="C319" s="1">
        <f>Tabela3[[#This Row],[Alongamento (mm/mm)]]/$I$2</f>
        <v>5.3075999999999998E-2</v>
      </c>
      <c r="D319" s="5">
        <v>126.21</v>
      </c>
      <c r="E319" s="1">
        <f>Tabela3[[#This Row],[Força (N)]]/$I$5</f>
        <v>4022950.0358594311</v>
      </c>
      <c r="F319" s="1">
        <f>Tabela3[[#This Row],[Tensão (Pa)]]/1000000</f>
        <v>4.0229500358594308</v>
      </c>
    </row>
    <row r="320" spans="1:6" x14ac:dyDescent="0.3">
      <c r="A320" s="5">
        <v>31.983000000000001</v>
      </c>
      <c r="B320" s="5">
        <v>2.6579999999999999</v>
      </c>
      <c r="C320" s="1">
        <f>Tabela3[[#This Row],[Alongamento (mm/mm)]]/$I$2</f>
        <v>5.3159999999999999E-2</v>
      </c>
      <c r="D320" s="5">
        <v>126.89</v>
      </c>
      <c r="E320" s="1">
        <f>Tabela3[[#This Row],[Força (N)]]/$I$5</f>
        <v>4044625.0697266716</v>
      </c>
      <c r="F320" s="1">
        <f>Tabela3[[#This Row],[Tensão (Pa)]]/1000000</f>
        <v>4.0446250697266715</v>
      </c>
    </row>
    <row r="321" spans="1:6" x14ac:dyDescent="0.3">
      <c r="A321" s="5">
        <v>32.033000000000001</v>
      </c>
      <c r="B321" s="5">
        <v>2.6621000000000001</v>
      </c>
      <c r="C321" s="1">
        <f>Tabela3[[#This Row],[Alongamento (mm/mm)]]/$I$2</f>
        <v>5.3242000000000005E-2</v>
      </c>
      <c r="D321" s="5">
        <v>127.57</v>
      </c>
      <c r="E321" s="1">
        <f>Tabela3[[#This Row],[Força (N)]]/$I$5</f>
        <v>4066300.103593912</v>
      </c>
      <c r="F321" s="1">
        <f>Tabela3[[#This Row],[Tensão (Pa)]]/1000000</f>
        <v>4.0663001035939121</v>
      </c>
    </row>
    <row r="322" spans="1:6" x14ac:dyDescent="0.3">
      <c r="A322" s="5">
        <v>32.082999999999998</v>
      </c>
      <c r="B322" s="5">
        <v>2.6663000000000001</v>
      </c>
      <c r="C322" s="1">
        <f>Tabela3[[#This Row],[Alongamento (mm/mm)]]/$I$2</f>
        <v>5.3326000000000005E-2</v>
      </c>
      <c r="D322" s="5">
        <v>128.25</v>
      </c>
      <c r="E322" s="1">
        <f>Tabela3[[#This Row],[Força (N)]]/$I$5</f>
        <v>4087975.1374611524</v>
      </c>
      <c r="F322" s="1">
        <f>Tabela3[[#This Row],[Tensão (Pa)]]/1000000</f>
        <v>4.0879751374611528</v>
      </c>
    </row>
    <row r="323" spans="1:6" x14ac:dyDescent="0.3">
      <c r="A323" s="5">
        <v>32.133000000000003</v>
      </c>
      <c r="B323" s="5">
        <v>2.6703999999999999</v>
      </c>
      <c r="C323" s="1">
        <f>Tabela3[[#This Row],[Alongamento (mm/mm)]]/$I$2</f>
        <v>5.3407999999999997E-2</v>
      </c>
      <c r="D323" s="5">
        <v>128.93</v>
      </c>
      <c r="E323" s="1">
        <f>Tabela3[[#This Row],[Força (N)]]/$I$5</f>
        <v>4109650.1713283933</v>
      </c>
      <c r="F323" s="1">
        <f>Tabela3[[#This Row],[Tensão (Pa)]]/1000000</f>
        <v>4.1096501713283935</v>
      </c>
    </row>
    <row r="324" spans="1:6" x14ac:dyDescent="0.3">
      <c r="A324" s="5">
        <v>32.183</v>
      </c>
      <c r="B324" s="5">
        <v>2.6745999999999999</v>
      </c>
      <c r="C324" s="1">
        <f>Tabela3[[#This Row],[Alongamento (mm/mm)]]/$I$2</f>
        <v>5.3491999999999998E-2</v>
      </c>
      <c r="D324" s="5">
        <v>129.62</v>
      </c>
      <c r="E324" s="1">
        <f>Tabela3[[#This Row],[Força (N)]]/$I$5</f>
        <v>4131643.9556936813</v>
      </c>
      <c r="F324" s="1">
        <f>Tabela3[[#This Row],[Tensão (Pa)]]/1000000</f>
        <v>4.131643955693681</v>
      </c>
    </row>
    <row r="325" spans="1:6" x14ac:dyDescent="0.3">
      <c r="A325" s="5">
        <v>32.232999999999997</v>
      </c>
      <c r="B325" s="5">
        <v>2.6787999999999998</v>
      </c>
      <c r="C325" s="1">
        <f>Tabela3[[#This Row],[Alongamento (mm/mm)]]/$I$2</f>
        <v>5.3575999999999999E-2</v>
      </c>
      <c r="D325" s="5">
        <v>130.30000000000001</v>
      </c>
      <c r="E325" s="1">
        <f>Tabela3[[#This Row],[Força (N)]]/$I$5</f>
        <v>4153318.9895609217</v>
      </c>
      <c r="F325" s="1">
        <f>Tabela3[[#This Row],[Tensão (Pa)]]/1000000</f>
        <v>4.1533189895609217</v>
      </c>
    </row>
    <row r="326" spans="1:6" x14ac:dyDescent="0.3">
      <c r="A326" s="5">
        <v>32.283000000000001</v>
      </c>
      <c r="B326" s="5">
        <v>2.6829999999999998</v>
      </c>
      <c r="C326" s="1">
        <f>Tabela3[[#This Row],[Alongamento (mm/mm)]]/$I$2</f>
        <v>5.3659999999999999E-2</v>
      </c>
      <c r="D326" s="5">
        <v>130.97999999999999</v>
      </c>
      <c r="E326" s="1">
        <f>Tabela3[[#This Row],[Força (N)]]/$I$5</f>
        <v>4174994.0234281616</v>
      </c>
      <c r="F326" s="1">
        <f>Tabela3[[#This Row],[Tensão (Pa)]]/1000000</f>
        <v>4.1749940234281615</v>
      </c>
    </row>
    <row r="327" spans="1:6" x14ac:dyDescent="0.3">
      <c r="A327" s="5">
        <v>32.35</v>
      </c>
      <c r="B327" s="5">
        <v>2.6884999999999999</v>
      </c>
      <c r="C327" s="1">
        <f>Tabela3[[#This Row],[Alongamento (mm/mm)]]/$I$2</f>
        <v>5.3769999999999998E-2</v>
      </c>
      <c r="D327" s="5">
        <v>132</v>
      </c>
      <c r="E327" s="1">
        <f>Tabela3[[#This Row],[Força (N)]]/$I$5</f>
        <v>4207506.5742290225</v>
      </c>
      <c r="F327" s="1">
        <f>Tabela3[[#This Row],[Tensão (Pa)]]/1000000</f>
        <v>4.2075065742290221</v>
      </c>
    </row>
    <row r="328" spans="1:6" x14ac:dyDescent="0.3">
      <c r="A328" s="5">
        <v>32.417000000000002</v>
      </c>
      <c r="B328" s="5">
        <v>2.694</v>
      </c>
      <c r="C328" s="1">
        <f>Tabela3[[#This Row],[Alongamento (mm/mm)]]/$I$2</f>
        <v>5.3879999999999997E-2</v>
      </c>
      <c r="D328" s="5">
        <v>133.02000000000001</v>
      </c>
      <c r="E328" s="1">
        <f>Tabela3[[#This Row],[Força (N)]]/$I$5</f>
        <v>4240019.1250298833</v>
      </c>
      <c r="F328" s="1">
        <f>Tabela3[[#This Row],[Tensão (Pa)]]/1000000</f>
        <v>4.2400191250298835</v>
      </c>
    </row>
    <row r="329" spans="1:6" x14ac:dyDescent="0.3">
      <c r="A329" s="5">
        <v>32.482999999999997</v>
      </c>
      <c r="B329" s="5">
        <v>2.6996000000000002</v>
      </c>
      <c r="C329" s="1">
        <f>Tabela3[[#This Row],[Alongamento (mm/mm)]]/$I$2</f>
        <v>5.3992000000000005E-2</v>
      </c>
      <c r="D329" s="5">
        <v>134.04</v>
      </c>
      <c r="E329" s="1">
        <f>Tabela3[[#This Row],[Força (N)]]/$I$5</f>
        <v>4272531.6758307433</v>
      </c>
      <c r="F329" s="1">
        <f>Tabela3[[#This Row],[Tensão (Pa)]]/1000000</f>
        <v>4.2725316758307432</v>
      </c>
    </row>
    <row r="330" spans="1:6" x14ac:dyDescent="0.3">
      <c r="A330" s="5">
        <v>32.549999999999997</v>
      </c>
      <c r="B330" s="5">
        <v>2.7050999999999998</v>
      </c>
      <c r="C330" s="1">
        <f>Tabela3[[#This Row],[Alongamento (mm/mm)]]/$I$2</f>
        <v>5.4101999999999997E-2</v>
      </c>
      <c r="D330" s="5">
        <v>135.06</v>
      </c>
      <c r="E330" s="1">
        <f>Tabela3[[#This Row],[Força (N)]]/$I$5</f>
        <v>4305044.2266316041</v>
      </c>
      <c r="F330" s="1">
        <f>Tabela3[[#This Row],[Tensão (Pa)]]/1000000</f>
        <v>4.3050442266316038</v>
      </c>
    </row>
    <row r="331" spans="1:6" x14ac:dyDescent="0.3">
      <c r="A331" s="5">
        <v>32.616999999999997</v>
      </c>
      <c r="B331" s="5">
        <v>2.7107000000000001</v>
      </c>
      <c r="C331" s="1">
        <f>Tabela3[[#This Row],[Alongamento (mm/mm)]]/$I$2</f>
        <v>5.4214000000000005E-2</v>
      </c>
      <c r="D331" s="5">
        <v>136.25</v>
      </c>
      <c r="E331" s="1">
        <f>Tabela3[[#This Row],[Força (N)]]/$I$5</f>
        <v>4342975.535899275</v>
      </c>
      <c r="F331" s="1">
        <f>Tabela3[[#This Row],[Tensão (Pa)]]/1000000</f>
        <v>4.3429755358992752</v>
      </c>
    </row>
    <row r="332" spans="1:6" x14ac:dyDescent="0.3">
      <c r="A332" s="5">
        <v>32.683</v>
      </c>
      <c r="B332" s="5">
        <v>2.7162999999999999</v>
      </c>
      <c r="C332" s="1">
        <f>Tabela3[[#This Row],[Alongamento (mm/mm)]]/$I$2</f>
        <v>5.4325999999999999E-2</v>
      </c>
      <c r="D332" s="5">
        <v>137.44</v>
      </c>
      <c r="E332" s="1">
        <f>Tabela3[[#This Row],[Força (N)]]/$I$5</f>
        <v>4380906.8451669458</v>
      </c>
      <c r="F332" s="1">
        <f>Tabela3[[#This Row],[Tensão (Pa)]]/1000000</f>
        <v>4.3809068451669457</v>
      </c>
    </row>
    <row r="333" spans="1:6" x14ac:dyDescent="0.3">
      <c r="A333" s="5">
        <v>32.75</v>
      </c>
      <c r="B333" s="5">
        <v>2.7218</v>
      </c>
      <c r="C333" s="1">
        <f>Tabela3[[#This Row],[Alongamento (mm/mm)]]/$I$2</f>
        <v>5.4435999999999998E-2</v>
      </c>
      <c r="D333" s="5">
        <v>138.46</v>
      </c>
      <c r="E333" s="1">
        <f>Tabela3[[#This Row],[Força (N)]]/$I$5</f>
        <v>4413419.3959678067</v>
      </c>
      <c r="F333" s="1">
        <f>Tabela3[[#This Row],[Tensão (Pa)]]/1000000</f>
        <v>4.4134193959678063</v>
      </c>
    </row>
    <row r="334" spans="1:6" x14ac:dyDescent="0.3">
      <c r="A334" s="5">
        <v>32.817</v>
      </c>
      <c r="B334" s="5">
        <v>2.7273000000000001</v>
      </c>
      <c r="C334" s="1">
        <f>Tabela3[[#This Row],[Alongamento (mm/mm)]]/$I$2</f>
        <v>5.4546000000000004E-2</v>
      </c>
      <c r="D334" s="5">
        <v>139.47999999999999</v>
      </c>
      <c r="E334" s="1">
        <f>Tabela3[[#This Row],[Força (N)]]/$I$5</f>
        <v>4445931.9467686666</v>
      </c>
      <c r="F334" s="1">
        <f>Tabela3[[#This Row],[Tensão (Pa)]]/1000000</f>
        <v>4.4459319467686669</v>
      </c>
    </row>
    <row r="335" spans="1:6" x14ac:dyDescent="0.3">
      <c r="A335" s="5">
        <v>32.883000000000003</v>
      </c>
      <c r="B335" s="5">
        <v>2.7328999999999999</v>
      </c>
      <c r="C335" s="1">
        <f>Tabela3[[#This Row],[Alongamento (mm/mm)]]/$I$2</f>
        <v>5.4657999999999998E-2</v>
      </c>
      <c r="D335" s="5">
        <v>140.5</v>
      </c>
      <c r="E335" s="1">
        <f>Tabela3[[#This Row],[Força (N)]]/$I$5</f>
        <v>4478444.4975695275</v>
      </c>
      <c r="F335" s="1">
        <f>Tabela3[[#This Row],[Tensão (Pa)]]/1000000</f>
        <v>4.4784444975695274</v>
      </c>
    </row>
    <row r="336" spans="1:6" x14ac:dyDescent="0.3">
      <c r="A336" s="5">
        <v>32.950000000000003</v>
      </c>
      <c r="B336" s="5">
        <v>2.7385000000000002</v>
      </c>
      <c r="C336" s="1">
        <f>Tabela3[[#This Row],[Alongamento (mm/mm)]]/$I$2</f>
        <v>5.4770000000000006E-2</v>
      </c>
      <c r="D336" s="5">
        <v>141.52000000000001</v>
      </c>
      <c r="E336" s="1">
        <f>Tabela3[[#This Row],[Força (N)]]/$I$5</f>
        <v>4510957.0483703883</v>
      </c>
      <c r="F336" s="1">
        <f>Tabela3[[#This Row],[Tensão (Pa)]]/1000000</f>
        <v>4.510957048370388</v>
      </c>
    </row>
    <row r="337" spans="1:6" x14ac:dyDescent="0.3">
      <c r="A337" s="5">
        <v>33.017000000000003</v>
      </c>
      <c r="B337" s="5">
        <v>2.7440000000000002</v>
      </c>
      <c r="C337" s="1">
        <f>Tabela3[[#This Row],[Alongamento (mm/mm)]]/$I$2</f>
        <v>5.4880000000000005E-2</v>
      </c>
      <c r="D337" s="5">
        <v>142.71</v>
      </c>
      <c r="E337" s="1">
        <f>Tabela3[[#This Row],[Força (N)]]/$I$5</f>
        <v>4548888.3576380592</v>
      </c>
      <c r="F337" s="1">
        <f>Tabela3[[#This Row],[Tensão (Pa)]]/1000000</f>
        <v>4.5488883576380594</v>
      </c>
    </row>
    <row r="338" spans="1:6" x14ac:dyDescent="0.3">
      <c r="A338" s="5">
        <v>33.082999999999998</v>
      </c>
      <c r="B338" s="5">
        <v>2.7496</v>
      </c>
      <c r="C338" s="1">
        <f>Tabela3[[#This Row],[Alongamento (mm/mm)]]/$I$2</f>
        <v>5.4991999999999999E-2</v>
      </c>
      <c r="D338" s="5">
        <v>143.72999999999999</v>
      </c>
      <c r="E338" s="1">
        <f>Tabela3[[#This Row],[Força (N)]]/$I$5</f>
        <v>4581400.9084389191</v>
      </c>
      <c r="F338" s="1">
        <f>Tabela3[[#This Row],[Tensão (Pa)]]/1000000</f>
        <v>4.5814009084389191</v>
      </c>
    </row>
    <row r="339" spans="1:6" x14ac:dyDescent="0.3">
      <c r="A339" s="5">
        <v>33.15</v>
      </c>
      <c r="B339" s="5">
        <v>2.7551999999999999</v>
      </c>
      <c r="C339" s="1">
        <f>Tabela3[[#This Row],[Alongamento (mm/mm)]]/$I$2</f>
        <v>5.5104E-2</v>
      </c>
      <c r="D339" s="5">
        <v>144.91999999999999</v>
      </c>
      <c r="E339" s="1">
        <f>Tabela3[[#This Row],[Força (N)]]/$I$5</f>
        <v>4619332.21770659</v>
      </c>
      <c r="F339" s="1">
        <f>Tabela3[[#This Row],[Tensão (Pa)]]/1000000</f>
        <v>4.6193322177065896</v>
      </c>
    </row>
    <row r="340" spans="1:6" x14ac:dyDescent="0.3">
      <c r="A340" s="5">
        <v>33.216999999999999</v>
      </c>
      <c r="B340" s="5">
        <v>2.7608000000000001</v>
      </c>
      <c r="C340" s="1">
        <f>Tabela3[[#This Row],[Alongamento (mm/mm)]]/$I$2</f>
        <v>5.5216000000000001E-2</v>
      </c>
      <c r="D340" s="5">
        <v>145.94</v>
      </c>
      <c r="E340" s="1">
        <f>Tabela3[[#This Row],[Força (N)]]/$I$5</f>
        <v>4651844.7685074508</v>
      </c>
      <c r="F340" s="1">
        <f>Tabela3[[#This Row],[Tensão (Pa)]]/1000000</f>
        <v>4.6518447685074511</v>
      </c>
    </row>
    <row r="341" spans="1:6" x14ac:dyDescent="0.3">
      <c r="A341" s="5">
        <v>33.283000000000001</v>
      </c>
      <c r="B341" s="5">
        <v>2.7662</v>
      </c>
      <c r="C341" s="1">
        <f>Tabela3[[#This Row],[Alongamento (mm/mm)]]/$I$2</f>
        <v>5.5323999999999998E-2</v>
      </c>
      <c r="D341" s="5">
        <v>146.97</v>
      </c>
      <c r="E341" s="1">
        <f>Tabela3[[#This Row],[Força (N)]]/$I$5</f>
        <v>4684676.0698063597</v>
      </c>
      <c r="F341" s="1">
        <f>Tabela3[[#This Row],[Tensão (Pa)]]/1000000</f>
        <v>4.6846760698063594</v>
      </c>
    </row>
    <row r="342" spans="1:6" x14ac:dyDescent="0.3">
      <c r="A342" s="5">
        <v>33.35</v>
      </c>
      <c r="B342" s="5">
        <v>2.7717999999999998</v>
      </c>
      <c r="C342" s="1">
        <f>Tabela3[[#This Row],[Alongamento (mm/mm)]]/$I$2</f>
        <v>5.5435999999999999E-2</v>
      </c>
      <c r="D342" s="5">
        <v>148.16</v>
      </c>
      <c r="E342" s="1">
        <f>Tabela3[[#This Row],[Força (N)]]/$I$5</f>
        <v>4722607.3790740296</v>
      </c>
      <c r="F342" s="1">
        <f>Tabela3[[#This Row],[Tensão (Pa)]]/1000000</f>
        <v>4.7226073790740299</v>
      </c>
    </row>
    <row r="343" spans="1:6" x14ac:dyDescent="0.3">
      <c r="A343" s="5">
        <v>33.417000000000002</v>
      </c>
      <c r="B343" s="5">
        <v>2.7772999999999999</v>
      </c>
      <c r="C343" s="1">
        <f>Tabela3[[#This Row],[Alongamento (mm/mm)]]/$I$2</f>
        <v>5.5545999999999998E-2</v>
      </c>
      <c r="D343" s="5">
        <v>149.35</v>
      </c>
      <c r="E343" s="1">
        <f>Tabela3[[#This Row],[Força (N)]]/$I$5</f>
        <v>4760538.6883417005</v>
      </c>
      <c r="F343" s="1">
        <f>Tabela3[[#This Row],[Tensão (Pa)]]/1000000</f>
        <v>4.7605386883417005</v>
      </c>
    </row>
    <row r="344" spans="1:6" x14ac:dyDescent="0.3">
      <c r="A344" s="5">
        <v>33.482999999999997</v>
      </c>
      <c r="B344" s="5">
        <v>2.7829000000000002</v>
      </c>
      <c r="C344" s="1">
        <f>Tabela3[[#This Row],[Alongamento (mm/mm)]]/$I$2</f>
        <v>5.5658000000000006E-2</v>
      </c>
      <c r="D344" s="5">
        <v>150.54</v>
      </c>
      <c r="E344" s="1">
        <f>Tabela3[[#This Row],[Força (N)]]/$I$5</f>
        <v>4798469.9976093713</v>
      </c>
      <c r="F344" s="1">
        <f>Tabela3[[#This Row],[Tensão (Pa)]]/1000000</f>
        <v>4.798469997609371</v>
      </c>
    </row>
    <row r="345" spans="1:6" x14ac:dyDescent="0.3">
      <c r="A345" s="5">
        <v>33.549999999999997</v>
      </c>
      <c r="B345" s="5">
        <v>2.7884000000000002</v>
      </c>
      <c r="C345" s="1">
        <f>Tabela3[[#This Row],[Alongamento (mm/mm)]]/$I$2</f>
        <v>5.5768000000000005E-2</v>
      </c>
      <c r="D345" s="5">
        <v>151.56</v>
      </c>
      <c r="E345" s="1">
        <f>Tabela3[[#This Row],[Força (N)]]/$I$5</f>
        <v>4830982.5484102322</v>
      </c>
      <c r="F345" s="1">
        <f>Tabela3[[#This Row],[Tensão (Pa)]]/1000000</f>
        <v>4.8309825484102324</v>
      </c>
    </row>
    <row r="346" spans="1:6" x14ac:dyDescent="0.3">
      <c r="A346" s="5">
        <v>33.616999999999997</v>
      </c>
      <c r="B346" s="5">
        <v>2.794</v>
      </c>
      <c r="C346" s="1">
        <f>Tabela3[[#This Row],[Alongamento (mm/mm)]]/$I$2</f>
        <v>5.5879999999999999E-2</v>
      </c>
      <c r="D346" s="5">
        <v>152.75</v>
      </c>
      <c r="E346" s="1">
        <f>Tabela3[[#This Row],[Força (N)]]/$I$5</f>
        <v>4868913.857677903</v>
      </c>
      <c r="F346" s="1">
        <f>Tabela3[[#This Row],[Tensão (Pa)]]/1000000</f>
        <v>4.868913857677903</v>
      </c>
    </row>
    <row r="347" spans="1:6" x14ac:dyDescent="0.3">
      <c r="A347" s="5">
        <v>33.683</v>
      </c>
      <c r="B347" s="5">
        <v>2.7995999999999999</v>
      </c>
      <c r="C347" s="1">
        <f>Tabela3[[#This Row],[Alongamento (mm/mm)]]/$I$2</f>
        <v>5.5992E-2</v>
      </c>
      <c r="D347" s="5">
        <v>153.94</v>
      </c>
      <c r="E347" s="1">
        <f>Tabela3[[#This Row],[Força (N)]]/$I$5</f>
        <v>4906845.1669455739</v>
      </c>
      <c r="F347" s="1">
        <f>Tabela3[[#This Row],[Tensão (Pa)]]/1000000</f>
        <v>4.9068451669455735</v>
      </c>
    </row>
    <row r="348" spans="1:6" x14ac:dyDescent="0.3">
      <c r="A348" s="5">
        <v>33.75</v>
      </c>
      <c r="B348" s="5">
        <v>2.8050999999999999</v>
      </c>
      <c r="C348" s="1">
        <f>Tabela3[[#This Row],[Alongamento (mm/mm)]]/$I$2</f>
        <v>5.6101999999999999E-2</v>
      </c>
      <c r="D348" s="5">
        <v>155.13</v>
      </c>
      <c r="E348" s="1">
        <f>Tabela3[[#This Row],[Força (N)]]/$I$5</f>
        <v>4944776.4762132438</v>
      </c>
      <c r="F348" s="1">
        <f>Tabela3[[#This Row],[Tensão (Pa)]]/1000000</f>
        <v>4.944776476213244</v>
      </c>
    </row>
    <row r="349" spans="1:6" x14ac:dyDescent="0.3">
      <c r="A349" s="5">
        <v>33.817</v>
      </c>
      <c r="B349" s="5">
        <v>2.8107000000000002</v>
      </c>
      <c r="C349" s="1">
        <f>Tabela3[[#This Row],[Alongamento (mm/mm)]]/$I$2</f>
        <v>5.6214000000000007E-2</v>
      </c>
      <c r="D349" s="5">
        <v>156.32</v>
      </c>
      <c r="E349" s="1">
        <f>Tabela3[[#This Row],[Força (N)]]/$I$5</f>
        <v>4982707.7854809146</v>
      </c>
      <c r="F349" s="1">
        <f>Tabela3[[#This Row],[Tensão (Pa)]]/1000000</f>
        <v>4.9827077854809145</v>
      </c>
    </row>
    <row r="350" spans="1:6" x14ac:dyDescent="0.3">
      <c r="A350" s="5">
        <v>33.883000000000003</v>
      </c>
      <c r="B350" s="5">
        <v>2.8163</v>
      </c>
      <c r="C350" s="1">
        <f>Tabela3[[#This Row],[Alongamento (mm/mm)]]/$I$2</f>
        <v>5.6326000000000001E-2</v>
      </c>
      <c r="D350" s="5">
        <v>157.34</v>
      </c>
      <c r="E350" s="1">
        <f>Tabela3[[#This Row],[Força (N)]]/$I$5</f>
        <v>5015220.3362817755</v>
      </c>
      <c r="F350" s="1">
        <f>Tabela3[[#This Row],[Tensão (Pa)]]/1000000</f>
        <v>5.0152203362817751</v>
      </c>
    </row>
    <row r="351" spans="1:6" x14ac:dyDescent="0.3">
      <c r="A351" s="5">
        <v>33.933</v>
      </c>
      <c r="B351" s="5">
        <v>2.8203999999999998</v>
      </c>
      <c r="C351" s="1">
        <f>Tabela3[[#This Row],[Alongamento (mm/mm)]]/$I$2</f>
        <v>5.6407999999999993E-2</v>
      </c>
      <c r="D351" s="5">
        <v>158.36000000000001</v>
      </c>
      <c r="E351" s="1">
        <f>Tabela3[[#This Row],[Força (N)]]/$I$5</f>
        <v>5047732.8870826364</v>
      </c>
      <c r="F351" s="1">
        <f>Tabela3[[#This Row],[Tensão (Pa)]]/1000000</f>
        <v>5.0477328870826366</v>
      </c>
    </row>
    <row r="352" spans="1:6" x14ac:dyDescent="0.3">
      <c r="A352" s="5">
        <v>34</v>
      </c>
      <c r="B352" s="5">
        <v>2.8260000000000001</v>
      </c>
      <c r="C352" s="1">
        <f>Tabela3[[#This Row],[Alongamento (mm/mm)]]/$I$2</f>
        <v>5.6520000000000001E-2</v>
      </c>
      <c r="D352" s="5">
        <v>159.55000000000001</v>
      </c>
      <c r="E352" s="1">
        <f>Tabela3[[#This Row],[Força (N)]]/$I$5</f>
        <v>5085664.1963503072</v>
      </c>
      <c r="F352" s="1">
        <f>Tabela3[[#This Row],[Tensão (Pa)]]/1000000</f>
        <v>5.0856641963503071</v>
      </c>
    </row>
    <row r="353" spans="1:6" x14ac:dyDescent="0.3">
      <c r="A353" s="5">
        <v>34.067</v>
      </c>
      <c r="B353" s="5">
        <v>2.8315999999999999</v>
      </c>
      <c r="C353" s="1">
        <f>Tabela3[[#This Row],[Alongamento (mm/mm)]]/$I$2</f>
        <v>5.6631999999999995E-2</v>
      </c>
      <c r="D353" s="5">
        <v>160.74</v>
      </c>
      <c r="E353" s="1">
        <f>Tabela3[[#This Row],[Força (N)]]/$I$5</f>
        <v>5123595.5056179781</v>
      </c>
      <c r="F353" s="1">
        <f>Tabela3[[#This Row],[Tensão (Pa)]]/1000000</f>
        <v>5.1235955056179776</v>
      </c>
    </row>
    <row r="354" spans="1:6" x14ac:dyDescent="0.3">
      <c r="A354" s="5">
        <v>34.133000000000003</v>
      </c>
      <c r="B354" s="5">
        <v>2.8372000000000002</v>
      </c>
      <c r="C354" s="1">
        <f>Tabela3[[#This Row],[Alongamento (mm/mm)]]/$I$2</f>
        <v>5.6744000000000003E-2</v>
      </c>
      <c r="D354" s="5">
        <v>161.93</v>
      </c>
      <c r="E354" s="1">
        <f>Tabela3[[#This Row],[Força (N)]]/$I$5</f>
        <v>5161526.8148856489</v>
      </c>
      <c r="F354" s="1">
        <f>Tabela3[[#This Row],[Tensão (Pa)]]/1000000</f>
        <v>5.161526814885649</v>
      </c>
    </row>
    <row r="355" spans="1:6" x14ac:dyDescent="0.3">
      <c r="A355" s="5">
        <v>34.200000000000003</v>
      </c>
      <c r="B355" s="5">
        <v>2.8426999999999998</v>
      </c>
      <c r="C355" s="1">
        <f>Tabela3[[#This Row],[Alongamento (mm/mm)]]/$I$2</f>
        <v>5.6853999999999995E-2</v>
      </c>
      <c r="D355" s="5">
        <v>163.12</v>
      </c>
      <c r="E355" s="1">
        <f>Tabela3[[#This Row],[Força (N)]]/$I$5</f>
        <v>5199458.1241533197</v>
      </c>
      <c r="F355" s="1">
        <f>Tabela3[[#This Row],[Tensão (Pa)]]/1000000</f>
        <v>5.1994581241533195</v>
      </c>
    </row>
    <row r="356" spans="1:6" x14ac:dyDescent="0.3">
      <c r="A356" s="5">
        <v>34.267000000000003</v>
      </c>
      <c r="B356" s="5">
        <v>2.8481999999999998</v>
      </c>
      <c r="C356" s="1">
        <f>Tabela3[[#This Row],[Alongamento (mm/mm)]]/$I$2</f>
        <v>5.6963999999999994E-2</v>
      </c>
      <c r="D356" s="5">
        <v>164.32</v>
      </c>
      <c r="E356" s="1">
        <f>Tabela3[[#This Row],[Força (N)]]/$I$5</f>
        <v>5237708.1839190377</v>
      </c>
      <c r="F356" s="1">
        <f>Tabela3[[#This Row],[Tensão (Pa)]]/1000000</f>
        <v>5.2377081839190378</v>
      </c>
    </row>
    <row r="357" spans="1:6" x14ac:dyDescent="0.3">
      <c r="A357" s="5">
        <v>34.332999999999998</v>
      </c>
      <c r="B357" s="5">
        <v>2.8538000000000001</v>
      </c>
      <c r="C357" s="1">
        <f>Tabela3[[#This Row],[Alongamento (mm/mm)]]/$I$2</f>
        <v>5.7076000000000002E-2</v>
      </c>
      <c r="D357" s="5">
        <v>165.51</v>
      </c>
      <c r="E357" s="1">
        <f>Tabela3[[#This Row],[Força (N)]]/$I$5</f>
        <v>5275639.4931867085</v>
      </c>
      <c r="F357" s="1">
        <f>Tabela3[[#This Row],[Tensão (Pa)]]/1000000</f>
        <v>5.2756394931867083</v>
      </c>
    </row>
    <row r="358" spans="1:6" x14ac:dyDescent="0.3">
      <c r="A358" s="5">
        <v>34.4</v>
      </c>
      <c r="B358" s="5">
        <v>2.8593000000000002</v>
      </c>
      <c r="C358" s="1">
        <f>Tabela3[[#This Row],[Alongamento (mm/mm)]]/$I$2</f>
        <v>5.7186000000000001E-2</v>
      </c>
      <c r="D358" s="5">
        <v>166.7</v>
      </c>
      <c r="E358" s="1">
        <f>Tabela3[[#This Row],[Força (N)]]/$I$5</f>
        <v>5313570.8024543785</v>
      </c>
      <c r="F358" s="1">
        <f>Tabela3[[#This Row],[Tensão (Pa)]]/1000000</f>
        <v>5.3135708024543788</v>
      </c>
    </row>
    <row r="359" spans="1:6" x14ac:dyDescent="0.3">
      <c r="A359" s="5">
        <v>34.466999999999999</v>
      </c>
      <c r="B359" s="5">
        <v>2.8649</v>
      </c>
      <c r="C359" s="1">
        <f>Tabela3[[#This Row],[Alongamento (mm/mm)]]/$I$2</f>
        <v>5.7298000000000002E-2</v>
      </c>
      <c r="D359" s="5">
        <v>167.89</v>
      </c>
      <c r="E359" s="1">
        <f>Tabela3[[#This Row],[Força (N)]]/$I$5</f>
        <v>5351502.1117220493</v>
      </c>
      <c r="F359" s="1">
        <f>Tabela3[[#This Row],[Tensão (Pa)]]/1000000</f>
        <v>5.3515021117220494</v>
      </c>
    </row>
    <row r="360" spans="1:6" x14ac:dyDescent="0.3">
      <c r="A360" s="5">
        <v>34.533000000000001</v>
      </c>
      <c r="B360" s="5">
        <v>2.8704000000000001</v>
      </c>
      <c r="C360" s="1">
        <f>Tabela3[[#This Row],[Alongamento (mm/mm)]]/$I$2</f>
        <v>5.7408000000000001E-2</v>
      </c>
      <c r="D360" s="5">
        <v>169.08</v>
      </c>
      <c r="E360" s="1">
        <f>Tabela3[[#This Row],[Força (N)]]/$I$5</f>
        <v>5389433.4209897211</v>
      </c>
      <c r="F360" s="1">
        <f>Tabela3[[#This Row],[Tensão (Pa)]]/1000000</f>
        <v>5.3894334209897208</v>
      </c>
    </row>
    <row r="361" spans="1:6" x14ac:dyDescent="0.3">
      <c r="A361" s="5">
        <v>34.582999999999998</v>
      </c>
      <c r="B361" s="5">
        <v>2.8746999999999998</v>
      </c>
      <c r="C361" s="1">
        <f>Tabela3[[#This Row],[Alongamento (mm/mm)]]/$I$2</f>
        <v>5.7493999999999996E-2</v>
      </c>
      <c r="D361" s="5">
        <v>170.1</v>
      </c>
      <c r="E361" s="1">
        <f>Tabela3[[#This Row],[Força (N)]]/$I$5</f>
        <v>5421945.971790581</v>
      </c>
      <c r="F361" s="1">
        <f>Tabela3[[#This Row],[Tensão (Pa)]]/1000000</f>
        <v>5.4219459717905814</v>
      </c>
    </row>
    <row r="362" spans="1:6" x14ac:dyDescent="0.3">
      <c r="A362" s="5">
        <v>34.65</v>
      </c>
      <c r="B362" s="5">
        <v>2.8801000000000001</v>
      </c>
      <c r="C362" s="1">
        <f>Tabela3[[#This Row],[Alongamento (mm/mm)]]/$I$2</f>
        <v>5.7602E-2</v>
      </c>
      <c r="D362" s="5">
        <v>171.29</v>
      </c>
      <c r="E362" s="1">
        <f>Tabela3[[#This Row],[Força (N)]]/$I$5</f>
        <v>5459877.2810582519</v>
      </c>
      <c r="F362" s="1">
        <f>Tabela3[[#This Row],[Tensão (Pa)]]/1000000</f>
        <v>5.4598772810582519</v>
      </c>
    </row>
    <row r="363" spans="1:6" x14ac:dyDescent="0.3">
      <c r="A363" s="5">
        <v>34.700000000000003</v>
      </c>
      <c r="B363" s="5">
        <v>2.8843000000000001</v>
      </c>
      <c r="C363" s="1">
        <f>Tabela3[[#This Row],[Alongamento (mm/mm)]]/$I$2</f>
        <v>5.7686000000000001E-2</v>
      </c>
      <c r="D363" s="5">
        <v>172.31</v>
      </c>
      <c r="E363" s="1">
        <f>Tabela3[[#This Row],[Força (N)]]/$I$5</f>
        <v>5492389.8318591127</v>
      </c>
      <c r="F363" s="1">
        <f>Tabela3[[#This Row],[Tensão (Pa)]]/1000000</f>
        <v>5.4923898318591124</v>
      </c>
    </row>
    <row r="364" spans="1:6" x14ac:dyDescent="0.3">
      <c r="A364" s="5">
        <v>34.75</v>
      </c>
      <c r="B364" s="5">
        <v>2.8885000000000001</v>
      </c>
      <c r="C364" s="1">
        <f>Tabela3[[#This Row],[Alongamento (mm/mm)]]/$I$2</f>
        <v>5.7770000000000002E-2</v>
      </c>
      <c r="D364" s="5">
        <v>173.33</v>
      </c>
      <c r="E364" s="1">
        <f>Tabela3[[#This Row],[Força (N)]]/$I$5</f>
        <v>5524902.3826599736</v>
      </c>
      <c r="F364" s="1">
        <f>Tabela3[[#This Row],[Tensão (Pa)]]/1000000</f>
        <v>5.5249023826599739</v>
      </c>
    </row>
    <row r="365" spans="1:6" x14ac:dyDescent="0.3">
      <c r="A365" s="5">
        <v>34.817</v>
      </c>
      <c r="B365" s="5">
        <v>2.8940000000000001</v>
      </c>
      <c r="C365" s="1">
        <f>Tabela3[[#This Row],[Alongamento (mm/mm)]]/$I$2</f>
        <v>5.7880000000000001E-2</v>
      </c>
      <c r="D365" s="5">
        <v>174.52</v>
      </c>
      <c r="E365" s="1">
        <f>Tabela3[[#This Row],[Força (N)]]/$I$5</f>
        <v>5562833.6919276444</v>
      </c>
      <c r="F365" s="1">
        <f>Tabela3[[#This Row],[Tensão (Pa)]]/1000000</f>
        <v>5.5628336919276444</v>
      </c>
    </row>
    <row r="366" spans="1:6" x14ac:dyDescent="0.3">
      <c r="A366" s="5">
        <v>34.883000000000003</v>
      </c>
      <c r="B366" s="5">
        <v>2.8996</v>
      </c>
      <c r="C366" s="1">
        <f>Tabela3[[#This Row],[Alongamento (mm/mm)]]/$I$2</f>
        <v>5.7992000000000002E-2</v>
      </c>
      <c r="D366" s="5">
        <v>175.88</v>
      </c>
      <c r="E366" s="1">
        <f>Tabela3[[#This Row],[Força (N)]]/$I$5</f>
        <v>5606183.7596621243</v>
      </c>
      <c r="F366" s="1">
        <f>Tabela3[[#This Row],[Tensão (Pa)]]/1000000</f>
        <v>5.606183759662124</v>
      </c>
    </row>
    <row r="367" spans="1:6" x14ac:dyDescent="0.3">
      <c r="A367" s="5">
        <v>34.950000000000003</v>
      </c>
      <c r="B367" s="5">
        <v>2.9051999999999998</v>
      </c>
      <c r="C367" s="1">
        <f>Tabela3[[#This Row],[Alongamento (mm/mm)]]/$I$2</f>
        <v>5.8103999999999996E-2</v>
      </c>
      <c r="D367" s="5">
        <v>177.24</v>
      </c>
      <c r="E367" s="1">
        <f>Tabela3[[#This Row],[Força (N)]]/$I$5</f>
        <v>5649533.8273966061</v>
      </c>
      <c r="F367" s="1">
        <f>Tabela3[[#This Row],[Tensão (Pa)]]/1000000</f>
        <v>5.6495338273966063</v>
      </c>
    </row>
    <row r="368" spans="1:6" x14ac:dyDescent="0.3">
      <c r="A368" s="5">
        <v>35.017000000000003</v>
      </c>
      <c r="B368" s="5">
        <v>2.9108000000000001</v>
      </c>
      <c r="C368" s="1">
        <f>Tabela3[[#This Row],[Alongamento (mm/mm)]]/$I$2</f>
        <v>5.8216000000000004E-2</v>
      </c>
      <c r="D368" s="5">
        <v>178.6</v>
      </c>
      <c r="E368" s="1">
        <f>Tabela3[[#This Row],[Força (N)]]/$I$5</f>
        <v>5692883.895131086</v>
      </c>
      <c r="F368" s="1">
        <f>Tabela3[[#This Row],[Tensão (Pa)]]/1000000</f>
        <v>5.6928838951310858</v>
      </c>
    </row>
    <row r="369" spans="1:6" x14ac:dyDescent="0.3">
      <c r="A369" s="5">
        <v>35.1</v>
      </c>
      <c r="B369" s="5">
        <v>2.9176000000000002</v>
      </c>
      <c r="C369" s="1">
        <f>Tabela3[[#This Row],[Alongamento (mm/mm)]]/$I$2</f>
        <v>5.8352000000000001E-2</v>
      </c>
      <c r="D369" s="5">
        <v>180.13</v>
      </c>
      <c r="E369" s="1">
        <f>Tabela3[[#This Row],[Força (N)]]/$I$5</f>
        <v>5741652.7213323768</v>
      </c>
      <c r="F369" s="1">
        <f>Tabela3[[#This Row],[Tensão (Pa)]]/1000000</f>
        <v>5.7416527213323771</v>
      </c>
    </row>
    <row r="370" spans="1:6" x14ac:dyDescent="0.3">
      <c r="A370" s="5">
        <v>35.167000000000002</v>
      </c>
      <c r="B370" s="5">
        <v>2.9230999999999998</v>
      </c>
      <c r="C370" s="1">
        <f>Tabela3[[#This Row],[Alongamento (mm/mm)]]/$I$2</f>
        <v>5.8461999999999993E-2</v>
      </c>
      <c r="D370" s="5">
        <v>181.5</v>
      </c>
      <c r="E370" s="1">
        <f>Tabela3[[#This Row],[Força (N)]]/$I$5</f>
        <v>5785321.5395649057</v>
      </c>
      <c r="F370" s="1">
        <f>Tabela3[[#This Row],[Tensão (Pa)]]/1000000</f>
        <v>5.7853215395649054</v>
      </c>
    </row>
    <row r="371" spans="1:6" x14ac:dyDescent="0.3">
      <c r="A371" s="5">
        <v>35.232999999999997</v>
      </c>
      <c r="B371" s="5">
        <v>2.9287000000000001</v>
      </c>
      <c r="C371" s="1">
        <f>Tabela3[[#This Row],[Alongamento (mm/mm)]]/$I$2</f>
        <v>5.8574000000000001E-2</v>
      </c>
      <c r="D371" s="5">
        <v>182.86</v>
      </c>
      <c r="E371" s="1">
        <f>Tabela3[[#This Row],[Força (N)]]/$I$5</f>
        <v>5828671.6072993875</v>
      </c>
      <c r="F371" s="1">
        <f>Tabela3[[#This Row],[Tensão (Pa)]]/1000000</f>
        <v>5.8286716072993876</v>
      </c>
    </row>
    <row r="372" spans="1:6" x14ac:dyDescent="0.3">
      <c r="A372" s="5">
        <v>35.299999999999997</v>
      </c>
      <c r="B372" s="5">
        <v>2.9342999999999999</v>
      </c>
      <c r="C372" s="1">
        <f>Tabela3[[#This Row],[Alongamento (mm/mm)]]/$I$2</f>
        <v>5.8685999999999995E-2</v>
      </c>
      <c r="D372" s="5">
        <v>184.22</v>
      </c>
      <c r="E372" s="1">
        <f>Tabela3[[#This Row],[Força (N)]]/$I$5</f>
        <v>5872021.6750338674</v>
      </c>
      <c r="F372" s="1">
        <f>Tabela3[[#This Row],[Tensão (Pa)]]/1000000</f>
        <v>5.8720216750338672</v>
      </c>
    </row>
    <row r="373" spans="1:6" x14ac:dyDescent="0.3">
      <c r="A373" s="5">
        <v>35.366999999999997</v>
      </c>
      <c r="B373" s="5">
        <v>2.9399000000000002</v>
      </c>
      <c r="C373" s="1">
        <f>Tabela3[[#This Row],[Alongamento (mm/mm)]]/$I$2</f>
        <v>5.8798000000000003E-2</v>
      </c>
      <c r="D373" s="5">
        <v>185.58</v>
      </c>
      <c r="E373" s="1">
        <f>Tabela3[[#This Row],[Força (N)]]/$I$5</f>
        <v>5915371.7427683491</v>
      </c>
      <c r="F373" s="1">
        <f>Tabela3[[#This Row],[Tensão (Pa)]]/1000000</f>
        <v>5.9153717427683494</v>
      </c>
    </row>
    <row r="374" spans="1:6" x14ac:dyDescent="0.3">
      <c r="A374" s="5">
        <v>35.433</v>
      </c>
      <c r="B374" s="5">
        <v>2.9455</v>
      </c>
      <c r="C374" s="1">
        <f>Tabela3[[#This Row],[Alongamento (mm/mm)]]/$I$2</f>
        <v>5.8909999999999997E-2</v>
      </c>
      <c r="D374" s="5">
        <v>186.94</v>
      </c>
      <c r="E374" s="1">
        <f>Tabela3[[#This Row],[Força (N)]]/$I$5</f>
        <v>5958721.810502829</v>
      </c>
      <c r="F374" s="1">
        <f>Tabela3[[#This Row],[Tensão (Pa)]]/1000000</f>
        <v>5.958721810502829</v>
      </c>
    </row>
    <row r="375" spans="1:6" x14ac:dyDescent="0.3">
      <c r="A375" s="5">
        <v>35.5</v>
      </c>
      <c r="B375" s="5">
        <v>2.9510000000000001</v>
      </c>
      <c r="C375" s="1">
        <f>Tabela3[[#This Row],[Alongamento (mm/mm)]]/$I$2</f>
        <v>5.9020000000000003E-2</v>
      </c>
      <c r="D375" s="5">
        <v>188.3</v>
      </c>
      <c r="E375" s="1">
        <f>Tabela3[[#This Row],[Força (N)]]/$I$5</f>
        <v>6002071.8782373108</v>
      </c>
      <c r="F375" s="1">
        <f>Tabela3[[#This Row],[Tensão (Pa)]]/1000000</f>
        <v>6.0020718782373104</v>
      </c>
    </row>
    <row r="376" spans="1:6" x14ac:dyDescent="0.3">
      <c r="A376" s="5">
        <v>35.567</v>
      </c>
      <c r="B376" s="5">
        <v>2.9565000000000001</v>
      </c>
      <c r="C376" s="1">
        <f>Tabela3[[#This Row],[Alongamento (mm/mm)]]/$I$2</f>
        <v>5.9130000000000002E-2</v>
      </c>
      <c r="D376" s="5">
        <v>189.66</v>
      </c>
      <c r="E376" s="1">
        <f>Tabela3[[#This Row],[Força (N)]]/$I$5</f>
        <v>6045421.9459717907</v>
      </c>
      <c r="F376" s="1">
        <f>Tabela3[[#This Row],[Tensão (Pa)]]/1000000</f>
        <v>6.0454219459717908</v>
      </c>
    </row>
    <row r="377" spans="1:6" x14ac:dyDescent="0.3">
      <c r="A377" s="5">
        <v>35.633000000000003</v>
      </c>
      <c r="B377" s="5">
        <v>2.9621</v>
      </c>
      <c r="C377" s="1">
        <f>Tabela3[[#This Row],[Alongamento (mm/mm)]]/$I$2</f>
        <v>5.9241999999999996E-2</v>
      </c>
      <c r="D377" s="5">
        <v>191.02</v>
      </c>
      <c r="E377" s="1">
        <f>Tabela3[[#This Row],[Força (N)]]/$I$5</f>
        <v>6088772.0137062725</v>
      </c>
      <c r="F377" s="1">
        <f>Tabela3[[#This Row],[Tensão (Pa)]]/1000000</f>
        <v>6.0887720137062722</v>
      </c>
    </row>
    <row r="378" spans="1:6" x14ac:dyDescent="0.3">
      <c r="A378" s="5">
        <v>35.700000000000003</v>
      </c>
      <c r="B378" s="5">
        <v>2.9676</v>
      </c>
      <c r="C378" s="1">
        <f>Tabela3[[#This Row],[Alongamento (mm/mm)]]/$I$2</f>
        <v>5.9352000000000002E-2</v>
      </c>
      <c r="D378" s="5">
        <v>192.38</v>
      </c>
      <c r="E378" s="1">
        <f>Tabela3[[#This Row],[Força (N)]]/$I$5</f>
        <v>6132122.0814407524</v>
      </c>
      <c r="F378" s="1">
        <f>Tabela3[[#This Row],[Tensão (Pa)]]/1000000</f>
        <v>6.1321220814407527</v>
      </c>
    </row>
    <row r="379" spans="1:6" x14ac:dyDescent="0.3">
      <c r="A379" s="5">
        <v>35.767000000000003</v>
      </c>
      <c r="B379" s="5">
        <v>2.9731999999999998</v>
      </c>
      <c r="C379" s="1">
        <f>Tabela3[[#This Row],[Alongamento (mm/mm)]]/$I$2</f>
        <v>5.9463999999999996E-2</v>
      </c>
      <c r="D379" s="5">
        <v>193.74</v>
      </c>
      <c r="E379" s="1">
        <f>Tabela3[[#This Row],[Força (N)]]/$I$5</f>
        <v>6175472.1491752341</v>
      </c>
      <c r="F379" s="1">
        <f>Tabela3[[#This Row],[Tensão (Pa)]]/1000000</f>
        <v>6.175472149175234</v>
      </c>
    </row>
    <row r="380" spans="1:6" x14ac:dyDescent="0.3">
      <c r="A380" s="5">
        <v>35.832999999999998</v>
      </c>
      <c r="B380" s="5">
        <v>2.9788000000000001</v>
      </c>
      <c r="C380" s="1">
        <f>Tabela3[[#This Row],[Alongamento (mm/mm)]]/$I$2</f>
        <v>5.9576000000000004E-2</v>
      </c>
      <c r="D380" s="5">
        <v>195.27</v>
      </c>
      <c r="E380" s="1">
        <f>Tabela3[[#This Row],[Força (N)]]/$I$5</f>
        <v>6224240.975376525</v>
      </c>
      <c r="F380" s="1">
        <f>Tabela3[[#This Row],[Tensão (Pa)]]/1000000</f>
        <v>6.2242409753765253</v>
      </c>
    </row>
    <row r="381" spans="1:6" x14ac:dyDescent="0.3">
      <c r="A381" s="5">
        <v>35.9</v>
      </c>
      <c r="B381" s="5">
        <v>2.9843000000000002</v>
      </c>
      <c r="C381" s="1">
        <f>Tabela3[[#This Row],[Alongamento (mm/mm)]]/$I$2</f>
        <v>5.9686000000000003E-2</v>
      </c>
      <c r="D381" s="5">
        <v>196.63</v>
      </c>
      <c r="E381" s="1">
        <f>Tabela3[[#This Row],[Força (N)]]/$I$5</f>
        <v>6267591.0431110049</v>
      </c>
      <c r="F381" s="1">
        <f>Tabela3[[#This Row],[Tensão (Pa)]]/1000000</f>
        <v>6.2675910431110049</v>
      </c>
    </row>
    <row r="382" spans="1:6" x14ac:dyDescent="0.3">
      <c r="A382" s="5">
        <v>35.966999999999999</v>
      </c>
      <c r="B382" s="5">
        <v>2.9897999999999998</v>
      </c>
      <c r="C382" s="1">
        <f>Tabela3[[#This Row],[Alongamento (mm/mm)]]/$I$2</f>
        <v>5.9795999999999995E-2</v>
      </c>
      <c r="D382" s="5">
        <v>198.17</v>
      </c>
      <c r="E382" s="1">
        <f>Tabela3[[#This Row],[Força (N)]]/$I$5</f>
        <v>6316678.6198103437</v>
      </c>
      <c r="F382" s="1">
        <f>Tabela3[[#This Row],[Tensão (Pa)]]/1000000</f>
        <v>6.316678619810344</v>
      </c>
    </row>
    <row r="383" spans="1:6" x14ac:dyDescent="0.3">
      <c r="A383" s="5">
        <v>36.033000000000001</v>
      </c>
      <c r="B383" s="5">
        <v>2.9954000000000001</v>
      </c>
      <c r="C383" s="1">
        <f>Tabela3[[#This Row],[Alongamento (mm/mm)]]/$I$2</f>
        <v>5.9908000000000003E-2</v>
      </c>
      <c r="D383" s="5">
        <v>199.7</v>
      </c>
      <c r="E383" s="1">
        <f>Tabela3[[#This Row],[Força (N)]]/$I$5</f>
        <v>6365447.4460116345</v>
      </c>
      <c r="F383" s="1">
        <f>Tabela3[[#This Row],[Tensão (Pa)]]/1000000</f>
        <v>6.3654474460116344</v>
      </c>
    </row>
    <row r="384" spans="1:6" x14ac:dyDescent="0.3">
      <c r="A384" s="5">
        <v>36.1</v>
      </c>
      <c r="B384" s="5">
        <v>3.0009999999999999</v>
      </c>
      <c r="C384" s="1">
        <f>Tabela3[[#This Row],[Alongamento (mm/mm)]]/$I$2</f>
        <v>6.0019999999999997E-2</v>
      </c>
      <c r="D384" s="5">
        <v>201.06</v>
      </c>
      <c r="E384" s="1">
        <f>Tabela3[[#This Row],[Força (N)]]/$I$5</f>
        <v>6408797.5137461154</v>
      </c>
      <c r="F384" s="1">
        <f>Tabela3[[#This Row],[Tensão (Pa)]]/1000000</f>
        <v>6.4087975137461157</v>
      </c>
    </row>
    <row r="385" spans="1:6" x14ac:dyDescent="0.3">
      <c r="A385" s="5">
        <v>36.167000000000002</v>
      </c>
      <c r="B385" s="5">
        <v>3.0065</v>
      </c>
      <c r="C385" s="1">
        <f>Tabela3[[#This Row],[Alongamento (mm/mm)]]/$I$2</f>
        <v>6.0129999999999996E-2</v>
      </c>
      <c r="D385" s="5">
        <v>202.59</v>
      </c>
      <c r="E385" s="1">
        <f>Tabela3[[#This Row],[Força (N)]]/$I$5</f>
        <v>6457566.3399474062</v>
      </c>
      <c r="F385" s="1">
        <f>Tabela3[[#This Row],[Tensão (Pa)]]/1000000</f>
        <v>6.4575663399474061</v>
      </c>
    </row>
    <row r="386" spans="1:6" x14ac:dyDescent="0.3">
      <c r="A386" s="5">
        <v>36.232999999999997</v>
      </c>
      <c r="B386" s="5">
        <v>3.0121000000000002</v>
      </c>
      <c r="C386" s="1">
        <f>Tabela3[[#This Row],[Alongamento (mm/mm)]]/$I$2</f>
        <v>6.0242000000000004E-2</v>
      </c>
      <c r="D386" s="5">
        <v>204.12</v>
      </c>
      <c r="E386" s="1">
        <f>Tabela3[[#This Row],[Força (N)]]/$I$5</f>
        <v>6506335.166148698</v>
      </c>
      <c r="F386" s="1">
        <f>Tabela3[[#This Row],[Tensão (Pa)]]/1000000</f>
        <v>6.5063351661486983</v>
      </c>
    </row>
    <row r="387" spans="1:6" x14ac:dyDescent="0.3">
      <c r="A387" s="5">
        <v>36.299999999999997</v>
      </c>
      <c r="B387" s="5">
        <v>3.0177</v>
      </c>
      <c r="C387" s="1">
        <f>Tabela3[[#This Row],[Alongamento (mm/mm)]]/$I$2</f>
        <v>6.0353999999999998E-2</v>
      </c>
      <c r="D387" s="5">
        <v>205.65</v>
      </c>
      <c r="E387" s="1">
        <f>Tabela3[[#This Row],[Força (N)]]/$I$5</f>
        <v>6555103.9923499888</v>
      </c>
      <c r="F387" s="1">
        <f>Tabela3[[#This Row],[Tensão (Pa)]]/1000000</f>
        <v>6.5551039923499888</v>
      </c>
    </row>
    <row r="388" spans="1:6" x14ac:dyDescent="0.3">
      <c r="A388" s="5">
        <v>36.366999999999997</v>
      </c>
      <c r="B388" s="5">
        <v>3.0232000000000001</v>
      </c>
      <c r="C388" s="1">
        <f>Tabela3[[#This Row],[Alongamento (mm/mm)]]/$I$2</f>
        <v>6.0464000000000004E-2</v>
      </c>
      <c r="D388" s="5">
        <v>207.18</v>
      </c>
      <c r="E388" s="1">
        <f>Tabela3[[#This Row],[Força (N)]]/$I$5</f>
        <v>6603872.8185512796</v>
      </c>
      <c r="F388" s="1">
        <f>Tabela3[[#This Row],[Tensão (Pa)]]/1000000</f>
        <v>6.6038728185512792</v>
      </c>
    </row>
    <row r="389" spans="1:6" x14ac:dyDescent="0.3">
      <c r="A389" s="5">
        <v>36.433</v>
      </c>
      <c r="B389" s="5">
        <v>3.0289000000000001</v>
      </c>
      <c r="C389" s="1">
        <f>Tabela3[[#This Row],[Alongamento (mm/mm)]]/$I$2</f>
        <v>6.0578E-2</v>
      </c>
      <c r="D389" s="5">
        <v>208.71</v>
      </c>
      <c r="E389" s="1">
        <f>Tabela3[[#This Row],[Força (N)]]/$I$5</f>
        <v>6652641.6447525704</v>
      </c>
      <c r="F389" s="1">
        <f>Tabela3[[#This Row],[Tensão (Pa)]]/1000000</f>
        <v>6.6526416447525705</v>
      </c>
    </row>
    <row r="390" spans="1:6" x14ac:dyDescent="0.3">
      <c r="A390" s="5">
        <v>36.5</v>
      </c>
      <c r="B390" s="5">
        <v>3.0343</v>
      </c>
      <c r="C390" s="1">
        <f>Tabela3[[#This Row],[Alongamento (mm/mm)]]/$I$2</f>
        <v>6.0685999999999997E-2</v>
      </c>
      <c r="D390" s="5">
        <v>210.24</v>
      </c>
      <c r="E390" s="1">
        <f>Tabela3[[#This Row],[Força (N)]]/$I$5</f>
        <v>6701410.4709538613</v>
      </c>
      <c r="F390" s="1">
        <f>Tabela3[[#This Row],[Tensão (Pa)]]/1000000</f>
        <v>6.7014104709538609</v>
      </c>
    </row>
    <row r="391" spans="1:6" x14ac:dyDescent="0.3">
      <c r="A391" s="5">
        <v>36.567</v>
      </c>
      <c r="B391" s="5">
        <v>3.0398999999999998</v>
      </c>
      <c r="C391" s="1">
        <f>Tabela3[[#This Row],[Alongamento (mm/mm)]]/$I$2</f>
        <v>6.0797999999999998E-2</v>
      </c>
      <c r="D391" s="5">
        <v>211.77</v>
      </c>
      <c r="E391" s="1">
        <f>Tabela3[[#This Row],[Força (N)]]/$I$5</f>
        <v>6750179.2971551521</v>
      </c>
      <c r="F391" s="1">
        <f>Tabela3[[#This Row],[Tensão (Pa)]]/1000000</f>
        <v>6.7501792971551522</v>
      </c>
    </row>
    <row r="392" spans="1:6" x14ac:dyDescent="0.3">
      <c r="A392" s="5">
        <v>36.633000000000003</v>
      </c>
      <c r="B392" s="5">
        <v>3.0453999999999999</v>
      </c>
      <c r="C392" s="1">
        <f>Tabela3[[#This Row],[Alongamento (mm/mm)]]/$I$2</f>
        <v>6.0907999999999997E-2</v>
      </c>
      <c r="D392" s="5">
        <v>213.3</v>
      </c>
      <c r="E392" s="1">
        <f>Tabela3[[#This Row],[Força (N)]]/$I$5</f>
        <v>6798948.1233564438</v>
      </c>
      <c r="F392" s="1">
        <f>Tabela3[[#This Row],[Tensão (Pa)]]/1000000</f>
        <v>6.7989481233564435</v>
      </c>
    </row>
    <row r="393" spans="1:6" x14ac:dyDescent="0.3">
      <c r="A393" s="5">
        <v>36.700000000000003</v>
      </c>
      <c r="B393" s="5">
        <v>3.0510000000000002</v>
      </c>
      <c r="C393" s="1">
        <f>Tabela3[[#This Row],[Alongamento (mm/mm)]]/$I$2</f>
        <v>6.1020000000000005E-2</v>
      </c>
      <c r="D393" s="5">
        <v>214.83</v>
      </c>
      <c r="E393" s="1">
        <f>Tabela3[[#This Row],[Força (N)]]/$I$5</f>
        <v>6847716.9495577347</v>
      </c>
      <c r="F393" s="1">
        <f>Tabela3[[#This Row],[Tensão (Pa)]]/1000000</f>
        <v>6.8477169495577348</v>
      </c>
    </row>
    <row r="394" spans="1:6" x14ac:dyDescent="0.3">
      <c r="A394" s="5">
        <v>36.767000000000003</v>
      </c>
      <c r="B394" s="5">
        <v>3.0565000000000002</v>
      </c>
      <c r="C394" s="1">
        <f>Tabela3[[#This Row],[Alongamento (mm/mm)]]/$I$2</f>
        <v>6.1130000000000004E-2</v>
      </c>
      <c r="D394" s="5">
        <v>216.37</v>
      </c>
      <c r="E394" s="1">
        <f>Tabela3[[#This Row],[Força (N)]]/$I$5</f>
        <v>6896804.5262570726</v>
      </c>
      <c r="F394" s="1">
        <f>Tabela3[[#This Row],[Tensão (Pa)]]/1000000</f>
        <v>6.896804526257073</v>
      </c>
    </row>
    <row r="395" spans="1:6" x14ac:dyDescent="0.3">
      <c r="A395" s="5">
        <v>36.832999999999998</v>
      </c>
      <c r="B395" s="5">
        <v>3.0621</v>
      </c>
      <c r="C395" s="1">
        <f>Tabela3[[#This Row],[Alongamento (mm/mm)]]/$I$2</f>
        <v>6.1241999999999998E-2</v>
      </c>
      <c r="D395" s="5">
        <v>217.9</v>
      </c>
      <c r="E395" s="1">
        <f>Tabela3[[#This Row],[Força (N)]]/$I$5</f>
        <v>6945573.3524583634</v>
      </c>
      <c r="F395" s="1">
        <f>Tabela3[[#This Row],[Tensão (Pa)]]/1000000</f>
        <v>6.9455733524583634</v>
      </c>
    </row>
    <row r="396" spans="1:6" x14ac:dyDescent="0.3">
      <c r="A396" s="5">
        <v>36.917000000000002</v>
      </c>
      <c r="B396" s="5">
        <v>3.0691000000000002</v>
      </c>
      <c r="C396" s="1">
        <f>Tabela3[[#This Row],[Alongamento (mm/mm)]]/$I$2</f>
        <v>6.1382000000000006E-2</v>
      </c>
      <c r="D396" s="5">
        <v>219.94</v>
      </c>
      <c r="E396" s="1">
        <f>Tabela3[[#This Row],[Força (N)]]/$I$5</f>
        <v>7010598.4540600851</v>
      </c>
      <c r="F396" s="1">
        <f>Tabela3[[#This Row],[Tensão (Pa)]]/1000000</f>
        <v>7.0105984540600854</v>
      </c>
    </row>
    <row r="397" spans="1:6" x14ac:dyDescent="0.3">
      <c r="A397" s="5">
        <v>37</v>
      </c>
      <c r="B397" s="5">
        <v>3.0760000000000001</v>
      </c>
      <c r="C397" s="1">
        <f>Tabela3[[#This Row],[Alongamento (mm/mm)]]/$I$2</f>
        <v>6.1519999999999998E-2</v>
      </c>
      <c r="D397" s="5">
        <v>221.81</v>
      </c>
      <c r="E397" s="1">
        <f>Tabela3[[#This Row],[Força (N)]]/$I$5</f>
        <v>7070204.7971949959</v>
      </c>
      <c r="F397" s="1">
        <f>Tabela3[[#This Row],[Tensão (Pa)]]/1000000</f>
        <v>7.0702047971949957</v>
      </c>
    </row>
    <row r="398" spans="1:6" x14ac:dyDescent="0.3">
      <c r="A398" s="5">
        <v>37.082999999999998</v>
      </c>
      <c r="B398" s="5">
        <v>3.0828000000000002</v>
      </c>
      <c r="C398" s="1">
        <f>Tabela3[[#This Row],[Alongamento (mm/mm)]]/$I$2</f>
        <v>6.1656000000000002E-2</v>
      </c>
      <c r="D398" s="5">
        <v>223.85</v>
      </c>
      <c r="E398" s="1">
        <f>Tabela3[[#This Row],[Força (N)]]/$I$5</f>
        <v>7135229.8987967167</v>
      </c>
      <c r="F398" s="1">
        <f>Tabela3[[#This Row],[Tensão (Pa)]]/1000000</f>
        <v>7.1352298987967169</v>
      </c>
    </row>
    <row r="399" spans="1:6" x14ac:dyDescent="0.3">
      <c r="A399" s="5">
        <v>37.167000000000002</v>
      </c>
      <c r="B399" s="5">
        <v>3.0899000000000001</v>
      </c>
      <c r="C399" s="1">
        <f>Tabela3[[#This Row],[Alongamento (mm/mm)]]/$I$2</f>
        <v>6.1797999999999999E-2</v>
      </c>
      <c r="D399" s="5">
        <v>225.72</v>
      </c>
      <c r="E399" s="1">
        <f>Tabela3[[#This Row],[Força (N)]]/$I$5</f>
        <v>7194836.2419316284</v>
      </c>
      <c r="F399" s="1">
        <f>Tabela3[[#This Row],[Tensão (Pa)]]/1000000</f>
        <v>7.1948362419316281</v>
      </c>
    </row>
    <row r="400" spans="1:6" x14ac:dyDescent="0.3">
      <c r="A400" s="5">
        <v>37.25</v>
      </c>
      <c r="B400" s="5">
        <v>3.0969000000000002</v>
      </c>
      <c r="C400" s="1">
        <f>Tabela3[[#This Row],[Alongamento (mm/mm)]]/$I$2</f>
        <v>6.1938000000000007E-2</v>
      </c>
      <c r="D400" s="5">
        <v>227.76</v>
      </c>
      <c r="E400" s="1">
        <f>Tabela3[[#This Row],[Força (N)]]/$I$5</f>
        <v>7259861.3435333492</v>
      </c>
      <c r="F400" s="1">
        <f>Tabela3[[#This Row],[Tensão (Pa)]]/1000000</f>
        <v>7.2598613435333492</v>
      </c>
    </row>
    <row r="401" spans="1:6" x14ac:dyDescent="0.3">
      <c r="A401" s="5">
        <v>37.332999999999998</v>
      </c>
      <c r="B401" s="5">
        <v>3.1038000000000001</v>
      </c>
      <c r="C401" s="1">
        <f>Tabela3[[#This Row],[Alongamento (mm/mm)]]/$I$2</f>
        <v>6.2075999999999999E-2</v>
      </c>
      <c r="D401" s="5">
        <v>229.63</v>
      </c>
      <c r="E401" s="1">
        <f>Tabela3[[#This Row],[Força (N)]]/$I$5</f>
        <v>7319467.686668261</v>
      </c>
      <c r="F401" s="1">
        <f>Tabela3[[#This Row],[Tensão (Pa)]]/1000000</f>
        <v>7.3194676866682613</v>
      </c>
    </row>
    <row r="402" spans="1:6" x14ac:dyDescent="0.3">
      <c r="A402" s="5">
        <v>37.4</v>
      </c>
      <c r="B402" s="5">
        <v>3.1093000000000002</v>
      </c>
      <c r="C402" s="1">
        <f>Tabela3[[#This Row],[Alongamento (mm/mm)]]/$I$2</f>
        <v>6.2186000000000005E-2</v>
      </c>
      <c r="D402" s="5">
        <v>231.33</v>
      </c>
      <c r="E402" s="1">
        <f>Tabela3[[#This Row],[Força (N)]]/$I$5</f>
        <v>7373655.2713363627</v>
      </c>
      <c r="F402" s="1">
        <f>Tabela3[[#This Row],[Tensão (Pa)]]/1000000</f>
        <v>7.3736552713363626</v>
      </c>
    </row>
    <row r="403" spans="1:6" x14ac:dyDescent="0.3">
      <c r="A403" s="5">
        <v>37.482999999999997</v>
      </c>
      <c r="B403" s="5">
        <v>3.1162000000000001</v>
      </c>
      <c r="C403" s="1">
        <f>Tabela3[[#This Row],[Alongamento (mm/mm)]]/$I$2</f>
        <v>6.2324000000000004E-2</v>
      </c>
      <c r="D403" s="5">
        <v>233.21</v>
      </c>
      <c r="E403" s="1">
        <f>Tabela3[[#This Row],[Força (N)]]/$I$5</f>
        <v>7433580.3649693206</v>
      </c>
      <c r="F403" s="1">
        <f>Tabela3[[#This Row],[Tensão (Pa)]]/1000000</f>
        <v>7.4335803649693206</v>
      </c>
    </row>
    <row r="404" spans="1:6" x14ac:dyDescent="0.3">
      <c r="A404" s="5">
        <v>37.567</v>
      </c>
      <c r="B404" s="5">
        <v>3.1232000000000002</v>
      </c>
      <c r="C404" s="1">
        <f>Tabela3[[#This Row],[Alongamento (mm/mm)]]/$I$2</f>
        <v>6.2464000000000006E-2</v>
      </c>
      <c r="D404" s="5">
        <v>235.25</v>
      </c>
      <c r="E404" s="1">
        <f>Tabela3[[#This Row],[Força (N)]]/$I$5</f>
        <v>7498605.4665710423</v>
      </c>
      <c r="F404" s="1">
        <f>Tabela3[[#This Row],[Tensão (Pa)]]/1000000</f>
        <v>7.4986054665710427</v>
      </c>
    </row>
    <row r="405" spans="1:6" x14ac:dyDescent="0.3">
      <c r="A405" s="5">
        <v>37.65</v>
      </c>
      <c r="B405" s="5">
        <v>3.1301000000000001</v>
      </c>
      <c r="C405" s="1">
        <f>Tabela3[[#This Row],[Alongamento (mm/mm)]]/$I$2</f>
        <v>6.2602000000000005E-2</v>
      </c>
      <c r="D405" s="5">
        <v>237.29</v>
      </c>
      <c r="E405" s="1">
        <f>Tabela3[[#This Row],[Força (N)]]/$I$5</f>
        <v>7563630.5681727631</v>
      </c>
      <c r="F405" s="1">
        <f>Tabela3[[#This Row],[Tensão (Pa)]]/1000000</f>
        <v>7.5636305681727629</v>
      </c>
    </row>
    <row r="406" spans="1:6" x14ac:dyDescent="0.3">
      <c r="A406" s="5">
        <v>37.732999999999997</v>
      </c>
      <c r="B406" s="5">
        <v>3.1371000000000002</v>
      </c>
      <c r="C406" s="1">
        <f>Tabela3[[#This Row],[Alongamento (mm/mm)]]/$I$2</f>
        <v>6.2742000000000006E-2</v>
      </c>
      <c r="D406" s="5">
        <v>239.16</v>
      </c>
      <c r="E406" s="1">
        <f>Tabela3[[#This Row],[Força (N)]]/$I$5</f>
        <v>7623236.9113076739</v>
      </c>
      <c r="F406" s="1">
        <f>Tabela3[[#This Row],[Tensão (Pa)]]/1000000</f>
        <v>7.6232369113076741</v>
      </c>
    </row>
    <row r="407" spans="1:6" x14ac:dyDescent="0.3">
      <c r="A407" s="5">
        <v>37.799999999999997</v>
      </c>
      <c r="B407" s="5">
        <v>3.1427</v>
      </c>
      <c r="C407" s="1">
        <f>Tabela3[[#This Row],[Alongamento (mm/mm)]]/$I$2</f>
        <v>6.2854000000000007E-2</v>
      </c>
      <c r="D407" s="5">
        <v>240.86</v>
      </c>
      <c r="E407" s="1">
        <f>Tabela3[[#This Row],[Força (N)]]/$I$5</f>
        <v>7677424.4959757756</v>
      </c>
      <c r="F407" s="1">
        <f>Tabela3[[#This Row],[Tensão (Pa)]]/1000000</f>
        <v>7.6774244959757754</v>
      </c>
    </row>
    <row r="408" spans="1:6" x14ac:dyDescent="0.3">
      <c r="A408" s="5">
        <v>37.883000000000003</v>
      </c>
      <c r="B408" s="5">
        <v>3.1495000000000002</v>
      </c>
      <c r="C408" s="1">
        <f>Tabela3[[#This Row],[Alongamento (mm/mm)]]/$I$2</f>
        <v>6.2990000000000004E-2</v>
      </c>
      <c r="D408" s="5">
        <v>242.9</v>
      </c>
      <c r="E408" s="1">
        <f>Tabela3[[#This Row],[Força (N)]]/$I$5</f>
        <v>7742449.5975774964</v>
      </c>
      <c r="F408" s="1">
        <f>Tabela3[[#This Row],[Tensão (Pa)]]/1000000</f>
        <v>7.7424495975774965</v>
      </c>
    </row>
    <row r="409" spans="1:6" x14ac:dyDescent="0.3">
      <c r="A409" s="5">
        <v>37.966999999999999</v>
      </c>
      <c r="B409" s="5">
        <v>3.1564999999999999</v>
      </c>
      <c r="C409" s="1">
        <f>Tabela3[[#This Row],[Alongamento (mm/mm)]]/$I$2</f>
        <v>6.3129999999999992E-2</v>
      </c>
      <c r="D409" s="5">
        <v>244.94</v>
      </c>
      <c r="E409" s="1">
        <f>Tabela3[[#This Row],[Força (N)]]/$I$5</f>
        <v>7807474.6991792182</v>
      </c>
      <c r="F409" s="1">
        <f>Tabela3[[#This Row],[Tensão (Pa)]]/1000000</f>
        <v>7.8074746991792185</v>
      </c>
    </row>
    <row r="410" spans="1:6" x14ac:dyDescent="0.3">
      <c r="A410" s="5">
        <v>38.049999999999997</v>
      </c>
      <c r="B410" s="5">
        <v>3.1635</v>
      </c>
      <c r="C410" s="1">
        <f>Tabela3[[#This Row],[Alongamento (mm/mm)]]/$I$2</f>
        <v>6.3269999999999993E-2</v>
      </c>
      <c r="D410" s="5">
        <v>246.98</v>
      </c>
      <c r="E410" s="1">
        <f>Tabela3[[#This Row],[Força (N)]]/$I$5</f>
        <v>7872499.8007809389</v>
      </c>
      <c r="F410" s="1">
        <f>Tabela3[[#This Row],[Tensão (Pa)]]/1000000</f>
        <v>7.8724998007809388</v>
      </c>
    </row>
    <row r="411" spans="1:6" x14ac:dyDescent="0.3">
      <c r="A411" s="5">
        <v>38.133000000000003</v>
      </c>
      <c r="B411" s="5">
        <v>3.1703999999999999</v>
      </c>
      <c r="C411" s="1">
        <f>Tabela3[[#This Row],[Alongamento (mm/mm)]]/$I$2</f>
        <v>6.3407999999999992E-2</v>
      </c>
      <c r="D411" s="5">
        <v>249.02</v>
      </c>
      <c r="E411" s="1">
        <f>Tabela3[[#This Row],[Força (N)]]/$I$5</f>
        <v>7937524.9023826607</v>
      </c>
      <c r="F411" s="1">
        <f>Tabela3[[#This Row],[Tensão (Pa)]]/1000000</f>
        <v>7.9375249023826608</v>
      </c>
    </row>
    <row r="412" spans="1:6" x14ac:dyDescent="0.3">
      <c r="A412" s="5">
        <v>38.200000000000003</v>
      </c>
      <c r="B412" s="5">
        <v>3.1760000000000002</v>
      </c>
      <c r="C412" s="1">
        <f>Tabela3[[#This Row],[Alongamento (mm/mm)]]/$I$2</f>
        <v>6.3520000000000007E-2</v>
      </c>
      <c r="D412" s="5">
        <v>250.73</v>
      </c>
      <c r="E412" s="1">
        <f>Tabela3[[#This Row],[Força (N)]]/$I$5</f>
        <v>7992031.2375488086</v>
      </c>
      <c r="F412" s="1">
        <f>Tabela3[[#This Row],[Tensão (Pa)]]/1000000</f>
        <v>7.992031237548809</v>
      </c>
    </row>
    <row r="413" spans="1:6" x14ac:dyDescent="0.3">
      <c r="A413" s="5">
        <v>38.267000000000003</v>
      </c>
      <c r="B413" s="5">
        <v>3.1816</v>
      </c>
      <c r="C413" s="1">
        <f>Tabela3[[#This Row],[Alongamento (mm/mm)]]/$I$2</f>
        <v>6.3631999999999994E-2</v>
      </c>
      <c r="D413" s="5">
        <v>252.43</v>
      </c>
      <c r="E413" s="1">
        <f>Tabela3[[#This Row],[Força (N)]]/$I$5</f>
        <v>8046218.8222169103</v>
      </c>
      <c r="F413" s="1">
        <f>Tabela3[[#This Row],[Tensão (Pa)]]/1000000</f>
        <v>8.0462188222169111</v>
      </c>
    </row>
    <row r="414" spans="1:6" x14ac:dyDescent="0.3">
      <c r="A414" s="5">
        <v>38.332999999999998</v>
      </c>
      <c r="B414" s="5">
        <v>3.1871</v>
      </c>
      <c r="C414" s="1">
        <f>Tabela3[[#This Row],[Alongamento (mm/mm)]]/$I$2</f>
        <v>6.3742000000000007E-2</v>
      </c>
      <c r="D414" s="5">
        <v>254.13</v>
      </c>
      <c r="E414" s="1">
        <f>Tabela3[[#This Row],[Força (N)]]/$I$5</f>
        <v>8100406.4068850111</v>
      </c>
      <c r="F414" s="1">
        <f>Tabela3[[#This Row],[Tensão (Pa)]]/1000000</f>
        <v>8.1004064068850106</v>
      </c>
    </row>
    <row r="415" spans="1:6" x14ac:dyDescent="0.3">
      <c r="A415" s="5">
        <v>38.4</v>
      </c>
      <c r="B415" s="5">
        <v>3.1926000000000001</v>
      </c>
      <c r="C415" s="1">
        <f>Tabela3[[#This Row],[Alongamento (mm/mm)]]/$I$2</f>
        <v>6.3852000000000006E-2</v>
      </c>
      <c r="D415" s="5">
        <v>255.83</v>
      </c>
      <c r="E415" s="1">
        <f>Tabela3[[#This Row],[Força (N)]]/$I$5</f>
        <v>8154593.9915531129</v>
      </c>
      <c r="F415" s="1">
        <f>Tabela3[[#This Row],[Tensão (Pa)]]/1000000</f>
        <v>8.1545939915531136</v>
      </c>
    </row>
    <row r="416" spans="1:6" x14ac:dyDescent="0.3">
      <c r="A416" s="5">
        <v>38.466999999999999</v>
      </c>
      <c r="B416" s="5">
        <v>3.1981999999999999</v>
      </c>
      <c r="C416" s="1">
        <f>Tabela3[[#This Row],[Alongamento (mm/mm)]]/$I$2</f>
        <v>6.3963999999999993E-2</v>
      </c>
      <c r="D416" s="5">
        <v>257.52999999999997</v>
      </c>
      <c r="E416" s="1">
        <f>Tabela3[[#This Row],[Força (N)]]/$I$5</f>
        <v>8208781.5762212127</v>
      </c>
      <c r="F416" s="1">
        <f>Tabela3[[#This Row],[Tensão (Pa)]]/1000000</f>
        <v>8.2087815762212131</v>
      </c>
    </row>
    <row r="417" spans="1:6" x14ac:dyDescent="0.3">
      <c r="A417" s="5">
        <v>38.533000000000001</v>
      </c>
      <c r="B417" s="5">
        <v>3.2038000000000002</v>
      </c>
      <c r="C417" s="1">
        <f>Tabela3[[#This Row],[Alongamento (mm/mm)]]/$I$2</f>
        <v>6.4076000000000008E-2</v>
      </c>
      <c r="D417" s="5">
        <v>259.23</v>
      </c>
      <c r="E417" s="1">
        <f>Tabela3[[#This Row],[Força (N)]]/$I$5</f>
        <v>8262969.1608893145</v>
      </c>
      <c r="F417" s="1">
        <f>Tabela3[[#This Row],[Tensão (Pa)]]/1000000</f>
        <v>8.2629691608893143</v>
      </c>
    </row>
    <row r="418" spans="1:6" x14ac:dyDescent="0.3">
      <c r="A418" s="5">
        <v>38.6</v>
      </c>
      <c r="B418" s="5">
        <v>3.2092999999999998</v>
      </c>
      <c r="C418" s="1">
        <f>Tabela3[[#This Row],[Alongamento (mm/mm)]]/$I$2</f>
        <v>6.4185999999999993E-2</v>
      </c>
      <c r="D418" s="5">
        <v>260.93</v>
      </c>
      <c r="E418" s="1">
        <f>Tabela3[[#This Row],[Força (N)]]/$I$5</f>
        <v>8317156.7455574153</v>
      </c>
      <c r="F418" s="1">
        <f>Tabela3[[#This Row],[Tensão (Pa)]]/1000000</f>
        <v>8.3171567455574156</v>
      </c>
    </row>
    <row r="419" spans="1:6" x14ac:dyDescent="0.3">
      <c r="A419" s="5">
        <v>38.667000000000002</v>
      </c>
      <c r="B419" s="5">
        <v>3.2149999999999999</v>
      </c>
      <c r="C419" s="1">
        <f>Tabela3[[#This Row],[Alongamento (mm/mm)]]/$I$2</f>
        <v>6.4299999999999996E-2</v>
      </c>
      <c r="D419" s="5">
        <v>262.63</v>
      </c>
      <c r="E419" s="1">
        <f>Tabela3[[#This Row],[Força (N)]]/$I$5</f>
        <v>8371344.3302255161</v>
      </c>
      <c r="F419" s="1">
        <f>Tabela3[[#This Row],[Tensão (Pa)]]/1000000</f>
        <v>8.3713443302255168</v>
      </c>
    </row>
    <row r="420" spans="1:6" x14ac:dyDescent="0.3">
      <c r="A420" s="5">
        <v>38.75</v>
      </c>
      <c r="B420" s="5">
        <v>3.2218</v>
      </c>
      <c r="C420" s="1">
        <f>Tabela3[[#This Row],[Alongamento (mm/mm)]]/$I$2</f>
        <v>6.4435999999999993E-2</v>
      </c>
      <c r="D420" s="5">
        <v>264.83999999999997</v>
      </c>
      <c r="E420" s="1">
        <f>Tabela3[[#This Row],[Força (N)]]/$I$5</f>
        <v>8441788.1902940478</v>
      </c>
      <c r="F420" s="1">
        <f>Tabela3[[#This Row],[Tensão (Pa)]]/1000000</f>
        <v>8.4417881902940479</v>
      </c>
    </row>
    <row r="421" spans="1:6" x14ac:dyDescent="0.3">
      <c r="A421" s="5">
        <v>38.832999999999998</v>
      </c>
      <c r="B421" s="5">
        <v>3.2286999999999999</v>
      </c>
      <c r="C421" s="1">
        <f>Tabela3[[#This Row],[Alongamento (mm/mm)]]/$I$2</f>
        <v>6.4573999999999993E-2</v>
      </c>
      <c r="D421" s="5">
        <v>267.06</v>
      </c>
      <c r="E421" s="1">
        <f>Tabela3[[#This Row],[Força (N)]]/$I$5</f>
        <v>8512550.8008606266</v>
      </c>
      <c r="F421" s="1">
        <f>Tabela3[[#This Row],[Tensão (Pa)]]/1000000</f>
        <v>8.5125508008606268</v>
      </c>
    </row>
    <row r="422" spans="1:6" x14ac:dyDescent="0.3">
      <c r="A422" s="5">
        <v>38.917000000000002</v>
      </c>
      <c r="B422" s="5">
        <v>3.2357</v>
      </c>
      <c r="C422" s="1">
        <f>Tabela3[[#This Row],[Alongamento (mm/mm)]]/$I$2</f>
        <v>6.4713999999999994E-2</v>
      </c>
      <c r="D422" s="5">
        <v>269.27</v>
      </c>
      <c r="E422" s="1">
        <f>Tabela3[[#This Row],[Força (N)]]/$I$5</f>
        <v>8582994.6609291583</v>
      </c>
      <c r="F422" s="1">
        <f>Tabela3[[#This Row],[Tensão (Pa)]]/1000000</f>
        <v>8.5829946609291579</v>
      </c>
    </row>
    <row r="423" spans="1:6" x14ac:dyDescent="0.3">
      <c r="A423" s="5">
        <v>39</v>
      </c>
      <c r="B423" s="5">
        <v>3.2425999999999999</v>
      </c>
      <c r="C423" s="1">
        <f>Tabela3[[#This Row],[Alongamento (mm/mm)]]/$I$2</f>
        <v>6.4851999999999993E-2</v>
      </c>
      <c r="D423" s="5">
        <v>271.48</v>
      </c>
      <c r="E423" s="1">
        <f>Tabela3[[#This Row],[Força (N)]]/$I$5</f>
        <v>8653438.52099769</v>
      </c>
      <c r="F423" s="1">
        <f>Tabela3[[#This Row],[Tensão (Pa)]]/1000000</f>
        <v>8.6534385209976907</v>
      </c>
    </row>
    <row r="424" spans="1:6" x14ac:dyDescent="0.3">
      <c r="A424" s="5">
        <v>39.082999999999998</v>
      </c>
      <c r="B424" s="5">
        <v>3.2496</v>
      </c>
      <c r="C424" s="1">
        <f>Tabela3[[#This Row],[Alongamento (mm/mm)]]/$I$2</f>
        <v>6.4991999999999994E-2</v>
      </c>
      <c r="D424" s="5">
        <v>273.69</v>
      </c>
      <c r="E424" s="1">
        <f>Tabela3[[#This Row],[Força (N)]]/$I$5</f>
        <v>8723882.3810662217</v>
      </c>
      <c r="F424" s="1">
        <f>Tabela3[[#This Row],[Tensão (Pa)]]/1000000</f>
        <v>8.7238823810662218</v>
      </c>
    </row>
    <row r="425" spans="1:6" x14ac:dyDescent="0.3">
      <c r="A425" s="5">
        <v>39.167000000000002</v>
      </c>
      <c r="B425" s="5">
        <v>3.2566000000000002</v>
      </c>
      <c r="C425" s="1">
        <f>Tabela3[[#This Row],[Alongamento (mm/mm)]]/$I$2</f>
        <v>6.5132000000000009E-2</v>
      </c>
      <c r="D425" s="5">
        <v>275.89999999999998</v>
      </c>
      <c r="E425" s="1">
        <f>Tabela3[[#This Row],[Força (N)]]/$I$5</f>
        <v>8794326.2411347516</v>
      </c>
      <c r="F425" s="1">
        <f>Tabela3[[#This Row],[Tensão (Pa)]]/1000000</f>
        <v>8.7943262411347511</v>
      </c>
    </row>
    <row r="426" spans="1:6" x14ac:dyDescent="0.3">
      <c r="A426" s="5">
        <v>39.25</v>
      </c>
      <c r="B426" s="5">
        <v>3.2635000000000001</v>
      </c>
      <c r="C426" s="1">
        <f>Tabela3[[#This Row],[Alongamento (mm/mm)]]/$I$2</f>
        <v>6.5269999999999995E-2</v>
      </c>
      <c r="D426" s="5">
        <v>278.27999999999997</v>
      </c>
      <c r="E426" s="1">
        <f>Tabela3[[#This Row],[Força (N)]]/$I$5</f>
        <v>8870188.8596700933</v>
      </c>
      <c r="F426" s="1">
        <f>Tabela3[[#This Row],[Tensão (Pa)]]/1000000</f>
        <v>8.870188859670094</v>
      </c>
    </row>
    <row r="427" spans="1:6" x14ac:dyDescent="0.3">
      <c r="A427" s="5">
        <v>39.332999999999998</v>
      </c>
      <c r="B427" s="5">
        <v>3.2704</v>
      </c>
      <c r="C427" s="1">
        <f>Tabela3[[#This Row],[Alongamento (mm/mm)]]/$I$2</f>
        <v>6.5407999999999994E-2</v>
      </c>
      <c r="D427" s="5">
        <v>280.49</v>
      </c>
      <c r="E427" s="1">
        <f>Tabela3[[#This Row],[Força (N)]]/$I$5</f>
        <v>8940632.719738625</v>
      </c>
      <c r="F427" s="1">
        <f>Tabela3[[#This Row],[Tensão (Pa)]]/1000000</f>
        <v>8.9406327197386251</v>
      </c>
    </row>
    <row r="428" spans="1:6" x14ac:dyDescent="0.3">
      <c r="A428" s="5">
        <v>39.417000000000002</v>
      </c>
      <c r="B428" s="5">
        <v>3.2774000000000001</v>
      </c>
      <c r="C428" s="1">
        <f>Tabela3[[#This Row],[Alongamento (mm/mm)]]/$I$2</f>
        <v>6.5547999999999995E-2</v>
      </c>
      <c r="D428" s="5">
        <v>282.7</v>
      </c>
      <c r="E428" s="1">
        <f>Tabela3[[#This Row],[Força (N)]]/$I$5</f>
        <v>9011076.5798071567</v>
      </c>
      <c r="F428" s="1">
        <f>Tabela3[[#This Row],[Tensão (Pa)]]/1000000</f>
        <v>9.0110765798071562</v>
      </c>
    </row>
    <row r="429" spans="1:6" x14ac:dyDescent="0.3">
      <c r="A429" s="5">
        <v>39.5</v>
      </c>
      <c r="B429" s="5">
        <v>3.2841999999999998</v>
      </c>
      <c r="C429" s="1">
        <f>Tabela3[[#This Row],[Alongamento (mm/mm)]]/$I$2</f>
        <v>6.5683999999999992E-2</v>
      </c>
      <c r="D429" s="5">
        <v>285.08999999999997</v>
      </c>
      <c r="E429" s="1">
        <f>Tabela3[[#This Row],[Força (N)]]/$I$5</f>
        <v>9087257.9488405455</v>
      </c>
      <c r="F429" s="1">
        <f>Tabela3[[#This Row],[Tensão (Pa)]]/1000000</f>
        <v>9.0872579488405449</v>
      </c>
    </row>
    <row r="430" spans="1:6" x14ac:dyDescent="0.3">
      <c r="A430" s="5">
        <v>39.582999999999998</v>
      </c>
      <c r="B430" s="5">
        <v>3.2913000000000001</v>
      </c>
      <c r="C430" s="1">
        <f>Tabela3[[#This Row],[Alongamento (mm/mm)]]/$I$2</f>
        <v>6.5825999999999996E-2</v>
      </c>
      <c r="D430" s="5">
        <v>287.47000000000003</v>
      </c>
      <c r="E430" s="1">
        <f>Tabela3[[#This Row],[Força (N)]]/$I$5</f>
        <v>9163120.5673758872</v>
      </c>
      <c r="F430" s="1">
        <f>Tabela3[[#This Row],[Tensão (Pa)]]/1000000</f>
        <v>9.1631205673758878</v>
      </c>
    </row>
    <row r="431" spans="1:6" x14ac:dyDescent="0.3">
      <c r="A431" s="5">
        <v>39.667000000000002</v>
      </c>
      <c r="B431" s="5">
        <v>3.2982999999999998</v>
      </c>
      <c r="C431" s="1">
        <f>Tabela3[[#This Row],[Alongamento (mm/mm)]]/$I$2</f>
        <v>6.5965999999999997E-2</v>
      </c>
      <c r="D431" s="5">
        <v>289.68</v>
      </c>
      <c r="E431" s="1">
        <f>Tabela3[[#This Row],[Força (N)]]/$I$5</f>
        <v>9233564.4274444189</v>
      </c>
      <c r="F431" s="1">
        <f>Tabela3[[#This Row],[Tensão (Pa)]]/1000000</f>
        <v>9.2335644274444189</v>
      </c>
    </row>
    <row r="432" spans="1:6" x14ac:dyDescent="0.3">
      <c r="A432" s="5">
        <v>39.75</v>
      </c>
      <c r="B432" s="5">
        <v>3.3050999999999999</v>
      </c>
      <c r="C432" s="1">
        <f>Tabela3[[#This Row],[Alongamento (mm/mm)]]/$I$2</f>
        <v>6.6101999999999994E-2</v>
      </c>
      <c r="D432" s="5">
        <v>292.06</v>
      </c>
      <c r="E432" s="1">
        <f>Tabela3[[#This Row],[Força (N)]]/$I$5</f>
        <v>9309427.0459797606</v>
      </c>
      <c r="F432" s="1">
        <f>Tabela3[[#This Row],[Tensão (Pa)]]/1000000</f>
        <v>9.3094270459797599</v>
      </c>
    </row>
    <row r="433" spans="1:6" x14ac:dyDescent="0.3">
      <c r="A433" s="5">
        <v>39.832999999999998</v>
      </c>
      <c r="B433" s="5">
        <v>3.3121</v>
      </c>
      <c r="C433" s="1">
        <f>Tabela3[[#This Row],[Alongamento (mm/mm)]]/$I$2</f>
        <v>6.6241999999999995E-2</v>
      </c>
      <c r="D433" s="5">
        <v>294.44</v>
      </c>
      <c r="E433" s="1">
        <f>Tabela3[[#This Row],[Força (N)]]/$I$5</f>
        <v>9385289.6645151004</v>
      </c>
      <c r="F433" s="1">
        <f>Tabela3[[#This Row],[Tensão (Pa)]]/1000000</f>
        <v>9.3852896645151009</v>
      </c>
    </row>
    <row r="434" spans="1:6" x14ac:dyDescent="0.3">
      <c r="A434" s="5">
        <v>39.917000000000002</v>
      </c>
      <c r="B434" s="5">
        <v>3.3191000000000002</v>
      </c>
      <c r="C434" s="1">
        <f>Tabela3[[#This Row],[Alongamento (mm/mm)]]/$I$2</f>
        <v>6.6381999999999997E-2</v>
      </c>
      <c r="D434" s="5">
        <v>296.82</v>
      </c>
      <c r="E434" s="1">
        <f>Tabela3[[#This Row],[Força (N)]]/$I$5</f>
        <v>9461152.2830504421</v>
      </c>
      <c r="F434" s="1">
        <f>Tabela3[[#This Row],[Tensão (Pa)]]/1000000</f>
        <v>9.461152283050442</v>
      </c>
    </row>
    <row r="435" spans="1:6" x14ac:dyDescent="0.3">
      <c r="A435" s="5">
        <v>40</v>
      </c>
      <c r="B435" s="5">
        <v>3.3260000000000001</v>
      </c>
      <c r="C435" s="1">
        <f>Tabela3[[#This Row],[Alongamento (mm/mm)]]/$I$2</f>
        <v>6.6519999999999996E-2</v>
      </c>
      <c r="D435" s="5">
        <v>299.2</v>
      </c>
      <c r="E435" s="1">
        <f>Tabela3[[#This Row],[Força (N)]]/$I$5</f>
        <v>9537014.9015857838</v>
      </c>
      <c r="F435" s="1">
        <f>Tabela3[[#This Row],[Tensão (Pa)]]/1000000</f>
        <v>9.537014901585783</v>
      </c>
    </row>
    <row r="436" spans="1:6" x14ac:dyDescent="0.3">
      <c r="A436" s="5">
        <v>40.082999999999998</v>
      </c>
      <c r="B436" s="5">
        <v>3.3330000000000002</v>
      </c>
      <c r="C436" s="1">
        <f>Tabela3[[#This Row],[Alongamento (mm/mm)]]/$I$2</f>
        <v>6.6659999999999997E-2</v>
      </c>
      <c r="D436" s="5">
        <v>301.58999999999997</v>
      </c>
      <c r="E436" s="1">
        <f>Tabela3[[#This Row],[Força (N)]]/$I$5</f>
        <v>9613196.2706191726</v>
      </c>
      <c r="F436" s="1">
        <f>Tabela3[[#This Row],[Tensão (Pa)]]/1000000</f>
        <v>9.6131962706191718</v>
      </c>
    </row>
    <row r="437" spans="1:6" x14ac:dyDescent="0.3">
      <c r="A437" s="5">
        <v>40.167000000000002</v>
      </c>
      <c r="B437" s="5">
        <v>3.3399000000000001</v>
      </c>
      <c r="C437" s="1">
        <f>Tabela3[[#This Row],[Alongamento (mm/mm)]]/$I$2</f>
        <v>6.6797999999999996E-2</v>
      </c>
      <c r="D437" s="5">
        <v>303.97000000000003</v>
      </c>
      <c r="E437" s="1">
        <f>Tabela3[[#This Row],[Força (N)]]/$I$5</f>
        <v>9689058.8891545162</v>
      </c>
      <c r="F437" s="1">
        <f>Tabela3[[#This Row],[Tensão (Pa)]]/1000000</f>
        <v>9.6890588891545164</v>
      </c>
    </row>
    <row r="438" spans="1:6" x14ac:dyDescent="0.3">
      <c r="A438" s="5">
        <v>40.232999999999997</v>
      </c>
      <c r="B438" s="5">
        <v>3.3454000000000002</v>
      </c>
      <c r="C438" s="1">
        <f>Tabela3[[#This Row],[Alongamento (mm/mm)]]/$I$2</f>
        <v>6.6908000000000009E-2</v>
      </c>
      <c r="D438" s="5">
        <v>306.01</v>
      </c>
      <c r="E438" s="1">
        <f>Tabela3[[#This Row],[Força (N)]]/$I$5</f>
        <v>9754083.990756236</v>
      </c>
      <c r="F438" s="1">
        <f>Tabela3[[#This Row],[Tensão (Pa)]]/1000000</f>
        <v>9.7540839907562358</v>
      </c>
    </row>
    <row r="439" spans="1:6" x14ac:dyDescent="0.3">
      <c r="A439" s="5">
        <v>40.317</v>
      </c>
      <c r="B439" s="5">
        <v>3.3523000000000001</v>
      </c>
      <c r="C439" s="1">
        <f>Tabela3[[#This Row],[Alongamento (mm/mm)]]/$I$2</f>
        <v>6.7045999999999994E-2</v>
      </c>
      <c r="D439" s="5">
        <v>308.39</v>
      </c>
      <c r="E439" s="1">
        <f>Tabela3[[#This Row],[Força (N)]]/$I$5</f>
        <v>9829946.6092915777</v>
      </c>
      <c r="F439" s="1">
        <f>Tabela3[[#This Row],[Tensão (Pa)]]/1000000</f>
        <v>9.8299466092915786</v>
      </c>
    </row>
    <row r="440" spans="1:6" x14ac:dyDescent="0.3">
      <c r="A440" s="5">
        <v>40.4</v>
      </c>
      <c r="B440" s="5">
        <v>3.3593999999999999</v>
      </c>
      <c r="C440" s="1">
        <f>Tabela3[[#This Row],[Alongamento (mm/mm)]]/$I$2</f>
        <v>6.7187999999999998E-2</v>
      </c>
      <c r="D440" s="5">
        <v>310.94</v>
      </c>
      <c r="E440" s="1">
        <f>Tabela3[[#This Row],[Força (N)]]/$I$5</f>
        <v>9911227.9862937294</v>
      </c>
      <c r="F440" s="1">
        <f>Tabela3[[#This Row],[Tensão (Pa)]]/1000000</f>
        <v>9.9112279862937296</v>
      </c>
    </row>
    <row r="441" spans="1:6" x14ac:dyDescent="0.3">
      <c r="A441" s="5">
        <v>40.482999999999997</v>
      </c>
      <c r="B441" s="5">
        <v>3.3662999999999998</v>
      </c>
      <c r="C441" s="1">
        <f>Tabela3[[#This Row],[Alongamento (mm/mm)]]/$I$2</f>
        <v>6.7325999999999997E-2</v>
      </c>
      <c r="D441" s="5">
        <v>313.32</v>
      </c>
      <c r="E441" s="1">
        <f>Tabela3[[#This Row],[Força (N)]]/$I$5</f>
        <v>9987090.6048290711</v>
      </c>
      <c r="F441" s="1">
        <f>Tabela3[[#This Row],[Tensão (Pa)]]/1000000</f>
        <v>9.9870906048290706</v>
      </c>
    </row>
    <row r="442" spans="1:6" x14ac:dyDescent="0.3">
      <c r="A442" s="5">
        <v>40.567</v>
      </c>
      <c r="B442" s="5">
        <v>3.3732000000000002</v>
      </c>
      <c r="C442" s="1">
        <f>Tabela3[[#This Row],[Alongamento (mm/mm)]]/$I$2</f>
        <v>6.746400000000001E-2</v>
      </c>
      <c r="D442" s="5">
        <v>315.87</v>
      </c>
      <c r="E442" s="1">
        <f>Tabela3[[#This Row],[Força (N)]]/$I$5</f>
        <v>10068371.981831223</v>
      </c>
      <c r="F442" s="1">
        <f>Tabela3[[#This Row],[Tensão (Pa)]]/1000000</f>
        <v>10.068371981831223</v>
      </c>
    </row>
    <row r="443" spans="1:6" x14ac:dyDescent="0.3">
      <c r="A443" s="5">
        <v>40.65</v>
      </c>
      <c r="B443" s="5">
        <v>3.3801000000000001</v>
      </c>
      <c r="C443" s="1">
        <f>Tabela3[[#This Row],[Alongamento (mm/mm)]]/$I$2</f>
        <v>6.7601999999999995E-2</v>
      </c>
      <c r="D443" s="5">
        <v>318.25</v>
      </c>
      <c r="E443" s="1">
        <f>Tabela3[[#This Row],[Força (N)]]/$I$5</f>
        <v>10144234.600366564</v>
      </c>
      <c r="F443" s="1">
        <f>Tabela3[[#This Row],[Tensão (Pa)]]/1000000</f>
        <v>10.144234600366564</v>
      </c>
    </row>
    <row r="444" spans="1:6" x14ac:dyDescent="0.3">
      <c r="A444" s="5">
        <v>40.732999999999997</v>
      </c>
      <c r="B444" s="5">
        <v>3.3871000000000002</v>
      </c>
      <c r="C444" s="1">
        <f>Tabela3[[#This Row],[Alongamento (mm/mm)]]/$I$2</f>
        <v>6.7742000000000011E-2</v>
      </c>
      <c r="D444" s="5">
        <v>320.81</v>
      </c>
      <c r="E444" s="1">
        <f>Tabela3[[#This Row],[Força (N)]]/$I$5</f>
        <v>10225834.727866763</v>
      </c>
      <c r="F444" s="1">
        <f>Tabela3[[#This Row],[Tensão (Pa)]]/1000000</f>
        <v>10.225834727866763</v>
      </c>
    </row>
    <row r="445" spans="1:6" x14ac:dyDescent="0.3">
      <c r="A445" s="5">
        <v>40.817</v>
      </c>
      <c r="B445" s="5">
        <v>3.3940000000000001</v>
      </c>
      <c r="C445" s="1">
        <f>Tabela3[[#This Row],[Alongamento (mm/mm)]]/$I$2</f>
        <v>6.7879999999999996E-2</v>
      </c>
      <c r="D445" s="5">
        <v>323.19</v>
      </c>
      <c r="E445" s="1">
        <f>Tabela3[[#This Row],[Força (N)]]/$I$5</f>
        <v>10301697.346402105</v>
      </c>
      <c r="F445" s="1">
        <f>Tabela3[[#This Row],[Tensão (Pa)]]/1000000</f>
        <v>10.301697346402104</v>
      </c>
    </row>
    <row r="446" spans="1:6" x14ac:dyDescent="0.3">
      <c r="A446" s="5">
        <v>40.9</v>
      </c>
      <c r="B446" s="5">
        <v>3.4011</v>
      </c>
      <c r="C446" s="1">
        <f>Tabela3[[#This Row],[Alongamento (mm/mm)]]/$I$2</f>
        <v>6.8021999999999999E-2</v>
      </c>
      <c r="D446" s="5">
        <v>325.74</v>
      </c>
      <c r="E446" s="1">
        <f>Tabela3[[#This Row],[Força (N)]]/$I$5</f>
        <v>10382978.723404257</v>
      </c>
      <c r="F446" s="1">
        <f>Tabela3[[#This Row],[Tensão (Pa)]]/1000000</f>
        <v>10.382978723404257</v>
      </c>
    </row>
    <row r="447" spans="1:6" x14ac:dyDescent="0.3">
      <c r="A447" s="5">
        <v>40.982999999999997</v>
      </c>
      <c r="B447" s="5">
        <v>3.4079000000000002</v>
      </c>
      <c r="C447" s="1">
        <f>Tabela3[[#This Row],[Alongamento (mm/mm)]]/$I$2</f>
        <v>6.8157999999999996E-2</v>
      </c>
      <c r="D447" s="5">
        <v>328.12</v>
      </c>
      <c r="E447" s="1">
        <f>Tabela3[[#This Row],[Força (N)]]/$I$5</f>
        <v>10458841.341939598</v>
      </c>
      <c r="F447" s="1">
        <f>Tabela3[[#This Row],[Tensão (Pa)]]/1000000</f>
        <v>10.458841341939598</v>
      </c>
    </row>
    <row r="448" spans="1:6" x14ac:dyDescent="0.3">
      <c r="A448" s="5">
        <v>41.067</v>
      </c>
      <c r="B448" s="5">
        <v>3.4148999999999998</v>
      </c>
      <c r="C448" s="1">
        <f>Tabela3[[#This Row],[Alongamento (mm/mm)]]/$I$2</f>
        <v>6.8297999999999998E-2</v>
      </c>
      <c r="D448" s="5">
        <v>330.5</v>
      </c>
      <c r="E448" s="1">
        <f>Tabela3[[#This Row],[Força (N)]]/$I$5</f>
        <v>10534703.960474938</v>
      </c>
      <c r="F448" s="1">
        <f>Tabela3[[#This Row],[Tensão (Pa)]]/1000000</f>
        <v>10.534703960474937</v>
      </c>
    </row>
    <row r="449" spans="1:6" x14ac:dyDescent="0.3">
      <c r="A449" s="5">
        <v>41.15</v>
      </c>
      <c r="B449" s="5">
        <v>3.4218000000000002</v>
      </c>
      <c r="C449" s="1">
        <f>Tabela3[[#This Row],[Alongamento (mm/mm)]]/$I$2</f>
        <v>6.8435999999999997E-2</v>
      </c>
      <c r="D449" s="5">
        <v>333.05</v>
      </c>
      <c r="E449" s="1">
        <f>Tabela3[[#This Row],[Força (N)]]/$I$5</f>
        <v>10615985.337477092</v>
      </c>
      <c r="F449" s="1">
        <f>Tabela3[[#This Row],[Tensão (Pa)]]/1000000</f>
        <v>10.615985337477092</v>
      </c>
    </row>
    <row r="450" spans="1:6" x14ac:dyDescent="0.3">
      <c r="A450" s="5">
        <v>41.232999999999997</v>
      </c>
      <c r="B450" s="5">
        <v>3.4287000000000001</v>
      </c>
      <c r="C450" s="1">
        <f>Tabela3[[#This Row],[Alongamento (mm/mm)]]/$I$2</f>
        <v>6.8573999999999996E-2</v>
      </c>
      <c r="D450" s="5">
        <v>335.43</v>
      </c>
      <c r="E450" s="1">
        <f>Tabela3[[#This Row],[Força (N)]]/$I$5</f>
        <v>10691847.956012432</v>
      </c>
      <c r="F450" s="1">
        <f>Tabela3[[#This Row],[Tensão (Pa)]]/1000000</f>
        <v>10.691847956012431</v>
      </c>
    </row>
    <row r="451" spans="1:6" x14ac:dyDescent="0.3">
      <c r="A451" s="5">
        <v>41.317</v>
      </c>
      <c r="B451" s="5">
        <v>3.4357000000000002</v>
      </c>
      <c r="C451" s="1">
        <f>Tabela3[[#This Row],[Alongamento (mm/mm)]]/$I$2</f>
        <v>6.8713999999999997E-2</v>
      </c>
      <c r="D451" s="5">
        <v>337.99</v>
      </c>
      <c r="E451" s="1">
        <f>Tabela3[[#This Row],[Força (N)]]/$I$5</f>
        <v>10773448.083512632</v>
      </c>
      <c r="F451" s="1">
        <f>Tabela3[[#This Row],[Tensão (Pa)]]/1000000</f>
        <v>10.773448083512632</v>
      </c>
    </row>
    <row r="452" spans="1:6" x14ac:dyDescent="0.3">
      <c r="A452" s="5">
        <v>41.4</v>
      </c>
      <c r="B452" s="5">
        <v>3.4426999999999999</v>
      </c>
      <c r="C452" s="1">
        <f>Tabela3[[#This Row],[Alongamento (mm/mm)]]/$I$2</f>
        <v>6.8853999999999999E-2</v>
      </c>
      <c r="D452" s="5">
        <v>340.54</v>
      </c>
      <c r="E452" s="1">
        <f>Tabela3[[#This Row],[Força (N)]]/$I$5</f>
        <v>10854729.460514784</v>
      </c>
      <c r="F452" s="1">
        <f>Tabela3[[#This Row],[Tensão (Pa)]]/1000000</f>
        <v>10.854729460514784</v>
      </c>
    </row>
    <row r="453" spans="1:6" x14ac:dyDescent="0.3">
      <c r="A453" s="5">
        <v>41.482999999999997</v>
      </c>
      <c r="B453" s="5">
        <v>3.4496000000000002</v>
      </c>
      <c r="C453" s="1">
        <f>Tabela3[[#This Row],[Alongamento (mm/mm)]]/$I$2</f>
        <v>6.8991999999999998E-2</v>
      </c>
      <c r="D453" s="5">
        <v>342.92</v>
      </c>
      <c r="E453" s="1">
        <f>Tabela3[[#This Row],[Força (N)]]/$I$5</f>
        <v>10930592.079050126</v>
      </c>
      <c r="F453" s="1">
        <f>Tabela3[[#This Row],[Tensão (Pa)]]/1000000</f>
        <v>10.930592079050125</v>
      </c>
    </row>
    <row r="454" spans="1:6" x14ac:dyDescent="0.3">
      <c r="A454" s="5">
        <v>41.567</v>
      </c>
      <c r="B454" s="5">
        <v>3.4565000000000001</v>
      </c>
      <c r="C454" s="1">
        <f>Tabela3[[#This Row],[Alongamento (mm/mm)]]/$I$2</f>
        <v>6.9129999999999997E-2</v>
      </c>
      <c r="D454" s="5">
        <v>345.47</v>
      </c>
      <c r="E454" s="1">
        <f>Tabela3[[#This Row],[Força (N)]]/$I$5</f>
        <v>11011873.456052277</v>
      </c>
      <c r="F454" s="1">
        <f>Tabela3[[#This Row],[Tensão (Pa)]]/1000000</f>
        <v>11.011873456052276</v>
      </c>
    </row>
    <row r="455" spans="1:6" x14ac:dyDescent="0.3">
      <c r="A455" s="5">
        <v>41.65</v>
      </c>
      <c r="B455" s="5">
        <v>3.4634999999999998</v>
      </c>
      <c r="C455" s="1">
        <f>Tabela3[[#This Row],[Alongamento (mm/mm)]]/$I$2</f>
        <v>6.9269999999999998E-2</v>
      </c>
      <c r="D455" s="5">
        <v>348.02</v>
      </c>
      <c r="E455" s="1">
        <f>Tabela3[[#This Row],[Força (N)]]/$I$5</f>
        <v>11093154.833054427</v>
      </c>
      <c r="F455" s="1">
        <f>Tabela3[[#This Row],[Tensão (Pa)]]/1000000</f>
        <v>11.093154833054427</v>
      </c>
    </row>
    <row r="456" spans="1:6" x14ac:dyDescent="0.3">
      <c r="A456" s="5">
        <v>41.732999999999997</v>
      </c>
      <c r="B456" s="5">
        <v>3.4702999999999999</v>
      </c>
      <c r="C456" s="1">
        <f>Tabela3[[#This Row],[Alongamento (mm/mm)]]/$I$2</f>
        <v>6.9405999999999995E-2</v>
      </c>
      <c r="D456" s="5">
        <v>350.57</v>
      </c>
      <c r="E456" s="1">
        <f>Tabela3[[#This Row],[Força (N)]]/$I$5</f>
        <v>11174436.210056579</v>
      </c>
      <c r="F456" s="1">
        <f>Tabela3[[#This Row],[Tensão (Pa)]]/1000000</f>
        <v>11.174436210056578</v>
      </c>
    </row>
    <row r="457" spans="1:6" x14ac:dyDescent="0.3">
      <c r="A457" s="5">
        <v>41.832999999999998</v>
      </c>
      <c r="B457" s="5">
        <v>3.4788000000000001</v>
      </c>
      <c r="C457" s="1">
        <f>Tabela3[[#This Row],[Alongamento (mm/mm)]]/$I$2</f>
        <v>6.9575999999999999E-2</v>
      </c>
      <c r="D457" s="5">
        <v>353.47</v>
      </c>
      <c r="E457" s="1">
        <f>Tabela3[[#This Row],[Força (N)]]/$I$5</f>
        <v>11266873.854490399</v>
      </c>
      <c r="F457" s="1">
        <f>Tabela3[[#This Row],[Tensão (Pa)]]/1000000</f>
        <v>11.266873854490399</v>
      </c>
    </row>
    <row r="458" spans="1:6" x14ac:dyDescent="0.3">
      <c r="A458" s="5">
        <v>41.933</v>
      </c>
      <c r="B458" s="5">
        <v>3.4870999999999999</v>
      </c>
      <c r="C458" s="1">
        <f>Tabela3[[#This Row],[Alongamento (mm/mm)]]/$I$2</f>
        <v>6.9741999999999998E-2</v>
      </c>
      <c r="D458" s="5">
        <v>356.53</v>
      </c>
      <c r="E458" s="1">
        <f>Tabela3[[#This Row],[Força (N)]]/$I$5</f>
        <v>11364411.506892979</v>
      </c>
      <c r="F458" s="1">
        <f>Tabela3[[#This Row],[Tensão (Pa)]]/1000000</f>
        <v>11.36441150689298</v>
      </c>
    </row>
    <row r="459" spans="1:6" x14ac:dyDescent="0.3">
      <c r="A459" s="5">
        <v>42.033000000000001</v>
      </c>
      <c r="B459" s="5">
        <v>3.4954000000000001</v>
      </c>
      <c r="C459" s="1">
        <f>Tabela3[[#This Row],[Alongamento (mm/mm)]]/$I$2</f>
        <v>6.9907999999999998E-2</v>
      </c>
      <c r="D459" s="5">
        <v>359.59</v>
      </c>
      <c r="E459" s="1">
        <f>Tabela3[[#This Row],[Força (N)]]/$I$5</f>
        <v>11461949.159295561</v>
      </c>
      <c r="F459" s="1">
        <f>Tabela3[[#This Row],[Tensão (Pa)]]/1000000</f>
        <v>11.46194915929556</v>
      </c>
    </row>
    <row r="460" spans="1:6" x14ac:dyDescent="0.3">
      <c r="A460" s="5">
        <v>42.133000000000003</v>
      </c>
      <c r="B460" s="5">
        <v>3.5038</v>
      </c>
      <c r="C460" s="1">
        <f>Tabela3[[#This Row],[Alongamento (mm/mm)]]/$I$2</f>
        <v>7.0075999999999999E-2</v>
      </c>
      <c r="D460" s="5">
        <v>362.65</v>
      </c>
      <c r="E460" s="1">
        <f>Tabela3[[#This Row],[Força (N)]]/$I$5</f>
        <v>11559486.811698142</v>
      </c>
      <c r="F460" s="1">
        <f>Tabela3[[#This Row],[Tensão (Pa)]]/1000000</f>
        <v>11.559486811698143</v>
      </c>
    </row>
    <row r="461" spans="1:6" x14ac:dyDescent="0.3">
      <c r="A461" s="5">
        <v>42.232999999999997</v>
      </c>
      <c r="B461" s="5">
        <v>3.5121000000000002</v>
      </c>
      <c r="C461" s="1">
        <f>Tabela3[[#This Row],[Alongamento (mm/mm)]]/$I$2</f>
        <v>7.0241999999999999E-2</v>
      </c>
      <c r="D461" s="5">
        <v>365.71</v>
      </c>
      <c r="E461" s="1">
        <f>Tabela3[[#This Row],[Força (N)]]/$I$5</f>
        <v>11657024.464100726</v>
      </c>
      <c r="F461" s="1">
        <f>Tabela3[[#This Row],[Tensão (Pa)]]/1000000</f>
        <v>11.657024464100726</v>
      </c>
    </row>
    <row r="462" spans="1:6" x14ac:dyDescent="0.3">
      <c r="A462" s="5">
        <v>42.332999999999998</v>
      </c>
      <c r="B462" s="5">
        <v>3.5205000000000002</v>
      </c>
      <c r="C462" s="1">
        <f>Tabela3[[#This Row],[Alongamento (mm/mm)]]/$I$2</f>
        <v>7.041E-2</v>
      </c>
      <c r="D462" s="5">
        <v>368.77</v>
      </c>
      <c r="E462" s="1">
        <f>Tabela3[[#This Row],[Força (N)]]/$I$5</f>
        <v>11754562.116503308</v>
      </c>
      <c r="F462" s="1">
        <f>Tabela3[[#This Row],[Tensão (Pa)]]/1000000</f>
        <v>11.754562116503308</v>
      </c>
    </row>
    <row r="463" spans="1:6" x14ac:dyDescent="0.3">
      <c r="A463" s="5">
        <v>42.433</v>
      </c>
      <c r="B463" s="5">
        <v>3.5287999999999999</v>
      </c>
      <c r="C463" s="1">
        <f>Tabela3[[#This Row],[Alongamento (mm/mm)]]/$I$2</f>
        <v>7.0576E-2</v>
      </c>
      <c r="D463" s="5">
        <v>371.84</v>
      </c>
      <c r="E463" s="1">
        <f>Tabela3[[#This Row],[Força (N)]]/$I$5</f>
        <v>11852418.519403936</v>
      </c>
      <c r="F463" s="1">
        <f>Tabela3[[#This Row],[Tensão (Pa)]]/1000000</f>
        <v>11.852418519403937</v>
      </c>
    </row>
    <row r="464" spans="1:6" x14ac:dyDescent="0.3">
      <c r="A464" s="5">
        <v>42.533000000000001</v>
      </c>
      <c r="B464" s="5">
        <v>3.5369999999999999</v>
      </c>
      <c r="C464" s="1">
        <f>Tabela3[[#This Row],[Alongamento (mm/mm)]]/$I$2</f>
        <v>7.0739999999999997E-2</v>
      </c>
      <c r="D464" s="5">
        <v>374.9</v>
      </c>
      <c r="E464" s="1">
        <f>Tabela3[[#This Row],[Força (N)]]/$I$5</f>
        <v>11949956.171806518</v>
      </c>
      <c r="F464" s="1">
        <f>Tabela3[[#This Row],[Tensão (Pa)]]/1000000</f>
        <v>11.949956171806518</v>
      </c>
    </row>
    <row r="465" spans="1:6" x14ac:dyDescent="0.3">
      <c r="A465" s="5">
        <v>42.616999999999997</v>
      </c>
      <c r="B465" s="5">
        <v>3.544</v>
      </c>
      <c r="C465" s="1">
        <f>Tabela3[[#This Row],[Alongamento (mm/mm)]]/$I$2</f>
        <v>7.0879999999999999E-2</v>
      </c>
      <c r="D465" s="5">
        <v>377.62</v>
      </c>
      <c r="E465" s="1">
        <f>Tabela3[[#This Row],[Força (N)]]/$I$5</f>
        <v>12036656.307275482</v>
      </c>
      <c r="F465" s="1">
        <f>Tabela3[[#This Row],[Tensão (Pa)]]/1000000</f>
        <v>12.036656307275482</v>
      </c>
    </row>
    <row r="466" spans="1:6" x14ac:dyDescent="0.3">
      <c r="A466" s="5">
        <v>42.716999999999999</v>
      </c>
      <c r="B466" s="5">
        <v>3.5524</v>
      </c>
      <c r="C466" s="1">
        <f>Tabela3[[#This Row],[Alongamento (mm/mm)]]/$I$2</f>
        <v>7.1048E-2</v>
      </c>
      <c r="D466" s="5">
        <v>380.68</v>
      </c>
      <c r="E466" s="1">
        <f>Tabela3[[#This Row],[Força (N)]]/$I$5</f>
        <v>12134193.959678063</v>
      </c>
      <c r="F466" s="1">
        <f>Tabela3[[#This Row],[Tensão (Pa)]]/1000000</f>
        <v>12.134193959678063</v>
      </c>
    </row>
    <row r="467" spans="1:6" x14ac:dyDescent="0.3">
      <c r="A467" s="5">
        <v>42.817</v>
      </c>
      <c r="B467" s="5">
        <v>3.5607000000000002</v>
      </c>
      <c r="C467" s="1">
        <f>Tabela3[[#This Row],[Alongamento (mm/mm)]]/$I$2</f>
        <v>7.1214E-2</v>
      </c>
      <c r="D467" s="5">
        <v>383.74</v>
      </c>
      <c r="E467" s="1">
        <f>Tabela3[[#This Row],[Força (N)]]/$I$5</f>
        <v>12231731.612080645</v>
      </c>
      <c r="F467" s="1">
        <f>Tabela3[[#This Row],[Tensão (Pa)]]/1000000</f>
        <v>12.231731612080646</v>
      </c>
    </row>
    <row r="468" spans="1:6" x14ac:dyDescent="0.3">
      <c r="A468" s="5">
        <v>42.9</v>
      </c>
      <c r="B468" s="5">
        <v>3.5676999999999999</v>
      </c>
      <c r="C468" s="1">
        <f>Tabela3[[#This Row],[Alongamento (mm/mm)]]/$I$2</f>
        <v>7.1354000000000001E-2</v>
      </c>
      <c r="D468" s="5">
        <v>386.46</v>
      </c>
      <c r="E468" s="1">
        <f>Tabela3[[#This Row],[Força (N)]]/$I$5</f>
        <v>12318431.747549606</v>
      </c>
      <c r="F468" s="1">
        <f>Tabela3[[#This Row],[Tensão (Pa)]]/1000000</f>
        <v>12.318431747549607</v>
      </c>
    </row>
    <row r="469" spans="1:6" x14ac:dyDescent="0.3">
      <c r="A469" s="5">
        <v>43</v>
      </c>
      <c r="B469" s="5">
        <v>3.5760000000000001</v>
      </c>
      <c r="C469" s="1">
        <f>Tabela3[[#This Row],[Alongamento (mm/mm)]]/$I$2</f>
        <v>7.152E-2</v>
      </c>
      <c r="D469" s="5">
        <v>389.53</v>
      </c>
      <c r="E469" s="1">
        <f>Tabela3[[#This Row],[Força (N)]]/$I$5</f>
        <v>12416288.150450235</v>
      </c>
      <c r="F469" s="1">
        <f>Tabela3[[#This Row],[Tensão (Pa)]]/1000000</f>
        <v>12.416288150450235</v>
      </c>
    </row>
    <row r="470" spans="1:6" x14ac:dyDescent="0.3">
      <c r="A470" s="5">
        <v>43.1</v>
      </c>
      <c r="B470" s="5">
        <v>3.5842999999999998</v>
      </c>
      <c r="C470" s="1">
        <f>Tabela3[[#This Row],[Alongamento (mm/mm)]]/$I$2</f>
        <v>7.1686E-2</v>
      </c>
      <c r="D470" s="5">
        <v>392.59</v>
      </c>
      <c r="E470" s="1">
        <f>Tabela3[[#This Row],[Força (N)]]/$I$5</f>
        <v>12513825.802852817</v>
      </c>
      <c r="F470" s="1">
        <f>Tabela3[[#This Row],[Tensão (Pa)]]/1000000</f>
        <v>12.513825802852818</v>
      </c>
    </row>
    <row r="471" spans="1:6" x14ac:dyDescent="0.3">
      <c r="A471" s="5">
        <v>43.2</v>
      </c>
      <c r="B471" s="5">
        <v>3.5926999999999998</v>
      </c>
      <c r="C471" s="1">
        <f>Tabela3[[#This Row],[Alongamento (mm/mm)]]/$I$2</f>
        <v>7.1854000000000001E-2</v>
      </c>
      <c r="D471" s="5">
        <v>395.82</v>
      </c>
      <c r="E471" s="1">
        <f>Tabela3[[#This Row],[Força (N)]]/$I$5</f>
        <v>12616782.213722209</v>
      </c>
      <c r="F471" s="1">
        <f>Tabela3[[#This Row],[Tensão (Pa)]]/1000000</f>
        <v>12.616782213722209</v>
      </c>
    </row>
    <row r="472" spans="1:6" x14ac:dyDescent="0.3">
      <c r="A472" s="5">
        <v>43.3</v>
      </c>
      <c r="B472" s="5">
        <v>3.601</v>
      </c>
      <c r="C472" s="1">
        <f>Tabela3[[#This Row],[Alongamento (mm/mm)]]/$I$2</f>
        <v>7.2020000000000001E-2</v>
      </c>
      <c r="D472" s="5">
        <v>398.88</v>
      </c>
      <c r="E472" s="1">
        <f>Tabela3[[#This Row],[Força (N)]]/$I$5</f>
        <v>12714319.866124792</v>
      </c>
      <c r="F472" s="1">
        <f>Tabela3[[#This Row],[Tensão (Pa)]]/1000000</f>
        <v>12.714319866124791</v>
      </c>
    </row>
    <row r="473" spans="1:6" x14ac:dyDescent="0.3">
      <c r="A473" s="5">
        <v>43.4</v>
      </c>
      <c r="B473" s="5">
        <v>3.6093000000000002</v>
      </c>
      <c r="C473" s="1">
        <f>Tabela3[[#This Row],[Alongamento (mm/mm)]]/$I$2</f>
        <v>7.2186E-2</v>
      </c>
      <c r="D473" s="5">
        <v>401.94</v>
      </c>
      <c r="E473" s="1">
        <f>Tabela3[[#This Row],[Força (N)]]/$I$5</f>
        <v>12811857.518527374</v>
      </c>
      <c r="F473" s="1">
        <f>Tabela3[[#This Row],[Tensão (Pa)]]/1000000</f>
        <v>12.811857518527374</v>
      </c>
    </row>
    <row r="474" spans="1:6" x14ac:dyDescent="0.3">
      <c r="A474" s="5">
        <v>43.5</v>
      </c>
      <c r="B474" s="5">
        <v>3.6175999999999999</v>
      </c>
      <c r="C474" s="1">
        <f>Tabela3[[#This Row],[Alongamento (mm/mm)]]/$I$2</f>
        <v>7.2352E-2</v>
      </c>
      <c r="D474" s="5">
        <v>405.18</v>
      </c>
      <c r="E474" s="1">
        <f>Tabela3[[#This Row],[Força (N)]]/$I$5</f>
        <v>12915132.679894812</v>
      </c>
      <c r="F474" s="1">
        <f>Tabela3[[#This Row],[Tensão (Pa)]]/1000000</f>
        <v>12.915132679894812</v>
      </c>
    </row>
    <row r="475" spans="1:6" x14ac:dyDescent="0.3">
      <c r="A475" s="5">
        <v>43.6</v>
      </c>
      <c r="B475" s="5">
        <v>3.6259000000000001</v>
      </c>
      <c r="C475" s="1">
        <f>Tabela3[[#This Row],[Alongamento (mm/mm)]]/$I$2</f>
        <v>7.2517999999999999E-2</v>
      </c>
      <c r="D475" s="5">
        <v>408.41</v>
      </c>
      <c r="E475" s="1">
        <f>Tabela3[[#This Row],[Força (N)]]/$I$5</f>
        <v>13018089.090764206</v>
      </c>
      <c r="F475" s="1">
        <f>Tabela3[[#This Row],[Tensão (Pa)]]/1000000</f>
        <v>13.018089090764207</v>
      </c>
    </row>
    <row r="476" spans="1:6" x14ac:dyDescent="0.3">
      <c r="A476" s="5">
        <v>43.7</v>
      </c>
      <c r="B476" s="5">
        <v>3.6343999999999999</v>
      </c>
      <c r="C476" s="1">
        <f>Tabela3[[#This Row],[Alongamento (mm/mm)]]/$I$2</f>
        <v>7.2688000000000003E-2</v>
      </c>
      <c r="D476" s="5">
        <v>411.81</v>
      </c>
      <c r="E476" s="1">
        <f>Tabela3[[#This Row],[Força (N)]]/$I$5</f>
        <v>13126464.260100408</v>
      </c>
      <c r="F476" s="1">
        <f>Tabela3[[#This Row],[Tensão (Pa)]]/1000000</f>
        <v>13.126464260100407</v>
      </c>
    </row>
    <row r="477" spans="1:6" x14ac:dyDescent="0.3">
      <c r="A477" s="5">
        <v>43.8</v>
      </c>
      <c r="B477" s="5">
        <v>3.6427</v>
      </c>
      <c r="C477" s="1">
        <f>Tabela3[[#This Row],[Alongamento (mm/mm)]]/$I$2</f>
        <v>7.2854000000000002E-2</v>
      </c>
      <c r="D477" s="5">
        <v>415.04</v>
      </c>
      <c r="E477" s="1">
        <f>Tabela3[[#This Row],[Força (N)]]/$I$5</f>
        <v>13229420.670969799</v>
      </c>
      <c r="F477" s="1">
        <f>Tabela3[[#This Row],[Tensão (Pa)]]/1000000</f>
        <v>13.2294206709698</v>
      </c>
    </row>
    <row r="478" spans="1:6" x14ac:dyDescent="0.3">
      <c r="A478" s="5">
        <v>43.9</v>
      </c>
      <c r="B478" s="5">
        <v>3.6509</v>
      </c>
      <c r="C478" s="1">
        <f>Tabela3[[#This Row],[Alongamento (mm/mm)]]/$I$2</f>
        <v>7.3018E-2</v>
      </c>
      <c r="D478" s="5">
        <v>418.44</v>
      </c>
      <c r="E478" s="1">
        <f>Tabela3[[#This Row],[Força (N)]]/$I$5</f>
        <v>13337795.840306001</v>
      </c>
      <c r="F478" s="1">
        <f>Tabela3[[#This Row],[Tensão (Pa)]]/1000000</f>
        <v>13.337795840306001</v>
      </c>
    </row>
    <row r="479" spans="1:6" x14ac:dyDescent="0.3">
      <c r="A479" s="5">
        <v>44</v>
      </c>
      <c r="B479" s="5">
        <v>3.6593</v>
      </c>
      <c r="C479" s="1">
        <f>Tabela3[[#This Row],[Alongamento (mm/mm)]]/$I$2</f>
        <v>7.3186000000000001E-2</v>
      </c>
      <c r="D479" s="5">
        <v>421.67</v>
      </c>
      <c r="E479" s="1">
        <f>Tabela3[[#This Row],[Força (N)]]/$I$5</f>
        <v>13440752.251175394</v>
      </c>
      <c r="F479" s="1">
        <f>Tabela3[[#This Row],[Tensão (Pa)]]/1000000</f>
        <v>13.440752251175395</v>
      </c>
    </row>
    <row r="480" spans="1:6" x14ac:dyDescent="0.3">
      <c r="A480" s="5">
        <v>44.1</v>
      </c>
      <c r="B480" s="5">
        <v>3.6676000000000002</v>
      </c>
      <c r="C480" s="1">
        <f>Tabela3[[#This Row],[Alongamento (mm/mm)]]/$I$2</f>
        <v>7.3352000000000001E-2</v>
      </c>
      <c r="D480" s="5">
        <v>424.91</v>
      </c>
      <c r="E480" s="1">
        <f>Tabela3[[#This Row],[Força (N)]]/$I$5</f>
        <v>13544027.412542833</v>
      </c>
      <c r="F480" s="1">
        <f>Tabela3[[#This Row],[Tensão (Pa)]]/1000000</f>
        <v>13.544027412542833</v>
      </c>
    </row>
    <row r="481" spans="1:6" x14ac:dyDescent="0.3">
      <c r="A481" s="5">
        <v>44.2</v>
      </c>
      <c r="B481" s="5">
        <v>3.6760000000000002</v>
      </c>
      <c r="C481" s="1">
        <f>Tabela3[[#This Row],[Alongamento (mm/mm)]]/$I$2</f>
        <v>7.3520000000000002E-2</v>
      </c>
      <c r="D481" s="5">
        <v>428.14</v>
      </c>
      <c r="E481" s="1">
        <f>Tabela3[[#This Row],[Força (N)]]/$I$5</f>
        <v>13646983.823412225</v>
      </c>
      <c r="F481" s="1">
        <f>Tabela3[[#This Row],[Tensão (Pa)]]/1000000</f>
        <v>13.646983823412224</v>
      </c>
    </row>
    <row r="482" spans="1:6" x14ac:dyDescent="0.3">
      <c r="A482" s="5">
        <v>44.3</v>
      </c>
      <c r="B482" s="5">
        <v>3.6844000000000001</v>
      </c>
      <c r="C482" s="1">
        <f>Tabela3[[#This Row],[Alongamento (mm/mm)]]/$I$2</f>
        <v>7.3688000000000003E-2</v>
      </c>
      <c r="D482" s="5">
        <v>431.37</v>
      </c>
      <c r="E482" s="1">
        <f>Tabela3[[#This Row],[Força (N)]]/$I$5</f>
        <v>13749940.234281616</v>
      </c>
      <c r="F482" s="1">
        <f>Tabela3[[#This Row],[Tensão (Pa)]]/1000000</f>
        <v>13.749940234281617</v>
      </c>
    </row>
    <row r="483" spans="1:6" x14ac:dyDescent="0.3">
      <c r="A483" s="5">
        <v>44.4</v>
      </c>
      <c r="B483" s="5">
        <v>3.6926000000000001</v>
      </c>
      <c r="C483" s="1">
        <f>Tabela3[[#This Row],[Alongamento (mm/mm)]]/$I$2</f>
        <v>7.3852000000000001E-2</v>
      </c>
      <c r="D483" s="5">
        <v>434.77</v>
      </c>
      <c r="E483" s="1">
        <f>Tabela3[[#This Row],[Força (N)]]/$I$5</f>
        <v>13858315.403617818</v>
      </c>
      <c r="F483" s="1">
        <f>Tabela3[[#This Row],[Tensão (Pa)]]/1000000</f>
        <v>13.858315403617818</v>
      </c>
    </row>
    <row r="484" spans="1:6" x14ac:dyDescent="0.3">
      <c r="A484" s="5">
        <v>44.5</v>
      </c>
      <c r="B484" s="5">
        <v>3.7010000000000001</v>
      </c>
      <c r="C484" s="1">
        <f>Tabela3[[#This Row],[Alongamento (mm/mm)]]/$I$2</f>
        <v>7.4020000000000002E-2</v>
      </c>
      <c r="D484" s="5">
        <v>438</v>
      </c>
      <c r="E484" s="1">
        <f>Tabela3[[#This Row],[Força (N)]]/$I$5</f>
        <v>13961271.814487211</v>
      </c>
      <c r="F484" s="1">
        <f>Tabela3[[#This Row],[Tensão (Pa)]]/1000000</f>
        <v>13.961271814487212</v>
      </c>
    </row>
    <row r="485" spans="1:6" x14ac:dyDescent="0.3">
      <c r="A485" s="5">
        <v>44.6</v>
      </c>
      <c r="B485" s="5">
        <v>3.7092999999999998</v>
      </c>
      <c r="C485" s="1">
        <f>Tabela3[[#This Row],[Alongamento (mm/mm)]]/$I$2</f>
        <v>7.4186000000000002E-2</v>
      </c>
      <c r="D485" s="5">
        <v>441.41</v>
      </c>
      <c r="E485" s="1">
        <f>Tabela3[[#This Row],[Força (N)]]/$I$5</f>
        <v>14069965.734321462</v>
      </c>
      <c r="F485" s="1">
        <f>Tabela3[[#This Row],[Tensão (Pa)]]/1000000</f>
        <v>14.069965734321462</v>
      </c>
    </row>
    <row r="486" spans="1:6" x14ac:dyDescent="0.3">
      <c r="A486" s="5">
        <v>44.7</v>
      </c>
      <c r="B486" s="5">
        <v>3.7176999999999998</v>
      </c>
      <c r="C486" s="1">
        <f>Tabela3[[#This Row],[Alongamento (mm/mm)]]/$I$2</f>
        <v>7.435399999999999E-2</v>
      </c>
      <c r="D486" s="5">
        <v>444.81</v>
      </c>
      <c r="E486" s="1">
        <f>Tabela3[[#This Row],[Força (N)]]/$I$5</f>
        <v>14178340.903657664</v>
      </c>
      <c r="F486" s="1">
        <f>Tabela3[[#This Row],[Tensão (Pa)]]/1000000</f>
        <v>14.178340903657663</v>
      </c>
    </row>
    <row r="487" spans="1:6" x14ac:dyDescent="0.3">
      <c r="A487" s="5">
        <v>44.8</v>
      </c>
      <c r="B487" s="5">
        <v>3.726</v>
      </c>
      <c r="C487" s="1">
        <f>Tabela3[[#This Row],[Alongamento (mm/mm)]]/$I$2</f>
        <v>7.4520000000000003E-2</v>
      </c>
      <c r="D487" s="5">
        <v>448.21</v>
      </c>
      <c r="E487" s="1">
        <f>Tabela3[[#This Row],[Força (N)]]/$I$5</f>
        <v>14286716.072993863</v>
      </c>
      <c r="F487" s="1">
        <f>Tabela3[[#This Row],[Tensão (Pa)]]/1000000</f>
        <v>14.286716072993864</v>
      </c>
    </row>
    <row r="488" spans="1:6" x14ac:dyDescent="0.3">
      <c r="A488" s="5">
        <v>44.9</v>
      </c>
      <c r="B488" s="5">
        <v>3.7342</v>
      </c>
      <c r="C488" s="1">
        <f>Tabela3[[#This Row],[Alongamento (mm/mm)]]/$I$2</f>
        <v>7.4684E-2</v>
      </c>
      <c r="D488" s="5">
        <v>451.61</v>
      </c>
      <c r="E488" s="1">
        <f>Tabela3[[#This Row],[Força (N)]]/$I$5</f>
        <v>14395091.242330067</v>
      </c>
      <c r="F488" s="1">
        <f>Tabela3[[#This Row],[Tensão (Pa)]]/1000000</f>
        <v>14.395091242330066</v>
      </c>
    </row>
    <row r="489" spans="1:6" x14ac:dyDescent="0.3">
      <c r="A489" s="5">
        <v>45</v>
      </c>
      <c r="B489" s="5">
        <v>3.7425999999999999</v>
      </c>
      <c r="C489" s="1">
        <f>Tabela3[[#This Row],[Alongamento (mm/mm)]]/$I$2</f>
        <v>7.4852000000000002E-2</v>
      </c>
      <c r="D489" s="5">
        <v>455.01</v>
      </c>
      <c r="E489" s="1">
        <f>Tabela3[[#This Row],[Força (N)]]/$I$5</f>
        <v>14503466.411666268</v>
      </c>
      <c r="F489" s="1">
        <f>Tabela3[[#This Row],[Tensão (Pa)]]/1000000</f>
        <v>14.503466411666269</v>
      </c>
    </row>
    <row r="490" spans="1:6" x14ac:dyDescent="0.3">
      <c r="A490" s="5">
        <v>45.1</v>
      </c>
      <c r="B490" s="5">
        <v>3.7509999999999999</v>
      </c>
      <c r="C490" s="1">
        <f>Tabela3[[#This Row],[Alongamento (mm/mm)]]/$I$2</f>
        <v>7.5020000000000003E-2</v>
      </c>
      <c r="D490" s="5">
        <v>458.42</v>
      </c>
      <c r="E490" s="1">
        <f>Tabela3[[#This Row],[Força (N)]]/$I$5</f>
        <v>14612160.331500519</v>
      </c>
      <c r="F490" s="1">
        <f>Tabela3[[#This Row],[Tensão (Pa)]]/1000000</f>
        <v>14.612160331500519</v>
      </c>
    </row>
    <row r="491" spans="1:6" x14ac:dyDescent="0.3">
      <c r="A491" s="5">
        <v>45.216999999999999</v>
      </c>
      <c r="B491" s="5">
        <v>3.7606999999999999</v>
      </c>
      <c r="C491" s="1">
        <f>Tabela3[[#This Row],[Alongamento (mm/mm)]]/$I$2</f>
        <v>7.5214000000000003E-2</v>
      </c>
      <c r="D491" s="5">
        <v>462.16</v>
      </c>
      <c r="E491" s="1">
        <f>Tabela3[[#This Row],[Força (N)]]/$I$5</f>
        <v>14731373.017770343</v>
      </c>
      <c r="F491" s="1">
        <f>Tabela3[[#This Row],[Tensão (Pa)]]/1000000</f>
        <v>14.731373017770343</v>
      </c>
    </row>
    <row r="492" spans="1:6" x14ac:dyDescent="0.3">
      <c r="A492" s="5">
        <v>45.317</v>
      </c>
      <c r="B492" s="5">
        <v>3.7690999999999999</v>
      </c>
      <c r="C492" s="1">
        <f>Tabela3[[#This Row],[Alongamento (mm/mm)]]/$I$2</f>
        <v>7.5382000000000005E-2</v>
      </c>
      <c r="D492" s="5">
        <v>465.56</v>
      </c>
      <c r="E492" s="1">
        <f>Tabela3[[#This Row],[Força (N)]]/$I$5</f>
        <v>14839748.187106544</v>
      </c>
      <c r="F492" s="1">
        <f>Tabela3[[#This Row],[Tensão (Pa)]]/1000000</f>
        <v>14.839748187106544</v>
      </c>
    </row>
    <row r="493" spans="1:6" x14ac:dyDescent="0.3">
      <c r="A493" s="5">
        <v>45.433</v>
      </c>
      <c r="B493" s="5">
        <v>3.7787999999999999</v>
      </c>
      <c r="C493" s="1">
        <f>Tabela3[[#This Row],[Alongamento (mm/mm)]]/$I$2</f>
        <v>7.5576000000000004E-2</v>
      </c>
      <c r="D493" s="5">
        <v>469.47</v>
      </c>
      <c r="E493" s="1">
        <f>Tabela3[[#This Row],[Força (N)]]/$I$5</f>
        <v>14964379.631843176</v>
      </c>
      <c r="F493" s="1">
        <f>Tabela3[[#This Row],[Tensão (Pa)]]/1000000</f>
        <v>14.964379631843176</v>
      </c>
    </row>
    <row r="494" spans="1:6" x14ac:dyDescent="0.3">
      <c r="A494" s="5">
        <v>45.55</v>
      </c>
      <c r="B494" s="5">
        <v>3.7885</v>
      </c>
      <c r="C494" s="1">
        <f>Tabela3[[#This Row],[Alongamento (mm/mm)]]/$I$2</f>
        <v>7.5770000000000004E-2</v>
      </c>
      <c r="D494" s="5">
        <v>473.21</v>
      </c>
      <c r="E494" s="1">
        <f>Tabela3[[#This Row],[Força (N)]]/$I$5</f>
        <v>15083592.318112997</v>
      </c>
      <c r="F494" s="1">
        <f>Tabela3[[#This Row],[Tensão (Pa)]]/1000000</f>
        <v>15.083592318112997</v>
      </c>
    </row>
    <row r="495" spans="1:6" x14ac:dyDescent="0.3">
      <c r="A495" s="5">
        <v>45.65</v>
      </c>
      <c r="B495" s="5">
        <v>3.7968000000000002</v>
      </c>
      <c r="C495" s="1">
        <f>Tabela3[[#This Row],[Alongamento (mm/mm)]]/$I$2</f>
        <v>7.5936000000000003E-2</v>
      </c>
      <c r="D495" s="5">
        <v>476.62</v>
      </c>
      <c r="E495" s="1">
        <f>Tabela3[[#This Row],[Força (N)]]/$I$5</f>
        <v>15192286.237947248</v>
      </c>
      <c r="F495" s="1">
        <f>Tabela3[[#This Row],[Tensão (Pa)]]/1000000</f>
        <v>15.192286237947249</v>
      </c>
    </row>
    <row r="496" spans="1:6" x14ac:dyDescent="0.3">
      <c r="A496" s="5">
        <v>45.75</v>
      </c>
      <c r="B496" s="5">
        <v>3.8050999999999999</v>
      </c>
      <c r="C496" s="1">
        <f>Tabela3[[#This Row],[Alongamento (mm/mm)]]/$I$2</f>
        <v>7.6102000000000003E-2</v>
      </c>
      <c r="D496" s="5">
        <v>480.02</v>
      </c>
      <c r="E496" s="1">
        <f>Tabela3[[#This Row],[Força (N)]]/$I$5</f>
        <v>15300661.40728345</v>
      </c>
      <c r="F496" s="1">
        <f>Tabela3[[#This Row],[Tensão (Pa)]]/1000000</f>
        <v>15.300661407283449</v>
      </c>
    </row>
    <row r="497" spans="1:6" x14ac:dyDescent="0.3">
      <c r="A497" s="5">
        <v>45.866999999999997</v>
      </c>
      <c r="B497" s="5">
        <v>3.8149000000000002</v>
      </c>
      <c r="C497" s="1">
        <f>Tabela3[[#This Row],[Alongamento (mm/mm)]]/$I$2</f>
        <v>7.6298000000000005E-2</v>
      </c>
      <c r="D497" s="5">
        <v>483.93</v>
      </c>
      <c r="E497" s="1">
        <f>Tabela3[[#This Row],[Força (N)]]/$I$5</f>
        <v>15425292.852020083</v>
      </c>
      <c r="F497" s="1">
        <f>Tabela3[[#This Row],[Tensão (Pa)]]/1000000</f>
        <v>15.425292852020084</v>
      </c>
    </row>
    <row r="498" spans="1:6" x14ac:dyDescent="0.3">
      <c r="A498" s="5">
        <v>45.982999999999997</v>
      </c>
      <c r="B498" s="5">
        <v>3.8246000000000002</v>
      </c>
      <c r="C498" s="1">
        <f>Tabela3[[#This Row],[Alongamento (mm/mm)]]/$I$2</f>
        <v>7.6492000000000004E-2</v>
      </c>
      <c r="D498" s="5">
        <v>488.01</v>
      </c>
      <c r="E498" s="1">
        <f>Tabela3[[#This Row],[Força (N)]]/$I$5</f>
        <v>15555343.055223525</v>
      </c>
      <c r="F498" s="1">
        <f>Tabela3[[#This Row],[Tensão (Pa)]]/1000000</f>
        <v>15.555343055223524</v>
      </c>
    </row>
    <row r="499" spans="1:6" x14ac:dyDescent="0.3">
      <c r="A499" s="5">
        <v>46.1</v>
      </c>
      <c r="B499" s="5">
        <v>3.8342999999999998</v>
      </c>
      <c r="C499" s="1">
        <f>Tabela3[[#This Row],[Alongamento (mm/mm)]]/$I$2</f>
        <v>7.668599999999999E-2</v>
      </c>
      <c r="D499" s="5">
        <v>491.93</v>
      </c>
      <c r="E499" s="1">
        <f>Tabela3[[#This Row],[Força (N)]]/$I$5</f>
        <v>15680293.250458205</v>
      </c>
      <c r="F499" s="1">
        <f>Tabela3[[#This Row],[Tensão (Pa)]]/1000000</f>
        <v>15.680293250458206</v>
      </c>
    </row>
    <row r="500" spans="1:6" x14ac:dyDescent="0.3">
      <c r="A500" s="5">
        <v>46.216999999999999</v>
      </c>
      <c r="B500" s="5">
        <v>3.8439999999999999</v>
      </c>
      <c r="C500" s="1">
        <f>Tabela3[[#This Row],[Alongamento (mm/mm)]]/$I$2</f>
        <v>7.6880000000000004E-2</v>
      </c>
      <c r="D500" s="5">
        <v>495.84</v>
      </c>
      <c r="E500" s="1">
        <f>Tabela3[[#This Row],[Força (N)]]/$I$5</f>
        <v>15804924.695194837</v>
      </c>
      <c r="F500" s="1">
        <f>Tabela3[[#This Row],[Tensão (Pa)]]/1000000</f>
        <v>15.804924695194837</v>
      </c>
    </row>
    <row r="501" spans="1:6" x14ac:dyDescent="0.3">
      <c r="A501" s="5">
        <v>46.332999999999998</v>
      </c>
      <c r="B501" s="5">
        <v>3.8536999999999999</v>
      </c>
      <c r="C501" s="1">
        <f>Tabela3[[#This Row],[Alongamento (mm/mm)]]/$I$2</f>
        <v>7.7074000000000004E-2</v>
      </c>
      <c r="D501" s="5">
        <v>499.92</v>
      </c>
      <c r="E501" s="1">
        <f>Tabela3[[#This Row],[Força (N)]]/$I$5</f>
        <v>15934974.89839828</v>
      </c>
      <c r="F501" s="1">
        <f>Tabela3[[#This Row],[Tensão (Pa)]]/1000000</f>
        <v>15.934974898398281</v>
      </c>
    </row>
    <row r="502" spans="1:6" x14ac:dyDescent="0.3">
      <c r="A502" s="5">
        <v>46.45</v>
      </c>
      <c r="B502" s="5">
        <v>3.8635000000000002</v>
      </c>
      <c r="C502" s="1">
        <f>Tabela3[[#This Row],[Alongamento (mm/mm)]]/$I$2</f>
        <v>7.7270000000000005E-2</v>
      </c>
      <c r="D502" s="5">
        <v>504</v>
      </c>
      <c r="E502" s="1">
        <f>Tabela3[[#This Row],[Força (N)]]/$I$5</f>
        <v>16065025.101601722</v>
      </c>
      <c r="F502" s="1">
        <f>Tabela3[[#This Row],[Tensão (Pa)]]/1000000</f>
        <v>16.065025101601723</v>
      </c>
    </row>
    <row r="503" spans="1:6" x14ac:dyDescent="0.3">
      <c r="A503" s="5">
        <v>46.567</v>
      </c>
      <c r="B503" s="5">
        <v>3.8732000000000002</v>
      </c>
      <c r="C503" s="1">
        <f>Tabela3[[#This Row],[Alongamento (mm/mm)]]/$I$2</f>
        <v>7.7464000000000005E-2</v>
      </c>
      <c r="D503" s="5">
        <v>507.92</v>
      </c>
      <c r="E503" s="1">
        <f>Tabela3[[#This Row],[Força (N)]]/$I$5</f>
        <v>16189975.296836402</v>
      </c>
      <c r="F503" s="1">
        <f>Tabela3[[#This Row],[Tensão (Pa)]]/1000000</f>
        <v>16.189975296836401</v>
      </c>
    </row>
    <row r="504" spans="1:6" x14ac:dyDescent="0.3">
      <c r="A504" s="5">
        <v>46.683</v>
      </c>
      <c r="B504" s="5">
        <v>3.8828999999999998</v>
      </c>
      <c r="C504" s="1">
        <f>Tabela3[[#This Row],[Alongamento (mm/mm)]]/$I$2</f>
        <v>7.7657999999999991E-2</v>
      </c>
      <c r="D504" s="5">
        <v>512</v>
      </c>
      <c r="E504" s="1">
        <f>Tabela3[[#This Row],[Força (N)]]/$I$5</f>
        <v>16320025.500039844</v>
      </c>
      <c r="F504" s="1">
        <f>Tabela3[[#This Row],[Tensão (Pa)]]/1000000</f>
        <v>16.320025500039844</v>
      </c>
    </row>
    <row r="505" spans="1:6" x14ac:dyDescent="0.3">
      <c r="A505" s="5">
        <v>46.8</v>
      </c>
      <c r="B505" s="5">
        <v>3.8927</v>
      </c>
      <c r="C505" s="1">
        <f>Tabela3[[#This Row],[Alongamento (mm/mm)]]/$I$2</f>
        <v>7.7854000000000007E-2</v>
      </c>
      <c r="D505" s="5">
        <v>515.91</v>
      </c>
      <c r="E505" s="1">
        <f>Tabela3[[#This Row],[Força (N)]]/$I$5</f>
        <v>16444656.944776475</v>
      </c>
      <c r="F505" s="1">
        <f>Tabela3[[#This Row],[Tensão (Pa)]]/1000000</f>
        <v>16.444656944776476</v>
      </c>
    </row>
    <row r="506" spans="1:6" x14ac:dyDescent="0.3">
      <c r="A506" s="5">
        <v>46.917000000000002</v>
      </c>
      <c r="B506" s="5">
        <v>3.9024000000000001</v>
      </c>
      <c r="C506" s="1">
        <f>Tabela3[[#This Row],[Alongamento (mm/mm)]]/$I$2</f>
        <v>7.8048000000000006E-2</v>
      </c>
      <c r="D506" s="5">
        <v>519.99</v>
      </c>
      <c r="E506" s="1">
        <f>Tabela3[[#This Row],[Força (N)]]/$I$5</f>
        <v>16574707.147979921</v>
      </c>
      <c r="F506" s="1">
        <f>Tabela3[[#This Row],[Tensão (Pa)]]/1000000</f>
        <v>16.574707147979922</v>
      </c>
    </row>
    <row r="507" spans="1:6" x14ac:dyDescent="0.3">
      <c r="A507" s="5">
        <v>47.033000000000001</v>
      </c>
      <c r="B507" s="5">
        <v>3.9121000000000001</v>
      </c>
      <c r="C507" s="1">
        <f>Tabela3[[#This Row],[Alongamento (mm/mm)]]/$I$2</f>
        <v>7.8242000000000006E-2</v>
      </c>
      <c r="D507" s="5">
        <v>524.07000000000005</v>
      </c>
      <c r="E507" s="1">
        <f>Tabela3[[#This Row],[Força (N)]]/$I$5</f>
        <v>16704757.351183364</v>
      </c>
      <c r="F507" s="1">
        <f>Tabela3[[#This Row],[Tensão (Pa)]]/1000000</f>
        <v>16.704757351183364</v>
      </c>
    </row>
    <row r="508" spans="1:6" x14ac:dyDescent="0.3">
      <c r="A508" s="5">
        <v>47.15</v>
      </c>
      <c r="B508" s="5">
        <v>3.9218000000000002</v>
      </c>
      <c r="C508" s="1">
        <f>Tabela3[[#This Row],[Alongamento (mm/mm)]]/$I$2</f>
        <v>7.8436000000000006E-2</v>
      </c>
      <c r="D508" s="5">
        <v>528.16</v>
      </c>
      <c r="E508" s="1">
        <f>Tabela3[[#This Row],[Força (N)]]/$I$5</f>
        <v>16835126.304884851</v>
      </c>
      <c r="F508" s="1">
        <f>Tabela3[[#This Row],[Tensão (Pa)]]/1000000</f>
        <v>16.835126304884852</v>
      </c>
    </row>
    <row r="509" spans="1:6" x14ac:dyDescent="0.3">
      <c r="A509" s="5">
        <v>47.267000000000003</v>
      </c>
      <c r="B509" s="5">
        <v>3.9315000000000002</v>
      </c>
      <c r="C509" s="1">
        <f>Tabela3[[#This Row],[Alongamento (mm/mm)]]/$I$2</f>
        <v>7.8630000000000005E-2</v>
      </c>
      <c r="D509" s="5">
        <v>532.24</v>
      </c>
      <c r="E509" s="1">
        <f>Tabela3[[#This Row],[Força (N)]]/$I$5</f>
        <v>16965176.508088294</v>
      </c>
      <c r="F509" s="1">
        <f>Tabela3[[#This Row],[Tensão (Pa)]]/1000000</f>
        <v>16.965176508088295</v>
      </c>
    </row>
    <row r="510" spans="1:6" x14ac:dyDescent="0.3">
      <c r="A510" s="5">
        <v>47.383000000000003</v>
      </c>
      <c r="B510" s="5">
        <v>3.9411999999999998</v>
      </c>
      <c r="C510" s="1">
        <f>Tabela3[[#This Row],[Alongamento (mm/mm)]]/$I$2</f>
        <v>7.8823999999999991E-2</v>
      </c>
      <c r="D510" s="5">
        <v>536.32000000000005</v>
      </c>
      <c r="E510" s="1">
        <f>Tabela3[[#This Row],[Força (N)]]/$I$5</f>
        <v>17095226.711291738</v>
      </c>
      <c r="F510" s="1">
        <f>Tabela3[[#This Row],[Tensão (Pa)]]/1000000</f>
        <v>17.095226711291737</v>
      </c>
    </row>
    <row r="511" spans="1:6" x14ac:dyDescent="0.3">
      <c r="A511" s="5">
        <v>47.5</v>
      </c>
      <c r="B511" s="5">
        <v>3.9508999999999999</v>
      </c>
      <c r="C511" s="1">
        <f>Tabela3[[#This Row],[Alongamento (mm/mm)]]/$I$2</f>
        <v>7.9017999999999991E-2</v>
      </c>
      <c r="D511" s="5">
        <v>540.4</v>
      </c>
      <c r="E511" s="1">
        <f>Tabela3[[#This Row],[Força (N)]]/$I$5</f>
        <v>17225276.914495178</v>
      </c>
      <c r="F511" s="1">
        <f>Tabela3[[#This Row],[Tensão (Pa)]]/1000000</f>
        <v>17.225276914495179</v>
      </c>
    </row>
    <row r="512" spans="1:6" x14ac:dyDescent="0.3">
      <c r="A512" s="5">
        <v>47.616999999999997</v>
      </c>
      <c r="B512" s="5">
        <v>3.9607000000000001</v>
      </c>
      <c r="C512" s="1">
        <f>Tabela3[[#This Row],[Alongamento (mm/mm)]]/$I$2</f>
        <v>7.9214000000000007E-2</v>
      </c>
      <c r="D512" s="5">
        <v>544.49</v>
      </c>
      <c r="E512" s="1">
        <f>Tabela3[[#This Row],[Força (N)]]/$I$5</f>
        <v>17355645.86819667</v>
      </c>
      <c r="F512" s="1">
        <f>Tabela3[[#This Row],[Tensão (Pa)]]/1000000</f>
        <v>17.355645868196671</v>
      </c>
    </row>
    <row r="513" spans="1:6" x14ac:dyDescent="0.3">
      <c r="A513" s="5">
        <v>47.732999999999997</v>
      </c>
      <c r="B513" s="5">
        <v>3.9704999999999999</v>
      </c>
      <c r="C513" s="1">
        <f>Tabela3[[#This Row],[Alongamento (mm/mm)]]/$I$2</f>
        <v>7.9409999999999994E-2</v>
      </c>
      <c r="D513" s="5">
        <v>548.57000000000005</v>
      </c>
      <c r="E513" s="1">
        <f>Tabela3[[#This Row],[Força (N)]]/$I$5</f>
        <v>17485696.071400113</v>
      </c>
      <c r="F513" s="1">
        <f>Tabela3[[#This Row],[Tensão (Pa)]]/1000000</f>
        <v>17.485696071400113</v>
      </c>
    </row>
    <row r="514" spans="1:6" x14ac:dyDescent="0.3">
      <c r="A514" s="5">
        <v>47.85</v>
      </c>
      <c r="B514" s="5">
        <v>3.9802</v>
      </c>
      <c r="C514" s="1">
        <f>Tabela3[[#This Row],[Alongamento (mm/mm)]]/$I$2</f>
        <v>7.9603999999999994E-2</v>
      </c>
      <c r="D514" s="5">
        <v>552.65</v>
      </c>
      <c r="E514" s="1">
        <f>Tabela3[[#This Row],[Força (N)]]/$I$5</f>
        <v>17615746.274603553</v>
      </c>
      <c r="F514" s="1">
        <f>Tabela3[[#This Row],[Tensão (Pa)]]/1000000</f>
        <v>17.615746274603552</v>
      </c>
    </row>
    <row r="515" spans="1:6" x14ac:dyDescent="0.3">
      <c r="A515" s="5">
        <v>47.966999999999999</v>
      </c>
      <c r="B515" s="5">
        <v>3.9899</v>
      </c>
      <c r="C515" s="1">
        <f>Tabela3[[#This Row],[Alongamento (mm/mm)]]/$I$2</f>
        <v>7.9797999999999994E-2</v>
      </c>
      <c r="D515" s="5">
        <v>556.9</v>
      </c>
      <c r="E515" s="1">
        <f>Tabela3[[#This Row],[Força (N)]]/$I$5</f>
        <v>17751215.236273807</v>
      </c>
      <c r="F515" s="1">
        <f>Tabela3[[#This Row],[Tensão (Pa)]]/1000000</f>
        <v>17.751215236273808</v>
      </c>
    </row>
    <row r="516" spans="1:6" x14ac:dyDescent="0.3">
      <c r="A516" s="5">
        <v>48.082999999999998</v>
      </c>
      <c r="B516" s="5">
        <v>3.9994999999999998</v>
      </c>
      <c r="C516" s="1">
        <f>Tabela3[[#This Row],[Alongamento (mm/mm)]]/$I$2</f>
        <v>7.9989999999999992E-2</v>
      </c>
      <c r="D516" s="5">
        <v>560.99</v>
      </c>
      <c r="E516" s="1">
        <f>Tabela3[[#This Row],[Força (N)]]/$I$5</f>
        <v>17881584.189975299</v>
      </c>
      <c r="F516" s="1">
        <f>Tabela3[[#This Row],[Tensão (Pa)]]/1000000</f>
        <v>17.8815841899753</v>
      </c>
    </row>
    <row r="517" spans="1:6" x14ac:dyDescent="0.3">
      <c r="A517" s="5">
        <v>48.2</v>
      </c>
      <c r="B517" s="5">
        <v>4.0092999999999996</v>
      </c>
      <c r="C517" s="1">
        <f>Tabela3[[#This Row],[Alongamento (mm/mm)]]/$I$2</f>
        <v>8.0185999999999993E-2</v>
      </c>
      <c r="D517" s="5">
        <v>565.24</v>
      </c>
      <c r="E517" s="1">
        <f>Tabela3[[#This Row],[Força (N)]]/$I$5</f>
        <v>18017053.151645552</v>
      </c>
      <c r="F517" s="1">
        <f>Tabela3[[#This Row],[Tensão (Pa)]]/1000000</f>
        <v>18.017053151645552</v>
      </c>
    </row>
    <row r="518" spans="1:6" x14ac:dyDescent="0.3">
      <c r="A518" s="5">
        <v>48.317</v>
      </c>
      <c r="B518" s="5">
        <v>4.0190000000000001</v>
      </c>
      <c r="C518" s="1">
        <f>Tabela3[[#This Row],[Alongamento (mm/mm)]]/$I$2</f>
        <v>8.0380000000000007E-2</v>
      </c>
      <c r="D518" s="5">
        <v>569.49</v>
      </c>
      <c r="E518" s="1">
        <f>Tabela3[[#This Row],[Força (N)]]/$I$5</f>
        <v>18152522.113315802</v>
      </c>
      <c r="F518" s="1">
        <f>Tabela3[[#This Row],[Tensão (Pa)]]/1000000</f>
        <v>18.152522113315801</v>
      </c>
    </row>
    <row r="519" spans="1:6" x14ac:dyDescent="0.3">
      <c r="A519" s="5">
        <v>48.45</v>
      </c>
      <c r="B519" s="5">
        <v>4.0301999999999998</v>
      </c>
      <c r="C519" s="1">
        <f>Tabela3[[#This Row],[Alongamento (mm/mm)]]/$I$2</f>
        <v>8.0603999999999995E-2</v>
      </c>
      <c r="D519" s="5">
        <v>574.25</v>
      </c>
      <c r="E519" s="1">
        <f>Tabela3[[#This Row],[Força (N)]]/$I$5</f>
        <v>18304247.350386485</v>
      </c>
      <c r="F519" s="1">
        <f>Tabela3[[#This Row],[Tensão (Pa)]]/1000000</f>
        <v>18.304247350386486</v>
      </c>
    </row>
    <row r="520" spans="1:6" x14ac:dyDescent="0.3">
      <c r="A520" s="5">
        <v>48.582999999999998</v>
      </c>
      <c r="B520" s="5">
        <v>4.0412999999999997</v>
      </c>
      <c r="C520" s="1">
        <f>Tabela3[[#This Row],[Alongamento (mm/mm)]]/$I$2</f>
        <v>8.0825999999999995E-2</v>
      </c>
      <c r="D520" s="5">
        <v>579.02</v>
      </c>
      <c r="E520" s="1">
        <f>Tabela3[[#This Row],[Força (N)]]/$I$5</f>
        <v>18456291.337955218</v>
      </c>
      <c r="F520" s="1">
        <f>Tabela3[[#This Row],[Tensão (Pa)]]/1000000</f>
        <v>18.456291337955218</v>
      </c>
    </row>
    <row r="521" spans="1:6" x14ac:dyDescent="0.3">
      <c r="A521" s="5">
        <v>48.716999999999999</v>
      </c>
      <c r="B521" s="5">
        <v>4.0523999999999996</v>
      </c>
      <c r="C521" s="1">
        <f>Tabela3[[#This Row],[Alongamento (mm/mm)]]/$I$2</f>
        <v>8.1047999999999995E-2</v>
      </c>
      <c r="D521" s="5">
        <v>583.78</v>
      </c>
      <c r="E521" s="1">
        <f>Tabela3[[#This Row],[Força (N)]]/$I$5</f>
        <v>18608016.575025897</v>
      </c>
      <c r="F521" s="1">
        <f>Tabela3[[#This Row],[Tensão (Pa)]]/1000000</f>
        <v>18.608016575025896</v>
      </c>
    </row>
    <row r="522" spans="1:6" x14ac:dyDescent="0.3">
      <c r="A522" s="5">
        <v>48.85</v>
      </c>
      <c r="B522" s="5">
        <v>4.0635000000000003</v>
      </c>
      <c r="C522" s="1">
        <f>Tabela3[[#This Row],[Alongamento (mm/mm)]]/$I$2</f>
        <v>8.1270000000000009E-2</v>
      </c>
      <c r="D522" s="5">
        <v>588.54</v>
      </c>
      <c r="E522" s="1">
        <f>Tabela3[[#This Row],[Força (N)]]/$I$5</f>
        <v>18759741.812096581</v>
      </c>
      <c r="F522" s="1">
        <f>Tabela3[[#This Row],[Tensão (Pa)]]/1000000</f>
        <v>18.759741812096582</v>
      </c>
    </row>
    <row r="523" spans="1:6" x14ac:dyDescent="0.3">
      <c r="A523" s="5">
        <v>48.982999999999997</v>
      </c>
      <c r="B523" s="5">
        <v>4.0744999999999996</v>
      </c>
      <c r="C523" s="1">
        <f>Tabela3[[#This Row],[Alongamento (mm/mm)]]/$I$2</f>
        <v>8.1489999999999993E-2</v>
      </c>
      <c r="D523" s="5">
        <v>593.29999999999995</v>
      </c>
      <c r="E523" s="1">
        <f>Tabela3[[#This Row],[Força (N)]]/$I$5</f>
        <v>18911467.049167264</v>
      </c>
      <c r="F523" s="1">
        <f>Tabela3[[#This Row],[Tensão (Pa)]]/1000000</f>
        <v>18.911467049167264</v>
      </c>
    </row>
    <row r="524" spans="1:6" x14ac:dyDescent="0.3">
      <c r="A524" s="5">
        <v>49.116999999999997</v>
      </c>
      <c r="B524" s="5">
        <v>4.0856000000000003</v>
      </c>
      <c r="C524" s="1">
        <f>Tabela3[[#This Row],[Alongamento (mm/mm)]]/$I$2</f>
        <v>8.1712000000000007E-2</v>
      </c>
      <c r="D524" s="5">
        <v>598.07000000000005</v>
      </c>
      <c r="E524" s="1">
        <f>Tabela3[[#This Row],[Força (N)]]/$I$5</f>
        <v>19063511.036735997</v>
      </c>
      <c r="F524" s="1">
        <f>Tabela3[[#This Row],[Tensão (Pa)]]/1000000</f>
        <v>19.063511036735996</v>
      </c>
    </row>
    <row r="525" spans="1:6" x14ac:dyDescent="0.3">
      <c r="A525" s="5">
        <v>49.25</v>
      </c>
      <c r="B525" s="5">
        <v>4.0968</v>
      </c>
      <c r="C525" s="1">
        <f>Tabela3[[#This Row],[Alongamento (mm/mm)]]/$I$2</f>
        <v>8.1935999999999995E-2</v>
      </c>
      <c r="D525" s="5">
        <v>603</v>
      </c>
      <c r="E525" s="1">
        <f>Tabela3[[#This Row],[Força (N)]]/$I$5</f>
        <v>19220655.03227349</v>
      </c>
      <c r="F525" s="1">
        <f>Tabela3[[#This Row],[Tensão (Pa)]]/1000000</f>
        <v>19.220655032273491</v>
      </c>
    </row>
    <row r="526" spans="1:6" x14ac:dyDescent="0.3">
      <c r="A526" s="5">
        <v>49.383000000000003</v>
      </c>
      <c r="B526" s="5">
        <v>4.1079999999999997</v>
      </c>
      <c r="C526" s="1">
        <f>Tabela3[[#This Row],[Alongamento (mm/mm)]]/$I$2</f>
        <v>8.2159999999999997E-2</v>
      </c>
      <c r="D526" s="5">
        <v>607.76</v>
      </c>
      <c r="E526" s="1">
        <f>Tabela3[[#This Row],[Força (N)]]/$I$5</f>
        <v>19372380.269344173</v>
      </c>
      <c r="F526" s="1">
        <f>Tabela3[[#This Row],[Tensão (Pa)]]/1000000</f>
        <v>19.372380269344173</v>
      </c>
    </row>
    <row r="527" spans="1:6" x14ac:dyDescent="0.3">
      <c r="A527" s="5">
        <v>49.517000000000003</v>
      </c>
      <c r="B527" s="5">
        <v>4.1189999999999998</v>
      </c>
      <c r="C527" s="1">
        <f>Tabela3[[#This Row],[Alongamento (mm/mm)]]/$I$2</f>
        <v>8.2379999999999995E-2</v>
      </c>
      <c r="D527" s="5">
        <v>612.70000000000005</v>
      </c>
      <c r="E527" s="1">
        <f>Tabela3[[#This Row],[Força (N)]]/$I$5</f>
        <v>19529843.015379716</v>
      </c>
      <c r="F527" s="1">
        <f>Tabela3[[#This Row],[Tensão (Pa)]]/1000000</f>
        <v>19.529843015379715</v>
      </c>
    </row>
    <row r="528" spans="1:6" x14ac:dyDescent="0.3">
      <c r="A528" s="5">
        <v>49.65</v>
      </c>
      <c r="B528" s="5">
        <v>4.1302000000000003</v>
      </c>
      <c r="C528" s="1">
        <f>Tabela3[[#This Row],[Alongamento (mm/mm)]]/$I$2</f>
        <v>8.2604000000000011E-2</v>
      </c>
      <c r="D528" s="5">
        <v>617.63</v>
      </c>
      <c r="E528" s="1">
        <f>Tabela3[[#This Row],[Força (N)]]/$I$5</f>
        <v>19686987.010917205</v>
      </c>
      <c r="F528" s="1">
        <f>Tabela3[[#This Row],[Tensão (Pa)]]/1000000</f>
        <v>19.686987010917207</v>
      </c>
    </row>
    <row r="529" spans="1:6" x14ac:dyDescent="0.3">
      <c r="A529" s="5">
        <v>49.783000000000001</v>
      </c>
      <c r="B529" s="5">
        <v>4.1413000000000002</v>
      </c>
      <c r="C529" s="1">
        <f>Tabela3[[#This Row],[Alongamento (mm/mm)]]/$I$2</f>
        <v>8.2826000000000011E-2</v>
      </c>
      <c r="D529" s="5">
        <v>622.55999999999995</v>
      </c>
      <c r="E529" s="1">
        <f>Tabela3[[#This Row],[Força (N)]]/$I$5</f>
        <v>19844131.006454699</v>
      </c>
      <c r="F529" s="1">
        <f>Tabela3[[#This Row],[Tensão (Pa)]]/1000000</f>
        <v>19.844131006454699</v>
      </c>
    </row>
    <row r="530" spans="1:6" x14ac:dyDescent="0.3">
      <c r="A530" s="5">
        <v>49.917000000000002</v>
      </c>
      <c r="B530" s="5">
        <v>4.1523000000000003</v>
      </c>
      <c r="C530" s="1">
        <f>Tabela3[[#This Row],[Alongamento (mm/mm)]]/$I$2</f>
        <v>8.3046000000000009E-2</v>
      </c>
      <c r="D530" s="5">
        <v>627.66</v>
      </c>
      <c r="E530" s="1">
        <f>Tabela3[[#This Row],[Força (N)]]/$I$5</f>
        <v>20006693.760459002</v>
      </c>
      <c r="F530" s="1">
        <f>Tabela3[[#This Row],[Tensão (Pa)]]/1000000</f>
        <v>20.006693760459001</v>
      </c>
    </row>
    <row r="531" spans="1:6" x14ac:dyDescent="0.3">
      <c r="A531" s="5">
        <v>50.05</v>
      </c>
      <c r="B531" s="5">
        <v>4.1634000000000002</v>
      </c>
      <c r="C531" s="1">
        <f>Tabela3[[#This Row],[Alongamento (mm/mm)]]/$I$2</f>
        <v>8.3268000000000009E-2</v>
      </c>
      <c r="D531" s="5">
        <v>632.6</v>
      </c>
      <c r="E531" s="1">
        <f>Tabela3[[#This Row],[Força (N)]]/$I$5</f>
        <v>20164156.506494544</v>
      </c>
      <c r="F531" s="1">
        <f>Tabela3[[#This Row],[Tensão (Pa)]]/1000000</f>
        <v>20.164156506494546</v>
      </c>
    </row>
    <row r="532" spans="1:6" x14ac:dyDescent="0.3">
      <c r="A532" s="5">
        <v>50.183</v>
      </c>
      <c r="B532" s="5">
        <v>4.1745999999999999</v>
      </c>
      <c r="C532" s="1">
        <f>Tabela3[[#This Row],[Alongamento (mm/mm)]]/$I$2</f>
        <v>8.3491999999999997E-2</v>
      </c>
      <c r="D532" s="5">
        <v>637.70000000000005</v>
      </c>
      <c r="E532" s="1">
        <f>Tabela3[[#This Row],[Força (N)]]/$I$5</f>
        <v>20326719.260498848</v>
      </c>
      <c r="F532" s="1">
        <f>Tabela3[[#This Row],[Tensão (Pa)]]/1000000</f>
        <v>20.326719260498848</v>
      </c>
    </row>
    <row r="533" spans="1:6" x14ac:dyDescent="0.3">
      <c r="A533" s="5">
        <v>50.317</v>
      </c>
      <c r="B533" s="5">
        <v>4.1856999999999998</v>
      </c>
      <c r="C533" s="1">
        <f>Tabela3[[#This Row],[Alongamento (mm/mm)]]/$I$2</f>
        <v>8.3713999999999997E-2</v>
      </c>
      <c r="D533" s="5">
        <v>642.63</v>
      </c>
      <c r="E533" s="1">
        <f>Tabela3[[#This Row],[Força (N)]]/$I$5</f>
        <v>20483863.256036337</v>
      </c>
      <c r="F533" s="1">
        <f>Tabela3[[#This Row],[Tensão (Pa)]]/1000000</f>
        <v>20.483863256036337</v>
      </c>
    </row>
    <row r="534" spans="1:6" x14ac:dyDescent="0.3">
      <c r="A534" s="5">
        <v>50.45</v>
      </c>
      <c r="B534" s="5">
        <v>4.1967999999999996</v>
      </c>
      <c r="C534" s="1">
        <f>Tabela3[[#This Row],[Alongamento (mm/mm)]]/$I$2</f>
        <v>8.3935999999999997E-2</v>
      </c>
      <c r="D534" s="5">
        <v>647.74</v>
      </c>
      <c r="E534" s="1">
        <f>Tabela3[[#This Row],[Força (N)]]/$I$5</f>
        <v>20646744.76053869</v>
      </c>
      <c r="F534" s="1">
        <f>Tabela3[[#This Row],[Tensão (Pa)]]/1000000</f>
        <v>20.646744760538692</v>
      </c>
    </row>
    <row r="535" spans="1:6" x14ac:dyDescent="0.3">
      <c r="A535" s="5">
        <v>50.582999999999998</v>
      </c>
      <c r="B535" s="5">
        <v>4.2079000000000004</v>
      </c>
      <c r="C535" s="1">
        <f>Tabela3[[#This Row],[Alongamento (mm/mm)]]/$I$2</f>
        <v>8.4158000000000011E-2</v>
      </c>
      <c r="D535" s="5">
        <v>653.01</v>
      </c>
      <c r="E535" s="1">
        <f>Tabela3[[#This Row],[Força (N)]]/$I$5</f>
        <v>20814726.273009803</v>
      </c>
      <c r="F535" s="1">
        <f>Tabela3[[#This Row],[Tensão (Pa)]]/1000000</f>
        <v>20.814726273009803</v>
      </c>
    </row>
    <row r="536" spans="1:6" x14ac:dyDescent="0.3">
      <c r="A536" s="5">
        <v>50.716999999999999</v>
      </c>
      <c r="B536" s="5">
        <v>4.2191000000000001</v>
      </c>
      <c r="C536" s="1">
        <f>Tabela3[[#This Row],[Alongamento (mm/mm)]]/$I$2</f>
        <v>8.4381999999999999E-2</v>
      </c>
      <c r="D536" s="5">
        <v>658.11</v>
      </c>
      <c r="E536" s="1">
        <f>Tabela3[[#This Row],[Força (N)]]/$I$5</f>
        <v>20977289.027014107</v>
      </c>
      <c r="F536" s="1">
        <f>Tabela3[[#This Row],[Tensão (Pa)]]/1000000</f>
        <v>20.977289027014105</v>
      </c>
    </row>
    <row r="537" spans="1:6" x14ac:dyDescent="0.3">
      <c r="A537" s="5">
        <v>50.85</v>
      </c>
      <c r="B537" s="5">
        <v>4.2300000000000004</v>
      </c>
      <c r="C537" s="1">
        <f>Tabela3[[#This Row],[Alongamento (mm/mm)]]/$I$2</f>
        <v>8.4600000000000009E-2</v>
      </c>
      <c r="D537" s="5">
        <v>663.22</v>
      </c>
      <c r="E537" s="1">
        <f>Tabela3[[#This Row],[Força (N)]]/$I$5</f>
        <v>21140170.531516459</v>
      </c>
      <c r="F537" s="1">
        <f>Tabela3[[#This Row],[Tensão (Pa)]]/1000000</f>
        <v>21.140170531516461</v>
      </c>
    </row>
    <row r="538" spans="1:6" x14ac:dyDescent="0.3">
      <c r="A538" s="5">
        <v>50.982999999999997</v>
      </c>
      <c r="B538" s="5">
        <v>4.2412000000000001</v>
      </c>
      <c r="C538" s="1">
        <f>Tabela3[[#This Row],[Alongamento (mm/mm)]]/$I$2</f>
        <v>8.4823999999999997E-2</v>
      </c>
      <c r="D538" s="5">
        <v>668.32</v>
      </c>
      <c r="E538" s="1">
        <f>Tabela3[[#This Row],[Força (N)]]/$I$5</f>
        <v>21302733.285520762</v>
      </c>
      <c r="F538" s="1">
        <f>Tabela3[[#This Row],[Tensão (Pa)]]/1000000</f>
        <v>21.302733285520763</v>
      </c>
    </row>
    <row r="539" spans="1:6" x14ac:dyDescent="0.3">
      <c r="A539" s="5">
        <v>51.116999999999997</v>
      </c>
      <c r="B539" s="5">
        <v>4.2523999999999997</v>
      </c>
      <c r="C539" s="1">
        <f>Tabela3[[#This Row],[Alongamento (mm/mm)]]/$I$2</f>
        <v>8.5047999999999999E-2</v>
      </c>
      <c r="D539" s="5">
        <v>673.59</v>
      </c>
      <c r="E539" s="1">
        <f>Tabela3[[#This Row],[Força (N)]]/$I$5</f>
        <v>21470714.797991876</v>
      </c>
      <c r="F539" s="1">
        <f>Tabela3[[#This Row],[Tensão (Pa)]]/1000000</f>
        <v>21.470714797991874</v>
      </c>
    </row>
    <row r="540" spans="1:6" x14ac:dyDescent="0.3">
      <c r="A540" s="5">
        <v>51.25</v>
      </c>
      <c r="B540" s="5">
        <v>4.2634999999999996</v>
      </c>
      <c r="C540" s="1">
        <f>Tabela3[[#This Row],[Alongamento (mm/mm)]]/$I$2</f>
        <v>8.5269999999999999E-2</v>
      </c>
      <c r="D540" s="5">
        <v>678.69</v>
      </c>
      <c r="E540" s="1">
        <f>Tabela3[[#This Row],[Força (N)]]/$I$5</f>
        <v>21633277.551996179</v>
      </c>
      <c r="F540" s="1">
        <f>Tabela3[[#This Row],[Tensão (Pa)]]/1000000</f>
        <v>21.63327755199618</v>
      </c>
    </row>
    <row r="541" spans="1:6" x14ac:dyDescent="0.3">
      <c r="A541" s="5">
        <v>51.383000000000003</v>
      </c>
      <c r="B541" s="5">
        <v>4.2746000000000004</v>
      </c>
      <c r="C541" s="1">
        <f>Tabela3[[#This Row],[Alongamento (mm/mm)]]/$I$2</f>
        <v>8.5492000000000012E-2</v>
      </c>
      <c r="D541" s="5">
        <v>683.8</v>
      </c>
      <c r="E541" s="1">
        <f>Tabela3[[#This Row],[Força (N)]]/$I$5</f>
        <v>21796159.056498524</v>
      </c>
      <c r="F541" s="1">
        <f>Tabela3[[#This Row],[Tensão (Pa)]]/1000000</f>
        <v>21.796159056498524</v>
      </c>
    </row>
    <row r="542" spans="1:6" x14ac:dyDescent="0.3">
      <c r="A542" s="5">
        <v>51.517000000000003</v>
      </c>
      <c r="B542" s="5">
        <v>4.2857000000000003</v>
      </c>
      <c r="C542" s="1">
        <f>Tabela3[[#This Row],[Alongamento (mm/mm)]]/$I$2</f>
        <v>8.5714000000000012E-2</v>
      </c>
      <c r="D542" s="5">
        <v>689.07</v>
      </c>
      <c r="E542" s="1">
        <f>Tabela3[[#This Row],[Força (N)]]/$I$5</f>
        <v>21964140.568969641</v>
      </c>
      <c r="F542" s="1">
        <f>Tabela3[[#This Row],[Tensão (Pa)]]/1000000</f>
        <v>21.96414056896964</v>
      </c>
    </row>
    <row r="543" spans="1:6" x14ac:dyDescent="0.3">
      <c r="A543" s="5">
        <v>51.65</v>
      </c>
      <c r="B543" s="5">
        <v>4.2968999999999999</v>
      </c>
      <c r="C543" s="1">
        <f>Tabela3[[#This Row],[Alongamento (mm/mm)]]/$I$2</f>
        <v>8.5938000000000001E-2</v>
      </c>
      <c r="D543" s="5">
        <v>694.17</v>
      </c>
      <c r="E543" s="1">
        <f>Tabela3[[#This Row],[Força (N)]]/$I$5</f>
        <v>22126703.322973941</v>
      </c>
      <c r="F543" s="1">
        <f>Tabela3[[#This Row],[Tensão (Pa)]]/1000000</f>
        <v>22.126703322973942</v>
      </c>
    </row>
    <row r="544" spans="1:6" x14ac:dyDescent="0.3">
      <c r="A544" s="5">
        <v>51.783000000000001</v>
      </c>
      <c r="B544" s="5">
        <v>4.3078000000000003</v>
      </c>
      <c r="C544" s="1">
        <f>Tabela3[[#This Row],[Alongamento (mm/mm)]]/$I$2</f>
        <v>8.615600000000001E-2</v>
      </c>
      <c r="D544" s="5">
        <v>699.45</v>
      </c>
      <c r="E544" s="1">
        <f>Tabela3[[#This Row],[Força (N)]]/$I$5</f>
        <v>22295003.585943107</v>
      </c>
      <c r="F544" s="1">
        <f>Tabela3[[#This Row],[Tensão (Pa)]]/1000000</f>
        <v>22.295003585943107</v>
      </c>
    </row>
    <row r="545" spans="1:6" x14ac:dyDescent="0.3">
      <c r="A545" s="5">
        <v>51.933</v>
      </c>
      <c r="B545" s="5">
        <v>4.3204000000000002</v>
      </c>
      <c r="C545" s="1">
        <f>Tabela3[[#This Row],[Alongamento (mm/mm)]]/$I$2</f>
        <v>8.6407999999999999E-2</v>
      </c>
      <c r="D545" s="5">
        <v>705.23</v>
      </c>
      <c r="E545" s="1">
        <f>Tabela3[[#This Row],[Força (N)]]/$I$5</f>
        <v>22479241.37381465</v>
      </c>
      <c r="F545" s="1">
        <f>Tabela3[[#This Row],[Tensão (Pa)]]/1000000</f>
        <v>22.479241373814649</v>
      </c>
    </row>
    <row r="546" spans="1:6" x14ac:dyDescent="0.3">
      <c r="A546" s="5">
        <v>52.082999999999998</v>
      </c>
      <c r="B546" s="5">
        <v>4.3330000000000002</v>
      </c>
      <c r="C546" s="1">
        <f>Tabela3[[#This Row],[Alongamento (mm/mm)]]/$I$2</f>
        <v>8.6660000000000001E-2</v>
      </c>
      <c r="D546" s="5">
        <v>711.01</v>
      </c>
      <c r="E546" s="1">
        <f>Tabela3[[#This Row],[Força (N)]]/$I$5</f>
        <v>22663479.161686189</v>
      </c>
      <c r="F546" s="1">
        <f>Tabela3[[#This Row],[Tensão (Pa)]]/1000000</f>
        <v>22.66347916168619</v>
      </c>
    </row>
    <row r="547" spans="1:6" x14ac:dyDescent="0.3">
      <c r="A547" s="5">
        <v>52.232999999999997</v>
      </c>
      <c r="B547" s="5">
        <v>4.3453999999999997</v>
      </c>
      <c r="C547" s="1">
        <f>Tabela3[[#This Row],[Alongamento (mm/mm)]]/$I$2</f>
        <v>8.6907999999999999E-2</v>
      </c>
      <c r="D547" s="5">
        <v>716.8</v>
      </c>
      <c r="E547" s="1">
        <f>Tabela3[[#This Row],[Força (N)]]/$I$5</f>
        <v>22848035.700055782</v>
      </c>
      <c r="F547" s="1">
        <f>Tabela3[[#This Row],[Tensão (Pa)]]/1000000</f>
        <v>22.848035700055782</v>
      </c>
    </row>
    <row r="548" spans="1:6" x14ac:dyDescent="0.3">
      <c r="A548" s="5">
        <v>52.383000000000003</v>
      </c>
      <c r="B548" s="5">
        <v>4.3579999999999997</v>
      </c>
      <c r="C548" s="1">
        <f>Tabela3[[#This Row],[Alongamento (mm/mm)]]/$I$2</f>
        <v>8.7159999999999987E-2</v>
      </c>
      <c r="D548" s="5">
        <v>722.75</v>
      </c>
      <c r="E548" s="1">
        <f>Tabela3[[#This Row],[Força (N)]]/$I$5</f>
        <v>23037692.246394135</v>
      </c>
      <c r="F548" s="1">
        <f>Tabela3[[#This Row],[Tensão (Pa)]]/1000000</f>
        <v>23.037692246394133</v>
      </c>
    </row>
    <row r="549" spans="1:6" x14ac:dyDescent="0.3">
      <c r="A549" s="5">
        <v>52.533000000000001</v>
      </c>
      <c r="B549" s="5">
        <v>4.3704000000000001</v>
      </c>
      <c r="C549" s="1">
        <f>Tabela3[[#This Row],[Alongamento (mm/mm)]]/$I$2</f>
        <v>8.7408E-2</v>
      </c>
      <c r="D549" s="5">
        <v>728.53</v>
      </c>
      <c r="E549" s="1">
        <f>Tabela3[[#This Row],[Força (N)]]/$I$5</f>
        <v>23221930.034265678</v>
      </c>
      <c r="F549" s="1">
        <f>Tabela3[[#This Row],[Tensão (Pa)]]/1000000</f>
        <v>23.221930034265679</v>
      </c>
    </row>
    <row r="550" spans="1:6" x14ac:dyDescent="0.3">
      <c r="A550" s="5">
        <v>52.683</v>
      </c>
      <c r="B550" s="5">
        <v>4.3829000000000002</v>
      </c>
      <c r="C550" s="1">
        <f>Tabela3[[#This Row],[Alongamento (mm/mm)]]/$I$2</f>
        <v>8.7658E-2</v>
      </c>
      <c r="D550" s="5">
        <v>734.49</v>
      </c>
      <c r="E550" s="1">
        <f>Tabela3[[#This Row],[Força (N)]]/$I$5</f>
        <v>23411905.331102081</v>
      </c>
      <c r="F550" s="1">
        <f>Tabela3[[#This Row],[Tensão (Pa)]]/1000000</f>
        <v>23.41190533110208</v>
      </c>
    </row>
    <row r="551" spans="1:6" x14ac:dyDescent="0.3">
      <c r="A551" s="5">
        <v>52.832999999999998</v>
      </c>
      <c r="B551" s="5">
        <v>4.3954000000000004</v>
      </c>
      <c r="C551" s="1">
        <f>Tabela3[[#This Row],[Alongamento (mm/mm)]]/$I$2</f>
        <v>8.7908000000000014E-2</v>
      </c>
      <c r="D551" s="5">
        <v>740.44</v>
      </c>
      <c r="E551" s="1">
        <f>Tabela3[[#This Row],[Força (N)]]/$I$5</f>
        <v>23601561.877440438</v>
      </c>
      <c r="F551" s="1">
        <f>Tabela3[[#This Row],[Tensão (Pa)]]/1000000</f>
        <v>23.601561877440439</v>
      </c>
    </row>
    <row r="552" spans="1:6" x14ac:dyDescent="0.3">
      <c r="A552" s="5">
        <v>52.982999999999997</v>
      </c>
      <c r="B552" s="5">
        <v>4.4078999999999997</v>
      </c>
      <c r="C552" s="1">
        <f>Tabela3[[#This Row],[Alongamento (mm/mm)]]/$I$2</f>
        <v>8.8158E-2</v>
      </c>
      <c r="D552" s="5">
        <v>746.22</v>
      </c>
      <c r="E552" s="1">
        <f>Tabela3[[#This Row],[Força (N)]]/$I$5</f>
        <v>23785799.665311981</v>
      </c>
      <c r="F552" s="1">
        <f>Tabela3[[#This Row],[Tensão (Pa)]]/1000000</f>
        <v>23.785799665311981</v>
      </c>
    </row>
    <row r="553" spans="1:6" x14ac:dyDescent="0.3">
      <c r="A553" s="5">
        <v>53.133000000000003</v>
      </c>
      <c r="B553" s="5">
        <v>4.4203999999999999</v>
      </c>
      <c r="C553" s="1">
        <f>Tabela3[[#This Row],[Alongamento (mm/mm)]]/$I$2</f>
        <v>8.8408E-2</v>
      </c>
      <c r="D553" s="5">
        <v>752.01</v>
      </c>
      <c r="E553" s="1">
        <f>Tabela3[[#This Row],[Força (N)]]/$I$5</f>
        <v>23970356.20368157</v>
      </c>
      <c r="F553" s="1">
        <f>Tabela3[[#This Row],[Tensão (Pa)]]/1000000</f>
        <v>23.970356203681568</v>
      </c>
    </row>
    <row r="554" spans="1:6" x14ac:dyDescent="0.3">
      <c r="A554" s="5">
        <v>53.283000000000001</v>
      </c>
      <c r="B554" s="5">
        <v>4.4329000000000001</v>
      </c>
      <c r="C554" s="1">
        <f>Tabela3[[#This Row],[Alongamento (mm/mm)]]/$I$2</f>
        <v>8.8658000000000001E-2</v>
      </c>
      <c r="D554" s="5">
        <v>757.79</v>
      </c>
      <c r="E554" s="1">
        <f>Tabela3[[#This Row],[Força (N)]]/$I$5</f>
        <v>24154593.991553113</v>
      </c>
      <c r="F554" s="1">
        <f>Tabela3[[#This Row],[Tensão (Pa)]]/1000000</f>
        <v>24.154593991553114</v>
      </c>
    </row>
    <row r="555" spans="1:6" x14ac:dyDescent="0.3">
      <c r="A555" s="5">
        <v>53.433</v>
      </c>
      <c r="B555" s="5">
        <v>4.4455</v>
      </c>
      <c r="C555" s="1">
        <f>Tabela3[[#This Row],[Alongamento (mm/mm)]]/$I$2</f>
        <v>8.8910000000000003E-2</v>
      </c>
      <c r="D555" s="5">
        <v>763.57</v>
      </c>
      <c r="E555" s="1">
        <f>Tabela3[[#This Row],[Força (N)]]/$I$5</f>
        <v>24338831.77942466</v>
      </c>
      <c r="F555" s="1">
        <f>Tabela3[[#This Row],[Tensão (Pa)]]/1000000</f>
        <v>24.338831779424659</v>
      </c>
    </row>
    <row r="556" spans="1:6" x14ac:dyDescent="0.3">
      <c r="A556" s="5">
        <v>53.6</v>
      </c>
      <c r="B556" s="5">
        <v>4.4592999999999998</v>
      </c>
      <c r="C556" s="1">
        <f>Tabela3[[#This Row],[Alongamento (mm/mm)]]/$I$2</f>
        <v>8.9186000000000001E-2</v>
      </c>
      <c r="D556" s="5">
        <v>769.7</v>
      </c>
      <c r="E556" s="1">
        <f>Tabela3[[#This Row],[Força (N)]]/$I$5</f>
        <v>24534225.834727868</v>
      </c>
      <c r="F556" s="1">
        <f>Tabela3[[#This Row],[Tensão (Pa)]]/1000000</f>
        <v>24.53422583472787</v>
      </c>
    </row>
    <row r="557" spans="1:6" x14ac:dyDescent="0.3">
      <c r="A557" s="5">
        <v>53.767000000000003</v>
      </c>
      <c r="B557" s="5">
        <v>4.4732000000000003</v>
      </c>
      <c r="C557" s="1">
        <f>Tabela3[[#This Row],[Alongamento (mm/mm)]]/$I$2</f>
        <v>8.9464000000000002E-2</v>
      </c>
      <c r="D557" s="5">
        <v>775.99</v>
      </c>
      <c r="E557" s="1">
        <f>Tabela3[[#This Row],[Força (N)]]/$I$5</f>
        <v>24734719.897999842</v>
      </c>
      <c r="F557" s="1">
        <f>Tabela3[[#This Row],[Tensão (Pa)]]/1000000</f>
        <v>24.734719897999842</v>
      </c>
    </row>
    <row r="558" spans="1:6" x14ac:dyDescent="0.3">
      <c r="A558" s="5">
        <v>53.917000000000002</v>
      </c>
      <c r="B558" s="5">
        <v>4.4856999999999996</v>
      </c>
      <c r="C558" s="1">
        <f>Tabela3[[#This Row],[Alongamento (mm/mm)]]/$I$2</f>
        <v>8.9713999999999988E-2</v>
      </c>
      <c r="D558" s="5">
        <v>781.77</v>
      </c>
      <c r="E558" s="1">
        <f>Tabela3[[#This Row],[Força (N)]]/$I$5</f>
        <v>24918957.685871385</v>
      </c>
      <c r="F558" s="1">
        <f>Tabela3[[#This Row],[Tensão (Pa)]]/1000000</f>
        <v>24.918957685871383</v>
      </c>
    </row>
    <row r="559" spans="1:6" x14ac:dyDescent="0.3">
      <c r="A559" s="5">
        <v>54.067</v>
      </c>
      <c r="B559" s="5">
        <v>4.4981999999999998</v>
      </c>
      <c r="C559" s="1">
        <f>Tabela3[[#This Row],[Alongamento (mm/mm)]]/$I$2</f>
        <v>8.9963999999999988E-2</v>
      </c>
      <c r="D559" s="5">
        <v>787.56</v>
      </c>
      <c r="E559" s="1">
        <f>Tabela3[[#This Row],[Força (N)]]/$I$5</f>
        <v>25103514.224240974</v>
      </c>
      <c r="F559" s="1">
        <f>Tabela3[[#This Row],[Tensão (Pa)]]/1000000</f>
        <v>25.103514224240975</v>
      </c>
    </row>
    <row r="560" spans="1:6" x14ac:dyDescent="0.3">
      <c r="A560" s="5">
        <v>54.232999999999997</v>
      </c>
      <c r="B560" s="5">
        <v>4.5121000000000002</v>
      </c>
      <c r="C560" s="1">
        <f>Tabela3[[#This Row],[Alongamento (mm/mm)]]/$I$2</f>
        <v>9.0242000000000003E-2</v>
      </c>
      <c r="D560" s="5">
        <v>794.02</v>
      </c>
      <c r="E560" s="1">
        <f>Tabela3[[#This Row],[Força (N)]]/$I$5</f>
        <v>25309427.045979761</v>
      </c>
      <c r="F560" s="1">
        <f>Tabela3[[#This Row],[Tensão (Pa)]]/1000000</f>
        <v>25.30942704597976</v>
      </c>
    </row>
    <row r="561" spans="1:6" x14ac:dyDescent="0.3">
      <c r="A561" s="5">
        <v>54.4</v>
      </c>
      <c r="B561" s="5">
        <v>4.5259999999999998</v>
      </c>
      <c r="C561" s="1">
        <f>Tabela3[[#This Row],[Alongamento (mm/mm)]]/$I$2</f>
        <v>9.0519999999999989E-2</v>
      </c>
      <c r="D561" s="5">
        <v>800.48</v>
      </c>
      <c r="E561" s="1">
        <f>Tabela3[[#This Row],[Força (N)]]/$I$5</f>
        <v>25515339.867718544</v>
      </c>
      <c r="F561" s="1">
        <f>Tabela3[[#This Row],[Tensão (Pa)]]/1000000</f>
        <v>25.515339867718545</v>
      </c>
    </row>
    <row r="562" spans="1:6" x14ac:dyDescent="0.3">
      <c r="A562" s="5">
        <v>54.567</v>
      </c>
      <c r="B562" s="5">
        <v>4.5397999999999996</v>
      </c>
      <c r="C562" s="1">
        <f>Tabela3[[#This Row],[Alongamento (mm/mm)]]/$I$2</f>
        <v>9.0795999999999988E-2</v>
      </c>
      <c r="D562" s="5">
        <v>806.95</v>
      </c>
      <c r="E562" s="1">
        <f>Tabela3[[#This Row],[Força (N)]]/$I$5</f>
        <v>25721571.439955376</v>
      </c>
      <c r="F562" s="1">
        <f>Tabela3[[#This Row],[Tensão (Pa)]]/1000000</f>
        <v>25.721571439955376</v>
      </c>
    </row>
    <row r="563" spans="1:6" x14ac:dyDescent="0.3">
      <c r="A563" s="5">
        <v>54.732999999999997</v>
      </c>
      <c r="B563" s="5">
        <v>4.5537999999999998</v>
      </c>
      <c r="C563" s="1">
        <f>Tabela3[[#This Row],[Alongamento (mm/mm)]]/$I$2</f>
        <v>9.107599999999999E-2</v>
      </c>
      <c r="D563" s="5">
        <v>813.41</v>
      </c>
      <c r="E563" s="1">
        <f>Tabela3[[#This Row],[Força (N)]]/$I$5</f>
        <v>25927484.261694159</v>
      </c>
      <c r="F563" s="1">
        <f>Tabela3[[#This Row],[Tensão (Pa)]]/1000000</f>
        <v>25.927484261694158</v>
      </c>
    </row>
    <row r="564" spans="1:6" x14ac:dyDescent="0.3">
      <c r="A564" s="5">
        <v>54.9</v>
      </c>
      <c r="B564" s="5">
        <v>4.5677000000000003</v>
      </c>
      <c r="C564" s="1">
        <f>Tabela3[[#This Row],[Alongamento (mm/mm)]]/$I$2</f>
        <v>9.1354000000000005E-2</v>
      </c>
      <c r="D564" s="5">
        <v>820.05</v>
      </c>
      <c r="E564" s="1">
        <f>Tabela3[[#This Row],[Força (N)]]/$I$5</f>
        <v>26139134.592397802</v>
      </c>
      <c r="F564" s="1">
        <f>Tabela3[[#This Row],[Tensão (Pa)]]/1000000</f>
        <v>26.139134592397802</v>
      </c>
    </row>
    <row r="565" spans="1:6" x14ac:dyDescent="0.3">
      <c r="A565" s="5">
        <v>55.067</v>
      </c>
      <c r="B565" s="5">
        <v>4.5815000000000001</v>
      </c>
      <c r="C565" s="1">
        <f>Tabela3[[#This Row],[Alongamento (mm/mm)]]/$I$2</f>
        <v>9.1630000000000003E-2</v>
      </c>
      <c r="D565" s="5">
        <v>826.51</v>
      </c>
      <c r="E565" s="1">
        <f>Tabela3[[#This Row],[Força (N)]]/$I$5</f>
        <v>26345047.414136585</v>
      </c>
      <c r="F565" s="1">
        <f>Tabela3[[#This Row],[Tensão (Pa)]]/1000000</f>
        <v>26.345047414136584</v>
      </c>
    </row>
    <row r="566" spans="1:6" x14ac:dyDescent="0.3">
      <c r="A566" s="5">
        <v>55.232999999999997</v>
      </c>
      <c r="B566" s="5">
        <v>4.5955000000000004</v>
      </c>
      <c r="C566" s="1">
        <f>Tabela3[[#This Row],[Alongamento (mm/mm)]]/$I$2</f>
        <v>9.1910000000000006E-2</v>
      </c>
      <c r="D566" s="5">
        <v>832.97</v>
      </c>
      <c r="E566" s="1">
        <f>Tabela3[[#This Row],[Força (N)]]/$I$5</f>
        <v>26550960.235875372</v>
      </c>
      <c r="F566" s="1">
        <f>Tabela3[[#This Row],[Tensão (Pa)]]/1000000</f>
        <v>26.550960235875372</v>
      </c>
    </row>
    <row r="567" spans="1:6" x14ac:dyDescent="0.3">
      <c r="A567" s="5">
        <v>55.4</v>
      </c>
      <c r="B567" s="5">
        <v>4.6093000000000002</v>
      </c>
      <c r="C567" s="1">
        <f>Tabela3[[#This Row],[Alongamento (mm/mm)]]/$I$2</f>
        <v>9.2186000000000004E-2</v>
      </c>
      <c r="D567" s="5">
        <v>839.61</v>
      </c>
      <c r="E567" s="1">
        <f>Tabela3[[#This Row],[Força (N)]]/$I$5</f>
        <v>26762610.566579014</v>
      </c>
      <c r="F567" s="1">
        <f>Tabela3[[#This Row],[Tensão (Pa)]]/1000000</f>
        <v>26.762610566579013</v>
      </c>
    </row>
    <row r="568" spans="1:6" x14ac:dyDescent="0.3">
      <c r="A568" s="5">
        <v>55.567</v>
      </c>
      <c r="B568" s="5">
        <v>4.6231999999999998</v>
      </c>
      <c r="C568" s="1">
        <f>Tabela3[[#This Row],[Alongamento (mm/mm)]]/$I$2</f>
        <v>9.2463999999999991E-2</v>
      </c>
      <c r="D568" s="5">
        <v>846.24</v>
      </c>
      <c r="E568" s="1">
        <f>Tabela3[[#This Row],[Força (N)]]/$I$5</f>
        <v>26973942.146784607</v>
      </c>
      <c r="F568" s="1">
        <f>Tabela3[[#This Row],[Tensão (Pa)]]/1000000</f>
        <v>26.973942146784609</v>
      </c>
    </row>
    <row r="569" spans="1:6" x14ac:dyDescent="0.3">
      <c r="A569" s="5">
        <v>55.732999999999997</v>
      </c>
      <c r="B569" s="5">
        <v>4.6372</v>
      </c>
      <c r="C569" s="1">
        <f>Tabela3[[#This Row],[Alongamento (mm/mm)]]/$I$2</f>
        <v>9.2743999999999993E-2</v>
      </c>
      <c r="D569" s="5">
        <v>852.88</v>
      </c>
      <c r="E569" s="1">
        <f>Tabela3[[#This Row],[Força (N)]]/$I$5</f>
        <v>27185592.477488246</v>
      </c>
      <c r="F569" s="1">
        <f>Tabela3[[#This Row],[Tensão (Pa)]]/1000000</f>
        <v>27.185592477488246</v>
      </c>
    </row>
    <row r="570" spans="1:6" x14ac:dyDescent="0.3">
      <c r="A570" s="5">
        <v>55.9</v>
      </c>
      <c r="B570" s="5">
        <v>4.6509</v>
      </c>
      <c r="C570" s="1">
        <f>Tabela3[[#This Row],[Alongamento (mm/mm)]]/$I$2</f>
        <v>9.3018000000000003E-2</v>
      </c>
      <c r="D570" s="5">
        <v>859.68</v>
      </c>
      <c r="E570" s="1">
        <f>Tabela3[[#This Row],[Força (N)]]/$I$5</f>
        <v>27402342.816160649</v>
      </c>
      <c r="F570" s="1">
        <f>Tabela3[[#This Row],[Tensão (Pa)]]/1000000</f>
        <v>27.402342816160647</v>
      </c>
    </row>
    <row r="571" spans="1:6" x14ac:dyDescent="0.3">
      <c r="A571" s="5">
        <v>56.067</v>
      </c>
      <c r="B571" s="5">
        <v>4.6647999999999996</v>
      </c>
      <c r="C571" s="1">
        <f>Tabela3[[#This Row],[Alongamento (mm/mm)]]/$I$2</f>
        <v>9.329599999999999E-2</v>
      </c>
      <c r="D571" s="5">
        <v>866.48</v>
      </c>
      <c r="E571" s="1">
        <f>Tabela3[[#This Row],[Força (N)]]/$I$5</f>
        <v>27619093.154833056</v>
      </c>
      <c r="F571" s="1">
        <f>Tabela3[[#This Row],[Tensão (Pa)]]/1000000</f>
        <v>27.619093154833056</v>
      </c>
    </row>
    <row r="572" spans="1:6" x14ac:dyDescent="0.3">
      <c r="A572" s="5">
        <v>56.232999999999997</v>
      </c>
      <c r="B572" s="5">
        <v>4.6787999999999998</v>
      </c>
      <c r="C572" s="1">
        <f>Tabela3[[#This Row],[Alongamento (mm/mm)]]/$I$2</f>
        <v>9.3575999999999993E-2</v>
      </c>
      <c r="D572" s="5">
        <v>873.46</v>
      </c>
      <c r="E572" s="1">
        <f>Tabela3[[#This Row],[Força (N)]]/$I$5</f>
        <v>27841581.002470318</v>
      </c>
      <c r="F572" s="1">
        <f>Tabela3[[#This Row],[Tensão (Pa)]]/1000000</f>
        <v>27.841581002470317</v>
      </c>
    </row>
    <row r="573" spans="1:6" x14ac:dyDescent="0.3">
      <c r="A573" s="5">
        <v>56.4</v>
      </c>
      <c r="B573" s="5">
        <v>4.6925999999999997</v>
      </c>
      <c r="C573" s="1">
        <f>Tabela3[[#This Row],[Alongamento (mm/mm)]]/$I$2</f>
        <v>9.3851999999999991E-2</v>
      </c>
      <c r="D573" s="5">
        <v>880.26</v>
      </c>
      <c r="E573" s="1">
        <f>Tabela3[[#This Row],[Força (N)]]/$I$5</f>
        <v>28058331.341142721</v>
      </c>
      <c r="F573" s="1">
        <f>Tabela3[[#This Row],[Tensão (Pa)]]/1000000</f>
        <v>28.058331341142722</v>
      </c>
    </row>
    <row r="574" spans="1:6" x14ac:dyDescent="0.3">
      <c r="A574" s="5">
        <v>56.567</v>
      </c>
      <c r="B574" s="5">
        <v>4.7065999999999999</v>
      </c>
      <c r="C574" s="1">
        <f>Tabela3[[#This Row],[Alongamento (mm/mm)]]/$I$2</f>
        <v>9.4131999999999993E-2</v>
      </c>
      <c r="D574" s="5">
        <v>887.07</v>
      </c>
      <c r="E574" s="1">
        <f>Tabela3[[#This Row],[Força (N)]]/$I$5</f>
        <v>28275400.430313177</v>
      </c>
      <c r="F574" s="1">
        <f>Tabela3[[#This Row],[Tensão (Pa)]]/1000000</f>
        <v>28.275400430313177</v>
      </c>
    </row>
    <row r="575" spans="1:6" x14ac:dyDescent="0.3">
      <c r="A575" s="5">
        <v>56.732999999999997</v>
      </c>
      <c r="B575" s="5">
        <v>4.7205000000000004</v>
      </c>
      <c r="C575" s="1">
        <f>Tabela3[[#This Row],[Alongamento (mm/mm)]]/$I$2</f>
        <v>9.4410000000000008E-2</v>
      </c>
      <c r="D575" s="5">
        <v>893.87</v>
      </c>
      <c r="E575" s="1">
        <f>Tabela3[[#This Row],[Força (N)]]/$I$5</f>
        <v>28492150.768985577</v>
      </c>
      <c r="F575" s="1">
        <f>Tabela3[[#This Row],[Tensão (Pa)]]/1000000</f>
        <v>28.492150768985578</v>
      </c>
    </row>
    <row r="576" spans="1:6" x14ac:dyDescent="0.3">
      <c r="A576" s="5">
        <v>56.9</v>
      </c>
      <c r="B576" s="5">
        <v>4.7343000000000002</v>
      </c>
      <c r="C576" s="1">
        <f>Tabela3[[#This Row],[Alongamento (mm/mm)]]/$I$2</f>
        <v>9.4686000000000006E-2</v>
      </c>
      <c r="D576" s="5">
        <v>901.18</v>
      </c>
      <c r="E576" s="1">
        <f>Tabela3[[#This Row],[Força (N)]]/$I$5</f>
        <v>28725157.38305841</v>
      </c>
      <c r="F576" s="1">
        <f>Tabela3[[#This Row],[Tensão (Pa)]]/1000000</f>
        <v>28.725157383058409</v>
      </c>
    </row>
    <row r="577" spans="1:6" x14ac:dyDescent="0.3">
      <c r="A577" s="5">
        <v>57.067</v>
      </c>
      <c r="B577" s="5">
        <v>4.7481999999999998</v>
      </c>
      <c r="C577" s="1">
        <f>Tabela3[[#This Row],[Alongamento (mm/mm)]]/$I$2</f>
        <v>9.4963999999999993E-2</v>
      </c>
      <c r="D577" s="5">
        <v>908.16</v>
      </c>
      <c r="E577" s="1">
        <f>Tabela3[[#This Row],[Força (N)]]/$I$5</f>
        <v>28947645.230695672</v>
      </c>
      <c r="F577" s="1">
        <f>Tabela3[[#This Row],[Tensão (Pa)]]/1000000</f>
        <v>28.947645230695674</v>
      </c>
    </row>
    <row r="578" spans="1:6" x14ac:dyDescent="0.3">
      <c r="A578" s="5">
        <v>57.232999999999997</v>
      </c>
      <c r="B578" s="5">
        <v>4.7621000000000002</v>
      </c>
      <c r="C578" s="1">
        <f>Tabela3[[#This Row],[Alongamento (mm/mm)]]/$I$2</f>
        <v>9.5242000000000007E-2</v>
      </c>
      <c r="D578" s="5">
        <v>915.3</v>
      </c>
      <c r="E578" s="1">
        <f>Tabela3[[#This Row],[Força (N)]]/$I$5</f>
        <v>29175233.086301699</v>
      </c>
      <c r="F578" s="1">
        <f>Tabela3[[#This Row],[Tensão (Pa)]]/1000000</f>
        <v>29.175233086301699</v>
      </c>
    </row>
    <row r="579" spans="1:6" x14ac:dyDescent="0.3">
      <c r="A579" s="5">
        <v>57.417000000000002</v>
      </c>
      <c r="B579" s="5">
        <v>4.7774000000000001</v>
      </c>
      <c r="C579" s="1">
        <f>Tabela3[[#This Row],[Alongamento (mm/mm)]]/$I$2</f>
        <v>9.5548000000000008E-2</v>
      </c>
      <c r="D579" s="5">
        <v>922.96</v>
      </c>
      <c r="E579" s="1">
        <f>Tabela3[[#This Row],[Força (N)]]/$I$5</f>
        <v>29419395.967806201</v>
      </c>
      <c r="F579" s="1">
        <f>Tabela3[[#This Row],[Tensão (Pa)]]/1000000</f>
        <v>29.419395967806203</v>
      </c>
    </row>
    <row r="580" spans="1:6" x14ac:dyDescent="0.3">
      <c r="A580" s="5">
        <v>57.582999999999998</v>
      </c>
      <c r="B580" s="5">
        <v>4.7912999999999997</v>
      </c>
      <c r="C580" s="1">
        <f>Tabela3[[#This Row],[Alongamento (mm/mm)]]/$I$2</f>
        <v>9.5825999999999995E-2</v>
      </c>
      <c r="D580" s="5">
        <v>930.1</v>
      </c>
      <c r="E580" s="1">
        <f>Tabela3[[#This Row],[Força (N)]]/$I$5</f>
        <v>29646983.823412225</v>
      </c>
      <c r="F580" s="1">
        <f>Tabela3[[#This Row],[Tensão (Pa)]]/1000000</f>
        <v>29.646983823412224</v>
      </c>
    </row>
    <row r="581" spans="1:6" x14ac:dyDescent="0.3">
      <c r="A581" s="5">
        <v>57.75</v>
      </c>
      <c r="B581" s="5">
        <v>4.8051000000000004</v>
      </c>
      <c r="C581" s="1">
        <f>Tabela3[[#This Row],[Alongamento (mm/mm)]]/$I$2</f>
        <v>9.6102000000000007E-2</v>
      </c>
      <c r="D581" s="5">
        <v>937.24</v>
      </c>
      <c r="E581" s="1">
        <f>Tabela3[[#This Row],[Força (N)]]/$I$5</f>
        <v>29874571.679018252</v>
      </c>
      <c r="F581" s="1">
        <f>Tabela3[[#This Row],[Tensão (Pa)]]/1000000</f>
        <v>29.874571679018253</v>
      </c>
    </row>
    <row r="582" spans="1:6" x14ac:dyDescent="0.3">
      <c r="A582" s="5">
        <v>57.933</v>
      </c>
      <c r="B582" s="5">
        <v>4.8202999999999996</v>
      </c>
      <c r="C582" s="1">
        <f>Tabela3[[#This Row],[Alongamento (mm/mm)]]/$I$2</f>
        <v>9.6405999999999992E-2</v>
      </c>
      <c r="D582" s="5">
        <v>944.9</v>
      </c>
      <c r="E582" s="1">
        <f>Tabela3[[#This Row],[Força (N)]]/$I$5</f>
        <v>30118734.56052275</v>
      </c>
      <c r="F582" s="1">
        <f>Tabela3[[#This Row],[Tensão (Pa)]]/1000000</f>
        <v>30.11873456052275</v>
      </c>
    </row>
    <row r="583" spans="1:6" x14ac:dyDescent="0.3">
      <c r="A583" s="5">
        <v>58.1</v>
      </c>
      <c r="B583" s="5">
        <v>4.8342999999999998</v>
      </c>
      <c r="C583" s="1">
        <f>Tabela3[[#This Row],[Alongamento (mm/mm)]]/$I$2</f>
        <v>9.6685999999999994E-2</v>
      </c>
      <c r="D583" s="5">
        <v>952.04</v>
      </c>
      <c r="E583" s="1">
        <f>Tabela3[[#This Row],[Força (N)]]/$I$5</f>
        <v>30346322.416128777</v>
      </c>
      <c r="F583" s="1">
        <f>Tabela3[[#This Row],[Tensão (Pa)]]/1000000</f>
        <v>30.346322416128778</v>
      </c>
    </row>
    <row r="584" spans="1:6" x14ac:dyDescent="0.3">
      <c r="A584" s="5">
        <v>58.283000000000001</v>
      </c>
      <c r="B584" s="5">
        <v>4.8495999999999997</v>
      </c>
      <c r="C584" s="1">
        <f>Tabela3[[#This Row],[Alongamento (mm/mm)]]/$I$2</f>
        <v>9.6991999999999995E-2</v>
      </c>
      <c r="D584" s="5">
        <v>959.87</v>
      </c>
      <c r="E584" s="1">
        <f>Tabela3[[#This Row],[Força (N)]]/$I$5</f>
        <v>30595904.056100089</v>
      </c>
      <c r="F584" s="1">
        <f>Tabela3[[#This Row],[Tensão (Pa)]]/1000000</f>
        <v>30.595904056100089</v>
      </c>
    </row>
    <row r="585" spans="1:6" x14ac:dyDescent="0.3">
      <c r="A585" s="5">
        <v>58.466999999999999</v>
      </c>
      <c r="B585" s="5">
        <v>4.8648999999999996</v>
      </c>
      <c r="C585" s="1">
        <f>Tabela3[[#This Row],[Alongamento (mm/mm)]]/$I$2</f>
        <v>9.7297999999999996E-2</v>
      </c>
      <c r="D585" s="5">
        <v>967.52</v>
      </c>
      <c r="E585" s="1">
        <f>Tabela3[[#This Row],[Força (N)]]/$I$5</f>
        <v>30839748.187106542</v>
      </c>
      <c r="F585" s="1">
        <f>Tabela3[[#This Row],[Tensão (Pa)]]/1000000</f>
        <v>30.839748187106544</v>
      </c>
    </row>
    <row r="586" spans="1:6" x14ac:dyDescent="0.3">
      <c r="A586" s="5">
        <v>58.65</v>
      </c>
      <c r="B586" s="5">
        <v>4.8800999999999997</v>
      </c>
      <c r="C586" s="1">
        <f>Tabela3[[#This Row],[Alongamento (mm/mm)]]/$I$2</f>
        <v>9.7601999999999994E-2</v>
      </c>
      <c r="D586" s="5">
        <v>975.35</v>
      </c>
      <c r="E586" s="1">
        <f>Tabela3[[#This Row],[Força (N)]]/$I$5</f>
        <v>31089329.827077858</v>
      </c>
      <c r="F586" s="1">
        <f>Tabela3[[#This Row],[Tensão (Pa)]]/1000000</f>
        <v>31.089329827077858</v>
      </c>
    </row>
    <row r="587" spans="1:6" x14ac:dyDescent="0.3">
      <c r="A587" s="5">
        <v>58.832999999999998</v>
      </c>
      <c r="B587" s="5">
        <v>4.8955000000000002</v>
      </c>
      <c r="C587" s="1">
        <f>Tabela3[[#This Row],[Alongamento (mm/mm)]]/$I$2</f>
        <v>9.7909999999999997E-2</v>
      </c>
      <c r="D587" s="5">
        <v>983</v>
      </c>
      <c r="E587" s="1">
        <f>Tabela3[[#This Row],[Força (N)]]/$I$5</f>
        <v>31333173.958084311</v>
      </c>
      <c r="F587" s="1">
        <f>Tabela3[[#This Row],[Tensão (Pa)]]/1000000</f>
        <v>31.333173958084313</v>
      </c>
    </row>
    <row r="588" spans="1:6" x14ac:dyDescent="0.3">
      <c r="A588" s="5">
        <v>59.017000000000003</v>
      </c>
      <c r="B588" s="5">
        <v>4.9107000000000003</v>
      </c>
      <c r="C588" s="1">
        <f>Tabela3[[#This Row],[Alongamento (mm/mm)]]/$I$2</f>
        <v>9.821400000000001E-2</v>
      </c>
      <c r="D588" s="5">
        <v>990.83</v>
      </c>
      <c r="E588" s="1">
        <f>Tabela3[[#This Row],[Força (N)]]/$I$5</f>
        <v>31582755.598055623</v>
      </c>
      <c r="F588" s="1">
        <f>Tabela3[[#This Row],[Tensão (Pa)]]/1000000</f>
        <v>31.582755598055623</v>
      </c>
    </row>
    <row r="589" spans="1:6" x14ac:dyDescent="0.3">
      <c r="A589" s="5">
        <v>59.2</v>
      </c>
      <c r="B589" s="5">
        <v>4.9260000000000002</v>
      </c>
      <c r="C589" s="1">
        <f>Tabela3[[#This Row],[Alongamento (mm/mm)]]/$I$2</f>
        <v>9.8519999999999996E-2</v>
      </c>
      <c r="D589" s="5">
        <v>998.48</v>
      </c>
      <c r="E589" s="1">
        <f>Tabela3[[#This Row],[Força (N)]]/$I$5</f>
        <v>31826599.72906208</v>
      </c>
      <c r="F589" s="1">
        <f>Tabela3[[#This Row],[Tensão (Pa)]]/1000000</f>
        <v>31.826599729062082</v>
      </c>
    </row>
    <row r="590" spans="1:6" x14ac:dyDescent="0.3">
      <c r="A590" s="5">
        <v>59.383000000000003</v>
      </c>
      <c r="B590" s="5">
        <v>4.9413</v>
      </c>
      <c r="C590" s="1">
        <f>Tabela3[[#This Row],[Alongamento (mm/mm)]]/$I$2</f>
        <v>9.8825999999999997E-2</v>
      </c>
      <c r="D590" s="5">
        <v>1006.3</v>
      </c>
      <c r="E590" s="1">
        <f>Tabela3[[#This Row],[Força (N)]]/$I$5</f>
        <v>32075862.618535344</v>
      </c>
      <c r="F590" s="1">
        <f>Tabela3[[#This Row],[Tensão (Pa)]]/1000000</f>
        <v>32.075862618535346</v>
      </c>
    </row>
    <row r="591" spans="1:6" x14ac:dyDescent="0.3">
      <c r="A591" s="5">
        <v>59.567</v>
      </c>
      <c r="B591" s="5">
        <v>4.9565000000000001</v>
      </c>
      <c r="C591" s="1">
        <f>Tabela3[[#This Row],[Alongamento (mm/mm)]]/$I$2</f>
        <v>9.9129999999999996E-2</v>
      </c>
      <c r="D591" s="5">
        <v>1014.1</v>
      </c>
      <c r="E591" s="1">
        <f>Tabela3[[#This Row],[Força (N)]]/$I$5</f>
        <v>32324488.007012513</v>
      </c>
      <c r="F591" s="1">
        <f>Tabela3[[#This Row],[Tensão (Pa)]]/1000000</f>
        <v>32.324488007012512</v>
      </c>
    </row>
    <row r="592" spans="1:6" x14ac:dyDescent="0.3">
      <c r="A592" s="5">
        <v>59.767000000000003</v>
      </c>
      <c r="B592" s="5">
        <v>4.9732000000000003</v>
      </c>
      <c r="C592" s="1">
        <f>Tabela3[[#This Row],[Alongamento (mm/mm)]]/$I$2</f>
        <v>9.9464000000000011E-2</v>
      </c>
      <c r="D592" s="5">
        <v>1022.5</v>
      </c>
      <c r="E592" s="1">
        <f>Tabela3[[#This Row],[Força (N)]]/$I$5</f>
        <v>32592238.425372541</v>
      </c>
      <c r="F592" s="1">
        <f>Tabela3[[#This Row],[Tensão (Pa)]]/1000000</f>
        <v>32.592238425372543</v>
      </c>
    </row>
    <row r="593" spans="1:6" x14ac:dyDescent="0.3">
      <c r="A593" s="5">
        <v>59.95</v>
      </c>
      <c r="B593" s="5">
        <v>4.9885999999999999</v>
      </c>
      <c r="C593" s="1">
        <f>Tabela3[[#This Row],[Alongamento (mm/mm)]]/$I$2</f>
        <v>9.9772E-2</v>
      </c>
      <c r="D593" s="5">
        <v>1030.3</v>
      </c>
      <c r="E593" s="1">
        <f>Tabela3[[#This Row],[Força (N)]]/$I$5</f>
        <v>32840863.81384971</v>
      </c>
      <c r="F593" s="1">
        <f>Tabela3[[#This Row],[Tensão (Pa)]]/1000000</f>
        <v>32.840863813849708</v>
      </c>
    </row>
    <row r="594" spans="1:6" x14ac:dyDescent="0.3">
      <c r="A594" s="5">
        <v>60.15</v>
      </c>
      <c r="B594" s="5">
        <v>5.0050999999999997</v>
      </c>
      <c r="C594" s="1">
        <f>Tabela3[[#This Row],[Alongamento (mm/mm)]]/$I$2</f>
        <v>0.100102</v>
      </c>
      <c r="D594" s="5">
        <v>1038.5999999999999</v>
      </c>
      <c r="E594" s="1">
        <f>Tabela3[[#This Row],[Força (N)]]/$I$5</f>
        <v>33105426.72722926</v>
      </c>
      <c r="F594" s="1">
        <f>Tabela3[[#This Row],[Tensão (Pa)]]/1000000</f>
        <v>33.105426727229258</v>
      </c>
    </row>
    <row r="595" spans="1:6" x14ac:dyDescent="0.3">
      <c r="A595" s="5">
        <v>60.332999999999998</v>
      </c>
      <c r="B595" s="5">
        <v>5.0204000000000004</v>
      </c>
      <c r="C595" s="1">
        <f>Tabela3[[#This Row],[Alongamento (mm/mm)]]/$I$2</f>
        <v>0.10040800000000001</v>
      </c>
      <c r="D595" s="5">
        <v>1046.4000000000001</v>
      </c>
      <c r="E595" s="1">
        <f>Tabela3[[#This Row],[Força (N)]]/$I$5</f>
        <v>33354052.115706436</v>
      </c>
      <c r="F595" s="1">
        <f>Tabela3[[#This Row],[Tensão (Pa)]]/1000000</f>
        <v>33.354052115706438</v>
      </c>
    </row>
    <row r="596" spans="1:6" x14ac:dyDescent="0.3">
      <c r="A596" s="5">
        <v>60.533000000000001</v>
      </c>
      <c r="B596" s="5">
        <v>5.0369999999999999</v>
      </c>
      <c r="C596" s="1">
        <f>Tabela3[[#This Row],[Alongamento (mm/mm)]]/$I$2</f>
        <v>0.10074</v>
      </c>
      <c r="D596" s="5">
        <v>1055</v>
      </c>
      <c r="E596" s="1">
        <f>Tabela3[[#This Row],[Força (N)]]/$I$5</f>
        <v>33628177.544027418</v>
      </c>
      <c r="F596" s="1">
        <f>Tabela3[[#This Row],[Tensão (Pa)]]/1000000</f>
        <v>33.628177544027416</v>
      </c>
    </row>
    <row r="597" spans="1:6" x14ac:dyDescent="0.3">
      <c r="A597" s="5">
        <v>60.732999999999997</v>
      </c>
      <c r="B597" s="5">
        <v>5.0537000000000001</v>
      </c>
      <c r="C597" s="1">
        <f>Tabela3[[#This Row],[Alongamento (mm/mm)]]/$I$2</f>
        <v>0.101074</v>
      </c>
      <c r="D597" s="5">
        <v>1063.5</v>
      </c>
      <c r="E597" s="1">
        <f>Tabela3[[#This Row],[Força (N)]]/$I$5</f>
        <v>33899115.467367917</v>
      </c>
      <c r="F597" s="1">
        <f>Tabela3[[#This Row],[Tensão (Pa)]]/1000000</f>
        <v>33.89911546736792</v>
      </c>
    </row>
    <row r="598" spans="1:6" x14ac:dyDescent="0.3">
      <c r="A598" s="5">
        <v>60.933</v>
      </c>
      <c r="B598" s="5">
        <v>5.0705</v>
      </c>
      <c r="C598" s="1">
        <f>Tabela3[[#This Row],[Alongamento (mm/mm)]]/$I$2</f>
        <v>0.10141</v>
      </c>
      <c r="D598" s="5">
        <v>1072</v>
      </c>
      <c r="E598" s="1">
        <f>Tabela3[[#This Row],[Força (N)]]/$I$5</f>
        <v>34170053.390708424</v>
      </c>
      <c r="F598" s="1">
        <f>Tabela3[[#This Row],[Tensão (Pa)]]/1000000</f>
        <v>34.170053390708425</v>
      </c>
    </row>
    <row r="599" spans="1:6" x14ac:dyDescent="0.3">
      <c r="A599" s="5">
        <v>61.133000000000003</v>
      </c>
      <c r="B599" s="5">
        <v>5.0871000000000004</v>
      </c>
      <c r="C599" s="1">
        <f>Tabela3[[#This Row],[Alongamento (mm/mm)]]/$I$2</f>
        <v>0.10174200000000001</v>
      </c>
      <c r="D599" s="5">
        <v>1080.3</v>
      </c>
      <c r="E599" s="1">
        <f>Tabela3[[#This Row],[Força (N)]]/$I$5</f>
        <v>34434616.304087974</v>
      </c>
      <c r="F599" s="1">
        <f>Tabela3[[#This Row],[Tensão (Pa)]]/1000000</f>
        <v>34.434616304087974</v>
      </c>
    </row>
    <row r="600" spans="1:6" x14ac:dyDescent="0.3">
      <c r="A600" s="5">
        <v>61.332999999999998</v>
      </c>
      <c r="B600" s="5">
        <v>5.1037999999999997</v>
      </c>
      <c r="C600" s="1">
        <f>Tabela3[[#This Row],[Alongamento (mm/mm)]]/$I$2</f>
        <v>0.102076</v>
      </c>
      <c r="D600" s="5">
        <v>1088.5999999999999</v>
      </c>
      <c r="E600" s="1">
        <f>Tabela3[[#This Row],[Força (N)]]/$I$5</f>
        <v>34699179.217467524</v>
      </c>
      <c r="F600" s="1">
        <f>Tabela3[[#This Row],[Tensão (Pa)]]/1000000</f>
        <v>34.699179217467524</v>
      </c>
    </row>
    <row r="601" spans="1:6" x14ac:dyDescent="0.3">
      <c r="A601" s="5">
        <v>61.55</v>
      </c>
      <c r="B601" s="5">
        <v>5.1218000000000004</v>
      </c>
      <c r="C601" s="1">
        <f>Tabela3[[#This Row],[Alongamento (mm/mm)]]/$I$2</f>
        <v>0.10243600000000001</v>
      </c>
      <c r="D601" s="5">
        <v>1097.5999999999999</v>
      </c>
      <c r="E601" s="1">
        <f>Tabela3[[#This Row],[Força (N)]]/$I$5</f>
        <v>34986054.665710412</v>
      </c>
      <c r="F601" s="1">
        <f>Tabela3[[#This Row],[Tensão (Pa)]]/1000000</f>
        <v>34.986054665710412</v>
      </c>
    </row>
    <row r="602" spans="1:6" x14ac:dyDescent="0.3">
      <c r="A602" s="5">
        <v>61.75</v>
      </c>
      <c r="B602" s="5">
        <v>5.1384999999999996</v>
      </c>
      <c r="C602" s="1">
        <f>Tabela3[[#This Row],[Alongamento (mm/mm)]]/$I$2</f>
        <v>0.10276999999999999</v>
      </c>
      <c r="D602" s="5">
        <v>1106.2</v>
      </c>
      <c r="E602" s="1">
        <f>Tabela3[[#This Row],[Força (N)]]/$I$5</f>
        <v>35260180.094031401</v>
      </c>
      <c r="F602" s="1">
        <f>Tabela3[[#This Row],[Tensão (Pa)]]/1000000</f>
        <v>35.260180094031398</v>
      </c>
    </row>
    <row r="603" spans="1:6" x14ac:dyDescent="0.3">
      <c r="A603" s="5">
        <v>61.95</v>
      </c>
      <c r="B603" s="5">
        <v>5.1551</v>
      </c>
      <c r="C603" s="1">
        <f>Tabela3[[#This Row],[Alongamento (mm/mm)]]/$I$2</f>
        <v>0.103102</v>
      </c>
      <c r="D603" s="5">
        <v>1114.8</v>
      </c>
      <c r="E603" s="1">
        <f>Tabela3[[#This Row],[Força (N)]]/$I$5</f>
        <v>35534305.522352383</v>
      </c>
      <c r="F603" s="1">
        <f>Tabela3[[#This Row],[Tensão (Pa)]]/1000000</f>
        <v>35.534305522352383</v>
      </c>
    </row>
    <row r="604" spans="1:6" x14ac:dyDescent="0.3">
      <c r="A604" s="5">
        <v>62.15</v>
      </c>
      <c r="B604" s="5">
        <v>5.1718000000000002</v>
      </c>
      <c r="C604" s="1">
        <f>Tabela3[[#This Row],[Alongamento (mm/mm)]]/$I$2</f>
        <v>0.103436</v>
      </c>
      <c r="D604" s="5">
        <v>1123.3</v>
      </c>
      <c r="E604" s="1">
        <f>Tabela3[[#This Row],[Força (N)]]/$I$5</f>
        <v>35805243.445692882</v>
      </c>
      <c r="F604" s="1">
        <f>Tabela3[[#This Row],[Tensão (Pa)]]/1000000</f>
        <v>35.805243445692881</v>
      </c>
    </row>
    <row r="605" spans="1:6" x14ac:dyDescent="0.3">
      <c r="A605" s="5">
        <v>62.35</v>
      </c>
      <c r="B605" s="5">
        <v>5.1883999999999997</v>
      </c>
      <c r="C605" s="1">
        <f>Tabela3[[#This Row],[Alongamento (mm/mm)]]/$I$2</f>
        <v>0.103768</v>
      </c>
      <c r="D605" s="5">
        <v>1132</v>
      </c>
      <c r="E605" s="1">
        <f>Tabela3[[#This Row],[Força (N)]]/$I$5</f>
        <v>36082556.378994346</v>
      </c>
      <c r="F605" s="1">
        <f>Tabela3[[#This Row],[Tensão (Pa)]]/1000000</f>
        <v>36.082556378994347</v>
      </c>
    </row>
    <row r="606" spans="1:6" x14ac:dyDescent="0.3">
      <c r="A606" s="5">
        <v>62.55</v>
      </c>
      <c r="B606" s="5">
        <v>5.2051999999999996</v>
      </c>
      <c r="C606" s="1">
        <f>Tabela3[[#This Row],[Alongamento (mm/mm)]]/$I$2</f>
        <v>0.10410399999999999</v>
      </c>
      <c r="D606" s="5">
        <v>1140.5</v>
      </c>
      <c r="E606" s="1">
        <f>Tabela3[[#This Row],[Força (N)]]/$I$5</f>
        <v>36353494.302334853</v>
      </c>
      <c r="F606" s="1">
        <f>Tabela3[[#This Row],[Tensão (Pa)]]/1000000</f>
        <v>36.353494302334852</v>
      </c>
    </row>
    <row r="607" spans="1:6" x14ac:dyDescent="0.3">
      <c r="A607" s="5">
        <v>62.767000000000003</v>
      </c>
      <c r="B607" s="5">
        <v>5.2232000000000003</v>
      </c>
      <c r="C607" s="1">
        <f>Tabela3[[#This Row],[Alongamento (mm/mm)]]/$I$2</f>
        <v>0.104464</v>
      </c>
      <c r="D607" s="5">
        <v>1149.9000000000001</v>
      </c>
      <c r="E607" s="1">
        <f>Tabela3[[#This Row],[Força (N)]]/$I$5</f>
        <v>36653119.770499647</v>
      </c>
      <c r="F607" s="1">
        <f>Tabela3[[#This Row],[Tensão (Pa)]]/1000000</f>
        <v>36.65311977049965</v>
      </c>
    </row>
    <row r="608" spans="1:6" x14ac:dyDescent="0.3">
      <c r="A608" s="5">
        <v>62.982999999999997</v>
      </c>
      <c r="B608" s="5">
        <v>5.2412999999999998</v>
      </c>
      <c r="C608" s="1">
        <f>Tabela3[[#This Row],[Alongamento (mm/mm)]]/$I$2</f>
        <v>0.104826</v>
      </c>
      <c r="D608" s="5">
        <v>1159.4000000000001</v>
      </c>
      <c r="E608" s="1">
        <f>Tabela3[[#This Row],[Força (N)]]/$I$5</f>
        <v>36955932.743644916</v>
      </c>
      <c r="F608" s="1">
        <f>Tabela3[[#This Row],[Tensão (Pa)]]/1000000</f>
        <v>36.955932743644915</v>
      </c>
    </row>
    <row r="609" spans="1:6" x14ac:dyDescent="0.3">
      <c r="A609" s="5">
        <v>63.2</v>
      </c>
      <c r="B609" s="5">
        <v>5.2594000000000003</v>
      </c>
      <c r="C609" s="1">
        <f>Tabela3[[#This Row],[Alongamento (mm/mm)]]/$I$2</f>
        <v>0.105188</v>
      </c>
      <c r="D609" s="5">
        <v>1168.9000000000001</v>
      </c>
      <c r="E609" s="1">
        <f>Tabela3[[#This Row],[Força (N)]]/$I$5</f>
        <v>37258745.716790184</v>
      </c>
      <c r="F609" s="1">
        <f>Tabela3[[#This Row],[Tensão (Pa)]]/1000000</f>
        <v>37.258745716790187</v>
      </c>
    </row>
    <row r="610" spans="1:6" x14ac:dyDescent="0.3">
      <c r="A610" s="5">
        <v>63.417000000000002</v>
      </c>
      <c r="B610" s="5">
        <v>5.2773000000000003</v>
      </c>
      <c r="C610" s="1">
        <f>Tabela3[[#This Row],[Alongamento (mm/mm)]]/$I$2</f>
        <v>0.105546</v>
      </c>
      <c r="D610" s="5">
        <v>1178.4000000000001</v>
      </c>
      <c r="E610" s="1">
        <f>Tabela3[[#This Row],[Força (N)]]/$I$5</f>
        <v>37561558.689935461</v>
      </c>
      <c r="F610" s="1">
        <f>Tabela3[[#This Row],[Tensão (Pa)]]/1000000</f>
        <v>37.56155868993546</v>
      </c>
    </row>
    <row r="611" spans="1:6" x14ac:dyDescent="0.3">
      <c r="A611" s="5">
        <v>63.633000000000003</v>
      </c>
      <c r="B611" s="5">
        <v>5.2953999999999999</v>
      </c>
      <c r="C611" s="1">
        <f>Tabela3[[#This Row],[Alongamento (mm/mm)]]/$I$2</f>
        <v>0.105908</v>
      </c>
      <c r="D611" s="5">
        <v>1188</v>
      </c>
      <c r="E611" s="1">
        <f>Tabela3[[#This Row],[Força (N)]]/$I$5</f>
        <v>37867559.168061204</v>
      </c>
      <c r="F611" s="1">
        <f>Tabela3[[#This Row],[Tensão (Pa)]]/1000000</f>
        <v>37.867559168061206</v>
      </c>
    </row>
    <row r="612" spans="1:6" x14ac:dyDescent="0.3">
      <c r="A612" s="5">
        <v>63.85</v>
      </c>
      <c r="B612" s="5">
        <v>5.3135000000000003</v>
      </c>
      <c r="C612" s="1">
        <f>Tabela3[[#This Row],[Alongamento (mm/mm)]]/$I$2</f>
        <v>0.10627</v>
      </c>
      <c r="D612" s="5">
        <v>1197.7</v>
      </c>
      <c r="E612" s="1">
        <f>Tabela3[[#This Row],[Força (N)]]/$I$5</f>
        <v>38176747.15116743</v>
      </c>
      <c r="F612" s="1">
        <f>Tabela3[[#This Row],[Tensão (Pa)]]/1000000</f>
        <v>38.176747151167433</v>
      </c>
    </row>
    <row r="613" spans="1:6" x14ac:dyDescent="0.3">
      <c r="A613" s="5">
        <v>64.066999999999993</v>
      </c>
      <c r="B613" s="5">
        <v>5.3315000000000001</v>
      </c>
      <c r="C613" s="1">
        <f>Tabela3[[#This Row],[Alongamento (mm/mm)]]/$I$2</f>
        <v>0.10663</v>
      </c>
      <c r="D613" s="5">
        <v>1207.4000000000001</v>
      </c>
      <c r="E613" s="1">
        <f>Tabela3[[#This Row],[Força (N)]]/$I$5</f>
        <v>38485935.134273656</v>
      </c>
      <c r="F613" s="1">
        <f>Tabela3[[#This Row],[Tensão (Pa)]]/1000000</f>
        <v>38.485935134273653</v>
      </c>
    </row>
    <row r="614" spans="1:6" x14ac:dyDescent="0.3">
      <c r="A614" s="5">
        <v>64.283000000000001</v>
      </c>
      <c r="B614" s="5">
        <v>5.3495999999999997</v>
      </c>
      <c r="C614" s="1">
        <f>Tabela3[[#This Row],[Alongamento (mm/mm)]]/$I$2</f>
        <v>0.10699199999999999</v>
      </c>
      <c r="D614" s="5">
        <v>1216.9000000000001</v>
      </c>
      <c r="E614" s="1">
        <f>Tabela3[[#This Row],[Força (N)]]/$I$5</f>
        <v>38788748.107418925</v>
      </c>
      <c r="F614" s="1">
        <f>Tabela3[[#This Row],[Tensão (Pa)]]/1000000</f>
        <v>38.788748107418925</v>
      </c>
    </row>
    <row r="615" spans="1:6" x14ac:dyDescent="0.3">
      <c r="A615" s="5">
        <v>64.5</v>
      </c>
      <c r="B615" s="5">
        <v>5.3676000000000004</v>
      </c>
      <c r="C615" s="1">
        <f>Tabela3[[#This Row],[Alongamento (mm/mm)]]/$I$2</f>
        <v>0.107352</v>
      </c>
      <c r="D615" s="5">
        <v>1226.2</v>
      </c>
      <c r="E615" s="1">
        <f>Tabela3[[#This Row],[Força (N)]]/$I$5</f>
        <v>39085186.070603237</v>
      </c>
      <c r="F615" s="1">
        <f>Tabela3[[#This Row],[Tensão (Pa)]]/1000000</f>
        <v>39.085186070603235</v>
      </c>
    </row>
    <row r="616" spans="1:6" x14ac:dyDescent="0.3">
      <c r="A616" s="5">
        <v>64.733000000000004</v>
      </c>
      <c r="B616" s="5">
        <v>5.3871000000000002</v>
      </c>
      <c r="C616" s="1">
        <f>Tabela3[[#This Row],[Alongamento (mm/mm)]]/$I$2</f>
        <v>0.107742</v>
      </c>
      <c r="D616" s="5">
        <v>1236.3</v>
      </c>
      <c r="E616" s="1">
        <f>Tabela3[[#This Row],[Força (N)]]/$I$5</f>
        <v>39407124.073631369</v>
      </c>
      <c r="F616" s="1">
        <f>Tabela3[[#This Row],[Tensão (Pa)]]/1000000</f>
        <v>39.407124073631365</v>
      </c>
    </row>
    <row r="617" spans="1:6" x14ac:dyDescent="0.3">
      <c r="A617" s="5">
        <v>64.966999999999999</v>
      </c>
      <c r="B617" s="5">
        <v>5.4066000000000001</v>
      </c>
      <c r="C617" s="1">
        <f>Tabela3[[#This Row],[Alongamento (mm/mm)]]/$I$2</f>
        <v>0.10813200000000001</v>
      </c>
      <c r="D617" s="5">
        <v>1246.0999999999999</v>
      </c>
      <c r="E617" s="1">
        <f>Tabela3[[#This Row],[Força (N)]]/$I$5</f>
        <v>39719499.561718062</v>
      </c>
      <c r="F617" s="1">
        <f>Tabela3[[#This Row],[Tensão (Pa)]]/1000000</f>
        <v>39.71949956171806</v>
      </c>
    </row>
    <row r="618" spans="1:6" x14ac:dyDescent="0.3">
      <c r="A618" s="5">
        <v>65.2</v>
      </c>
      <c r="B618" s="5">
        <v>5.4259000000000004</v>
      </c>
      <c r="C618" s="1">
        <f>Tabela3[[#This Row],[Alongamento (mm/mm)]]/$I$2</f>
        <v>0.108518</v>
      </c>
      <c r="D618" s="5">
        <v>1256.2</v>
      </c>
      <c r="E618" s="1">
        <f>Tabela3[[#This Row],[Força (N)]]/$I$5</f>
        <v>40041437.564746201</v>
      </c>
      <c r="F618" s="1">
        <f>Tabela3[[#This Row],[Tensão (Pa)]]/1000000</f>
        <v>40.041437564746204</v>
      </c>
    </row>
    <row r="619" spans="1:6" x14ac:dyDescent="0.3">
      <c r="A619" s="5">
        <v>65.433000000000007</v>
      </c>
      <c r="B619" s="5">
        <v>5.4455</v>
      </c>
      <c r="C619" s="1">
        <f>Tabela3[[#This Row],[Alongamento (mm/mm)]]/$I$2</f>
        <v>0.10891000000000001</v>
      </c>
      <c r="D619" s="5">
        <v>1266</v>
      </c>
      <c r="E619" s="1">
        <f>Tabela3[[#This Row],[Força (N)]]/$I$5</f>
        <v>40353813.052832894</v>
      </c>
      <c r="F619" s="1">
        <f>Tabela3[[#This Row],[Tensão (Pa)]]/1000000</f>
        <v>40.353813052832891</v>
      </c>
    </row>
    <row r="620" spans="1:6" x14ac:dyDescent="0.3">
      <c r="A620" s="5">
        <v>65.667000000000002</v>
      </c>
      <c r="B620" s="5">
        <v>5.4648000000000003</v>
      </c>
      <c r="C620" s="1">
        <f>Tabela3[[#This Row],[Alongamento (mm/mm)]]/$I$2</f>
        <v>0.109296</v>
      </c>
      <c r="D620" s="5">
        <v>1276.0999999999999</v>
      </c>
      <c r="E620" s="1">
        <f>Tabela3[[#This Row],[Força (N)]]/$I$5</f>
        <v>40675751.055861026</v>
      </c>
      <c r="F620" s="1">
        <f>Tabela3[[#This Row],[Tensão (Pa)]]/1000000</f>
        <v>40.675751055861028</v>
      </c>
    </row>
    <row r="621" spans="1:6" x14ac:dyDescent="0.3">
      <c r="A621" s="5">
        <v>65.900000000000006</v>
      </c>
      <c r="B621" s="5">
        <v>5.4843999999999999</v>
      </c>
      <c r="C621" s="1">
        <f>Tabela3[[#This Row],[Alongamento (mm/mm)]]/$I$2</f>
        <v>0.10968799999999999</v>
      </c>
      <c r="D621" s="5">
        <v>1286.0999999999999</v>
      </c>
      <c r="E621" s="1">
        <f>Tabela3[[#This Row],[Força (N)]]/$I$5</f>
        <v>40994501.553908676</v>
      </c>
      <c r="F621" s="1">
        <f>Tabela3[[#This Row],[Tensão (Pa)]]/1000000</f>
        <v>40.994501553908677</v>
      </c>
    </row>
    <row r="622" spans="1:6" x14ac:dyDescent="0.3">
      <c r="A622" s="5">
        <v>66.132999999999996</v>
      </c>
      <c r="B622" s="5">
        <v>5.5037000000000003</v>
      </c>
      <c r="C622" s="1">
        <f>Tabela3[[#This Row],[Alongamento (mm/mm)]]/$I$2</f>
        <v>0.11007400000000001</v>
      </c>
      <c r="D622" s="5">
        <v>1296.2</v>
      </c>
      <c r="E622" s="1">
        <f>Tabela3[[#This Row],[Força (N)]]/$I$5</f>
        <v>41316439.556936808</v>
      </c>
      <c r="F622" s="1">
        <f>Tabela3[[#This Row],[Tensão (Pa)]]/1000000</f>
        <v>41.316439556936807</v>
      </c>
    </row>
    <row r="623" spans="1:6" x14ac:dyDescent="0.3">
      <c r="A623" s="5">
        <v>66.367000000000004</v>
      </c>
      <c r="B623" s="5">
        <v>5.5232000000000001</v>
      </c>
      <c r="C623" s="1">
        <f>Tabela3[[#This Row],[Alongamento (mm/mm)]]/$I$2</f>
        <v>0.11046400000000001</v>
      </c>
      <c r="D623" s="5">
        <v>1306.2</v>
      </c>
      <c r="E623" s="1">
        <f>Tabela3[[#This Row],[Força (N)]]/$I$5</f>
        <v>41635190.054984465</v>
      </c>
      <c r="F623" s="1">
        <f>Tabela3[[#This Row],[Tensão (Pa)]]/1000000</f>
        <v>41.635190054984463</v>
      </c>
    </row>
    <row r="624" spans="1:6" x14ac:dyDescent="0.3">
      <c r="A624" s="5">
        <v>66.599999999999994</v>
      </c>
      <c r="B624" s="5">
        <v>5.5426000000000002</v>
      </c>
      <c r="C624" s="1">
        <f>Tabela3[[#This Row],[Alongamento (mm/mm)]]/$I$2</f>
        <v>0.11085200000000001</v>
      </c>
      <c r="D624" s="5">
        <v>1316.2</v>
      </c>
      <c r="E624" s="1">
        <f>Tabela3[[#This Row],[Força (N)]]/$I$5</f>
        <v>41953940.553032115</v>
      </c>
      <c r="F624" s="1">
        <f>Tabela3[[#This Row],[Tensão (Pa)]]/1000000</f>
        <v>41.953940553032112</v>
      </c>
    </row>
    <row r="625" spans="1:6" x14ac:dyDescent="0.3">
      <c r="A625" s="5">
        <v>66.849999999999994</v>
      </c>
      <c r="B625" s="5">
        <v>5.5635000000000003</v>
      </c>
      <c r="C625" s="1">
        <f>Tabela3[[#This Row],[Alongamento (mm/mm)]]/$I$2</f>
        <v>0.11127000000000001</v>
      </c>
      <c r="D625" s="5">
        <v>1327.1</v>
      </c>
      <c r="E625" s="1">
        <f>Tabela3[[#This Row],[Força (N)]]/$I$5</f>
        <v>42301378.595904052</v>
      </c>
      <c r="F625" s="1">
        <f>Tabela3[[#This Row],[Tensão (Pa)]]/1000000</f>
        <v>42.301378595904055</v>
      </c>
    </row>
    <row r="626" spans="1:6" x14ac:dyDescent="0.3">
      <c r="A626" s="5">
        <v>67.099999999999994</v>
      </c>
      <c r="B626" s="5">
        <v>5.5842999999999998</v>
      </c>
      <c r="C626" s="1">
        <f>Tabela3[[#This Row],[Alongamento (mm/mm)]]/$I$2</f>
        <v>0.11168599999999999</v>
      </c>
      <c r="D626" s="5">
        <v>1337.8</v>
      </c>
      <c r="E626" s="1">
        <f>Tabela3[[#This Row],[Força (N)]]/$I$5</f>
        <v>42642441.628815047</v>
      </c>
      <c r="F626" s="1">
        <f>Tabela3[[#This Row],[Tensão (Pa)]]/1000000</f>
        <v>42.64244162881505</v>
      </c>
    </row>
    <row r="627" spans="1:6" x14ac:dyDescent="0.3">
      <c r="A627" s="5">
        <v>67.349999999999994</v>
      </c>
      <c r="B627" s="5">
        <v>5.6052</v>
      </c>
      <c r="C627" s="1">
        <f>Tabela3[[#This Row],[Alongamento (mm/mm)]]/$I$2</f>
        <v>0.112104</v>
      </c>
      <c r="D627" s="5">
        <v>1348.5</v>
      </c>
      <c r="E627" s="1">
        <f>Tabela3[[#This Row],[Força (N)]]/$I$5</f>
        <v>42983504.661726035</v>
      </c>
      <c r="F627" s="1">
        <f>Tabela3[[#This Row],[Tensão (Pa)]]/1000000</f>
        <v>42.983504661726037</v>
      </c>
    </row>
    <row r="628" spans="1:6" x14ac:dyDescent="0.3">
      <c r="A628" s="5">
        <v>67.582999999999998</v>
      </c>
      <c r="B628" s="5">
        <v>5.6246</v>
      </c>
      <c r="C628" s="1">
        <f>Tabela3[[#This Row],[Alongamento (mm/mm)]]/$I$2</f>
        <v>0.11249199999999999</v>
      </c>
      <c r="D628" s="5">
        <v>1358.9</v>
      </c>
      <c r="E628" s="1">
        <f>Tabela3[[#This Row],[Força (N)]]/$I$5</f>
        <v>43315005.179695599</v>
      </c>
      <c r="F628" s="1">
        <f>Tabela3[[#This Row],[Tensão (Pa)]]/1000000</f>
        <v>43.315005179695596</v>
      </c>
    </row>
    <row r="629" spans="1:6" x14ac:dyDescent="0.3">
      <c r="A629" s="5">
        <v>67.832999999999998</v>
      </c>
      <c r="B629" s="5">
        <v>5.6455000000000002</v>
      </c>
      <c r="C629" s="1">
        <f>Tabela3[[#This Row],[Alongamento (mm/mm)]]/$I$2</f>
        <v>0.11291000000000001</v>
      </c>
      <c r="D629" s="5">
        <v>1369.8</v>
      </c>
      <c r="E629" s="1">
        <f>Tabela3[[#This Row],[Força (N)]]/$I$5</f>
        <v>43662443.222567536</v>
      </c>
      <c r="F629" s="1">
        <f>Tabela3[[#This Row],[Tensão (Pa)]]/1000000</f>
        <v>43.662443222567539</v>
      </c>
    </row>
    <row r="630" spans="1:6" x14ac:dyDescent="0.3">
      <c r="A630" s="5">
        <v>68.082999999999998</v>
      </c>
      <c r="B630" s="5">
        <v>5.6662999999999997</v>
      </c>
      <c r="C630" s="1">
        <f>Tabela3[[#This Row],[Alongamento (mm/mm)]]/$I$2</f>
        <v>0.113326</v>
      </c>
      <c r="D630" s="5">
        <v>1380.4</v>
      </c>
      <c r="E630" s="1">
        <f>Tabela3[[#This Row],[Força (N)]]/$I$5</f>
        <v>44000318.750498056</v>
      </c>
      <c r="F630" s="1">
        <f>Tabela3[[#This Row],[Tensão (Pa)]]/1000000</f>
        <v>44.000318750498053</v>
      </c>
    </row>
    <row r="631" spans="1:6" x14ac:dyDescent="0.3">
      <c r="A631" s="5">
        <v>68.332999999999998</v>
      </c>
      <c r="B631" s="5">
        <v>5.6871</v>
      </c>
      <c r="C631" s="1">
        <f>Tabela3[[#This Row],[Alongamento (mm/mm)]]/$I$2</f>
        <v>0.113742</v>
      </c>
      <c r="D631" s="5">
        <v>1391.4</v>
      </c>
      <c r="E631" s="1">
        <f>Tabela3[[#This Row],[Força (N)]]/$I$5</f>
        <v>44350944.298350468</v>
      </c>
      <c r="F631" s="1">
        <f>Tabela3[[#This Row],[Tensão (Pa)]]/1000000</f>
        <v>44.35094429835047</v>
      </c>
    </row>
    <row r="632" spans="1:6" x14ac:dyDescent="0.3">
      <c r="A632" s="5">
        <v>68.582999999999998</v>
      </c>
      <c r="B632" s="5">
        <v>5.7080000000000002</v>
      </c>
      <c r="C632" s="1">
        <f>Tabela3[[#This Row],[Alongamento (mm/mm)]]/$I$2</f>
        <v>0.11416</v>
      </c>
      <c r="D632" s="5">
        <v>1402.6</v>
      </c>
      <c r="E632" s="1">
        <f>Tabela3[[#This Row],[Força (N)]]/$I$5</f>
        <v>44707944.856163837</v>
      </c>
      <c r="F632" s="1">
        <f>Tabela3[[#This Row],[Tensão (Pa)]]/1000000</f>
        <v>44.707944856163834</v>
      </c>
    </row>
    <row r="633" spans="1:6" x14ac:dyDescent="0.3">
      <c r="A633" s="5">
        <v>68.832999999999998</v>
      </c>
      <c r="B633" s="5">
        <v>5.7286999999999999</v>
      </c>
      <c r="C633" s="1">
        <f>Tabela3[[#This Row],[Alongamento (mm/mm)]]/$I$2</f>
        <v>0.114574</v>
      </c>
      <c r="D633" s="5">
        <v>1413.7</v>
      </c>
      <c r="E633" s="1">
        <f>Tabela3[[#This Row],[Força (N)]]/$I$5</f>
        <v>45061757.908996738</v>
      </c>
      <c r="F633" s="1">
        <f>Tabela3[[#This Row],[Tensão (Pa)]]/1000000</f>
        <v>45.061757908996739</v>
      </c>
    </row>
    <row r="634" spans="1:6" x14ac:dyDescent="0.3">
      <c r="A634" s="5">
        <v>69.082999999999998</v>
      </c>
      <c r="B634" s="5">
        <v>5.7496</v>
      </c>
      <c r="C634" s="1">
        <f>Tabela3[[#This Row],[Alongamento (mm/mm)]]/$I$2</f>
        <v>0.114992</v>
      </c>
      <c r="D634" s="5">
        <v>1424.9</v>
      </c>
      <c r="E634" s="1">
        <f>Tabela3[[#This Row],[Força (N)]]/$I$5</f>
        <v>45418758.466810107</v>
      </c>
      <c r="F634" s="1">
        <f>Tabela3[[#This Row],[Tensão (Pa)]]/1000000</f>
        <v>45.418758466810104</v>
      </c>
    </row>
    <row r="635" spans="1:6" x14ac:dyDescent="0.3">
      <c r="A635" s="5">
        <v>69.332999999999998</v>
      </c>
      <c r="B635" s="5">
        <v>5.7704000000000004</v>
      </c>
      <c r="C635" s="1">
        <f>Tabela3[[#This Row],[Alongamento (mm/mm)]]/$I$2</f>
        <v>0.11540800000000001</v>
      </c>
      <c r="D635" s="5">
        <v>1436</v>
      </c>
      <c r="E635" s="1">
        <f>Tabela3[[#This Row],[Força (N)]]/$I$5</f>
        <v>45772571.519643001</v>
      </c>
      <c r="F635" s="1">
        <f>Tabela3[[#This Row],[Tensão (Pa)]]/1000000</f>
        <v>45.772571519643002</v>
      </c>
    </row>
    <row r="636" spans="1:6" x14ac:dyDescent="0.3">
      <c r="A636" s="5">
        <v>69.582999999999998</v>
      </c>
      <c r="B636" s="5">
        <v>5.7911999999999999</v>
      </c>
      <c r="C636" s="1">
        <f>Tabela3[[#This Row],[Alongamento (mm/mm)]]/$I$2</f>
        <v>0.115824</v>
      </c>
      <c r="D636" s="5">
        <v>1447</v>
      </c>
      <c r="E636" s="1">
        <f>Tabela3[[#This Row],[Força (N)]]/$I$5</f>
        <v>46123197.067495421</v>
      </c>
      <c r="F636" s="1">
        <f>Tabela3[[#This Row],[Tensão (Pa)]]/1000000</f>
        <v>46.123197067495418</v>
      </c>
    </row>
    <row r="637" spans="1:6" x14ac:dyDescent="0.3">
      <c r="A637" s="5">
        <v>69.832999999999998</v>
      </c>
      <c r="B637" s="5">
        <v>5.8120000000000003</v>
      </c>
      <c r="C637" s="1">
        <f>Tabela3[[#This Row],[Alongamento (mm/mm)]]/$I$2</f>
        <v>0.11624000000000001</v>
      </c>
      <c r="D637" s="5">
        <v>1458.3</v>
      </c>
      <c r="E637" s="1">
        <f>Tabela3[[#This Row],[Força (N)]]/$I$5</f>
        <v>46483385.130289264</v>
      </c>
      <c r="F637" s="1">
        <f>Tabela3[[#This Row],[Tensão (Pa)]]/1000000</f>
        <v>46.483385130289264</v>
      </c>
    </row>
    <row r="638" spans="1:6" x14ac:dyDescent="0.3">
      <c r="A638" s="5">
        <v>70.099999999999994</v>
      </c>
      <c r="B638" s="5">
        <v>5.8342999999999998</v>
      </c>
      <c r="C638" s="1">
        <f>Tabela3[[#This Row],[Alongamento (mm/mm)]]/$I$2</f>
        <v>0.116686</v>
      </c>
      <c r="D638" s="5">
        <v>1470</v>
      </c>
      <c r="E638" s="1">
        <f>Tabela3[[#This Row],[Força (N)]]/$I$5</f>
        <v>46856323.213005021</v>
      </c>
      <c r="F638" s="1">
        <f>Tabela3[[#This Row],[Tensão (Pa)]]/1000000</f>
        <v>46.85632321300502</v>
      </c>
    </row>
    <row r="639" spans="1:6" x14ac:dyDescent="0.3">
      <c r="A639" s="5">
        <v>70.367000000000004</v>
      </c>
      <c r="B639" s="5">
        <v>5.8564999999999996</v>
      </c>
      <c r="C639" s="1">
        <f>Tabela3[[#This Row],[Alongamento (mm/mm)]]/$I$2</f>
        <v>0.11713</v>
      </c>
      <c r="D639" s="5">
        <v>1481.6</v>
      </c>
      <c r="E639" s="1">
        <f>Tabela3[[#This Row],[Força (N)]]/$I$5</f>
        <v>47226073.790740296</v>
      </c>
      <c r="F639" s="1">
        <f>Tabela3[[#This Row],[Tensão (Pa)]]/1000000</f>
        <v>47.226073790740294</v>
      </c>
    </row>
    <row r="640" spans="1:6" x14ac:dyDescent="0.3">
      <c r="A640" s="5">
        <v>70.632999999999996</v>
      </c>
      <c r="B640" s="5">
        <v>5.8788</v>
      </c>
      <c r="C640" s="1">
        <f>Tabela3[[#This Row],[Alongamento (mm/mm)]]/$I$2</f>
        <v>0.117576</v>
      </c>
      <c r="D640" s="5">
        <v>1493.3</v>
      </c>
      <c r="E640" s="1">
        <f>Tabela3[[#This Row],[Força (N)]]/$I$5</f>
        <v>47599011.873456053</v>
      </c>
      <c r="F640" s="1">
        <f>Tabela3[[#This Row],[Tensão (Pa)]]/1000000</f>
        <v>47.599011873456057</v>
      </c>
    </row>
    <row r="641" spans="1:6" x14ac:dyDescent="0.3">
      <c r="A641" s="5">
        <v>70.900000000000006</v>
      </c>
      <c r="B641" s="5">
        <v>5.9009999999999998</v>
      </c>
      <c r="C641" s="1">
        <f>Tabela3[[#This Row],[Alongamento (mm/mm)]]/$I$2</f>
        <v>0.11802</v>
      </c>
      <c r="D641" s="5">
        <v>1505</v>
      </c>
      <c r="E641" s="1">
        <f>Tabela3[[#This Row],[Força (N)]]/$I$5</f>
        <v>47971949.956171811</v>
      </c>
      <c r="F641" s="1">
        <f>Tabela3[[#This Row],[Tensão (Pa)]]/1000000</f>
        <v>47.971949956171812</v>
      </c>
    </row>
    <row r="642" spans="1:6" x14ac:dyDescent="0.3">
      <c r="A642" s="5">
        <v>71.167000000000002</v>
      </c>
      <c r="B642" s="5">
        <v>5.9231999999999996</v>
      </c>
      <c r="C642" s="1">
        <f>Tabela3[[#This Row],[Alongamento (mm/mm)]]/$I$2</f>
        <v>0.11846399999999999</v>
      </c>
      <c r="D642" s="5">
        <v>1516.6</v>
      </c>
      <c r="E642" s="1">
        <f>Tabela3[[#This Row],[Força (N)]]/$I$5</f>
        <v>48341700.533907086</v>
      </c>
      <c r="F642" s="1">
        <f>Tabela3[[#This Row],[Tensão (Pa)]]/1000000</f>
        <v>48.341700533907087</v>
      </c>
    </row>
    <row r="643" spans="1:6" x14ac:dyDescent="0.3">
      <c r="A643" s="5">
        <v>71.45</v>
      </c>
      <c r="B643" s="5">
        <v>5.9467999999999996</v>
      </c>
      <c r="C643" s="1">
        <f>Tabela3[[#This Row],[Alongamento (mm/mm)]]/$I$2</f>
        <v>0.11893599999999999</v>
      </c>
      <c r="D643" s="5">
        <v>1528.8</v>
      </c>
      <c r="E643" s="1">
        <f>Tabela3[[#This Row],[Força (N)]]/$I$5</f>
        <v>48730576.141525224</v>
      </c>
      <c r="F643" s="1">
        <f>Tabela3[[#This Row],[Tensão (Pa)]]/1000000</f>
        <v>48.730576141525226</v>
      </c>
    </row>
    <row r="644" spans="1:6" x14ac:dyDescent="0.3">
      <c r="A644" s="5">
        <v>71.733000000000004</v>
      </c>
      <c r="B644" s="5">
        <v>5.9703999999999997</v>
      </c>
      <c r="C644" s="1">
        <f>Tabela3[[#This Row],[Alongamento (mm/mm)]]/$I$2</f>
        <v>0.119408</v>
      </c>
      <c r="D644" s="5">
        <v>1541.1</v>
      </c>
      <c r="E644" s="1">
        <f>Tabela3[[#This Row],[Força (N)]]/$I$5</f>
        <v>49122639.254123837</v>
      </c>
      <c r="F644" s="1">
        <f>Tabela3[[#This Row],[Tensão (Pa)]]/1000000</f>
        <v>49.12263925412384</v>
      </c>
    </row>
    <row r="645" spans="1:6" x14ac:dyDescent="0.3">
      <c r="A645" s="5">
        <v>72.016999999999996</v>
      </c>
      <c r="B645" s="5">
        <v>5.9941000000000004</v>
      </c>
      <c r="C645" s="1">
        <f>Tabela3[[#This Row],[Alongamento (mm/mm)]]/$I$2</f>
        <v>0.119882</v>
      </c>
      <c r="D645" s="5">
        <v>1553.3</v>
      </c>
      <c r="E645" s="1">
        <f>Tabela3[[#This Row],[Força (N)]]/$I$5</f>
        <v>49511514.861741975</v>
      </c>
      <c r="F645" s="1">
        <f>Tabela3[[#This Row],[Tensão (Pa)]]/1000000</f>
        <v>49.511514861741972</v>
      </c>
    </row>
    <row r="646" spans="1:6" x14ac:dyDescent="0.3">
      <c r="A646" s="5">
        <v>72.3</v>
      </c>
      <c r="B646" s="5">
        <v>6.0176999999999996</v>
      </c>
      <c r="C646" s="1">
        <f>Tabela3[[#This Row],[Alongamento (mm/mm)]]/$I$2</f>
        <v>0.12035399999999999</v>
      </c>
      <c r="D646" s="5">
        <v>1565.4</v>
      </c>
      <c r="E646" s="1">
        <f>Tabela3[[#This Row],[Força (N)]]/$I$5</f>
        <v>49897202.964379638</v>
      </c>
      <c r="F646" s="1">
        <f>Tabela3[[#This Row],[Tensão (Pa)]]/1000000</f>
        <v>49.897202964379638</v>
      </c>
    </row>
    <row r="647" spans="1:6" x14ac:dyDescent="0.3">
      <c r="A647" s="5">
        <v>72.582999999999998</v>
      </c>
      <c r="B647" s="5">
        <v>6.0411999999999999</v>
      </c>
      <c r="C647" s="1">
        <f>Tabela3[[#This Row],[Alongamento (mm/mm)]]/$I$2</f>
        <v>0.120824</v>
      </c>
      <c r="D647" s="5">
        <v>1577.5</v>
      </c>
      <c r="E647" s="1">
        <f>Tabela3[[#This Row],[Força (N)]]/$I$5</f>
        <v>50282891.067017294</v>
      </c>
      <c r="F647" s="1">
        <f>Tabela3[[#This Row],[Tensão (Pa)]]/1000000</f>
        <v>50.282891067017296</v>
      </c>
    </row>
    <row r="648" spans="1:6" x14ac:dyDescent="0.3">
      <c r="A648" s="5">
        <v>72.882999999999996</v>
      </c>
      <c r="B648" s="5">
        <v>6.0663</v>
      </c>
      <c r="C648" s="1">
        <f>Tabela3[[#This Row],[Alongamento (mm/mm)]]/$I$2</f>
        <v>0.121326</v>
      </c>
      <c r="D648" s="5">
        <v>1590.3</v>
      </c>
      <c r="E648" s="1">
        <f>Tabela3[[#This Row],[Força (N)]]/$I$5</f>
        <v>50690891.704518288</v>
      </c>
      <c r="F648" s="1">
        <f>Tabela3[[#This Row],[Tensão (Pa)]]/1000000</f>
        <v>50.690891704518286</v>
      </c>
    </row>
    <row r="649" spans="1:6" x14ac:dyDescent="0.3">
      <c r="A649" s="5">
        <v>73.183000000000007</v>
      </c>
      <c r="B649" s="5">
        <v>6.0911999999999997</v>
      </c>
      <c r="C649" s="1">
        <f>Tabela3[[#This Row],[Alongamento (mm/mm)]]/$I$2</f>
        <v>0.12182399999999999</v>
      </c>
      <c r="D649" s="5">
        <v>1603</v>
      </c>
      <c r="E649" s="1">
        <f>Tabela3[[#This Row],[Força (N)]]/$I$5</f>
        <v>51095704.837038808</v>
      </c>
      <c r="F649" s="1">
        <f>Tabela3[[#This Row],[Tensão (Pa)]]/1000000</f>
        <v>51.095704837038809</v>
      </c>
    </row>
    <row r="650" spans="1:6" x14ac:dyDescent="0.3">
      <c r="A650" s="5">
        <v>73.483000000000004</v>
      </c>
      <c r="B650" s="5">
        <v>6.1162000000000001</v>
      </c>
      <c r="C650" s="1">
        <f>Tabela3[[#This Row],[Alongamento (mm/mm)]]/$I$2</f>
        <v>0.122324</v>
      </c>
      <c r="D650" s="5">
        <v>1615.4</v>
      </c>
      <c r="E650" s="1">
        <f>Tabela3[[#This Row],[Força (N)]]/$I$5</f>
        <v>51490955.454617903</v>
      </c>
      <c r="F650" s="1">
        <f>Tabela3[[#This Row],[Tensão (Pa)]]/1000000</f>
        <v>51.490955454617904</v>
      </c>
    </row>
    <row r="651" spans="1:6" x14ac:dyDescent="0.3">
      <c r="A651" s="5">
        <v>73.8</v>
      </c>
      <c r="B651" s="5">
        <v>6.1426999999999996</v>
      </c>
      <c r="C651" s="1">
        <f>Tabela3[[#This Row],[Alongamento (mm/mm)]]/$I$2</f>
        <v>0.12285399999999999</v>
      </c>
      <c r="D651" s="5">
        <v>1628.5</v>
      </c>
      <c r="E651" s="1">
        <f>Tabela3[[#This Row],[Força (N)]]/$I$5</f>
        <v>51908518.607060328</v>
      </c>
      <c r="F651" s="1">
        <f>Tabela3[[#This Row],[Tensão (Pa)]]/1000000</f>
        <v>51.90851860706033</v>
      </c>
    </row>
    <row r="652" spans="1:6" x14ac:dyDescent="0.3">
      <c r="A652" s="5">
        <v>74.099999999999994</v>
      </c>
      <c r="B652" s="5">
        <v>6.1676000000000002</v>
      </c>
      <c r="C652" s="1">
        <f>Tabela3[[#This Row],[Alongamento (mm/mm)]]/$I$2</f>
        <v>0.123352</v>
      </c>
      <c r="D652" s="5">
        <v>1641.1</v>
      </c>
      <c r="E652" s="1">
        <f>Tabela3[[#This Row],[Força (N)]]/$I$5</f>
        <v>52310144.234600365</v>
      </c>
      <c r="F652" s="1">
        <f>Tabela3[[#This Row],[Tensão (Pa)]]/1000000</f>
        <v>52.310144234600365</v>
      </c>
    </row>
    <row r="653" spans="1:6" x14ac:dyDescent="0.3">
      <c r="A653" s="5">
        <v>74.400000000000006</v>
      </c>
      <c r="B653" s="5">
        <v>6.1927000000000003</v>
      </c>
      <c r="C653" s="1">
        <f>Tabela3[[#This Row],[Alongamento (mm/mm)]]/$I$2</f>
        <v>0.12385400000000001</v>
      </c>
      <c r="D653" s="5">
        <v>1653.7</v>
      </c>
      <c r="E653" s="1">
        <f>Tabela3[[#This Row],[Força (N)]]/$I$5</f>
        <v>52711769.862140417</v>
      </c>
      <c r="F653" s="1">
        <f>Tabela3[[#This Row],[Tensão (Pa)]]/1000000</f>
        <v>52.711769862140414</v>
      </c>
    </row>
    <row r="654" spans="1:6" x14ac:dyDescent="0.3">
      <c r="A654" s="5">
        <v>74.716999999999999</v>
      </c>
      <c r="B654" s="5">
        <v>6.2191000000000001</v>
      </c>
      <c r="C654" s="1">
        <f>Tabela3[[#This Row],[Alongamento (mm/mm)]]/$I$2</f>
        <v>0.12438200000000001</v>
      </c>
      <c r="D654" s="5">
        <v>1666.8</v>
      </c>
      <c r="E654" s="1">
        <f>Tabela3[[#This Row],[Força (N)]]/$I$5</f>
        <v>53129333.014582835</v>
      </c>
      <c r="F654" s="1">
        <f>Tabela3[[#This Row],[Tensão (Pa)]]/1000000</f>
        <v>53.129333014582834</v>
      </c>
    </row>
    <row r="655" spans="1:6" x14ac:dyDescent="0.3">
      <c r="A655" s="5">
        <v>75.016999999999996</v>
      </c>
      <c r="B655" s="5">
        <v>6.2441000000000004</v>
      </c>
      <c r="C655" s="1">
        <f>Tabela3[[#This Row],[Alongamento (mm/mm)]]/$I$2</f>
        <v>0.12488200000000001</v>
      </c>
      <c r="D655" s="5">
        <v>1679.7</v>
      </c>
      <c r="E655" s="1">
        <f>Tabela3[[#This Row],[Força (N)]]/$I$5</f>
        <v>53540521.157064311</v>
      </c>
      <c r="F655" s="1">
        <f>Tabela3[[#This Row],[Tensão (Pa)]]/1000000</f>
        <v>53.540521157064312</v>
      </c>
    </row>
    <row r="656" spans="1:6" x14ac:dyDescent="0.3">
      <c r="A656" s="5">
        <v>75.332999999999998</v>
      </c>
      <c r="B656" s="5">
        <v>6.2704000000000004</v>
      </c>
      <c r="C656" s="1">
        <f>Tabela3[[#This Row],[Alongamento (mm/mm)]]/$I$2</f>
        <v>0.12540800000000002</v>
      </c>
      <c r="D656" s="5">
        <v>1693</v>
      </c>
      <c r="E656" s="1">
        <f>Tabela3[[#This Row],[Força (N)]]/$I$5</f>
        <v>53964459.319467686</v>
      </c>
      <c r="F656" s="1">
        <f>Tabela3[[#This Row],[Tensão (Pa)]]/1000000</f>
        <v>53.964459319467686</v>
      </c>
    </row>
    <row r="657" spans="1:6" x14ac:dyDescent="0.3">
      <c r="A657" s="5">
        <v>75.650000000000006</v>
      </c>
      <c r="B657" s="5">
        <v>6.2968999999999999</v>
      </c>
      <c r="C657" s="1">
        <f>Tabela3[[#This Row],[Alongamento (mm/mm)]]/$I$2</f>
        <v>0.12593799999999999</v>
      </c>
      <c r="D657" s="5">
        <v>1706.3</v>
      </c>
      <c r="E657" s="1">
        <f>Tabela3[[#This Row],[Força (N)]]/$I$5</f>
        <v>54388397.481871068</v>
      </c>
      <c r="F657" s="1">
        <f>Tabela3[[#This Row],[Tensão (Pa)]]/1000000</f>
        <v>54.388397481871067</v>
      </c>
    </row>
    <row r="658" spans="1:6" x14ac:dyDescent="0.3">
      <c r="A658" s="5">
        <v>75.983000000000004</v>
      </c>
      <c r="B658" s="5">
        <v>6.3244999999999996</v>
      </c>
      <c r="C658" s="1">
        <f>Tabela3[[#This Row],[Alongamento (mm/mm)]]/$I$2</f>
        <v>0.12648999999999999</v>
      </c>
      <c r="D658" s="5">
        <v>1719.9</v>
      </c>
      <c r="E658" s="1">
        <f>Tabela3[[#This Row],[Força (N)]]/$I$5</f>
        <v>54821898.159215882</v>
      </c>
      <c r="F658" s="1">
        <f>Tabela3[[#This Row],[Tensão (Pa)]]/1000000</f>
        <v>54.821898159215884</v>
      </c>
    </row>
    <row r="659" spans="1:6" x14ac:dyDescent="0.3">
      <c r="A659" s="5">
        <v>76.316999999999993</v>
      </c>
      <c r="B659" s="5">
        <v>6.3524000000000003</v>
      </c>
      <c r="C659" s="1">
        <f>Tabela3[[#This Row],[Alongamento (mm/mm)]]/$I$2</f>
        <v>0.12704799999999999</v>
      </c>
      <c r="D659" s="5">
        <v>1733.5</v>
      </c>
      <c r="E659" s="1">
        <f>Tabela3[[#This Row],[Força (N)]]/$I$5</f>
        <v>55255398.836560689</v>
      </c>
      <c r="F659" s="1">
        <f>Tabela3[[#This Row],[Tensão (Pa)]]/1000000</f>
        <v>55.255398836560687</v>
      </c>
    </row>
    <row r="660" spans="1:6" x14ac:dyDescent="0.3">
      <c r="A660" s="5">
        <v>76.667000000000002</v>
      </c>
      <c r="B660" s="5">
        <v>6.3815</v>
      </c>
      <c r="C660" s="1">
        <f>Tabela3[[#This Row],[Alongamento (mm/mm)]]/$I$2</f>
        <v>0.12762999999999999</v>
      </c>
      <c r="D660" s="5">
        <v>1747.1</v>
      </c>
      <c r="E660" s="1">
        <f>Tabela3[[#This Row],[Força (N)]]/$I$5</f>
        <v>55688899.513905488</v>
      </c>
      <c r="F660" s="1">
        <f>Tabela3[[#This Row],[Tensão (Pa)]]/1000000</f>
        <v>55.68889951390549</v>
      </c>
    </row>
    <row r="661" spans="1:6" x14ac:dyDescent="0.3">
      <c r="A661" s="5">
        <v>77.05</v>
      </c>
      <c r="B661" s="5">
        <v>6.4135</v>
      </c>
      <c r="C661" s="1">
        <f>Tabela3[[#This Row],[Alongamento (mm/mm)]]/$I$2</f>
        <v>0.12827</v>
      </c>
      <c r="D661" s="5">
        <v>1760.9</v>
      </c>
      <c r="E661" s="1">
        <f>Tabela3[[#This Row],[Força (N)]]/$I$5</f>
        <v>56128775.201211259</v>
      </c>
      <c r="F661" s="1">
        <f>Tabela3[[#This Row],[Tensão (Pa)]]/1000000</f>
        <v>56.128775201211262</v>
      </c>
    </row>
    <row r="662" spans="1:6" x14ac:dyDescent="0.3">
      <c r="A662" s="5">
        <v>77.483000000000004</v>
      </c>
      <c r="B662" s="5">
        <v>6.4496000000000002</v>
      </c>
      <c r="C662" s="1">
        <f>Tabela3[[#This Row],[Alongamento (mm/mm)]]/$I$2</f>
        <v>0.128992</v>
      </c>
      <c r="D662" s="5">
        <v>1774.6</v>
      </c>
      <c r="E662" s="1">
        <f>Tabela3[[#This Row],[Força (N)]]/$I$5</f>
        <v>56565463.38353654</v>
      </c>
      <c r="F662" s="1">
        <f>Tabela3[[#This Row],[Tensão (Pa)]]/1000000</f>
        <v>56.565463383536539</v>
      </c>
    </row>
    <row r="663" spans="1:6" x14ac:dyDescent="0.3">
      <c r="A663" s="5">
        <v>77.983000000000004</v>
      </c>
      <c r="B663" s="5">
        <v>6.4912999999999998</v>
      </c>
      <c r="C663" s="1">
        <f>Tabela3[[#This Row],[Alongamento (mm/mm)]]/$I$2</f>
        <v>0.129826</v>
      </c>
      <c r="D663" s="5">
        <v>1785.4</v>
      </c>
      <c r="E663" s="1">
        <f>Tabela3[[#This Row],[Força (N)]]/$I$5</f>
        <v>56909713.92142801</v>
      </c>
      <c r="F663" s="1">
        <f>Tabela3[[#This Row],[Tensão (Pa)]]/1000000</f>
        <v>56.909713921428008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2253-7009-49E6-8CDE-44CE380C3338}">
  <dimension ref="A1:K666"/>
  <sheetViews>
    <sheetView workbookViewId="0">
      <selection sqref="A1:K1048576"/>
    </sheetView>
  </sheetViews>
  <sheetFormatPr defaultRowHeight="14.4" x14ac:dyDescent="0.3"/>
  <cols>
    <col min="1" max="1" width="11.88671875" style="4" bestFit="1" customWidth="1"/>
    <col min="2" max="2" width="25.5546875" style="4" bestFit="1" customWidth="1"/>
    <col min="3" max="3" width="24.44140625" bestFit="1" customWidth="1"/>
    <col min="4" max="4" width="11.44140625" style="4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5">
        <v>1.6667000000000001E-2</v>
      </c>
      <c r="B2" s="5">
        <v>0</v>
      </c>
      <c r="C2" s="1">
        <f>Tabela5[[#This Row],[Alongamento (mm/mm)]]/$I$2</f>
        <v>0</v>
      </c>
      <c r="D2" s="5">
        <v>0</v>
      </c>
      <c r="E2" s="1">
        <f>Tabela5[[#This Row],[Força (N)]]/$I$5</f>
        <v>0</v>
      </c>
      <c r="F2" s="1">
        <f>Tabela5[[#This Row],[Tensão (Pa)]]/1000000</f>
        <v>0</v>
      </c>
      <c r="H2" t="s">
        <v>10</v>
      </c>
      <c r="I2">
        <v>50</v>
      </c>
      <c r="J2">
        <v>12.86</v>
      </c>
      <c r="K2">
        <v>3.27</v>
      </c>
    </row>
    <row r="3" spans="1:11" x14ac:dyDescent="0.3">
      <c r="A3" s="5">
        <v>7.1</v>
      </c>
      <c r="B3" s="5">
        <v>0.58365999999999996</v>
      </c>
      <c r="C3" s="1">
        <f>Tabela5[[#This Row],[Alongamento (mm/mm)]]/$I$2</f>
        <v>1.16732E-2</v>
      </c>
      <c r="D3" s="5">
        <v>6.9741</v>
      </c>
      <c r="E3" s="1">
        <f>Tabela5[[#This Row],[Força (N)]]/$I$5</f>
        <v>165843.87974945427</v>
      </c>
      <c r="F3" s="1">
        <f>Tabela5[[#This Row],[Tensão (Pa)]]/1000000</f>
        <v>0.16584387974945428</v>
      </c>
      <c r="H3" t="s">
        <v>11</v>
      </c>
      <c r="I3">
        <f>I2/1000</f>
        <v>0.05</v>
      </c>
      <c r="J3">
        <f t="shared" ref="J3:K3" si="0">J2/1000</f>
        <v>1.286E-2</v>
      </c>
      <c r="K3">
        <f t="shared" si="0"/>
        <v>3.2699999999999999E-3</v>
      </c>
    </row>
    <row r="4" spans="1:11" x14ac:dyDescent="0.3">
      <c r="A4" s="5">
        <v>7.1666999999999996</v>
      </c>
      <c r="B4" s="5">
        <v>0.58914999999999995</v>
      </c>
      <c r="C4" s="1">
        <f>Tabela5[[#This Row],[Alongamento (mm/mm)]]/$I$2</f>
        <v>1.1782999999999998E-2</v>
      </c>
      <c r="D4" s="5">
        <v>6.9741</v>
      </c>
      <c r="E4" s="1">
        <f>Tabela5[[#This Row],[Força (N)]]/$I$5</f>
        <v>165843.87974945427</v>
      </c>
      <c r="F4" s="1">
        <f>Tabela5[[#This Row],[Tensão (Pa)]]/1000000</f>
        <v>0.16584387974945428</v>
      </c>
    </row>
    <row r="5" spans="1:11" x14ac:dyDescent="0.3">
      <c r="A5" s="5">
        <v>7.2332999999999998</v>
      </c>
      <c r="B5" s="5">
        <v>0.59472999999999998</v>
      </c>
      <c r="C5" s="1">
        <f>Tabela5[[#This Row],[Alongamento (mm/mm)]]/$I$2</f>
        <v>1.18946E-2</v>
      </c>
      <c r="D5" s="5">
        <v>7.1441999999999997</v>
      </c>
      <c r="E5" s="1">
        <f>Tabela5[[#This Row],[Força (N)]]/$I$5</f>
        <v>169888.8524262702</v>
      </c>
      <c r="F5" s="1">
        <f>Tabela5[[#This Row],[Tensão (Pa)]]/1000000</f>
        <v>0.16988885242627019</v>
      </c>
      <c r="H5" t="s">
        <v>12</v>
      </c>
      <c r="I5">
        <f>J3*K3</f>
        <v>4.2052199999999997E-5</v>
      </c>
    </row>
    <row r="6" spans="1:11" x14ac:dyDescent="0.3">
      <c r="A6" s="5">
        <v>7.3</v>
      </c>
      <c r="B6" s="5">
        <v>0.60031999999999996</v>
      </c>
      <c r="C6" s="1">
        <f>Tabela5[[#This Row],[Alongamento (mm/mm)]]/$I$2</f>
        <v>1.2006399999999999E-2</v>
      </c>
      <c r="D6" s="5">
        <v>7.1441999999999997</v>
      </c>
      <c r="E6" s="1">
        <f>Tabela5[[#This Row],[Força (N)]]/$I$5</f>
        <v>169888.8524262702</v>
      </c>
      <c r="F6" s="1">
        <f>Tabela5[[#This Row],[Tensão (Pa)]]/1000000</f>
        <v>0.16988885242627019</v>
      </c>
    </row>
    <row r="7" spans="1:11" x14ac:dyDescent="0.3">
      <c r="A7" s="5">
        <v>7.3666999999999998</v>
      </c>
      <c r="B7" s="5">
        <v>0.60589999999999999</v>
      </c>
      <c r="C7" s="1">
        <f>Tabela5[[#This Row],[Alongamento (mm/mm)]]/$I$2</f>
        <v>1.2118E-2</v>
      </c>
      <c r="D7" s="5">
        <v>7.1441999999999997</v>
      </c>
      <c r="E7" s="1">
        <f>Tabela5[[#This Row],[Força (N)]]/$I$5</f>
        <v>169888.8524262702</v>
      </c>
      <c r="F7" s="1">
        <f>Tabela5[[#This Row],[Tensão (Pa)]]/1000000</f>
        <v>0.16988885242627019</v>
      </c>
    </row>
    <row r="8" spans="1:11" x14ac:dyDescent="0.3">
      <c r="A8" s="5">
        <v>7.4333</v>
      </c>
      <c r="B8" s="5">
        <v>0.61138999999999999</v>
      </c>
      <c r="C8" s="1">
        <f>Tabela5[[#This Row],[Alongamento (mm/mm)]]/$I$2</f>
        <v>1.22278E-2</v>
      </c>
      <c r="D8" s="5">
        <v>7.3141999999999996</v>
      </c>
      <c r="E8" s="1">
        <f>Tabela5[[#This Row],[Força (N)]]/$I$5</f>
        <v>173931.44710621561</v>
      </c>
      <c r="F8" s="1">
        <f>Tabela5[[#This Row],[Tensão (Pa)]]/1000000</f>
        <v>0.17393144710621561</v>
      </c>
    </row>
    <row r="9" spans="1:11" x14ac:dyDescent="0.3">
      <c r="A9" s="5">
        <v>7.5</v>
      </c>
      <c r="B9" s="5">
        <v>0.61697000000000002</v>
      </c>
      <c r="C9" s="1">
        <f>Tabela5[[#This Row],[Alongamento (mm/mm)]]/$I$2</f>
        <v>1.23394E-2</v>
      </c>
      <c r="D9" s="5">
        <v>7.3141999999999996</v>
      </c>
      <c r="E9" s="1">
        <f>Tabela5[[#This Row],[Força (N)]]/$I$5</f>
        <v>173931.44710621561</v>
      </c>
      <c r="F9" s="1">
        <f>Tabela5[[#This Row],[Tensão (Pa)]]/1000000</f>
        <v>0.17393144710621561</v>
      </c>
    </row>
    <row r="10" spans="1:11" x14ac:dyDescent="0.3">
      <c r="A10" s="5">
        <v>7.5667</v>
      </c>
      <c r="B10" s="5">
        <v>0.62256</v>
      </c>
      <c r="C10" s="1">
        <f>Tabela5[[#This Row],[Alongamento (mm/mm)]]/$I$2</f>
        <v>1.2451200000000001E-2</v>
      </c>
      <c r="D10" s="5">
        <v>7.4843000000000002</v>
      </c>
      <c r="E10" s="1">
        <f>Tabela5[[#This Row],[Força (N)]]/$I$5</f>
        <v>177976.4197830316</v>
      </c>
      <c r="F10" s="1">
        <f>Tabela5[[#This Row],[Tensão (Pa)]]/1000000</f>
        <v>0.17797641978303161</v>
      </c>
    </row>
    <row r="11" spans="1:11" x14ac:dyDescent="0.3">
      <c r="A11" s="5">
        <v>7.6333000000000002</v>
      </c>
      <c r="B11" s="5">
        <v>0.62805</v>
      </c>
      <c r="C11" s="1">
        <f>Tabela5[[#This Row],[Alongamento (mm/mm)]]/$I$2</f>
        <v>1.2560999999999999E-2</v>
      </c>
      <c r="D11" s="5">
        <v>7.4843000000000002</v>
      </c>
      <c r="E11" s="1">
        <f>Tabela5[[#This Row],[Força (N)]]/$I$5</f>
        <v>177976.4197830316</v>
      </c>
      <c r="F11" s="1">
        <f>Tabela5[[#This Row],[Tensão (Pa)]]/1000000</f>
        <v>0.17797641978303161</v>
      </c>
    </row>
    <row r="12" spans="1:11" x14ac:dyDescent="0.3">
      <c r="A12" s="5">
        <v>7.7</v>
      </c>
      <c r="B12" s="5">
        <v>0.63353999999999999</v>
      </c>
      <c r="C12" s="1">
        <f>Tabela5[[#This Row],[Alongamento (mm/mm)]]/$I$2</f>
        <v>1.2670799999999999E-2</v>
      </c>
      <c r="D12" s="5">
        <v>7.6543999999999999</v>
      </c>
      <c r="E12" s="1">
        <f>Tabela5[[#This Row],[Força (N)]]/$I$5</f>
        <v>182021.39245984753</v>
      </c>
      <c r="F12" s="1">
        <f>Tabela5[[#This Row],[Tensão (Pa)]]/1000000</f>
        <v>0.18202139245984753</v>
      </c>
    </row>
    <row r="13" spans="1:11" x14ac:dyDescent="0.3">
      <c r="A13" s="5">
        <v>7.7667000000000002</v>
      </c>
      <c r="B13" s="5">
        <v>0.63912000000000002</v>
      </c>
      <c r="C13" s="1">
        <f>Tabela5[[#This Row],[Alongamento (mm/mm)]]/$I$2</f>
        <v>1.2782400000000001E-2</v>
      </c>
      <c r="D13" s="5">
        <v>7.6543999999999999</v>
      </c>
      <c r="E13" s="1">
        <f>Tabela5[[#This Row],[Força (N)]]/$I$5</f>
        <v>182021.39245984753</v>
      </c>
      <c r="F13" s="1">
        <f>Tabela5[[#This Row],[Tensão (Pa)]]/1000000</f>
        <v>0.18202139245984753</v>
      </c>
    </row>
    <row r="14" spans="1:11" x14ac:dyDescent="0.3">
      <c r="A14" s="5">
        <v>7.8333000000000004</v>
      </c>
      <c r="B14" s="5">
        <v>0.64471000000000001</v>
      </c>
      <c r="C14" s="1">
        <f>Tabela5[[#This Row],[Alongamento (mm/mm)]]/$I$2</f>
        <v>1.28942E-2</v>
      </c>
      <c r="D14" s="5">
        <v>7.8244999999999996</v>
      </c>
      <c r="E14" s="1">
        <f>Tabela5[[#This Row],[Força (N)]]/$I$5</f>
        <v>186066.36513666349</v>
      </c>
      <c r="F14" s="1">
        <f>Tabela5[[#This Row],[Tensão (Pa)]]/1000000</f>
        <v>0.1860663651366635</v>
      </c>
    </row>
    <row r="15" spans="1:11" x14ac:dyDescent="0.3">
      <c r="A15" s="5">
        <v>7.9</v>
      </c>
      <c r="B15" s="5">
        <v>0.65029000000000003</v>
      </c>
      <c r="C15" s="1">
        <f>Tabela5[[#This Row],[Alongamento (mm/mm)]]/$I$2</f>
        <v>1.3005800000000001E-2</v>
      </c>
      <c r="D15" s="5">
        <v>7.9946000000000002</v>
      </c>
      <c r="E15" s="1">
        <f>Tabela5[[#This Row],[Força (N)]]/$I$5</f>
        <v>190111.33781347945</v>
      </c>
      <c r="F15" s="1">
        <f>Tabela5[[#This Row],[Tensão (Pa)]]/1000000</f>
        <v>0.19011133781347944</v>
      </c>
    </row>
    <row r="16" spans="1:11" x14ac:dyDescent="0.3">
      <c r="A16" s="5">
        <v>7.9667000000000003</v>
      </c>
      <c r="B16" s="5">
        <v>0.65586999999999995</v>
      </c>
      <c r="C16" s="1">
        <f>Tabela5[[#This Row],[Alongamento (mm/mm)]]/$I$2</f>
        <v>1.31174E-2</v>
      </c>
      <c r="D16" s="5">
        <v>8.1646999999999998</v>
      </c>
      <c r="E16" s="1">
        <f>Tabela5[[#This Row],[Força (N)]]/$I$5</f>
        <v>194156.31049029541</v>
      </c>
      <c r="F16" s="1">
        <f>Tabela5[[#This Row],[Tensão (Pa)]]/1000000</f>
        <v>0.19415631049029541</v>
      </c>
    </row>
    <row r="17" spans="1:6" x14ac:dyDescent="0.3">
      <c r="A17" s="5">
        <v>8.0333000000000006</v>
      </c>
      <c r="B17" s="5">
        <v>0.66135999999999995</v>
      </c>
      <c r="C17" s="1">
        <f>Tabela5[[#This Row],[Alongamento (mm/mm)]]/$I$2</f>
        <v>1.32272E-2</v>
      </c>
      <c r="D17" s="5">
        <v>8.1646999999999998</v>
      </c>
      <c r="E17" s="1">
        <f>Tabela5[[#This Row],[Força (N)]]/$I$5</f>
        <v>194156.31049029541</v>
      </c>
      <c r="F17" s="1">
        <f>Tabela5[[#This Row],[Tensão (Pa)]]/1000000</f>
        <v>0.19415631049029541</v>
      </c>
    </row>
    <row r="18" spans="1:6" x14ac:dyDescent="0.3">
      <c r="A18" s="5">
        <v>8.1</v>
      </c>
      <c r="B18" s="5">
        <v>0.66695000000000004</v>
      </c>
      <c r="C18" s="1">
        <f>Tabela5[[#This Row],[Alongamento (mm/mm)]]/$I$2</f>
        <v>1.3339E-2</v>
      </c>
      <c r="D18" s="5">
        <v>8.3347999999999995</v>
      </c>
      <c r="E18" s="1">
        <f>Tabela5[[#This Row],[Força (N)]]/$I$5</f>
        <v>198201.28316711137</v>
      </c>
      <c r="F18" s="1">
        <f>Tabela5[[#This Row],[Tensão (Pa)]]/1000000</f>
        <v>0.19820128316711136</v>
      </c>
    </row>
    <row r="19" spans="1:6" x14ac:dyDescent="0.3">
      <c r="A19" s="5">
        <v>8.1667000000000005</v>
      </c>
      <c r="B19" s="5">
        <v>0.67252999999999996</v>
      </c>
      <c r="C19" s="1">
        <f>Tabela5[[#This Row],[Alongamento (mm/mm)]]/$I$2</f>
        <v>1.34506E-2</v>
      </c>
      <c r="D19" s="5">
        <v>8.5048999999999992</v>
      </c>
      <c r="E19" s="1">
        <f>Tabela5[[#This Row],[Força (N)]]/$I$5</f>
        <v>202246.2558439273</v>
      </c>
      <c r="F19" s="1">
        <f>Tabela5[[#This Row],[Tensão (Pa)]]/1000000</f>
        <v>0.2022462558439273</v>
      </c>
    </row>
    <row r="20" spans="1:6" x14ac:dyDescent="0.3">
      <c r="A20" s="5">
        <v>8.2332999999999998</v>
      </c>
      <c r="B20" s="5">
        <v>0.67810999999999999</v>
      </c>
      <c r="C20" s="1">
        <f>Tabela5[[#This Row],[Alongamento (mm/mm)]]/$I$2</f>
        <v>1.35622E-2</v>
      </c>
      <c r="D20" s="5">
        <v>8.6750000000000007</v>
      </c>
      <c r="E20" s="1">
        <f>Tabela5[[#This Row],[Força (N)]]/$I$5</f>
        <v>206291.22852074329</v>
      </c>
      <c r="F20" s="1">
        <f>Tabela5[[#This Row],[Tensão (Pa)]]/1000000</f>
        <v>0.20629122852074327</v>
      </c>
    </row>
    <row r="21" spans="1:6" x14ac:dyDescent="0.3">
      <c r="A21" s="5">
        <v>8.3000000000000007</v>
      </c>
      <c r="B21" s="5">
        <v>0.68359999999999999</v>
      </c>
      <c r="C21" s="1">
        <f>Tabela5[[#This Row],[Alongamento (mm/mm)]]/$I$2</f>
        <v>1.3672E-2</v>
      </c>
      <c r="D21" s="5">
        <v>8.6750000000000007</v>
      </c>
      <c r="E21" s="1">
        <f>Tabela5[[#This Row],[Força (N)]]/$I$5</f>
        <v>206291.22852074329</v>
      </c>
      <c r="F21" s="1">
        <f>Tabela5[[#This Row],[Tensão (Pa)]]/1000000</f>
        <v>0.20629122852074327</v>
      </c>
    </row>
    <row r="22" spans="1:6" x14ac:dyDescent="0.3">
      <c r="A22" s="5">
        <v>8.3666999999999998</v>
      </c>
      <c r="B22" s="5">
        <v>0.68918999999999997</v>
      </c>
      <c r="C22" s="1">
        <f>Tabela5[[#This Row],[Alongamento (mm/mm)]]/$I$2</f>
        <v>1.3783799999999999E-2</v>
      </c>
      <c r="D22" s="5">
        <v>8.8451000000000004</v>
      </c>
      <c r="E22" s="1">
        <f>Tabela5[[#This Row],[Força (N)]]/$I$5</f>
        <v>210336.20119755925</v>
      </c>
      <c r="F22" s="1">
        <f>Tabela5[[#This Row],[Tensão (Pa)]]/1000000</f>
        <v>0.21033620119755925</v>
      </c>
    </row>
    <row r="23" spans="1:6" x14ac:dyDescent="0.3">
      <c r="A23" s="5">
        <v>8.4332999999999991</v>
      </c>
      <c r="B23" s="5">
        <v>0.69477</v>
      </c>
      <c r="C23" s="1">
        <f>Tabela5[[#This Row],[Alongamento (mm/mm)]]/$I$2</f>
        <v>1.38954E-2</v>
      </c>
      <c r="D23" s="5">
        <v>8.8451000000000004</v>
      </c>
      <c r="E23" s="1">
        <f>Tabela5[[#This Row],[Força (N)]]/$I$5</f>
        <v>210336.20119755925</v>
      </c>
      <c r="F23" s="1">
        <f>Tabela5[[#This Row],[Tensão (Pa)]]/1000000</f>
        <v>0.21033620119755925</v>
      </c>
    </row>
    <row r="24" spans="1:6" x14ac:dyDescent="0.3">
      <c r="A24" s="5">
        <v>8.5</v>
      </c>
      <c r="B24" s="5">
        <v>0.70025999999999999</v>
      </c>
      <c r="C24" s="1">
        <f>Tabela5[[#This Row],[Alongamento (mm/mm)]]/$I$2</f>
        <v>1.4005200000000001E-2</v>
      </c>
      <c r="D24" s="5">
        <v>9.0152000000000001</v>
      </c>
      <c r="E24" s="1">
        <f>Tabela5[[#This Row],[Força (N)]]/$I$5</f>
        <v>214381.17387437521</v>
      </c>
      <c r="F24" s="1">
        <f>Tabela5[[#This Row],[Tensão (Pa)]]/1000000</f>
        <v>0.21438117387437522</v>
      </c>
    </row>
    <row r="25" spans="1:6" x14ac:dyDescent="0.3">
      <c r="A25" s="5">
        <v>8.5667000000000009</v>
      </c>
      <c r="B25" s="5">
        <v>0.70584000000000002</v>
      </c>
      <c r="C25" s="1">
        <f>Tabela5[[#This Row],[Alongamento (mm/mm)]]/$I$2</f>
        <v>1.4116800000000001E-2</v>
      </c>
      <c r="D25" s="5">
        <v>9.0152000000000001</v>
      </c>
      <c r="E25" s="1">
        <f>Tabela5[[#This Row],[Força (N)]]/$I$5</f>
        <v>214381.17387437521</v>
      </c>
      <c r="F25" s="1">
        <f>Tabela5[[#This Row],[Tensão (Pa)]]/1000000</f>
        <v>0.21438117387437522</v>
      </c>
    </row>
    <row r="26" spans="1:6" x14ac:dyDescent="0.3">
      <c r="A26" s="5">
        <v>8.6333000000000002</v>
      </c>
      <c r="B26" s="5">
        <v>0.71133999999999997</v>
      </c>
      <c r="C26" s="1">
        <f>Tabela5[[#This Row],[Alongamento (mm/mm)]]/$I$2</f>
        <v>1.42268E-2</v>
      </c>
      <c r="D26" s="5">
        <v>9.0152000000000001</v>
      </c>
      <c r="E26" s="1">
        <f>Tabela5[[#This Row],[Força (N)]]/$I$5</f>
        <v>214381.17387437521</v>
      </c>
      <c r="F26" s="1">
        <f>Tabela5[[#This Row],[Tensão (Pa)]]/1000000</f>
        <v>0.21438117387437522</v>
      </c>
    </row>
    <row r="27" spans="1:6" x14ac:dyDescent="0.3">
      <c r="A27" s="5">
        <v>8.6999999999999993</v>
      </c>
      <c r="B27" s="5">
        <v>0.71692</v>
      </c>
      <c r="C27" s="1">
        <f>Tabela5[[#This Row],[Alongamento (mm/mm)]]/$I$2</f>
        <v>1.4338399999999999E-2</v>
      </c>
      <c r="D27" s="5">
        <v>9.0152000000000001</v>
      </c>
      <c r="E27" s="1">
        <f>Tabela5[[#This Row],[Força (N)]]/$I$5</f>
        <v>214381.17387437521</v>
      </c>
      <c r="F27" s="1">
        <f>Tabela5[[#This Row],[Tensão (Pa)]]/1000000</f>
        <v>0.21438117387437522</v>
      </c>
    </row>
    <row r="28" spans="1:6" x14ac:dyDescent="0.3">
      <c r="A28" s="5">
        <v>8.7667000000000002</v>
      </c>
      <c r="B28" s="5">
        <v>0.72250000000000003</v>
      </c>
      <c r="C28" s="1">
        <f>Tabela5[[#This Row],[Alongamento (mm/mm)]]/$I$2</f>
        <v>1.4450000000000001E-2</v>
      </c>
      <c r="D28" s="5">
        <v>9.0152000000000001</v>
      </c>
      <c r="E28" s="1">
        <f>Tabela5[[#This Row],[Força (N)]]/$I$5</f>
        <v>214381.17387437521</v>
      </c>
      <c r="F28" s="1">
        <f>Tabela5[[#This Row],[Tensão (Pa)]]/1000000</f>
        <v>0.21438117387437522</v>
      </c>
    </row>
    <row r="29" spans="1:6" x14ac:dyDescent="0.3">
      <c r="A29" s="5">
        <v>8.85</v>
      </c>
      <c r="B29" s="5">
        <v>0.72948000000000002</v>
      </c>
      <c r="C29" s="1">
        <f>Tabela5[[#This Row],[Alongamento (mm/mm)]]/$I$2</f>
        <v>1.4589600000000001E-2</v>
      </c>
      <c r="D29" s="5">
        <v>9.0152000000000001</v>
      </c>
      <c r="E29" s="1">
        <f>Tabela5[[#This Row],[Força (N)]]/$I$5</f>
        <v>214381.17387437521</v>
      </c>
      <c r="F29" s="1">
        <f>Tabela5[[#This Row],[Tensão (Pa)]]/1000000</f>
        <v>0.21438117387437522</v>
      </c>
    </row>
    <row r="30" spans="1:6" x14ac:dyDescent="0.3">
      <c r="A30" s="5">
        <v>8.9332999999999991</v>
      </c>
      <c r="B30" s="5">
        <v>0.73646</v>
      </c>
      <c r="C30" s="1">
        <f>Tabela5[[#This Row],[Alongamento (mm/mm)]]/$I$2</f>
        <v>1.47292E-2</v>
      </c>
      <c r="D30" s="5">
        <v>9.0152000000000001</v>
      </c>
      <c r="E30" s="1">
        <f>Tabela5[[#This Row],[Força (N)]]/$I$5</f>
        <v>214381.17387437521</v>
      </c>
      <c r="F30" s="1">
        <f>Tabela5[[#This Row],[Tensão (Pa)]]/1000000</f>
        <v>0.21438117387437522</v>
      </c>
    </row>
    <row r="31" spans="1:6" x14ac:dyDescent="0.3">
      <c r="A31" s="5">
        <v>9.0167000000000002</v>
      </c>
      <c r="B31" s="5">
        <v>0.74334999999999996</v>
      </c>
      <c r="C31" s="1">
        <f>Tabela5[[#This Row],[Alongamento (mm/mm)]]/$I$2</f>
        <v>1.4866999999999998E-2</v>
      </c>
      <c r="D31" s="5">
        <v>9.1852999999999998</v>
      </c>
      <c r="E31" s="1">
        <f>Tabela5[[#This Row],[Força (N)]]/$I$5</f>
        <v>218426.14655119114</v>
      </c>
      <c r="F31" s="1">
        <f>Tabela5[[#This Row],[Tensão (Pa)]]/1000000</f>
        <v>0.21842614655119114</v>
      </c>
    </row>
    <row r="32" spans="1:6" x14ac:dyDescent="0.3">
      <c r="A32" s="5">
        <v>9.1</v>
      </c>
      <c r="B32" s="5">
        <v>0.75022999999999995</v>
      </c>
      <c r="C32" s="1">
        <f>Tabela5[[#This Row],[Alongamento (mm/mm)]]/$I$2</f>
        <v>1.50046E-2</v>
      </c>
      <c r="D32" s="5">
        <v>9.1852999999999998</v>
      </c>
      <c r="E32" s="1">
        <f>Tabela5[[#This Row],[Força (N)]]/$I$5</f>
        <v>218426.14655119114</v>
      </c>
      <c r="F32" s="1">
        <f>Tabela5[[#This Row],[Tensão (Pa)]]/1000000</f>
        <v>0.21842614655119114</v>
      </c>
    </row>
    <row r="33" spans="1:6" x14ac:dyDescent="0.3">
      <c r="A33" s="5">
        <v>9.1832999999999991</v>
      </c>
      <c r="B33" s="5">
        <v>0.75721000000000005</v>
      </c>
      <c r="C33" s="1">
        <f>Tabela5[[#This Row],[Alongamento (mm/mm)]]/$I$2</f>
        <v>1.5144200000000002E-2</v>
      </c>
      <c r="D33" s="5">
        <v>9.1852999999999998</v>
      </c>
      <c r="E33" s="1">
        <f>Tabela5[[#This Row],[Força (N)]]/$I$5</f>
        <v>218426.14655119114</v>
      </c>
      <c r="F33" s="1">
        <f>Tabela5[[#This Row],[Tensão (Pa)]]/1000000</f>
        <v>0.21842614655119114</v>
      </c>
    </row>
    <row r="34" spans="1:6" x14ac:dyDescent="0.3">
      <c r="A34" s="5">
        <v>9.2667000000000002</v>
      </c>
      <c r="B34" s="5">
        <v>0.7641</v>
      </c>
      <c r="C34" s="1">
        <f>Tabela5[[#This Row],[Alongamento (mm/mm)]]/$I$2</f>
        <v>1.5282E-2</v>
      </c>
      <c r="D34" s="5">
        <v>9.1852999999999998</v>
      </c>
      <c r="E34" s="1">
        <f>Tabela5[[#This Row],[Força (N)]]/$I$5</f>
        <v>218426.14655119114</v>
      </c>
      <c r="F34" s="1">
        <f>Tabela5[[#This Row],[Tensão (Pa)]]/1000000</f>
        <v>0.21842614655119114</v>
      </c>
    </row>
    <row r="35" spans="1:6" x14ac:dyDescent="0.3">
      <c r="A35" s="5">
        <v>9.35</v>
      </c>
      <c r="B35" s="5">
        <v>0.77117000000000002</v>
      </c>
      <c r="C35" s="1">
        <f>Tabela5[[#This Row],[Alongamento (mm/mm)]]/$I$2</f>
        <v>1.54234E-2</v>
      </c>
      <c r="D35" s="5">
        <v>9.1852999999999998</v>
      </c>
      <c r="E35" s="1">
        <f>Tabela5[[#This Row],[Força (N)]]/$I$5</f>
        <v>218426.14655119114</v>
      </c>
      <c r="F35" s="1">
        <f>Tabela5[[#This Row],[Tensão (Pa)]]/1000000</f>
        <v>0.21842614655119114</v>
      </c>
    </row>
    <row r="36" spans="1:6" x14ac:dyDescent="0.3">
      <c r="A36" s="5">
        <v>9.4332999999999991</v>
      </c>
      <c r="B36" s="5">
        <v>0.77805999999999997</v>
      </c>
      <c r="C36" s="1">
        <f>Tabela5[[#This Row],[Alongamento (mm/mm)]]/$I$2</f>
        <v>1.5561199999999999E-2</v>
      </c>
      <c r="D36" s="5">
        <v>9.1852999999999998</v>
      </c>
      <c r="E36" s="1">
        <f>Tabela5[[#This Row],[Força (N)]]/$I$5</f>
        <v>218426.14655119114</v>
      </c>
      <c r="F36" s="1">
        <f>Tabela5[[#This Row],[Tensão (Pa)]]/1000000</f>
        <v>0.21842614655119114</v>
      </c>
    </row>
    <row r="37" spans="1:6" x14ac:dyDescent="0.3">
      <c r="A37" s="5">
        <v>9.5167000000000002</v>
      </c>
      <c r="B37" s="5">
        <v>0.78503999999999996</v>
      </c>
      <c r="C37" s="1">
        <f>Tabela5[[#This Row],[Alongamento (mm/mm)]]/$I$2</f>
        <v>1.5700800000000001E-2</v>
      </c>
      <c r="D37" s="5">
        <v>9.3553999999999995</v>
      </c>
      <c r="E37" s="1">
        <f>Tabela5[[#This Row],[Força (N)]]/$I$5</f>
        <v>222471.1192280071</v>
      </c>
      <c r="F37" s="1">
        <f>Tabela5[[#This Row],[Tensão (Pa)]]/1000000</f>
        <v>0.22247111922800711</v>
      </c>
    </row>
    <row r="38" spans="1:6" x14ac:dyDescent="0.3">
      <c r="A38" s="5">
        <v>9.6</v>
      </c>
      <c r="B38" s="5">
        <v>0.79191999999999996</v>
      </c>
      <c r="C38" s="1">
        <f>Tabela5[[#This Row],[Alongamento (mm/mm)]]/$I$2</f>
        <v>1.5838399999999999E-2</v>
      </c>
      <c r="D38" s="5">
        <v>9.3553999999999995</v>
      </c>
      <c r="E38" s="1">
        <f>Tabela5[[#This Row],[Força (N)]]/$I$5</f>
        <v>222471.1192280071</v>
      </c>
      <c r="F38" s="1">
        <f>Tabela5[[#This Row],[Tensão (Pa)]]/1000000</f>
        <v>0.22247111922800711</v>
      </c>
    </row>
    <row r="39" spans="1:6" x14ac:dyDescent="0.3">
      <c r="A39" s="5">
        <v>9.6832999999999991</v>
      </c>
      <c r="B39" s="5">
        <v>0.79890000000000005</v>
      </c>
      <c r="C39" s="1">
        <f>Tabela5[[#This Row],[Alongamento (mm/mm)]]/$I$2</f>
        <v>1.5978000000000003E-2</v>
      </c>
      <c r="D39" s="5">
        <v>9.3553999999999995</v>
      </c>
      <c r="E39" s="1">
        <f>Tabela5[[#This Row],[Força (N)]]/$I$5</f>
        <v>222471.1192280071</v>
      </c>
      <c r="F39" s="1">
        <f>Tabela5[[#This Row],[Tensão (Pa)]]/1000000</f>
        <v>0.22247111922800711</v>
      </c>
    </row>
    <row r="40" spans="1:6" x14ac:dyDescent="0.3">
      <c r="A40" s="5">
        <v>9.7667000000000002</v>
      </c>
      <c r="B40" s="5">
        <v>0.80579000000000001</v>
      </c>
      <c r="C40" s="1">
        <f>Tabela5[[#This Row],[Alongamento (mm/mm)]]/$I$2</f>
        <v>1.61158E-2</v>
      </c>
      <c r="D40" s="5">
        <v>9.5254999999999992</v>
      </c>
      <c r="E40" s="1">
        <f>Tabela5[[#This Row],[Força (N)]]/$I$5</f>
        <v>226516.09190482306</v>
      </c>
      <c r="F40" s="1">
        <f>Tabela5[[#This Row],[Tensão (Pa)]]/1000000</f>
        <v>0.22651609190482305</v>
      </c>
    </row>
    <row r="41" spans="1:6" x14ac:dyDescent="0.3">
      <c r="A41" s="5">
        <v>9.85</v>
      </c>
      <c r="B41" s="5">
        <v>0.81276999999999999</v>
      </c>
      <c r="C41" s="1">
        <f>Tabela5[[#This Row],[Alongamento (mm/mm)]]/$I$2</f>
        <v>1.62554E-2</v>
      </c>
      <c r="D41" s="5">
        <v>9.5254999999999992</v>
      </c>
      <c r="E41" s="1">
        <f>Tabela5[[#This Row],[Força (N)]]/$I$5</f>
        <v>226516.09190482306</v>
      </c>
      <c r="F41" s="1">
        <f>Tabela5[[#This Row],[Tensão (Pa)]]/1000000</f>
        <v>0.22651609190482305</v>
      </c>
    </row>
    <row r="42" spans="1:6" x14ac:dyDescent="0.3">
      <c r="A42" s="5">
        <v>9.9332999999999991</v>
      </c>
      <c r="B42" s="5">
        <v>0.81964999999999999</v>
      </c>
      <c r="C42" s="1">
        <f>Tabela5[[#This Row],[Alongamento (mm/mm)]]/$I$2</f>
        <v>1.6393000000000001E-2</v>
      </c>
      <c r="D42" s="5">
        <v>9.6956000000000007</v>
      </c>
      <c r="E42" s="1">
        <f>Tabela5[[#This Row],[Força (N)]]/$I$5</f>
        <v>230561.06458163905</v>
      </c>
      <c r="F42" s="1">
        <f>Tabela5[[#This Row],[Tensão (Pa)]]/1000000</f>
        <v>0.23056106458163905</v>
      </c>
    </row>
    <row r="43" spans="1:6" x14ac:dyDescent="0.3">
      <c r="A43" s="5">
        <v>10.016999999999999</v>
      </c>
      <c r="B43" s="5">
        <v>0.82662999999999998</v>
      </c>
      <c r="C43" s="1">
        <f>Tabela5[[#This Row],[Alongamento (mm/mm)]]/$I$2</f>
        <v>1.6532599999999998E-2</v>
      </c>
      <c r="D43" s="5">
        <v>9.6956000000000007</v>
      </c>
      <c r="E43" s="1">
        <f>Tabela5[[#This Row],[Força (N)]]/$I$5</f>
        <v>230561.06458163905</v>
      </c>
      <c r="F43" s="1">
        <f>Tabela5[[#This Row],[Tensão (Pa)]]/1000000</f>
        <v>0.23056106458163905</v>
      </c>
    </row>
    <row r="44" spans="1:6" x14ac:dyDescent="0.3">
      <c r="A44" s="5">
        <v>10.1</v>
      </c>
      <c r="B44" s="5">
        <v>0.83360999999999996</v>
      </c>
      <c r="C44" s="1">
        <f>Tabela5[[#This Row],[Alongamento (mm/mm)]]/$I$2</f>
        <v>1.6672199999999998E-2</v>
      </c>
      <c r="D44" s="5">
        <v>9.6956000000000007</v>
      </c>
      <c r="E44" s="1">
        <f>Tabela5[[#This Row],[Força (N)]]/$I$5</f>
        <v>230561.06458163905</v>
      </c>
      <c r="F44" s="1">
        <f>Tabela5[[#This Row],[Tensão (Pa)]]/1000000</f>
        <v>0.23056106458163905</v>
      </c>
    </row>
    <row r="45" spans="1:6" x14ac:dyDescent="0.3">
      <c r="A45" s="5">
        <v>10.183</v>
      </c>
      <c r="B45" s="5">
        <v>0.84050000000000002</v>
      </c>
      <c r="C45" s="1">
        <f>Tabela5[[#This Row],[Alongamento (mm/mm)]]/$I$2</f>
        <v>1.6810000000000002E-2</v>
      </c>
      <c r="D45" s="5">
        <v>9.6956000000000007</v>
      </c>
      <c r="E45" s="1">
        <f>Tabela5[[#This Row],[Força (N)]]/$I$5</f>
        <v>230561.06458163905</v>
      </c>
      <c r="F45" s="1">
        <f>Tabela5[[#This Row],[Tensão (Pa)]]/1000000</f>
        <v>0.23056106458163905</v>
      </c>
    </row>
    <row r="46" spans="1:6" x14ac:dyDescent="0.3">
      <c r="A46" s="5">
        <v>10.266999999999999</v>
      </c>
      <c r="B46" s="5">
        <v>0.84748000000000001</v>
      </c>
      <c r="C46" s="1">
        <f>Tabela5[[#This Row],[Alongamento (mm/mm)]]/$I$2</f>
        <v>1.6949599999999999E-2</v>
      </c>
      <c r="D46" s="5">
        <v>9.6956000000000007</v>
      </c>
      <c r="E46" s="1">
        <f>Tabela5[[#This Row],[Força (N)]]/$I$5</f>
        <v>230561.06458163905</v>
      </c>
      <c r="F46" s="1">
        <f>Tabela5[[#This Row],[Tensão (Pa)]]/1000000</f>
        <v>0.23056106458163905</v>
      </c>
    </row>
    <row r="47" spans="1:6" x14ac:dyDescent="0.3">
      <c r="A47" s="5">
        <v>10.35</v>
      </c>
      <c r="B47" s="5">
        <v>0.85446</v>
      </c>
      <c r="C47" s="1">
        <f>Tabela5[[#This Row],[Alongamento (mm/mm)]]/$I$2</f>
        <v>1.7089199999999999E-2</v>
      </c>
      <c r="D47" s="5">
        <v>9.6956000000000007</v>
      </c>
      <c r="E47" s="1">
        <f>Tabela5[[#This Row],[Força (N)]]/$I$5</f>
        <v>230561.06458163905</v>
      </c>
      <c r="F47" s="1">
        <f>Tabela5[[#This Row],[Tensão (Pa)]]/1000000</f>
        <v>0.23056106458163905</v>
      </c>
    </row>
    <row r="48" spans="1:6" x14ac:dyDescent="0.3">
      <c r="A48" s="5">
        <v>10.433</v>
      </c>
      <c r="B48" s="5">
        <v>0.86133999999999999</v>
      </c>
      <c r="C48" s="1">
        <f>Tabela5[[#This Row],[Alongamento (mm/mm)]]/$I$2</f>
        <v>1.72268E-2</v>
      </c>
      <c r="D48" s="5">
        <v>9.6956000000000007</v>
      </c>
      <c r="E48" s="1">
        <f>Tabela5[[#This Row],[Força (N)]]/$I$5</f>
        <v>230561.06458163905</v>
      </c>
      <c r="F48" s="1">
        <f>Tabela5[[#This Row],[Tensão (Pa)]]/1000000</f>
        <v>0.23056106458163905</v>
      </c>
    </row>
    <row r="49" spans="1:6" x14ac:dyDescent="0.3">
      <c r="A49" s="5">
        <v>10.516999999999999</v>
      </c>
      <c r="B49" s="5">
        <v>0.86831999999999998</v>
      </c>
      <c r="C49" s="1">
        <f>Tabela5[[#This Row],[Alongamento (mm/mm)]]/$I$2</f>
        <v>1.7366400000000001E-2</v>
      </c>
      <c r="D49" s="5">
        <v>9.6956000000000007</v>
      </c>
      <c r="E49" s="1">
        <f>Tabela5[[#This Row],[Força (N)]]/$I$5</f>
        <v>230561.06458163905</v>
      </c>
      <c r="F49" s="1">
        <f>Tabela5[[#This Row],[Tensão (Pa)]]/1000000</f>
        <v>0.23056106458163905</v>
      </c>
    </row>
    <row r="50" spans="1:6" x14ac:dyDescent="0.3">
      <c r="A50" s="5">
        <v>10.6</v>
      </c>
      <c r="B50" s="5">
        <v>0.87529999999999997</v>
      </c>
      <c r="C50" s="1">
        <f>Tabela5[[#This Row],[Alongamento (mm/mm)]]/$I$2</f>
        <v>1.7506000000000001E-2</v>
      </c>
      <c r="D50" s="5">
        <v>9.6956000000000007</v>
      </c>
      <c r="E50" s="1">
        <f>Tabela5[[#This Row],[Força (N)]]/$I$5</f>
        <v>230561.06458163905</v>
      </c>
      <c r="F50" s="1">
        <f>Tabela5[[#This Row],[Tensão (Pa)]]/1000000</f>
        <v>0.23056106458163905</v>
      </c>
    </row>
    <row r="51" spans="1:6" x14ac:dyDescent="0.3">
      <c r="A51" s="5">
        <v>10.683</v>
      </c>
      <c r="B51" s="5">
        <v>0.88219000000000003</v>
      </c>
      <c r="C51" s="1">
        <f>Tabela5[[#This Row],[Alongamento (mm/mm)]]/$I$2</f>
        <v>1.7643800000000001E-2</v>
      </c>
      <c r="D51" s="5">
        <v>9.5254999999999992</v>
      </c>
      <c r="E51" s="1">
        <f>Tabela5[[#This Row],[Força (N)]]/$I$5</f>
        <v>226516.09190482306</v>
      </c>
      <c r="F51" s="1">
        <f>Tabela5[[#This Row],[Tensão (Pa)]]/1000000</f>
        <v>0.22651609190482305</v>
      </c>
    </row>
    <row r="52" spans="1:6" x14ac:dyDescent="0.3">
      <c r="A52" s="5">
        <v>10.766999999999999</v>
      </c>
      <c r="B52" s="5">
        <v>0.88917000000000002</v>
      </c>
      <c r="C52" s="1">
        <f>Tabela5[[#This Row],[Alongamento (mm/mm)]]/$I$2</f>
        <v>1.7783400000000001E-2</v>
      </c>
      <c r="D52" s="5">
        <v>9.5254999999999992</v>
      </c>
      <c r="E52" s="1">
        <f>Tabela5[[#This Row],[Força (N)]]/$I$5</f>
        <v>226516.09190482306</v>
      </c>
      <c r="F52" s="1">
        <f>Tabela5[[#This Row],[Tensão (Pa)]]/1000000</f>
        <v>0.22651609190482305</v>
      </c>
    </row>
    <row r="53" spans="1:6" x14ac:dyDescent="0.3">
      <c r="A53" s="5">
        <v>10.85</v>
      </c>
      <c r="B53" s="5">
        <v>0.89615</v>
      </c>
      <c r="C53" s="1">
        <f>Tabela5[[#This Row],[Alongamento (mm/mm)]]/$I$2</f>
        <v>1.7923000000000001E-2</v>
      </c>
      <c r="D53" s="5">
        <v>9.5254999999999992</v>
      </c>
      <c r="E53" s="1">
        <f>Tabela5[[#This Row],[Força (N)]]/$I$5</f>
        <v>226516.09190482306</v>
      </c>
      <c r="F53" s="1">
        <f>Tabela5[[#This Row],[Tensão (Pa)]]/1000000</f>
        <v>0.22651609190482305</v>
      </c>
    </row>
    <row r="54" spans="1:6" x14ac:dyDescent="0.3">
      <c r="A54" s="5">
        <v>10.95</v>
      </c>
      <c r="B54" s="5">
        <v>0.90442999999999996</v>
      </c>
      <c r="C54" s="1">
        <f>Tabela5[[#This Row],[Alongamento (mm/mm)]]/$I$2</f>
        <v>1.80886E-2</v>
      </c>
      <c r="D54" s="5">
        <v>9.5254999999999992</v>
      </c>
      <c r="E54" s="1">
        <f>Tabela5[[#This Row],[Força (N)]]/$I$5</f>
        <v>226516.09190482306</v>
      </c>
      <c r="F54" s="1">
        <f>Tabela5[[#This Row],[Tensão (Pa)]]/1000000</f>
        <v>0.22651609190482305</v>
      </c>
    </row>
    <row r="55" spans="1:6" x14ac:dyDescent="0.3">
      <c r="A55" s="5">
        <v>11.032999999999999</v>
      </c>
      <c r="B55" s="5">
        <v>0.91141000000000005</v>
      </c>
      <c r="C55" s="1">
        <f>Tabela5[[#This Row],[Alongamento (mm/mm)]]/$I$2</f>
        <v>1.82282E-2</v>
      </c>
      <c r="D55" s="5">
        <v>9.5254999999999992</v>
      </c>
      <c r="E55" s="1">
        <f>Tabela5[[#This Row],[Força (N)]]/$I$5</f>
        <v>226516.09190482306</v>
      </c>
      <c r="F55" s="1">
        <f>Tabela5[[#This Row],[Tensão (Pa)]]/1000000</f>
        <v>0.22651609190482305</v>
      </c>
    </row>
    <row r="56" spans="1:6" x14ac:dyDescent="0.3">
      <c r="A56" s="5">
        <v>11.132999999999999</v>
      </c>
      <c r="B56" s="5">
        <v>0.91979</v>
      </c>
      <c r="C56" s="1">
        <f>Tabela5[[#This Row],[Alongamento (mm/mm)]]/$I$2</f>
        <v>1.83958E-2</v>
      </c>
      <c r="D56" s="5">
        <v>9.5254999999999992</v>
      </c>
      <c r="E56" s="1">
        <f>Tabela5[[#This Row],[Força (N)]]/$I$5</f>
        <v>226516.09190482306</v>
      </c>
      <c r="F56" s="1">
        <f>Tabela5[[#This Row],[Tensão (Pa)]]/1000000</f>
        <v>0.22651609190482305</v>
      </c>
    </row>
    <row r="57" spans="1:6" x14ac:dyDescent="0.3">
      <c r="A57" s="5">
        <v>11.233000000000001</v>
      </c>
      <c r="B57" s="5">
        <v>0.92806999999999995</v>
      </c>
      <c r="C57" s="1">
        <f>Tabela5[[#This Row],[Alongamento (mm/mm)]]/$I$2</f>
        <v>1.8561399999999999E-2</v>
      </c>
      <c r="D57" s="5">
        <v>9.5254999999999992</v>
      </c>
      <c r="E57" s="1">
        <f>Tabela5[[#This Row],[Força (N)]]/$I$5</f>
        <v>226516.09190482306</v>
      </c>
      <c r="F57" s="1">
        <f>Tabela5[[#This Row],[Tensão (Pa)]]/1000000</f>
        <v>0.22651609190482305</v>
      </c>
    </row>
    <row r="58" spans="1:6" x14ac:dyDescent="0.3">
      <c r="A58" s="5">
        <v>11.333</v>
      </c>
      <c r="B58" s="5">
        <v>0.93635000000000002</v>
      </c>
      <c r="C58" s="1">
        <f>Tabela5[[#This Row],[Alongamento (mm/mm)]]/$I$2</f>
        <v>1.8727000000000001E-2</v>
      </c>
      <c r="D58" s="5">
        <v>9.5254999999999992</v>
      </c>
      <c r="E58" s="1">
        <f>Tabela5[[#This Row],[Força (N)]]/$I$5</f>
        <v>226516.09190482306</v>
      </c>
      <c r="F58" s="1">
        <f>Tabela5[[#This Row],[Tensão (Pa)]]/1000000</f>
        <v>0.22651609190482305</v>
      </c>
    </row>
    <row r="59" spans="1:6" x14ac:dyDescent="0.3">
      <c r="A59" s="5">
        <v>11.433</v>
      </c>
      <c r="B59" s="5">
        <v>0.94462999999999997</v>
      </c>
      <c r="C59" s="1">
        <f>Tabela5[[#This Row],[Alongamento (mm/mm)]]/$I$2</f>
        <v>1.8892599999999999E-2</v>
      </c>
      <c r="D59" s="5">
        <v>9.6956000000000007</v>
      </c>
      <c r="E59" s="1">
        <f>Tabela5[[#This Row],[Força (N)]]/$I$5</f>
        <v>230561.06458163905</v>
      </c>
      <c r="F59" s="1">
        <f>Tabela5[[#This Row],[Tensão (Pa)]]/1000000</f>
        <v>0.23056106458163905</v>
      </c>
    </row>
    <row r="60" spans="1:6" x14ac:dyDescent="0.3">
      <c r="A60" s="5">
        <v>11.532999999999999</v>
      </c>
      <c r="B60" s="5">
        <v>0.95309999999999995</v>
      </c>
      <c r="C60" s="1">
        <f>Tabela5[[#This Row],[Alongamento (mm/mm)]]/$I$2</f>
        <v>1.9061999999999999E-2</v>
      </c>
      <c r="D60" s="5">
        <v>9.6956000000000007</v>
      </c>
      <c r="E60" s="1">
        <f>Tabela5[[#This Row],[Força (N)]]/$I$5</f>
        <v>230561.06458163905</v>
      </c>
      <c r="F60" s="1">
        <f>Tabela5[[#This Row],[Tensão (Pa)]]/1000000</f>
        <v>0.23056106458163905</v>
      </c>
    </row>
    <row r="61" spans="1:6" x14ac:dyDescent="0.3">
      <c r="A61" s="5">
        <v>11.632999999999999</v>
      </c>
      <c r="B61" s="5">
        <v>0.96138000000000001</v>
      </c>
      <c r="C61" s="1">
        <f>Tabela5[[#This Row],[Alongamento (mm/mm)]]/$I$2</f>
        <v>1.9227600000000001E-2</v>
      </c>
      <c r="D61" s="5">
        <v>9.6956000000000007</v>
      </c>
      <c r="E61" s="1">
        <f>Tabela5[[#This Row],[Força (N)]]/$I$5</f>
        <v>230561.06458163905</v>
      </c>
      <c r="F61" s="1">
        <f>Tabela5[[#This Row],[Tensão (Pa)]]/1000000</f>
        <v>0.23056106458163905</v>
      </c>
    </row>
    <row r="62" spans="1:6" x14ac:dyDescent="0.3">
      <c r="A62" s="5">
        <v>11.733000000000001</v>
      </c>
      <c r="B62" s="5">
        <v>0.96975999999999996</v>
      </c>
      <c r="C62" s="1">
        <f>Tabela5[[#This Row],[Alongamento (mm/mm)]]/$I$2</f>
        <v>1.9395199999999998E-2</v>
      </c>
      <c r="D62" s="5">
        <v>9.6956000000000007</v>
      </c>
      <c r="E62" s="1">
        <f>Tabela5[[#This Row],[Força (N)]]/$I$5</f>
        <v>230561.06458163905</v>
      </c>
      <c r="F62" s="1">
        <f>Tabela5[[#This Row],[Tensão (Pa)]]/1000000</f>
        <v>0.23056106458163905</v>
      </c>
    </row>
    <row r="63" spans="1:6" x14ac:dyDescent="0.3">
      <c r="A63" s="5">
        <v>11.833</v>
      </c>
      <c r="B63" s="5">
        <v>0.97804000000000002</v>
      </c>
      <c r="C63" s="1">
        <f>Tabela5[[#This Row],[Alongamento (mm/mm)]]/$I$2</f>
        <v>1.95608E-2</v>
      </c>
      <c r="D63" s="5">
        <v>9.8657000000000004</v>
      </c>
      <c r="E63" s="1">
        <f>Tabela5[[#This Row],[Força (N)]]/$I$5</f>
        <v>234606.03725845501</v>
      </c>
      <c r="F63" s="1">
        <f>Tabela5[[#This Row],[Tensão (Pa)]]/1000000</f>
        <v>0.234606037258455</v>
      </c>
    </row>
    <row r="64" spans="1:6" x14ac:dyDescent="0.3">
      <c r="A64" s="5">
        <v>11.933</v>
      </c>
      <c r="B64" s="5">
        <v>0.98641000000000001</v>
      </c>
      <c r="C64" s="1">
        <f>Tabela5[[#This Row],[Alongamento (mm/mm)]]/$I$2</f>
        <v>1.9728200000000001E-2</v>
      </c>
      <c r="D64" s="5">
        <v>9.8657000000000004</v>
      </c>
      <c r="E64" s="1">
        <f>Tabela5[[#This Row],[Força (N)]]/$I$5</f>
        <v>234606.03725845501</v>
      </c>
      <c r="F64" s="1">
        <f>Tabela5[[#This Row],[Tensão (Pa)]]/1000000</f>
        <v>0.234606037258455</v>
      </c>
    </row>
    <row r="65" spans="1:6" x14ac:dyDescent="0.3">
      <c r="A65" s="5">
        <v>12.032999999999999</v>
      </c>
      <c r="B65" s="5">
        <v>0.99478999999999995</v>
      </c>
      <c r="C65" s="1">
        <f>Tabela5[[#This Row],[Alongamento (mm/mm)]]/$I$2</f>
        <v>1.9895799999999998E-2</v>
      </c>
      <c r="D65" s="5">
        <v>9.8657000000000004</v>
      </c>
      <c r="E65" s="1">
        <f>Tabela5[[#This Row],[Força (N)]]/$I$5</f>
        <v>234606.03725845501</v>
      </c>
      <c r="F65" s="1">
        <f>Tabela5[[#This Row],[Tensão (Pa)]]/1000000</f>
        <v>0.234606037258455</v>
      </c>
    </row>
    <row r="66" spans="1:6" x14ac:dyDescent="0.3">
      <c r="A66" s="5">
        <v>12.132999999999999</v>
      </c>
      <c r="B66" s="5">
        <v>1.0031000000000001</v>
      </c>
      <c r="C66" s="1">
        <f>Tabela5[[#This Row],[Alongamento (mm/mm)]]/$I$2</f>
        <v>2.0062000000000003E-2</v>
      </c>
      <c r="D66" s="5">
        <v>9.8657000000000004</v>
      </c>
      <c r="E66" s="1">
        <f>Tabela5[[#This Row],[Força (N)]]/$I$5</f>
        <v>234606.03725845501</v>
      </c>
      <c r="F66" s="1">
        <f>Tabela5[[#This Row],[Tensão (Pa)]]/1000000</f>
        <v>0.234606037258455</v>
      </c>
    </row>
    <row r="67" spans="1:6" x14ac:dyDescent="0.3">
      <c r="A67" s="5">
        <v>12.233000000000001</v>
      </c>
      <c r="B67" s="5">
        <v>1.0114000000000001</v>
      </c>
      <c r="C67" s="1">
        <f>Tabela5[[#This Row],[Alongamento (mm/mm)]]/$I$2</f>
        <v>2.0228000000000003E-2</v>
      </c>
      <c r="D67" s="5">
        <v>9.8657000000000004</v>
      </c>
      <c r="E67" s="1">
        <f>Tabela5[[#This Row],[Força (N)]]/$I$5</f>
        <v>234606.03725845501</v>
      </c>
      <c r="F67" s="1">
        <f>Tabela5[[#This Row],[Tensão (Pa)]]/1000000</f>
        <v>0.234606037258455</v>
      </c>
    </row>
    <row r="68" spans="1:6" x14ac:dyDescent="0.3">
      <c r="A68" s="5">
        <v>12.333</v>
      </c>
      <c r="B68" s="5">
        <v>1.0197000000000001</v>
      </c>
      <c r="C68" s="1">
        <f>Tabela5[[#This Row],[Alongamento (mm/mm)]]/$I$2</f>
        <v>2.0394000000000002E-2</v>
      </c>
      <c r="D68" s="5">
        <v>9.8657000000000004</v>
      </c>
      <c r="E68" s="1">
        <f>Tabela5[[#This Row],[Força (N)]]/$I$5</f>
        <v>234606.03725845501</v>
      </c>
      <c r="F68" s="1">
        <f>Tabela5[[#This Row],[Tensão (Pa)]]/1000000</f>
        <v>0.234606037258455</v>
      </c>
    </row>
    <row r="69" spans="1:6" x14ac:dyDescent="0.3">
      <c r="A69" s="5">
        <v>12.433</v>
      </c>
      <c r="B69" s="5">
        <v>1.028</v>
      </c>
      <c r="C69" s="1">
        <f>Tabela5[[#This Row],[Alongamento (mm/mm)]]/$I$2</f>
        <v>2.0560000000000002E-2</v>
      </c>
      <c r="D69" s="5">
        <v>10.036</v>
      </c>
      <c r="E69" s="1">
        <f>Tabela5[[#This Row],[Força (N)]]/$I$5</f>
        <v>238655.76592901204</v>
      </c>
      <c r="F69" s="1">
        <f>Tabela5[[#This Row],[Tensão (Pa)]]/1000000</f>
        <v>0.23865576592901203</v>
      </c>
    </row>
    <row r="70" spans="1:6" x14ac:dyDescent="0.3">
      <c r="A70" s="5">
        <v>12.532999999999999</v>
      </c>
      <c r="B70" s="5">
        <v>1.0364</v>
      </c>
      <c r="C70" s="1">
        <f>Tabela5[[#This Row],[Alongamento (mm/mm)]]/$I$2</f>
        <v>2.0728E-2</v>
      </c>
      <c r="D70" s="5">
        <v>10.206</v>
      </c>
      <c r="E70" s="1">
        <f>Tabela5[[#This Row],[Força (N)]]/$I$5</f>
        <v>242698.36060895745</v>
      </c>
      <c r="F70" s="1">
        <f>Tabela5[[#This Row],[Tensão (Pa)]]/1000000</f>
        <v>0.24269836060895744</v>
      </c>
    </row>
    <row r="71" spans="1:6" x14ac:dyDescent="0.3">
      <c r="A71" s="5">
        <v>12.632999999999999</v>
      </c>
      <c r="B71" s="5">
        <v>1.0448</v>
      </c>
      <c r="C71" s="1">
        <f>Tabela5[[#This Row],[Alongamento (mm/mm)]]/$I$2</f>
        <v>2.0895999999999998E-2</v>
      </c>
      <c r="D71" s="5">
        <v>10.206</v>
      </c>
      <c r="E71" s="1">
        <f>Tabela5[[#This Row],[Força (N)]]/$I$5</f>
        <v>242698.36060895745</v>
      </c>
      <c r="F71" s="1">
        <f>Tabela5[[#This Row],[Tensão (Pa)]]/1000000</f>
        <v>0.24269836060895744</v>
      </c>
    </row>
    <row r="72" spans="1:6" x14ac:dyDescent="0.3">
      <c r="A72" s="5">
        <v>12.733000000000001</v>
      </c>
      <c r="B72" s="5">
        <v>1.0529999999999999</v>
      </c>
      <c r="C72" s="1">
        <f>Tabela5[[#This Row],[Alongamento (mm/mm)]]/$I$2</f>
        <v>2.1059999999999999E-2</v>
      </c>
      <c r="D72" s="5">
        <v>10.375999999999999</v>
      </c>
      <c r="E72" s="1">
        <f>Tabela5[[#This Row],[Força (N)]]/$I$5</f>
        <v>246740.95528890286</v>
      </c>
      <c r="F72" s="1">
        <f>Tabela5[[#This Row],[Tensão (Pa)]]/1000000</f>
        <v>0.24674095528890286</v>
      </c>
    </row>
    <row r="73" spans="1:6" x14ac:dyDescent="0.3">
      <c r="A73" s="5">
        <v>12.833</v>
      </c>
      <c r="B73" s="5">
        <v>1.0613999999999999</v>
      </c>
      <c r="C73" s="1">
        <f>Tabela5[[#This Row],[Alongamento (mm/mm)]]/$I$2</f>
        <v>2.1227999999999997E-2</v>
      </c>
      <c r="D73" s="5">
        <v>10.545999999999999</v>
      </c>
      <c r="E73" s="1">
        <f>Tabela5[[#This Row],[Força (N)]]/$I$5</f>
        <v>250783.54996884824</v>
      </c>
      <c r="F73" s="1">
        <f>Tabela5[[#This Row],[Tensão (Pa)]]/1000000</f>
        <v>0.25078354996884822</v>
      </c>
    </row>
    <row r="74" spans="1:6" x14ac:dyDescent="0.3">
      <c r="A74" s="5">
        <v>12.933</v>
      </c>
      <c r="B74" s="5">
        <v>1.0698000000000001</v>
      </c>
      <c r="C74" s="1">
        <f>Tabela5[[#This Row],[Alongamento (mm/mm)]]/$I$2</f>
        <v>2.1396000000000002E-2</v>
      </c>
      <c r="D74" s="5">
        <v>10.545999999999999</v>
      </c>
      <c r="E74" s="1">
        <f>Tabela5[[#This Row],[Força (N)]]/$I$5</f>
        <v>250783.54996884824</v>
      </c>
      <c r="F74" s="1">
        <f>Tabela5[[#This Row],[Tensão (Pa)]]/1000000</f>
        <v>0.25078354996884822</v>
      </c>
    </row>
    <row r="75" spans="1:6" x14ac:dyDescent="0.3">
      <c r="A75" s="5">
        <v>13.05</v>
      </c>
      <c r="B75" s="5">
        <v>1.0794999999999999</v>
      </c>
      <c r="C75" s="1">
        <f>Tabela5[[#This Row],[Alongamento (mm/mm)]]/$I$2</f>
        <v>2.1589999999999998E-2</v>
      </c>
      <c r="D75" s="5">
        <v>10.715999999999999</v>
      </c>
      <c r="E75" s="1">
        <f>Tabela5[[#This Row],[Força (N)]]/$I$5</f>
        <v>254826.14464879365</v>
      </c>
      <c r="F75" s="1">
        <f>Tabela5[[#This Row],[Tensão (Pa)]]/1000000</f>
        <v>0.25482614464879366</v>
      </c>
    </row>
    <row r="76" spans="1:6" x14ac:dyDescent="0.3">
      <c r="A76" s="5">
        <v>13.167</v>
      </c>
      <c r="B76" s="5">
        <v>1.0891999999999999</v>
      </c>
      <c r="C76" s="1">
        <f>Tabela5[[#This Row],[Alongamento (mm/mm)]]/$I$2</f>
        <v>2.1783999999999998E-2</v>
      </c>
      <c r="D76" s="5">
        <v>10.715999999999999</v>
      </c>
      <c r="E76" s="1">
        <f>Tabela5[[#This Row],[Força (N)]]/$I$5</f>
        <v>254826.14464879365</v>
      </c>
      <c r="F76" s="1">
        <f>Tabela5[[#This Row],[Tensão (Pa)]]/1000000</f>
        <v>0.25482614464879366</v>
      </c>
    </row>
    <row r="77" spans="1:6" x14ac:dyDescent="0.3">
      <c r="A77" s="5">
        <v>13.282999999999999</v>
      </c>
      <c r="B77" s="5">
        <v>1.0988</v>
      </c>
      <c r="C77" s="1">
        <f>Tabela5[[#This Row],[Alongamento (mm/mm)]]/$I$2</f>
        <v>2.1975999999999999E-2</v>
      </c>
      <c r="D77" s="5">
        <v>10.715999999999999</v>
      </c>
      <c r="E77" s="1">
        <f>Tabela5[[#This Row],[Força (N)]]/$I$5</f>
        <v>254826.14464879365</v>
      </c>
      <c r="F77" s="1">
        <f>Tabela5[[#This Row],[Tensão (Pa)]]/1000000</f>
        <v>0.25482614464879366</v>
      </c>
    </row>
    <row r="78" spans="1:6" x14ac:dyDescent="0.3">
      <c r="A78" s="5">
        <v>13.4</v>
      </c>
      <c r="B78" s="5">
        <v>1.1087</v>
      </c>
      <c r="C78" s="1">
        <f>Tabela5[[#This Row],[Alongamento (mm/mm)]]/$I$2</f>
        <v>2.2173999999999999E-2</v>
      </c>
      <c r="D78" s="5">
        <v>10.545999999999999</v>
      </c>
      <c r="E78" s="1">
        <f>Tabela5[[#This Row],[Força (N)]]/$I$5</f>
        <v>250783.54996884824</v>
      </c>
      <c r="F78" s="1">
        <f>Tabela5[[#This Row],[Tensão (Pa)]]/1000000</f>
        <v>0.25078354996884822</v>
      </c>
    </row>
    <row r="79" spans="1:6" x14ac:dyDescent="0.3">
      <c r="A79" s="5">
        <v>13.516999999999999</v>
      </c>
      <c r="B79" s="5">
        <v>1.1184000000000001</v>
      </c>
      <c r="C79" s="1">
        <f>Tabela5[[#This Row],[Alongamento (mm/mm)]]/$I$2</f>
        <v>2.2368000000000002E-2</v>
      </c>
      <c r="D79" s="5">
        <v>10.545999999999999</v>
      </c>
      <c r="E79" s="1">
        <f>Tabela5[[#This Row],[Força (N)]]/$I$5</f>
        <v>250783.54996884824</v>
      </c>
      <c r="F79" s="1">
        <f>Tabela5[[#This Row],[Tensão (Pa)]]/1000000</f>
        <v>0.25078354996884822</v>
      </c>
    </row>
    <row r="80" spans="1:6" x14ac:dyDescent="0.3">
      <c r="A80" s="5">
        <v>13.632999999999999</v>
      </c>
      <c r="B80" s="5">
        <v>1.1279999999999999</v>
      </c>
      <c r="C80" s="1">
        <f>Tabela5[[#This Row],[Alongamento (mm/mm)]]/$I$2</f>
        <v>2.2559999999999997E-2</v>
      </c>
      <c r="D80" s="5">
        <v>10.715999999999999</v>
      </c>
      <c r="E80" s="1">
        <f>Tabela5[[#This Row],[Força (N)]]/$I$5</f>
        <v>254826.14464879365</v>
      </c>
      <c r="F80" s="1">
        <f>Tabela5[[#This Row],[Tensão (Pa)]]/1000000</f>
        <v>0.25482614464879366</v>
      </c>
    </row>
    <row r="81" spans="1:6" x14ac:dyDescent="0.3">
      <c r="A81" s="5">
        <v>13.75</v>
      </c>
      <c r="B81" s="5">
        <v>1.1377999999999999</v>
      </c>
      <c r="C81" s="1">
        <f>Tabela5[[#This Row],[Alongamento (mm/mm)]]/$I$2</f>
        <v>2.2755999999999998E-2</v>
      </c>
      <c r="D81" s="5">
        <v>10.715999999999999</v>
      </c>
      <c r="E81" s="1">
        <f>Tabela5[[#This Row],[Força (N)]]/$I$5</f>
        <v>254826.14464879365</v>
      </c>
      <c r="F81" s="1">
        <f>Tabela5[[#This Row],[Tensão (Pa)]]/1000000</f>
        <v>0.25482614464879366</v>
      </c>
    </row>
    <row r="82" spans="1:6" x14ac:dyDescent="0.3">
      <c r="A82" s="5">
        <v>13.867000000000001</v>
      </c>
      <c r="B82" s="5">
        <v>1.1475</v>
      </c>
      <c r="C82" s="1">
        <f>Tabela5[[#This Row],[Alongamento (mm/mm)]]/$I$2</f>
        <v>2.2949999999999998E-2</v>
      </c>
      <c r="D82" s="5">
        <v>10.885999999999999</v>
      </c>
      <c r="E82" s="1">
        <f>Tabela5[[#This Row],[Força (N)]]/$I$5</f>
        <v>258868.73932873903</v>
      </c>
      <c r="F82" s="1">
        <f>Tabela5[[#This Row],[Tensão (Pa)]]/1000000</f>
        <v>0.25886873932873905</v>
      </c>
    </row>
    <row r="83" spans="1:6" x14ac:dyDescent="0.3">
      <c r="A83" s="5">
        <v>13.983000000000001</v>
      </c>
      <c r="B83" s="5">
        <v>1.1573</v>
      </c>
      <c r="C83" s="1">
        <f>Tabela5[[#This Row],[Alongamento (mm/mm)]]/$I$2</f>
        <v>2.3146E-2</v>
      </c>
      <c r="D83" s="5">
        <v>10.885999999999999</v>
      </c>
      <c r="E83" s="1">
        <f>Tabela5[[#This Row],[Força (N)]]/$I$5</f>
        <v>258868.73932873903</v>
      </c>
      <c r="F83" s="1">
        <f>Tabela5[[#This Row],[Tensão (Pa)]]/1000000</f>
        <v>0.25886873932873905</v>
      </c>
    </row>
    <row r="84" spans="1:6" x14ac:dyDescent="0.3">
      <c r="A84" s="5">
        <v>14.1</v>
      </c>
      <c r="B84" s="5">
        <v>1.1669</v>
      </c>
      <c r="C84" s="1">
        <f>Tabela5[[#This Row],[Alongamento (mm/mm)]]/$I$2</f>
        <v>2.3338000000000001E-2</v>
      </c>
      <c r="D84" s="5">
        <v>10.885999999999999</v>
      </c>
      <c r="E84" s="1">
        <f>Tabela5[[#This Row],[Força (N)]]/$I$5</f>
        <v>258868.73932873903</v>
      </c>
      <c r="F84" s="1">
        <f>Tabela5[[#This Row],[Tensão (Pa)]]/1000000</f>
        <v>0.25886873932873905</v>
      </c>
    </row>
    <row r="85" spans="1:6" x14ac:dyDescent="0.3">
      <c r="A85" s="5">
        <v>14.217000000000001</v>
      </c>
      <c r="B85" s="5">
        <v>1.1766000000000001</v>
      </c>
      <c r="C85" s="1">
        <f>Tabela5[[#This Row],[Alongamento (mm/mm)]]/$I$2</f>
        <v>2.3532000000000001E-2</v>
      </c>
      <c r="D85" s="5">
        <v>11.055999999999999</v>
      </c>
      <c r="E85" s="1">
        <f>Tabela5[[#This Row],[Força (N)]]/$I$5</f>
        <v>262911.33400868444</v>
      </c>
      <c r="F85" s="1">
        <f>Tabela5[[#This Row],[Tensão (Pa)]]/1000000</f>
        <v>0.26291133400868444</v>
      </c>
    </row>
    <row r="86" spans="1:6" x14ac:dyDescent="0.3">
      <c r="A86" s="5">
        <v>14.333</v>
      </c>
      <c r="B86" s="5">
        <v>1.1863999999999999</v>
      </c>
      <c r="C86" s="1">
        <f>Tabela5[[#This Row],[Alongamento (mm/mm)]]/$I$2</f>
        <v>2.3727999999999999E-2</v>
      </c>
      <c r="D86" s="5">
        <v>11.227</v>
      </c>
      <c r="E86" s="1">
        <f>Tabela5[[#This Row],[Força (N)]]/$I$5</f>
        <v>266977.70865733543</v>
      </c>
      <c r="F86" s="1">
        <f>Tabela5[[#This Row],[Tensão (Pa)]]/1000000</f>
        <v>0.26697770865733544</v>
      </c>
    </row>
    <row r="87" spans="1:6" x14ac:dyDescent="0.3">
      <c r="A87" s="5">
        <v>14.45</v>
      </c>
      <c r="B87" s="5">
        <v>1.1961999999999999</v>
      </c>
      <c r="C87" s="1">
        <f>Tabela5[[#This Row],[Alongamento (mm/mm)]]/$I$2</f>
        <v>2.3923999999999997E-2</v>
      </c>
      <c r="D87" s="5">
        <v>11.397</v>
      </c>
      <c r="E87" s="1">
        <f>Tabela5[[#This Row],[Força (N)]]/$I$5</f>
        <v>271020.30333728081</v>
      </c>
      <c r="F87" s="1">
        <f>Tabela5[[#This Row],[Tensão (Pa)]]/1000000</f>
        <v>0.27102030333728083</v>
      </c>
    </row>
    <row r="88" spans="1:6" x14ac:dyDescent="0.3">
      <c r="A88" s="5">
        <v>14.567</v>
      </c>
      <c r="B88" s="5">
        <v>1.2058</v>
      </c>
      <c r="C88" s="1">
        <f>Tabela5[[#This Row],[Alongamento (mm/mm)]]/$I$2</f>
        <v>2.4115999999999999E-2</v>
      </c>
      <c r="D88" s="5">
        <v>11.397</v>
      </c>
      <c r="E88" s="1">
        <f>Tabela5[[#This Row],[Força (N)]]/$I$5</f>
        <v>271020.30333728081</v>
      </c>
      <c r="F88" s="1">
        <f>Tabela5[[#This Row],[Tensão (Pa)]]/1000000</f>
        <v>0.27102030333728083</v>
      </c>
    </row>
    <row r="89" spans="1:6" x14ac:dyDescent="0.3">
      <c r="A89" s="5">
        <v>14.683</v>
      </c>
      <c r="B89" s="5">
        <v>1.2155</v>
      </c>
      <c r="C89" s="1">
        <f>Tabela5[[#This Row],[Alongamento (mm/mm)]]/$I$2</f>
        <v>2.4310000000000002E-2</v>
      </c>
      <c r="D89" s="5">
        <v>11.397</v>
      </c>
      <c r="E89" s="1">
        <f>Tabela5[[#This Row],[Força (N)]]/$I$5</f>
        <v>271020.30333728081</v>
      </c>
      <c r="F89" s="1">
        <f>Tabela5[[#This Row],[Tensão (Pa)]]/1000000</f>
        <v>0.27102030333728083</v>
      </c>
    </row>
    <row r="90" spans="1:6" x14ac:dyDescent="0.3">
      <c r="A90" s="5">
        <v>14.8</v>
      </c>
      <c r="B90" s="5">
        <v>1.2253000000000001</v>
      </c>
      <c r="C90" s="1">
        <f>Tabela5[[#This Row],[Alongamento (mm/mm)]]/$I$2</f>
        <v>2.4506E-2</v>
      </c>
      <c r="D90" s="5">
        <v>11.567</v>
      </c>
      <c r="E90" s="1">
        <f>Tabela5[[#This Row],[Força (N)]]/$I$5</f>
        <v>275062.89801722625</v>
      </c>
      <c r="F90" s="1">
        <f>Tabela5[[#This Row],[Tensão (Pa)]]/1000000</f>
        <v>0.27506289801722628</v>
      </c>
    </row>
    <row r="91" spans="1:6" x14ac:dyDescent="0.3">
      <c r="A91" s="5">
        <v>14.917</v>
      </c>
      <c r="B91" s="5">
        <v>1.2350000000000001</v>
      </c>
      <c r="C91" s="1">
        <f>Tabela5[[#This Row],[Alongamento (mm/mm)]]/$I$2</f>
        <v>2.4700000000000003E-2</v>
      </c>
      <c r="D91" s="5">
        <v>11.737</v>
      </c>
      <c r="E91" s="1">
        <f>Tabela5[[#This Row],[Força (N)]]/$I$5</f>
        <v>279105.49269717163</v>
      </c>
      <c r="F91" s="1">
        <f>Tabela5[[#This Row],[Tensão (Pa)]]/1000000</f>
        <v>0.27910549269717161</v>
      </c>
    </row>
    <row r="92" spans="1:6" x14ac:dyDescent="0.3">
      <c r="A92" s="5">
        <v>15.032999999999999</v>
      </c>
      <c r="B92" s="5">
        <v>1.2446999999999999</v>
      </c>
      <c r="C92" s="1">
        <f>Tabela5[[#This Row],[Alongamento (mm/mm)]]/$I$2</f>
        <v>2.4893999999999999E-2</v>
      </c>
      <c r="D92" s="5">
        <v>11.737</v>
      </c>
      <c r="E92" s="1">
        <f>Tabela5[[#This Row],[Força (N)]]/$I$5</f>
        <v>279105.49269717163</v>
      </c>
      <c r="F92" s="1">
        <f>Tabela5[[#This Row],[Tensão (Pa)]]/1000000</f>
        <v>0.27910549269717161</v>
      </c>
    </row>
    <row r="93" spans="1:6" x14ac:dyDescent="0.3">
      <c r="A93" s="5">
        <v>15.15</v>
      </c>
      <c r="B93" s="5">
        <v>1.2544</v>
      </c>
      <c r="C93" s="1">
        <f>Tabela5[[#This Row],[Alongamento (mm/mm)]]/$I$2</f>
        <v>2.5087999999999999E-2</v>
      </c>
      <c r="D93" s="5">
        <v>11.907</v>
      </c>
      <c r="E93" s="1">
        <f>Tabela5[[#This Row],[Força (N)]]/$I$5</f>
        <v>283148.08737711702</v>
      </c>
      <c r="F93" s="1">
        <f>Tabela5[[#This Row],[Tensão (Pa)]]/1000000</f>
        <v>0.283148087377117</v>
      </c>
    </row>
    <row r="94" spans="1:6" x14ac:dyDescent="0.3">
      <c r="A94" s="5">
        <v>15.282999999999999</v>
      </c>
      <c r="B94" s="5">
        <v>1.2656000000000001</v>
      </c>
      <c r="C94" s="1">
        <f>Tabela5[[#This Row],[Alongamento (mm/mm)]]/$I$2</f>
        <v>2.5312000000000001E-2</v>
      </c>
      <c r="D94" s="5">
        <v>12.077</v>
      </c>
      <c r="E94" s="1">
        <f>Tabela5[[#This Row],[Força (N)]]/$I$5</f>
        <v>287190.68205706245</v>
      </c>
      <c r="F94" s="1">
        <f>Tabela5[[#This Row],[Tensão (Pa)]]/1000000</f>
        <v>0.28719068205706244</v>
      </c>
    </row>
    <row r="95" spans="1:6" x14ac:dyDescent="0.3">
      <c r="A95" s="5">
        <v>15.417</v>
      </c>
      <c r="B95" s="5">
        <v>1.2766999999999999</v>
      </c>
      <c r="C95" s="1">
        <f>Tabela5[[#This Row],[Alongamento (mm/mm)]]/$I$2</f>
        <v>2.5533999999999998E-2</v>
      </c>
      <c r="D95" s="5">
        <v>12.077</v>
      </c>
      <c r="E95" s="1">
        <f>Tabela5[[#This Row],[Força (N)]]/$I$5</f>
        <v>287190.68205706245</v>
      </c>
      <c r="F95" s="1">
        <f>Tabela5[[#This Row],[Tensão (Pa)]]/1000000</f>
        <v>0.28719068205706244</v>
      </c>
    </row>
    <row r="96" spans="1:6" x14ac:dyDescent="0.3">
      <c r="A96" s="5">
        <v>15.55</v>
      </c>
      <c r="B96" s="5">
        <v>1.2878000000000001</v>
      </c>
      <c r="C96" s="1">
        <f>Tabela5[[#This Row],[Alongamento (mm/mm)]]/$I$2</f>
        <v>2.5756000000000001E-2</v>
      </c>
      <c r="D96" s="5">
        <v>12.077</v>
      </c>
      <c r="E96" s="1">
        <f>Tabela5[[#This Row],[Força (N)]]/$I$5</f>
        <v>287190.68205706245</v>
      </c>
      <c r="F96" s="1">
        <f>Tabela5[[#This Row],[Tensão (Pa)]]/1000000</f>
        <v>0.28719068205706244</v>
      </c>
    </row>
    <row r="97" spans="1:6" x14ac:dyDescent="0.3">
      <c r="A97" s="5">
        <v>15.683</v>
      </c>
      <c r="B97" s="5">
        <v>1.2988999999999999</v>
      </c>
      <c r="C97" s="1">
        <f>Tabela5[[#This Row],[Alongamento (mm/mm)]]/$I$2</f>
        <v>2.5977999999999998E-2</v>
      </c>
      <c r="D97" s="5">
        <v>12.077</v>
      </c>
      <c r="E97" s="1">
        <f>Tabela5[[#This Row],[Força (N)]]/$I$5</f>
        <v>287190.68205706245</v>
      </c>
      <c r="F97" s="1">
        <f>Tabela5[[#This Row],[Tensão (Pa)]]/1000000</f>
        <v>0.28719068205706244</v>
      </c>
    </row>
    <row r="98" spans="1:6" x14ac:dyDescent="0.3">
      <c r="A98" s="5">
        <v>15.817</v>
      </c>
      <c r="B98" s="5">
        <v>1.31</v>
      </c>
      <c r="C98" s="1">
        <f>Tabela5[[#This Row],[Alongamento (mm/mm)]]/$I$2</f>
        <v>2.6200000000000001E-2</v>
      </c>
      <c r="D98" s="5">
        <v>12.077</v>
      </c>
      <c r="E98" s="1">
        <f>Tabela5[[#This Row],[Força (N)]]/$I$5</f>
        <v>287190.68205706245</v>
      </c>
      <c r="F98" s="1">
        <f>Tabela5[[#This Row],[Tensão (Pa)]]/1000000</f>
        <v>0.28719068205706244</v>
      </c>
    </row>
    <row r="99" spans="1:6" x14ac:dyDescent="0.3">
      <c r="A99" s="5">
        <v>15.95</v>
      </c>
      <c r="B99" s="5">
        <v>1.3210999999999999</v>
      </c>
      <c r="C99" s="1">
        <f>Tabela5[[#This Row],[Alongamento (mm/mm)]]/$I$2</f>
        <v>2.6421999999999998E-2</v>
      </c>
      <c r="D99" s="5">
        <v>12.077</v>
      </c>
      <c r="E99" s="1">
        <f>Tabela5[[#This Row],[Força (N)]]/$I$5</f>
        <v>287190.68205706245</v>
      </c>
      <c r="F99" s="1">
        <f>Tabela5[[#This Row],[Tensão (Pa)]]/1000000</f>
        <v>0.28719068205706244</v>
      </c>
    </row>
    <row r="100" spans="1:6" x14ac:dyDescent="0.3">
      <c r="A100" s="5">
        <v>16.082999999999998</v>
      </c>
      <c r="B100" s="5">
        <v>1.3321000000000001</v>
      </c>
      <c r="C100" s="1">
        <f>Tabela5[[#This Row],[Alongamento (mm/mm)]]/$I$2</f>
        <v>2.6642000000000002E-2</v>
      </c>
      <c r="D100" s="5">
        <v>12.247</v>
      </c>
      <c r="E100" s="1">
        <f>Tabela5[[#This Row],[Força (N)]]/$I$5</f>
        <v>291233.27673700784</v>
      </c>
      <c r="F100" s="1">
        <f>Tabela5[[#This Row],[Tensão (Pa)]]/1000000</f>
        <v>0.29123327673700783</v>
      </c>
    </row>
    <row r="101" spans="1:6" x14ac:dyDescent="0.3">
      <c r="A101" s="5">
        <v>16.216999999999999</v>
      </c>
      <c r="B101" s="5">
        <v>1.3433999999999999</v>
      </c>
      <c r="C101" s="1">
        <f>Tabela5[[#This Row],[Alongamento (mm/mm)]]/$I$2</f>
        <v>2.6868E-2</v>
      </c>
      <c r="D101" s="5">
        <v>12.417</v>
      </c>
      <c r="E101" s="1">
        <f>Tabela5[[#This Row],[Força (N)]]/$I$5</f>
        <v>295275.87141695322</v>
      </c>
      <c r="F101" s="1">
        <f>Tabela5[[#This Row],[Tensão (Pa)]]/1000000</f>
        <v>0.29527587141695322</v>
      </c>
    </row>
    <row r="102" spans="1:6" x14ac:dyDescent="0.3">
      <c r="A102" s="5">
        <v>16.350000000000001</v>
      </c>
      <c r="B102" s="5">
        <v>1.3545</v>
      </c>
      <c r="C102" s="1">
        <f>Tabela5[[#This Row],[Alongamento (mm/mm)]]/$I$2</f>
        <v>2.7089999999999999E-2</v>
      </c>
      <c r="D102" s="5">
        <v>12.417</v>
      </c>
      <c r="E102" s="1">
        <f>Tabela5[[#This Row],[Força (N)]]/$I$5</f>
        <v>295275.87141695322</v>
      </c>
      <c r="F102" s="1">
        <f>Tabela5[[#This Row],[Tensão (Pa)]]/1000000</f>
        <v>0.29527587141695322</v>
      </c>
    </row>
    <row r="103" spans="1:6" x14ac:dyDescent="0.3">
      <c r="A103" s="5">
        <v>16.483000000000001</v>
      </c>
      <c r="B103" s="5">
        <v>1.3655999999999999</v>
      </c>
      <c r="C103" s="1">
        <f>Tabela5[[#This Row],[Alongamento (mm/mm)]]/$I$2</f>
        <v>2.7311999999999999E-2</v>
      </c>
      <c r="D103" s="5">
        <v>12.587</v>
      </c>
      <c r="E103" s="1">
        <f>Tabela5[[#This Row],[Força (N)]]/$I$5</f>
        <v>299318.46609689866</v>
      </c>
      <c r="F103" s="1">
        <f>Tabela5[[#This Row],[Tensão (Pa)]]/1000000</f>
        <v>0.29931846609689866</v>
      </c>
    </row>
    <row r="104" spans="1:6" x14ac:dyDescent="0.3">
      <c r="A104" s="5">
        <v>16.617000000000001</v>
      </c>
      <c r="B104" s="5">
        <v>1.3767</v>
      </c>
      <c r="C104" s="1">
        <f>Tabela5[[#This Row],[Alongamento (mm/mm)]]/$I$2</f>
        <v>2.7533999999999999E-2</v>
      </c>
      <c r="D104" s="5">
        <v>12.587</v>
      </c>
      <c r="E104" s="1">
        <f>Tabela5[[#This Row],[Força (N)]]/$I$5</f>
        <v>299318.46609689866</v>
      </c>
      <c r="F104" s="1">
        <f>Tabela5[[#This Row],[Tensão (Pa)]]/1000000</f>
        <v>0.29931846609689866</v>
      </c>
    </row>
    <row r="105" spans="1:6" x14ac:dyDescent="0.3">
      <c r="A105" s="5">
        <v>16.75</v>
      </c>
      <c r="B105" s="5">
        <v>1.3877999999999999</v>
      </c>
      <c r="C105" s="1">
        <f>Tabela5[[#This Row],[Alongamento (mm/mm)]]/$I$2</f>
        <v>2.7755999999999999E-2</v>
      </c>
      <c r="D105" s="5">
        <v>12.587</v>
      </c>
      <c r="E105" s="1">
        <f>Tabela5[[#This Row],[Força (N)]]/$I$5</f>
        <v>299318.46609689866</v>
      </c>
      <c r="F105" s="1">
        <f>Tabela5[[#This Row],[Tensão (Pa)]]/1000000</f>
        <v>0.29931846609689866</v>
      </c>
    </row>
    <row r="106" spans="1:6" x14ac:dyDescent="0.3">
      <c r="A106" s="5">
        <v>16.882999999999999</v>
      </c>
      <c r="B106" s="5">
        <v>1.3988</v>
      </c>
      <c r="C106" s="1">
        <f>Tabela5[[#This Row],[Alongamento (mm/mm)]]/$I$2</f>
        <v>2.7976000000000001E-2</v>
      </c>
      <c r="D106" s="5">
        <v>12.587</v>
      </c>
      <c r="E106" s="1">
        <f>Tabela5[[#This Row],[Força (N)]]/$I$5</f>
        <v>299318.46609689866</v>
      </c>
      <c r="F106" s="1">
        <f>Tabela5[[#This Row],[Tensão (Pa)]]/1000000</f>
        <v>0.29931846609689866</v>
      </c>
    </row>
    <row r="107" spans="1:6" x14ac:dyDescent="0.3">
      <c r="A107" s="5">
        <v>17.016999999999999</v>
      </c>
      <c r="B107" s="5">
        <v>1.4098999999999999</v>
      </c>
      <c r="C107" s="1">
        <f>Tabela5[[#This Row],[Alongamento (mm/mm)]]/$I$2</f>
        <v>2.8197999999999997E-2</v>
      </c>
      <c r="D107" s="5">
        <v>12.587</v>
      </c>
      <c r="E107" s="1">
        <f>Tabela5[[#This Row],[Força (N)]]/$I$5</f>
        <v>299318.46609689866</v>
      </c>
      <c r="F107" s="1">
        <f>Tabela5[[#This Row],[Tensão (Pa)]]/1000000</f>
        <v>0.29931846609689866</v>
      </c>
    </row>
    <row r="108" spans="1:6" x14ac:dyDescent="0.3">
      <c r="A108" s="5">
        <v>17.149999999999999</v>
      </c>
      <c r="B108" s="5">
        <v>1.4211</v>
      </c>
      <c r="C108" s="1">
        <f>Tabela5[[#This Row],[Alongamento (mm/mm)]]/$I$2</f>
        <v>2.8421999999999999E-2</v>
      </c>
      <c r="D108" s="5">
        <v>12.587</v>
      </c>
      <c r="E108" s="1">
        <f>Tabela5[[#This Row],[Força (N)]]/$I$5</f>
        <v>299318.46609689866</v>
      </c>
      <c r="F108" s="1">
        <f>Tabela5[[#This Row],[Tensão (Pa)]]/1000000</f>
        <v>0.29931846609689866</v>
      </c>
    </row>
    <row r="109" spans="1:6" x14ac:dyDescent="0.3">
      <c r="A109" s="5">
        <v>17.283000000000001</v>
      </c>
      <c r="B109" s="5">
        <v>1.4322999999999999</v>
      </c>
      <c r="C109" s="1">
        <f>Tabela5[[#This Row],[Alongamento (mm/mm)]]/$I$2</f>
        <v>2.8645999999999998E-2</v>
      </c>
      <c r="D109" s="5">
        <v>12.587</v>
      </c>
      <c r="E109" s="1">
        <f>Tabela5[[#This Row],[Força (N)]]/$I$5</f>
        <v>299318.46609689866</v>
      </c>
      <c r="F109" s="1">
        <f>Tabela5[[#This Row],[Tensão (Pa)]]/1000000</f>
        <v>0.29931846609689866</v>
      </c>
    </row>
    <row r="110" spans="1:6" x14ac:dyDescent="0.3">
      <c r="A110" s="5">
        <v>17.417000000000002</v>
      </c>
      <c r="B110" s="5">
        <v>1.4434</v>
      </c>
      <c r="C110" s="1">
        <f>Tabela5[[#This Row],[Alongamento (mm/mm)]]/$I$2</f>
        <v>2.8868000000000001E-2</v>
      </c>
      <c r="D110" s="5">
        <v>12.587</v>
      </c>
      <c r="E110" s="1">
        <f>Tabela5[[#This Row],[Força (N)]]/$I$5</f>
        <v>299318.46609689866</v>
      </c>
      <c r="F110" s="1">
        <f>Tabela5[[#This Row],[Tensão (Pa)]]/1000000</f>
        <v>0.29931846609689866</v>
      </c>
    </row>
    <row r="111" spans="1:6" x14ac:dyDescent="0.3">
      <c r="A111" s="5">
        <v>17.567</v>
      </c>
      <c r="B111" s="5">
        <v>1.4558</v>
      </c>
      <c r="C111" s="1">
        <f>Tabela5[[#This Row],[Alongamento (mm/mm)]]/$I$2</f>
        <v>2.9116E-2</v>
      </c>
      <c r="D111" s="5">
        <v>12.587</v>
      </c>
      <c r="E111" s="1">
        <f>Tabela5[[#This Row],[Força (N)]]/$I$5</f>
        <v>299318.46609689866</v>
      </c>
      <c r="F111" s="1">
        <f>Tabela5[[#This Row],[Tensão (Pa)]]/1000000</f>
        <v>0.29931846609689866</v>
      </c>
    </row>
    <row r="112" spans="1:6" x14ac:dyDescent="0.3">
      <c r="A112" s="5">
        <v>17.716999999999999</v>
      </c>
      <c r="B112" s="5">
        <v>1.4683999999999999</v>
      </c>
      <c r="C112" s="1">
        <f>Tabela5[[#This Row],[Alongamento (mm/mm)]]/$I$2</f>
        <v>2.9367999999999998E-2</v>
      </c>
      <c r="D112" s="5">
        <v>12.587</v>
      </c>
      <c r="E112" s="1">
        <f>Tabela5[[#This Row],[Força (N)]]/$I$5</f>
        <v>299318.46609689866</v>
      </c>
      <c r="F112" s="1">
        <f>Tabela5[[#This Row],[Tensão (Pa)]]/1000000</f>
        <v>0.29931846609689866</v>
      </c>
    </row>
    <row r="113" spans="1:6" x14ac:dyDescent="0.3">
      <c r="A113" s="5">
        <v>17.867000000000001</v>
      </c>
      <c r="B113" s="5">
        <v>1.4809000000000001</v>
      </c>
      <c r="C113" s="1">
        <f>Tabela5[[#This Row],[Alongamento (mm/mm)]]/$I$2</f>
        <v>2.9618000000000002E-2</v>
      </c>
      <c r="D113" s="5">
        <v>12.587</v>
      </c>
      <c r="E113" s="1">
        <f>Tabela5[[#This Row],[Força (N)]]/$I$5</f>
        <v>299318.46609689866</v>
      </c>
      <c r="F113" s="1">
        <f>Tabela5[[#This Row],[Tensão (Pa)]]/1000000</f>
        <v>0.29931846609689866</v>
      </c>
    </row>
    <row r="114" spans="1:6" x14ac:dyDescent="0.3">
      <c r="A114" s="5">
        <v>18.016999999999999</v>
      </c>
      <c r="B114" s="5">
        <v>1.4933000000000001</v>
      </c>
      <c r="C114" s="1">
        <f>Tabela5[[#This Row],[Alongamento (mm/mm)]]/$I$2</f>
        <v>2.9866E-2</v>
      </c>
      <c r="D114" s="5">
        <v>12.757</v>
      </c>
      <c r="E114" s="1">
        <f>Tabela5[[#This Row],[Força (N)]]/$I$5</f>
        <v>303361.06077684404</v>
      </c>
      <c r="F114" s="1">
        <f>Tabela5[[#This Row],[Tensão (Pa)]]/1000000</f>
        <v>0.30336106077684405</v>
      </c>
    </row>
    <row r="115" spans="1:6" x14ac:dyDescent="0.3">
      <c r="A115" s="5">
        <v>18.167000000000002</v>
      </c>
      <c r="B115" s="5">
        <v>1.5059</v>
      </c>
      <c r="C115" s="1">
        <f>Tabela5[[#This Row],[Alongamento (mm/mm)]]/$I$2</f>
        <v>3.0117999999999999E-2</v>
      </c>
      <c r="D115" s="5">
        <v>12.757</v>
      </c>
      <c r="E115" s="1">
        <f>Tabela5[[#This Row],[Força (N)]]/$I$5</f>
        <v>303361.06077684404</v>
      </c>
      <c r="F115" s="1">
        <f>Tabela5[[#This Row],[Tensão (Pa)]]/1000000</f>
        <v>0.30336106077684405</v>
      </c>
    </row>
    <row r="116" spans="1:6" x14ac:dyDescent="0.3">
      <c r="A116" s="5">
        <v>18.317</v>
      </c>
      <c r="B116" s="5">
        <v>1.5182</v>
      </c>
      <c r="C116" s="1">
        <f>Tabela5[[#This Row],[Alongamento (mm/mm)]]/$I$2</f>
        <v>3.0363999999999999E-2</v>
      </c>
      <c r="D116" s="5">
        <v>12.757</v>
      </c>
      <c r="E116" s="1">
        <f>Tabela5[[#This Row],[Força (N)]]/$I$5</f>
        <v>303361.06077684404</v>
      </c>
      <c r="F116" s="1">
        <f>Tabela5[[#This Row],[Tensão (Pa)]]/1000000</f>
        <v>0.30336106077684405</v>
      </c>
    </row>
    <row r="117" spans="1:6" x14ac:dyDescent="0.3">
      <c r="A117" s="5">
        <v>18.466999999999999</v>
      </c>
      <c r="B117" s="5">
        <v>1.5308999999999999</v>
      </c>
      <c r="C117" s="1">
        <f>Tabela5[[#This Row],[Alongamento (mm/mm)]]/$I$2</f>
        <v>3.0617999999999999E-2</v>
      </c>
      <c r="D117" s="5">
        <v>12.757</v>
      </c>
      <c r="E117" s="1">
        <f>Tabela5[[#This Row],[Força (N)]]/$I$5</f>
        <v>303361.06077684404</v>
      </c>
      <c r="F117" s="1">
        <f>Tabela5[[#This Row],[Tensão (Pa)]]/1000000</f>
        <v>0.30336106077684405</v>
      </c>
    </row>
    <row r="118" spans="1:6" x14ac:dyDescent="0.3">
      <c r="A118" s="5">
        <v>18.617000000000001</v>
      </c>
      <c r="B118" s="5">
        <v>1.5434000000000001</v>
      </c>
      <c r="C118" s="1">
        <f>Tabela5[[#This Row],[Alongamento (mm/mm)]]/$I$2</f>
        <v>3.0868000000000003E-2</v>
      </c>
      <c r="D118" s="5">
        <v>12.757</v>
      </c>
      <c r="E118" s="1">
        <f>Tabela5[[#This Row],[Força (N)]]/$I$5</f>
        <v>303361.06077684404</v>
      </c>
      <c r="F118" s="1">
        <f>Tabela5[[#This Row],[Tensão (Pa)]]/1000000</f>
        <v>0.30336106077684405</v>
      </c>
    </row>
    <row r="119" spans="1:6" x14ac:dyDescent="0.3">
      <c r="A119" s="5">
        <v>18.766999999999999</v>
      </c>
      <c r="B119" s="5">
        <v>1.5558000000000001</v>
      </c>
      <c r="C119" s="1">
        <f>Tabela5[[#This Row],[Alongamento (mm/mm)]]/$I$2</f>
        <v>3.1116000000000001E-2</v>
      </c>
      <c r="D119" s="5">
        <v>12.757</v>
      </c>
      <c r="E119" s="1">
        <f>Tabela5[[#This Row],[Força (N)]]/$I$5</f>
        <v>303361.06077684404</v>
      </c>
      <c r="F119" s="1">
        <f>Tabela5[[#This Row],[Tensão (Pa)]]/1000000</f>
        <v>0.30336106077684405</v>
      </c>
    </row>
    <row r="120" spans="1:6" x14ac:dyDescent="0.3">
      <c r="A120" s="5">
        <v>18.917000000000002</v>
      </c>
      <c r="B120" s="5">
        <v>1.5684</v>
      </c>
      <c r="C120" s="1">
        <f>Tabela5[[#This Row],[Alongamento (mm/mm)]]/$I$2</f>
        <v>3.1368E-2</v>
      </c>
      <c r="D120" s="5">
        <v>12.928000000000001</v>
      </c>
      <c r="E120" s="1">
        <f>Tabela5[[#This Row],[Força (N)]]/$I$5</f>
        <v>307427.43542549503</v>
      </c>
      <c r="F120" s="1">
        <f>Tabela5[[#This Row],[Tensão (Pa)]]/1000000</f>
        <v>0.30742743542549505</v>
      </c>
    </row>
    <row r="121" spans="1:6" x14ac:dyDescent="0.3">
      <c r="A121" s="5">
        <v>19.067</v>
      </c>
      <c r="B121" s="5">
        <v>1.5808</v>
      </c>
      <c r="C121" s="1">
        <f>Tabela5[[#This Row],[Alongamento (mm/mm)]]/$I$2</f>
        <v>3.1615999999999998E-2</v>
      </c>
      <c r="D121" s="5">
        <v>13.268000000000001</v>
      </c>
      <c r="E121" s="1">
        <f>Tabela5[[#This Row],[Força (N)]]/$I$5</f>
        <v>315512.62478538579</v>
      </c>
      <c r="F121" s="1">
        <f>Tabela5[[#This Row],[Tensão (Pa)]]/1000000</f>
        <v>0.31551262478538578</v>
      </c>
    </row>
    <row r="122" spans="1:6" x14ac:dyDescent="0.3">
      <c r="A122" s="5">
        <v>19.216999999999999</v>
      </c>
      <c r="B122" s="5">
        <v>1.5932999999999999</v>
      </c>
      <c r="C122" s="1">
        <f>Tabela5[[#This Row],[Alongamento (mm/mm)]]/$I$2</f>
        <v>3.1865999999999998E-2</v>
      </c>
      <c r="D122" s="5">
        <v>13.268000000000001</v>
      </c>
      <c r="E122" s="1">
        <f>Tabela5[[#This Row],[Força (N)]]/$I$5</f>
        <v>315512.62478538579</v>
      </c>
      <c r="F122" s="1">
        <f>Tabela5[[#This Row],[Tensão (Pa)]]/1000000</f>
        <v>0.31551262478538578</v>
      </c>
    </row>
    <row r="123" spans="1:6" x14ac:dyDescent="0.3">
      <c r="A123" s="5">
        <v>19.367000000000001</v>
      </c>
      <c r="B123" s="5">
        <v>1.6057999999999999</v>
      </c>
      <c r="C123" s="1">
        <f>Tabela5[[#This Row],[Alongamento (mm/mm)]]/$I$2</f>
        <v>3.2115999999999999E-2</v>
      </c>
      <c r="D123" s="5">
        <v>13.268000000000001</v>
      </c>
      <c r="E123" s="1">
        <f>Tabela5[[#This Row],[Força (N)]]/$I$5</f>
        <v>315512.62478538579</v>
      </c>
      <c r="F123" s="1">
        <f>Tabela5[[#This Row],[Tensão (Pa)]]/1000000</f>
        <v>0.31551262478538578</v>
      </c>
    </row>
    <row r="124" spans="1:6" x14ac:dyDescent="0.3">
      <c r="A124" s="5">
        <v>19.516999999999999</v>
      </c>
      <c r="B124" s="5">
        <v>1.6184000000000001</v>
      </c>
      <c r="C124" s="1">
        <f>Tabela5[[#This Row],[Alongamento (mm/mm)]]/$I$2</f>
        <v>3.2368000000000001E-2</v>
      </c>
      <c r="D124" s="5">
        <v>13.438000000000001</v>
      </c>
      <c r="E124" s="1">
        <f>Tabela5[[#This Row],[Força (N)]]/$I$5</f>
        <v>319555.21946533123</v>
      </c>
      <c r="F124" s="1">
        <f>Tabela5[[#This Row],[Tensão (Pa)]]/1000000</f>
        <v>0.31955521946533122</v>
      </c>
    </row>
    <row r="125" spans="1:6" x14ac:dyDescent="0.3">
      <c r="A125" s="5">
        <v>19.683</v>
      </c>
      <c r="B125" s="5">
        <v>1.6322000000000001</v>
      </c>
      <c r="C125" s="1">
        <f>Tabela5[[#This Row],[Alongamento (mm/mm)]]/$I$2</f>
        <v>3.2643999999999999E-2</v>
      </c>
      <c r="D125" s="5">
        <v>13.438000000000001</v>
      </c>
      <c r="E125" s="1">
        <f>Tabela5[[#This Row],[Força (N)]]/$I$5</f>
        <v>319555.21946533123</v>
      </c>
      <c r="F125" s="1">
        <f>Tabela5[[#This Row],[Tensão (Pa)]]/1000000</f>
        <v>0.31955521946533122</v>
      </c>
    </row>
    <row r="126" spans="1:6" x14ac:dyDescent="0.3">
      <c r="A126" s="5">
        <v>19.850000000000001</v>
      </c>
      <c r="B126" s="5">
        <v>1.6460999999999999</v>
      </c>
      <c r="C126" s="1">
        <f>Tabela5[[#This Row],[Alongamento (mm/mm)]]/$I$2</f>
        <v>3.2922E-2</v>
      </c>
      <c r="D126" s="5">
        <v>13.608000000000001</v>
      </c>
      <c r="E126" s="1">
        <f>Tabela5[[#This Row],[Força (N)]]/$I$5</f>
        <v>323597.81414527661</v>
      </c>
      <c r="F126" s="1">
        <f>Tabela5[[#This Row],[Tensão (Pa)]]/1000000</f>
        <v>0.32359781414527661</v>
      </c>
    </row>
    <row r="127" spans="1:6" x14ac:dyDescent="0.3">
      <c r="A127" s="5">
        <v>20.016999999999999</v>
      </c>
      <c r="B127" s="5">
        <v>1.6600999999999999</v>
      </c>
      <c r="C127" s="1">
        <f>Tabela5[[#This Row],[Alongamento (mm/mm)]]/$I$2</f>
        <v>3.3201999999999995E-2</v>
      </c>
      <c r="D127" s="5">
        <v>13.778</v>
      </c>
      <c r="E127" s="1">
        <f>Tabela5[[#This Row],[Força (N)]]/$I$5</f>
        <v>327640.408825222</v>
      </c>
      <c r="F127" s="1">
        <f>Tabela5[[#This Row],[Tensão (Pa)]]/1000000</f>
        <v>0.327640408825222</v>
      </c>
    </row>
    <row r="128" spans="1:6" x14ac:dyDescent="0.3">
      <c r="A128" s="5">
        <v>20.183</v>
      </c>
      <c r="B128" s="5">
        <v>1.6738</v>
      </c>
      <c r="C128" s="1">
        <f>Tabela5[[#This Row],[Alongamento (mm/mm)]]/$I$2</f>
        <v>3.3475999999999999E-2</v>
      </c>
      <c r="D128" s="5">
        <v>13.948</v>
      </c>
      <c r="E128" s="1">
        <f>Tabela5[[#This Row],[Força (N)]]/$I$5</f>
        <v>331683.00350516743</v>
      </c>
      <c r="F128" s="1">
        <f>Tabela5[[#This Row],[Tensão (Pa)]]/1000000</f>
        <v>0.33168300350516744</v>
      </c>
    </row>
    <row r="129" spans="1:6" x14ac:dyDescent="0.3">
      <c r="A129" s="5">
        <v>20.350000000000001</v>
      </c>
      <c r="B129" s="5">
        <v>1.6878</v>
      </c>
      <c r="C129" s="1">
        <f>Tabela5[[#This Row],[Alongamento (mm/mm)]]/$I$2</f>
        <v>3.3756000000000001E-2</v>
      </c>
      <c r="D129" s="5">
        <v>14.288</v>
      </c>
      <c r="E129" s="1">
        <f>Tabela5[[#This Row],[Força (N)]]/$I$5</f>
        <v>339768.1928650582</v>
      </c>
      <c r="F129" s="1">
        <f>Tabela5[[#This Row],[Tensão (Pa)]]/1000000</f>
        <v>0.33976819286505822</v>
      </c>
    </row>
    <row r="130" spans="1:6" x14ac:dyDescent="0.3">
      <c r="A130" s="5">
        <v>20.516999999999999</v>
      </c>
      <c r="B130" s="5">
        <v>1.7017</v>
      </c>
      <c r="C130" s="1">
        <f>Tabela5[[#This Row],[Alongamento (mm/mm)]]/$I$2</f>
        <v>3.4034000000000002E-2</v>
      </c>
      <c r="D130" s="5">
        <v>14.288</v>
      </c>
      <c r="E130" s="1">
        <f>Tabela5[[#This Row],[Força (N)]]/$I$5</f>
        <v>339768.1928650582</v>
      </c>
      <c r="F130" s="1">
        <f>Tabela5[[#This Row],[Tensão (Pa)]]/1000000</f>
        <v>0.33976819286505822</v>
      </c>
    </row>
    <row r="131" spans="1:6" x14ac:dyDescent="0.3">
      <c r="A131" s="5">
        <v>20.683</v>
      </c>
      <c r="B131" s="5">
        <v>1.7156</v>
      </c>
      <c r="C131" s="1">
        <f>Tabela5[[#This Row],[Alongamento (mm/mm)]]/$I$2</f>
        <v>3.4312000000000002E-2</v>
      </c>
      <c r="D131" s="5">
        <v>14.458</v>
      </c>
      <c r="E131" s="1">
        <f>Tabela5[[#This Row],[Força (N)]]/$I$5</f>
        <v>343810.78754500364</v>
      </c>
      <c r="F131" s="1">
        <f>Tabela5[[#This Row],[Tensão (Pa)]]/1000000</f>
        <v>0.34381078754500366</v>
      </c>
    </row>
    <row r="132" spans="1:6" x14ac:dyDescent="0.3">
      <c r="A132" s="5">
        <v>20.85</v>
      </c>
      <c r="B132" s="5">
        <v>1.7294</v>
      </c>
      <c r="C132" s="1">
        <f>Tabela5[[#This Row],[Alongamento (mm/mm)]]/$I$2</f>
        <v>3.4588000000000001E-2</v>
      </c>
      <c r="D132" s="5">
        <v>14.458</v>
      </c>
      <c r="E132" s="1">
        <f>Tabela5[[#This Row],[Força (N)]]/$I$5</f>
        <v>343810.78754500364</v>
      </c>
      <c r="F132" s="1">
        <f>Tabela5[[#This Row],[Tensão (Pa)]]/1000000</f>
        <v>0.34381078754500366</v>
      </c>
    </row>
    <row r="133" spans="1:6" x14ac:dyDescent="0.3">
      <c r="A133" s="5">
        <v>21.016999999999999</v>
      </c>
      <c r="B133" s="5">
        <v>1.7433000000000001</v>
      </c>
      <c r="C133" s="1">
        <f>Tabela5[[#This Row],[Alongamento (mm/mm)]]/$I$2</f>
        <v>3.4866000000000001E-2</v>
      </c>
      <c r="D133" s="5">
        <v>14.458</v>
      </c>
      <c r="E133" s="1">
        <f>Tabela5[[#This Row],[Força (N)]]/$I$5</f>
        <v>343810.78754500364</v>
      </c>
      <c r="F133" s="1">
        <f>Tabela5[[#This Row],[Tensão (Pa)]]/1000000</f>
        <v>0.34381078754500366</v>
      </c>
    </row>
    <row r="134" spans="1:6" x14ac:dyDescent="0.3">
      <c r="A134" s="5">
        <v>21.183</v>
      </c>
      <c r="B134" s="5">
        <v>1.7572000000000001</v>
      </c>
      <c r="C134" s="1">
        <f>Tabela5[[#This Row],[Alongamento (mm/mm)]]/$I$2</f>
        <v>3.5144000000000002E-2</v>
      </c>
      <c r="D134" s="5">
        <v>14.458</v>
      </c>
      <c r="E134" s="1">
        <f>Tabela5[[#This Row],[Força (N)]]/$I$5</f>
        <v>343810.78754500364</v>
      </c>
      <c r="F134" s="1">
        <f>Tabela5[[#This Row],[Tensão (Pa)]]/1000000</f>
        <v>0.34381078754500366</v>
      </c>
    </row>
    <row r="135" spans="1:6" x14ac:dyDescent="0.3">
      <c r="A135" s="5">
        <v>21.35</v>
      </c>
      <c r="B135" s="5">
        <v>1.7710999999999999</v>
      </c>
      <c r="C135" s="1">
        <f>Tabela5[[#This Row],[Alongamento (mm/mm)]]/$I$2</f>
        <v>3.5421999999999995E-2</v>
      </c>
      <c r="D135" s="5">
        <v>14.458</v>
      </c>
      <c r="E135" s="1">
        <f>Tabela5[[#This Row],[Força (N)]]/$I$5</f>
        <v>343810.78754500364</v>
      </c>
      <c r="F135" s="1">
        <f>Tabela5[[#This Row],[Tensão (Pa)]]/1000000</f>
        <v>0.34381078754500366</v>
      </c>
    </row>
    <row r="136" spans="1:6" x14ac:dyDescent="0.3">
      <c r="A136" s="5">
        <v>21.516999999999999</v>
      </c>
      <c r="B136" s="5">
        <v>1.7849999999999999</v>
      </c>
      <c r="C136" s="1">
        <f>Tabela5[[#This Row],[Alongamento (mm/mm)]]/$I$2</f>
        <v>3.5699999999999996E-2</v>
      </c>
      <c r="D136" s="5">
        <v>14.628</v>
      </c>
      <c r="E136" s="1">
        <f>Tabela5[[#This Row],[Força (N)]]/$I$5</f>
        <v>347853.38222494902</v>
      </c>
      <c r="F136" s="1">
        <f>Tabela5[[#This Row],[Tensão (Pa)]]/1000000</f>
        <v>0.34785338222494899</v>
      </c>
    </row>
    <row r="137" spans="1:6" x14ac:dyDescent="0.3">
      <c r="A137" s="5">
        <v>21.683</v>
      </c>
      <c r="B137" s="5">
        <v>1.7988999999999999</v>
      </c>
      <c r="C137" s="1">
        <f>Tabela5[[#This Row],[Alongamento (mm/mm)]]/$I$2</f>
        <v>3.5977999999999996E-2</v>
      </c>
      <c r="D137" s="5">
        <v>14.628</v>
      </c>
      <c r="E137" s="1">
        <f>Tabela5[[#This Row],[Força (N)]]/$I$5</f>
        <v>347853.38222494902</v>
      </c>
      <c r="F137" s="1">
        <f>Tabela5[[#This Row],[Tensão (Pa)]]/1000000</f>
        <v>0.34785338222494899</v>
      </c>
    </row>
    <row r="138" spans="1:6" x14ac:dyDescent="0.3">
      <c r="A138" s="5">
        <v>21.867000000000001</v>
      </c>
      <c r="B138" s="5">
        <v>1.8142</v>
      </c>
      <c r="C138" s="1">
        <f>Tabela5[[#This Row],[Alongamento (mm/mm)]]/$I$2</f>
        <v>3.6284000000000004E-2</v>
      </c>
      <c r="D138" s="5">
        <v>14.628</v>
      </c>
      <c r="E138" s="1">
        <f>Tabela5[[#This Row],[Força (N)]]/$I$5</f>
        <v>347853.38222494902</v>
      </c>
      <c r="F138" s="1">
        <f>Tabela5[[#This Row],[Tensão (Pa)]]/1000000</f>
        <v>0.34785338222494899</v>
      </c>
    </row>
    <row r="139" spans="1:6" x14ac:dyDescent="0.3">
      <c r="A139" s="5">
        <v>22.05</v>
      </c>
      <c r="B139" s="5">
        <v>1.8293999999999999</v>
      </c>
      <c r="C139" s="1">
        <f>Tabela5[[#This Row],[Alongamento (mm/mm)]]/$I$2</f>
        <v>3.6587999999999996E-2</v>
      </c>
      <c r="D139" s="5">
        <v>14.628</v>
      </c>
      <c r="E139" s="1">
        <f>Tabela5[[#This Row],[Força (N)]]/$I$5</f>
        <v>347853.38222494902</v>
      </c>
      <c r="F139" s="1">
        <f>Tabela5[[#This Row],[Tensão (Pa)]]/1000000</f>
        <v>0.34785338222494899</v>
      </c>
    </row>
    <row r="140" spans="1:6" x14ac:dyDescent="0.3">
      <c r="A140" s="5">
        <v>22.233000000000001</v>
      </c>
      <c r="B140" s="5">
        <v>1.8447</v>
      </c>
      <c r="C140" s="1">
        <f>Tabela5[[#This Row],[Alongamento (mm/mm)]]/$I$2</f>
        <v>3.6894000000000003E-2</v>
      </c>
      <c r="D140" s="5">
        <v>14.628</v>
      </c>
      <c r="E140" s="1">
        <f>Tabela5[[#This Row],[Força (N)]]/$I$5</f>
        <v>347853.38222494902</v>
      </c>
      <c r="F140" s="1">
        <f>Tabela5[[#This Row],[Tensão (Pa)]]/1000000</f>
        <v>0.34785338222494899</v>
      </c>
    </row>
    <row r="141" spans="1:6" x14ac:dyDescent="0.3">
      <c r="A141" s="5">
        <v>22.417000000000002</v>
      </c>
      <c r="B141" s="5">
        <v>1.86</v>
      </c>
      <c r="C141" s="1">
        <f>Tabela5[[#This Row],[Alongamento (mm/mm)]]/$I$2</f>
        <v>3.7200000000000004E-2</v>
      </c>
      <c r="D141" s="5">
        <v>14.798999999999999</v>
      </c>
      <c r="E141" s="1">
        <f>Tabela5[[#This Row],[Força (N)]]/$I$5</f>
        <v>351919.75687359995</v>
      </c>
      <c r="F141" s="1">
        <f>Tabela5[[#This Row],[Tensão (Pa)]]/1000000</f>
        <v>0.35191975687359994</v>
      </c>
    </row>
    <row r="142" spans="1:6" x14ac:dyDescent="0.3">
      <c r="A142" s="5">
        <v>22.6</v>
      </c>
      <c r="B142" s="5">
        <v>1.8752</v>
      </c>
      <c r="C142" s="1">
        <f>Tabela5[[#This Row],[Alongamento (mm/mm)]]/$I$2</f>
        <v>3.7504000000000003E-2</v>
      </c>
      <c r="D142" s="5">
        <v>14.798999999999999</v>
      </c>
      <c r="E142" s="1">
        <f>Tabela5[[#This Row],[Força (N)]]/$I$5</f>
        <v>351919.75687359995</v>
      </c>
      <c r="F142" s="1">
        <f>Tabela5[[#This Row],[Tensão (Pa)]]/1000000</f>
        <v>0.35191975687359994</v>
      </c>
    </row>
    <row r="143" spans="1:6" x14ac:dyDescent="0.3">
      <c r="A143" s="5">
        <v>22.783000000000001</v>
      </c>
      <c r="B143" s="5">
        <v>1.8905000000000001</v>
      </c>
      <c r="C143" s="1">
        <f>Tabela5[[#This Row],[Alongamento (mm/mm)]]/$I$2</f>
        <v>3.7810000000000003E-2</v>
      </c>
      <c r="D143" s="5">
        <v>14.798999999999999</v>
      </c>
      <c r="E143" s="1">
        <f>Tabela5[[#This Row],[Força (N)]]/$I$5</f>
        <v>351919.75687359995</v>
      </c>
      <c r="F143" s="1">
        <f>Tabela5[[#This Row],[Tensão (Pa)]]/1000000</f>
        <v>0.35191975687359994</v>
      </c>
    </row>
    <row r="144" spans="1:6" x14ac:dyDescent="0.3">
      <c r="A144" s="5">
        <v>22.966999999999999</v>
      </c>
      <c r="B144" s="5">
        <v>1.9056999999999999</v>
      </c>
      <c r="C144" s="1">
        <f>Tabela5[[#This Row],[Alongamento (mm/mm)]]/$I$2</f>
        <v>3.8114000000000002E-2</v>
      </c>
      <c r="D144" s="5">
        <v>14.798999999999999</v>
      </c>
      <c r="E144" s="1">
        <f>Tabela5[[#This Row],[Força (N)]]/$I$5</f>
        <v>351919.75687359995</v>
      </c>
      <c r="F144" s="1">
        <f>Tabela5[[#This Row],[Tensão (Pa)]]/1000000</f>
        <v>0.35191975687359994</v>
      </c>
    </row>
    <row r="145" spans="1:6" x14ac:dyDescent="0.3">
      <c r="A145" s="5">
        <v>23.15</v>
      </c>
      <c r="B145" s="5">
        <v>1.921</v>
      </c>
      <c r="C145" s="1">
        <f>Tabela5[[#This Row],[Alongamento (mm/mm)]]/$I$2</f>
        <v>3.8420000000000003E-2</v>
      </c>
      <c r="D145" s="5">
        <v>14.798999999999999</v>
      </c>
      <c r="E145" s="1">
        <f>Tabela5[[#This Row],[Força (N)]]/$I$5</f>
        <v>351919.75687359995</v>
      </c>
      <c r="F145" s="1">
        <f>Tabela5[[#This Row],[Tensão (Pa)]]/1000000</f>
        <v>0.35191975687359994</v>
      </c>
    </row>
    <row r="146" spans="1:6" x14ac:dyDescent="0.3">
      <c r="A146" s="5">
        <v>23.332999999999998</v>
      </c>
      <c r="B146" s="5">
        <v>1.9363999999999999</v>
      </c>
      <c r="C146" s="1">
        <f>Tabela5[[#This Row],[Alongamento (mm/mm)]]/$I$2</f>
        <v>3.8727999999999999E-2</v>
      </c>
      <c r="D146" s="5">
        <v>14.798999999999999</v>
      </c>
      <c r="E146" s="1">
        <f>Tabela5[[#This Row],[Força (N)]]/$I$5</f>
        <v>351919.75687359995</v>
      </c>
      <c r="F146" s="1">
        <f>Tabela5[[#This Row],[Tensão (Pa)]]/1000000</f>
        <v>0.35191975687359994</v>
      </c>
    </row>
    <row r="147" spans="1:6" x14ac:dyDescent="0.3">
      <c r="A147" s="5">
        <v>23.516999999999999</v>
      </c>
      <c r="B147" s="5">
        <v>1.9516</v>
      </c>
      <c r="C147" s="1">
        <f>Tabela5[[#This Row],[Alongamento (mm/mm)]]/$I$2</f>
        <v>3.9031999999999997E-2</v>
      </c>
      <c r="D147" s="5">
        <v>14.798999999999999</v>
      </c>
      <c r="E147" s="1">
        <f>Tabela5[[#This Row],[Força (N)]]/$I$5</f>
        <v>351919.75687359995</v>
      </c>
      <c r="F147" s="1">
        <f>Tabela5[[#This Row],[Tensão (Pa)]]/1000000</f>
        <v>0.35191975687359994</v>
      </c>
    </row>
    <row r="148" spans="1:6" x14ac:dyDescent="0.3">
      <c r="A148" s="5">
        <v>23.7</v>
      </c>
      <c r="B148" s="5">
        <v>1.9670000000000001</v>
      </c>
      <c r="C148" s="1">
        <f>Tabela5[[#This Row],[Alongamento (mm/mm)]]/$I$2</f>
        <v>3.934E-2</v>
      </c>
      <c r="D148" s="5">
        <v>14.798999999999999</v>
      </c>
      <c r="E148" s="1">
        <f>Tabela5[[#This Row],[Força (N)]]/$I$5</f>
        <v>351919.75687359995</v>
      </c>
      <c r="F148" s="1">
        <f>Tabela5[[#This Row],[Tensão (Pa)]]/1000000</f>
        <v>0.35191975687359994</v>
      </c>
    </row>
    <row r="149" spans="1:6" x14ac:dyDescent="0.3">
      <c r="A149" s="5">
        <v>23.9</v>
      </c>
      <c r="B149" s="5">
        <v>1.9835</v>
      </c>
      <c r="C149" s="1">
        <f>Tabela5[[#This Row],[Alongamento (mm/mm)]]/$I$2</f>
        <v>3.9670000000000004E-2</v>
      </c>
      <c r="D149" s="5">
        <v>14.798999999999999</v>
      </c>
      <c r="E149" s="1">
        <f>Tabela5[[#This Row],[Força (N)]]/$I$5</f>
        <v>351919.75687359995</v>
      </c>
      <c r="F149" s="1">
        <f>Tabela5[[#This Row],[Tensão (Pa)]]/1000000</f>
        <v>0.35191975687359994</v>
      </c>
    </row>
    <row r="150" spans="1:6" x14ac:dyDescent="0.3">
      <c r="A150" s="5">
        <v>24.1</v>
      </c>
      <c r="B150" s="5">
        <v>2.0003000000000002</v>
      </c>
      <c r="C150" s="1">
        <f>Tabela5[[#This Row],[Alongamento (mm/mm)]]/$I$2</f>
        <v>4.0006000000000007E-2</v>
      </c>
      <c r="D150" s="5">
        <v>14.798999999999999</v>
      </c>
      <c r="E150" s="1">
        <f>Tabela5[[#This Row],[Força (N)]]/$I$5</f>
        <v>351919.75687359995</v>
      </c>
      <c r="F150" s="1">
        <f>Tabela5[[#This Row],[Tensão (Pa)]]/1000000</f>
        <v>0.35191975687359994</v>
      </c>
    </row>
    <row r="151" spans="1:6" x14ac:dyDescent="0.3">
      <c r="A151" s="5">
        <v>24.3</v>
      </c>
      <c r="B151" s="5">
        <v>2.0169000000000001</v>
      </c>
      <c r="C151" s="1">
        <f>Tabela5[[#This Row],[Alongamento (mm/mm)]]/$I$2</f>
        <v>4.0338000000000006E-2</v>
      </c>
      <c r="D151" s="5">
        <v>14.798999999999999</v>
      </c>
      <c r="E151" s="1">
        <f>Tabela5[[#This Row],[Força (N)]]/$I$5</f>
        <v>351919.75687359995</v>
      </c>
      <c r="F151" s="1">
        <f>Tabela5[[#This Row],[Tensão (Pa)]]/1000000</f>
        <v>0.35191975687359994</v>
      </c>
    </row>
    <row r="152" spans="1:6" x14ac:dyDescent="0.3">
      <c r="A152" s="5">
        <v>24.5</v>
      </c>
      <c r="B152" s="5">
        <v>2.0337000000000001</v>
      </c>
      <c r="C152" s="1">
        <f>Tabela5[[#This Row],[Alongamento (mm/mm)]]/$I$2</f>
        <v>4.0674000000000002E-2</v>
      </c>
      <c r="D152" s="5">
        <v>14.968999999999999</v>
      </c>
      <c r="E152" s="1">
        <f>Tabela5[[#This Row],[Força (N)]]/$I$5</f>
        <v>355962.35155354539</v>
      </c>
      <c r="F152" s="1">
        <f>Tabela5[[#This Row],[Tensão (Pa)]]/1000000</f>
        <v>0.35596235155354539</v>
      </c>
    </row>
    <row r="153" spans="1:6" x14ac:dyDescent="0.3">
      <c r="A153" s="5">
        <v>24.7</v>
      </c>
      <c r="B153" s="5">
        <v>2.0503</v>
      </c>
      <c r="C153" s="1">
        <f>Tabela5[[#This Row],[Alongamento (mm/mm)]]/$I$2</f>
        <v>4.1006000000000001E-2</v>
      </c>
      <c r="D153" s="5">
        <v>15.138999999999999</v>
      </c>
      <c r="E153" s="1">
        <f>Tabela5[[#This Row],[Força (N)]]/$I$5</f>
        <v>360004.94623349077</v>
      </c>
      <c r="F153" s="1">
        <f>Tabela5[[#This Row],[Tensão (Pa)]]/1000000</f>
        <v>0.36000494623349077</v>
      </c>
    </row>
    <row r="154" spans="1:6" x14ac:dyDescent="0.3">
      <c r="A154" s="5">
        <v>24.9</v>
      </c>
      <c r="B154" s="5">
        <v>2.0669</v>
      </c>
      <c r="C154" s="1">
        <f>Tabela5[[#This Row],[Alongamento (mm/mm)]]/$I$2</f>
        <v>4.1338E-2</v>
      </c>
      <c r="D154" s="5">
        <v>15.308999999999999</v>
      </c>
      <c r="E154" s="1">
        <f>Tabela5[[#This Row],[Força (N)]]/$I$5</f>
        <v>364047.54091343615</v>
      </c>
      <c r="F154" s="1">
        <f>Tabela5[[#This Row],[Tensão (Pa)]]/1000000</f>
        <v>0.36404754091343616</v>
      </c>
    </row>
    <row r="155" spans="1:6" x14ac:dyDescent="0.3">
      <c r="A155" s="5">
        <v>25.1</v>
      </c>
      <c r="B155" s="5">
        <v>2.0836000000000001</v>
      </c>
      <c r="C155" s="1">
        <f>Tabela5[[#This Row],[Alongamento (mm/mm)]]/$I$2</f>
        <v>4.1672000000000001E-2</v>
      </c>
      <c r="D155" s="5">
        <v>15.989000000000001</v>
      </c>
      <c r="E155" s="1">
        <f>Tabela5[[#This Row],[Força (N)]]/$I$5</f>
        <v>380217.9196332178</v>
      </c>
      <c r="F155" s="1">
        <f>Tabela5[[#This Row],[Tensão (Pa)]]/1000000</f>
        <v>0.38021791963321777</v>
      </c>
    </row>
    <row r="156" spans="1:6" x14ac:dyDescent="0.3">
      <c r="A156" s="5">
        <v>25.3</v>
      </c>
      <c r="B156" s="5">
        <v>2.1002999999999998</v>
      </c>
      <c r="C156" s="1">
        <f>Tabela5[[#This Row],[Alongamento (mm/mm)]]/$I$2</f>
        <v>4.2005999999999995E-2</v>
      </c>
      <c r="D156" s="5">
        <v>16.329000000000001</v>
      </c>
      <c r="E156" s="1">
        <f>Tabela5[[#This Row],[Força (N)]]/$I$5</f>
        <v>388303.10899310862</v>
      </c>
      <c r="F156" s="1">
        <f>Tabela5[[#This Row],[Tensão (Pa)]]/1000000</f>
        <v>0.3883031089931086</v>
      </c>
    </row>
    <row r="157" spans="1:6" x14ac:dyDescent="0.3">
      <c r="A157" s="5">
        <v>25.5</v>
      </c>
      <c r="B157" s="5">
        <v>2.117</v>
      </c>
      <c r="C157" s="1">
        <f>Tabela5[[#This Row],[Alongamento (mm/mm)]]/$I$2</f>
        <v>4.2340000000000003E-2</v>
      </c>
      <c r="D157" s="5">
        <v>16.670000000000002</v>
      </c>
      <c r="E157" s="1">
        <f>Tabela5[[#This Row],[Força (N)]]/$I$5</f>
        <v>396412.07832170499</v>
      </c>
      <c r="F157" s="1">
        <f>Tabela5[[#This Row],[Tensão (Pa)]]/1000000</f>
        <v>0.396412078321705</v>
      </c>
    </row>
    <row r="158" spans="1:6" x14ac:dyDescent="0.3">
      <c r="A158" s="5">
        <v>25.683</v>
      </c>
      <c r="B158" s="5">
        <v>2.1322000000000001</v>
      </c>
      <c r="C158" s="1">
        <f>Tabela5[[#This Row],[Alongamento (mm/mm)]]/$I$2</f>
        <v>4.2644000000000001E-2</v>
      </c>
      <c r="D158" s="5">
        <v>17.350000000000001</v>
      </c>
      <c r="E158" s="1">
        <f>Tabela5[[#This Row],[Força (N)]]/$I$5</f>
        <v>412582.45704148657</v>
      </c>
      <c r="F158" s="1">
        <f>Tabela5[[#This Row],[Tensão (Pa)]]/1000000</f>
        <v>0.41258245704148655</v>
      </c>
    </row>
    <row r="159" spans="1:6" x14ac:dyDescent="0.3">
      <c r="A159" s="5">
        <v>25.882999999999999</v>
      </c>
      <c r="B159" s="5">
        <v>2.1488999999999998</v>
      </c>
      <c r="C159" s="1">
        <f>Tabela5[[#This Row],[Alongamento (mm/mm)]]/$I$2</f>
        <v>4.2977999999999995E-2</v>
      </c>
      <c r="D159" s="5">
        <v>17.86</v>
      </c>
      <c r="E159" s="1">
        <f>Tabela5[[#This Row],[Força (N)]]/$I$5</f>
        <v>424710.24108132278</v>
      </c>
      <c r="F159" s="1">
        <f>Tabela5[[#This Row],[Tensão (Pa)]]/1000000</f>
        <v>0.42471024108132277</v>
      </c>
    </row>
    <row r="160" spans="1:6" x14ac:dyDescent="0.3">
      <c r="A160" s="5">
        <v>26.082999999999998</v>
      </c>
      <c r="B160" s="5">
        <v>2.1656</v>
      </c>
      <c r="C160" s="1">
        <f>Tabela5[[#This Row],[Alongamento (mm/mm)]]/$I$2</f>
        <v>4.3311999999999996E-2</v>
      </c>
      <c r="D160" s="5">
        <v>18.541</v>
      </c>
      <c r="E160" s="1">
        <f>Tabela5[[#This Row],[Força (N)]]/$I$5</f>
        <v>440904.39976980997</v>
      </c>
      <c r="F160" s="1">
        <f>Tabela5[[#This Row],[Tensão (Pa)]]/1000000</f>
        <v>0.44090439976981</v>
      </c>
    </row>
    <row r="161" spans="1:6" x14ac:dyDescent="0.3">
      <c r="A161" s="5">
        <v>26.283000000000001</v>
      </c>
      <c r="B161" s="5">
        <v>2.1821999999999999</v>
      </c>
      <c r="C161" s="1">
        <f>Tabela5[[#This Row],[Alongamento (mm/mm)]]/$I$2</f>
        <v>4.3643999999999995E-2</v>
      </c>
      <c r="D161" s="5">
        <v>19.221</v>
      </c>
      <c r="E161" s="1">
        <f>Tabela5[[#This Row],[Força (N)]]/$I$5</f>
        <v>457074.77848959155</v>
      </c>
      <c r="F161" s="1">
        <f>Tabela5[[#This Row],[Tensão (Pa)]]/1000000</f>
        <v>0.45707477848959155</v>
      </c>
    </row>
    <row r="162" spans="1:6" x14ac:dyDescent="0.3">
      <c r="A162" s="5">
        <v>26.466999999999999</v>
      </c>
      <c r="B162" s="5">
        <v>2.1976</v>
      </c>
      <c r="C162" s="1">
        <f>Tabela5[[#This Row],[Alongamento (mm/mm)]]/$I$2</f>
        <v>4.3951999999999998E-2</v>
      </c>
      <c r="D162" s="5">
        <v>19.902000000000001</v>
      </c>
      <c r="E162" s="1">
        <f>Tabela5[[#This Row],[Força (N)]]/$I$5</f>
        <v>473268.93717807875</v>
      </c>
      <c r="F162" s="1">
        <f>Tabela5[[#This Row],[Tensão (Pa)]]/1000000</f>
        <v>0.47326893717807877</v>
      </c>
    </row>
    <row r="163" spans="1:6" x14ac:dyDescent="0.3">
      <c r="A163" s="5">
        <v>26.6</v>
      </c>
      <c r="B163" s="5">
        <v>2.2086000000000001</v>
      </c>
      <c r="C163" s="1">
        <f>Tabela5[[#This Row],[Alongamento (mm/mm)]]/$I$2</f>
        <v>4.4172000000000003E-2</v>
      </c>
      <c r="D163" s="5">
        <v>20.582000000000001</v>
      </c>
      <c r="E163" s="1">
        <f>Tabela5[[#This Row],[Força (N)]]/$I$5</f>
        <v>489439.31589786033</v>
      </c>
      <c r="F163" s="1">
        <f>Tabela5[[#This Row],[Tensão (Pa)]]/1000000</f>
        <v>0.48943931589786033</v>
      </c>
    </row>
    <row r="164" spans="1:6" x14ac:dyDescent="0.3">
      <c r="A164" s="5">
        <v>26.75</v>
      </c>
      <c r="B164" s="5">
        <v>2.2210999999999999</v>
      </c>
      <c r="C164" s="1">
        <f>Tabela5[[#This Row],[Alongamento (mm/mm)]]/$I$2</f>
        <v>4.4421999999999996E-2</v>
      </c>
      <c r="D164" s="5">
        <v>21.262</v>
      </c>
      <c r="E164" s="1">
        <f>Tabela5[[#This Row],[Força (N)]]/$I$5</f>
        <v>505609.69461764192</v>
      </c>
      <c r="F164" s="1">
        <f>Tabela5[[#This Row],[Tensão (Pa)]]/1000000</f>
        <v>0.50560969461764194</v>
      </c>
    </row>
    <row r="165" spans="1:6" x14ac:dyDescent="0.3">
      <c r="A165" s="5">
        <v>26.9</v>
      </c>
      <c r="B165" s="5">
        <v>2.2336999999999998</v>
      </c>
      <c r="C165" s="1">
        <f>Tabela5[[#This Row],[Alongamento (mm/mm)]]/$I$2</f>
        <v>4.4673999999999998E-2</v>
      </c>
      <c r="D165" s="5">
        <v>21.943000000000001</v>
      </c>
      <c r="E165" s="1">
        <f>Tabela5[[#This Row],[Força (N)]]/$I$5</f>
        <v>521803.85330612911</v>
      </c>
      <c r="F165" s="1">
        <f>Tabela5[[#This Row],[Tensão (Pa)]]/1000000</f>
        <v>0.52180385330612911</v>
      </c>
    </row>
    <row r="166" spans="1:6" x14ac:dyDescent="0.3">
      <c r="A166" s="5">
        <v>27.033000000000001</v>
      </c>
      <c r="B166" s="5">
        <v>2.2446999999999999</v>
      </c>
      <c r="C166" s="1">
        <f>Tabela5[[#This Row],[Alongamento (mm/mm)]]/$I$2</f>
        <v>4.4893999999999996E-2</v>
      </c>
      <c r="D166" s="5">
        <v>22.623000000000001</v>
      </c>
      <c r="E166" s="1">
        <f>Tabela5[[#This Row],[Força (N)]]/$I$5</f>
        <v>537974.23202591075</v>
      </c>
      <c r="F166" s="1">
        <f>Tabela5[[#This Row],[Tensão (Pa)]]/1000000</f>
        <v>0.53797423202591077</v>
      </c>
    </row>
    <row r="167" spans="1:6" x14ac:dyDescent="0.3">
      <c r="A167" s="5">
        <v>27.2</v>
      </c>
      <c r="B167" s="5">
        <v>2.2585999999999999</v>
      </c>
      <c r="C167" s="1">
        <f>Tabela5[[#This Row],[Alongamento (mm/mm)]]/$I$2</f>
        <v>4.5171999999999997E-2</v>
      </c>
      <c r="D167" s="5">
        <v>23.303999999999998</v>
      </c>
      <c r="E167" s="1">
        <f>Tabela5[[#This Row],[Força (N)]]/$I$5</f>
        <v>554168.39071439777</v>
      </c>
      <c r="F167" s="1">
        <f>Tabela5[[#This Row],[Tensão (Pa)]]/1000000</f>
        <v>0.55416839071439772</v>
      </c>
    </row>
    <row r="168" spans="1:6" x14ac:dyDescent="0.3">
      <c r="A168" s="5">
        <v>27.417000000000002</v>
      </c>
      <c r="B168" s="5">
        <v>2.2766999999999999</v>
      </c>
      <c r="C168" s="1">
        <f>Tabela5[[#This Row],[Alongamento (mm/mm)]]/$I$2</f>
        <v>4.5533999999999998E-2</v>
      </c>
      <c r="D168" s="5">
        <v>23.984000000000002</v>
      </c>
      <c r="E168" s="1">
        <f>Tabela5[[#This Row],[Força (N)]]/$I$5</f>
        <v>570338.76943417953</v>
      </c>
      <c r="F168" s="1">
        <f>Tabela5[[#This Row],[Tensão (Pa)]]/1000000</f>
        <v>0.57033876943417949</v>
      </c>
    </row>
    <row r="169" spans="1:6" x14ac:dyDescent="0.3">
      <c r="A169" s="5">
        <v>27.6</v>
      </c>
      <c r="B169" s="5">
        <v>2.2919</v>
      </c>
      <c r="C169" s="1">
        <f>Tabela5[[#This Row],[Alongamento (mm/mm)]]/$I$2</f>
        <v>4.5838000000000004E-2</v>
      </c>
      <c r="D169" s="5">
        <v>24.664000000000001</v>
      </c>
      <c r="E169" s="1">
        <f>Tabela5[[#This Row],[Força (N)]]/$I$5</f>
        <v>586509.14815396105</v>
      </c>
      <c r="F169" s="1">
        <f>Tabela5[[#This Row],[Tensão (Pa)]]/1000000</f>
        <v>0.58650914815396105</v>
      </c>
    </row>
    <row r="170" spans="1:6" x14ac:dyDescent="0.3">
      <c r="A170" s="5">
        <v>27.733000000000001</v>
      </c>
      <c r="B170" s="5">
        <v>2.3031000000000001</v>
      </c>
      <c r="C170" s="1">
        <f>Tabela5[[#This Row],[Alongamento (mm/mm)]]/$I$2</f>
        <v>4.6062000000000006E-2</v>
      </c>
      <c r="D170" s="5">
        <v>25.344999999999999</v>
      </c>
      <c r="E170" s="1">
        <f>Tabela5[[#This Row],[Força (N)]]/$I$5</f>
        <v>602703.30684244819</v>
      </c>
      <c r="F170" s="1">
        <f>Tabela5[[#This Row],[Tensão (Pa)]]/1000000</f>
        <v>0.60270330684244822</v>
      </c>
    </row>
    <row r="171" spans="1:6" x14ac:dyDescent="0.3">
      <c r="A171" s="5">
        <v>27.882999999999999</v>
      </c>
      <c r="B171" s="5">
        <v>2.3155999999999999</v>
      </c>
      <c r="C171" s="1">
        <f>Tabela5[[#This Row],[Alongamento (mm/mm)]]/$I$2</f>
        <v>4.6311999999999999E-2</v>
      </c>
      <c r="D171" s="5">
        <v>26.024999999999999</v>
      </c>
      <c r="E171" s="1">
        <f>Tabela5[[#This Row],[Força (N)]]/$I$5</f>
        <v>618873.68556222983</v>
      </c>
      <c r="F171" s="1">
        <f>Tabela5[[#This Row],[Tensão (Pa)]]/1000000</f>
        <v>0.61887368556222988</v>
      </c>
    </row>
    <row r="172" spans="1:6" x14ac:dyDescent="0.3">
      <c r="A172" s="5">
        <v>28.033000000000001</v>
      </c>
      <c r="B172" s="5">
        <v>2.3281000000000001</v>
      </c>
      <c r="C172" s="1">
        <f>Tabela5[[#This Row],[Alongamento (mm/mm)]]/$I$2</f>
        <v>4.6561999999999999E-2</v>
      </c>
      <c r="D172" s="5">
        <v>26.706</v>
      </c>
      <c r="E172" s="1">
        <f>Tabela5[[#This Row],[Força (N)]]/$I$5</f>
        <v>635067.84425071697</v>
      </c>
      <c r="F172" s="1">
        <f>Tabela5[[#This Row],[Tensão (Pa)]]/1000000</f>
        <v>0.63506784425071694</v>
      </c>
    </row>
    <row r="173" spans="1:6" x14ac:dyDescent="0.3">
      <c r="A173" s="5">
        <v>28.183</v>
      </c>
      <c r="B173" s="5">
        <v>2.3405</v>
      </c>
      <c r="C173" s="1">
        <f>Tabela5[[#This Row],[Alongamento (mm/mm)]]/$I$2</f>
        <v>4.6809999999999997E-2</v>
      </c>
      <c r="D173" s="5">
        <v>27.385999999999999</v>
      </c>
      <c r="E173" s="1">
        <f>Tabela5[[#This Row],[Força (N)]]/$I$5</f>
        <v>651238.22297049861</v>
      </c>
      <c r="F173" s="1">
        <f>Tabela5[[#This Row],[Tensão (Pa)]]/1000000</f>
        <v>0.6512382229704986</v>
      </c>
    </row>
    <row r="174" spans="1:6" x14ac:dyDescent="0.3">
      <c r="A174" s="5">
        <v>28.317</v>
      </c>
      <c r="B174" s="5">
        <v>2.3517000000000001</v>
      </c>
      <c r="C174" s="1">
        <f>Tabela5[[#This Row],[Alongamento (mm/mm)]]/$I$2</f>
        <v>4.7033999999999999E-2</v>
      </c>
      <c r="D174" s="5">
        <v>28.065999999999999</v>
      </c>
      <c r="E174" s="1">
        <f>Tabela5[[#This Row],[Força (N)]]/$I$5</f>
        <v>667408.60169028025</v>
      </c>
      <c r="F174" s="1">
        <f>Tabela5[[#This Row],[Tensão (Pa)]]/1000000</f>
        <v>0.66740860169028027</v>
      </c>
    </row>
    <row r="175" spans="1:6" x14ac:dyDescent="0.3">
      <c r="A175" s="5">
        <v>28.466999999999999</v>
      </c>
      <c r="B175" s="5">
        <v>2.3641999999999999</v>
      </c>
      <c r="C175" s="1">
        <f>Tabela5[[#This Row],[Alongamento (mm/mm)]]/$I$2</f>
        <v>4.7284E-2</v>
      </c>
      <c r="D175" s="5">
        <v>28.747</v>
      </c>
      <c r="E175" s="1">
        <f>Tabela5[[#This Row],[Força (N)]]/$I$5</f>
        <v>683602.76037876739</v>
      </c>
      <c r="F175" s="1">
        <f>Tabela5[[#This Row],[Tensão (Pa)]]/1000000</f>
        <v>0.68360276037876744</v>
      </c>
    </row>
    <row r="176" spans="1:6" x14ac:dyDescent="0.3">
      <c r="A176" s="5">
        <v>28.582999999999998</v>
      </c>
      <c r="B176" s="5">
        <v>2.3738999999999999</v>
      </c>
      <c r="C176" s="1">
        <f>Tabela5[[#This Row],[Alongamento (mm/mm)]]/$I$2</f>
        <v>4.7477999999999999E-2</v>
      </c>
      <c r="D176" s="5">
        <v>29.427</v>
      </c>
      <c r="E176" s="1">
        <f>Tabela5[[#This Row],[Força (N)]]/$I$5</f>
        <v>699773.13909854903</v>
      </c>
      <c r="F176" s="1">
        <f>Tabela5[[#This Row],[Tensão (Pa)]]/1000000</f>
        <v>0.69977313909854899</v>
      </c>
    </row>
    <row r="177" spans="1:6" x14ac:dyDescent="0.3">
      <c r="A177" s="5">
        <v>28.716999999999999</v>
      </c>
      <c r="B177" s="5">
        <v>2.3849999999999998</v>
      </c>
      <c r="C177" s="1">
        <f>Tabela5[[#This Row],[Alongamento (mm/mm)]]/$I$2</f>
        <v>4.7699999999999992E-2</v>
      </c>
      <c r="D177" s="5">
        <v>30.106999999999999</v>
      </c>
      <c r="E177" s="1">
        <f>Tabela5[[#This Row],[Força (N)]]/$I$5</f>
        <v>715943.51781833055</v>
      </c>
      <c r="F177" s="1">
        <f>Tabela5[[#This Row],[Tensão (Pa)]]/1000000</f>
        <v>0.71594351781833054</v>
      </c>
    </row>
    <row r="178" spans="1:6" x14ac:dyDescent="0.3">
      <c r="A178" s="5">
        <v>28.85</v>
      </c>
      <c r="B178" s="5">
        <v>2.3961999999999999</v>
      </c>
      <c r="C178" s="1">
        <f>Tabela5[[#This Row],[Alongamento (mm/mm)]]/$I$2</f>
        <v>4.7923999999999994E-2</v>
      </c>
      <c r="D178" s="5">
        <v>30.788</v>
      </c>
      <c r="E178" s="1">
        <f>Tabela5[[#This Row],[Força (N)]]/$I$5</f>
        <v>732137.67650681781</v>
      </c>
      <c r="F178" s="1">
        <f>Tabela5[[#This Row],[Tensão (Pa)]]/1000000</f>
        <v>0.73213767650681782</v>
      </c>
    </row>
    <row r="179" spans="1:6" x14ac:dyDescent="0.3">
      <c r="A179" s="5">
        <v>28.983000000000001</v>
      </c>
      <c r="B179" s="5">
        <v>2.4072</v>
      </c>
      <c r="C179" s="1">
        <f>Tabela5[[#This Row],[Alongamento (mm/mm)]]/$I$2</f>
        <v>4.8143999999999999E-2</v>
      </c>
      <c r="D179" s="5">
        <v>31.468</v>
      </c>
      <c r="E179" s="1">
        <f>Tabela5[[#This Row],[Força (N)]]/$I$5</f>
        <v>748308.05522659933</v>
      </c>
      <c r="F179" s="1">
        <f>Tabela5[[#This Row],[Tensão (Pa)]]/1000000</f>
        <v>0.74830805522659938</v>
      </c>
    </row>
    <row r="180" spans="1:6" x14ac:dyDescent="0.3">
      <c r="A180" s="5">
        <v>29.117000000000001</v>
      </c>
      <c r="B180" s="5">
        <v>2.4182999999999999</v>
      </c>
      <c r="C180" s="1">
        <f>Tabela5[[#This Row],[Alongamento (mm/mm)]]/$I$2</f>
        <v>4.8365999999999999E-2</v>
      </c>
      <c r="D180" s="5">
        <v>32.149000000000001</v>
      </c>
      <c r="E180" s="1">
        <f>Tabela5[[#This Row],[Força (N)]]/$I$5</f>
        <v>764502.21391508658</v>
      </c>
      <c r="F180" s="1">
        <f>Tabela5[[#This Row],[Tensão (Pa)]]/1000000</f>
        <v>0.76450221391508655</v>
      </c>
    </row>
    <row r="181" spans="1:6" x14ac:dyDescent="0.3">
      <c r="A181" s="5">
        <v>29.25</v>
      </c>
      <c r="B181" s="5">
        <v>2.4295</v>
      </c>
      <c r="C181" s="1">
        <f>Tabela5[[#This Row],[Alongamento (mm/mm)]]/$I$2</f>
        <v>4.8590000000000001E-2</v>
      </c>
      <c r="D181" s="5">
        <v>32.829000000000001</v>
      </c>
      <c r="E181" s="1">
        <f>Tabela5[[#This Row],[Força (N)]]/$I$5</f>
        <v>780672.59263486811</v>
      </c>
      <c r="F181" s="1">
        <f>Tabela5[[#This Row],[Tensão (Pa)]]/1000000</f>
        <v>0.7806725926348681</v>
      </c>
    </row>
    <row r="182" spans="1:6" x14ac:dyDescent="0.3">
      <c r="A182" s="5">
        <v>29.382999999999999</v>
      </c>
      <c r="B182" s="5">
        <v>2.4405000000000001</v>
      </c>
      <c r="C182" s="1">
        <f>Tabela5[[#This Row],[Alongamento (mm/mm)]]/$I$2</f>
        <v>4.8809999999999999E-2</v>
      </c>
      <c r="D182" s="5">
        <v>33.509</v>
      </c>
      <c r="E182" s="1">
        <f>Tabela5[[#This Row],[Força (N)]]/$I$5</f>
        <v>796842.97135464975</v>
      </c>
      <c r="F182" s="1">
        <f>Tabela5[[#This Row],[Tensão (Pa)]]/1000000</f>
        <v>0.79684297135464977</v>
      </c>
    </row>
    <row r="183" spans="1:6" x14ac:dyDescent="0.3">
      <c r="A183" s="5">
        <v>29.5</v>
      </c>
      <c r="B183" s="5">
        <v>2.4502999999999999</v>
      </c>
      <c r="C183" s="1">
        <f>Tabela5[[#This Row],[Alongamento (mm/mm)]]/$I$2</f>
        <v>4.9006000000000001E-2</v>
      </c>
      <c r="D183" s="5">
        <v>34.19</v>
      </c>
      <c r="E183" s="1">
        <f>Tabela5[[#This Row],[Força (N)]]/$I$5</f>
        <v>813037.13004313689</v>
      </c>
      <c r="F183" s="1">
        <f>Tabela5[[#This Row],[Tensão (Pa)]]/1000000</f>
        <v>0.81303713004313694</v>
      </c>
    </row>
    <row r="184" spans="1:6" x14ac:dyDescent="0.3">
      <c r="A184" s="5">
        <v>29.617000000000001</v>
      </c>
      <c r="B184" s="5">
        <v>2.46</v>
      </c>
      <c r="C184" s="1">
        <f>Tabela5[[#This Row],[Alongamento (mm/mm)]]/$I$2</f>
        <v>4.9200000000000001E-2</v>
      </c>
      <c r="D184" s="5">
        <v>34.869999999999997</v>
      </c>
      <c r="E184" s="1">
        <f>Tabela5[[#This Row],[Força (N)]]/$I$5</f>
        <v>829207.50876291841</v>
      </c>
      <c r="F184" s="1">
        <f>Tabela5[[#This Row],[Tensão (Pa)]]/1000000</f>
        <v>0.82920750876291838</v>
      </c>
    </row>
    <row r="185" spans="1:6" x14ac:dyDescent="0.3">
      <c r="A185" s="5">
        <v>29.716999999999999</v>
      </c>
      <c r="B185" s="5">
        <v>2.4683999999999999</v>
      </c>
      <c r="C185" s="1">
        <f>Tabela5[[#This Row],[Alongamento (mm/mm)]]/$I$2</f>
        <v>4.9367999999999995E-2</v>
      </c>
      <c r="D185" s="5">
        <v>35.551000000000002</v>
      </c>
      <c r="E185" s="1">
        <f>Tabela5[[#This Row],[Força (N)]]/$I$5</f>
        <v>845401.66745140578</v>
      </c>
      <c r="F185" s="1">
        <f>Tabela5[[#This Row],[Tensão (Pa)]]/1000000</f>
        <v>0.84540166745140577</v>
      </c>
    </row>
    <row r="186" spans="1:6" x14ac:dyDescent="0.3">
      <c r="A186" s="5">
        <v>29.832999999999998</v>
      </c>
      <c r="B186" s="5">
        <v>2.4780000000000002</v>
      </c>
      <c r="C186" s="1">
        <f>Tabela5[[#This Row],[Alongamento (mm/mm)]]/$I$2</f>
        <v>4.9560000000000007E-2</v>
      </c>
      <c r="D186" s="5">
        <v>36.231000000000002</v>
      </c>
      <c r="E186" s="1">
        <f>Tabela5[[#This Row],[Força (N)]]/$I$5</f>
        <v>861572.04617118731</v>
      </c>
      <c r="F186" s="1">
        <f>Tabela5[[#This Row],[Tensão (Pa)]]/1000000</f>
        <v>0.86157204617118732</v>
      </c>
    </row>
    <row r="187" spans="1:6" x14ac:dyDescent="0.3">
      <c r="A187" s="5">
        <v>29.933</v>
      </c>
      <c r="B187" s="5">
        <v>2.4864000000000002</v>
      </c>
      <c r="C187" s="1">
        <f>Tabela5[[#This Row],[Alongamento (mm/mm)]]/$I$2</f>
        <v>4.9728000000000001E-2</v>
      </c>
      <c r="D187" s="5">
        <v>36.911000000000001</v>
      </c>
      <c r="E187" s="1">
        <f>Tabela5[[#This Row],[Força (N)]]/$I$5</f>
        <v>877742.42489096895</v>
      </c>
      <c r="F187" s="1">
        <f>Tabela5[[#This Row],[Tensão (Pa)]]/1000000</f>
        <v>0.87774242489096899</v>
      </c>
    </row>
    <row r="188" spans="1:6" x14ac:dyDescent="0.3">
      <c r="A188" s="5">
        <v>30.033000000000001</v>
      </c>
      <c r="B188" s="5">
        <v>2.4946999999999999</v>
      </c>
      <c r="C188" s="1">
        <f>Tabela5[[#This Row],[Alongamento (mm/mm)]]/$I$2</f>
        <v>4.9894000000000001E-2</v>
      </c>
      <c r="D188" s="5">
        <v>37.591999999999999</v>
      </c>
      <c r="E188" s="1">
        <f>Tabela5[[#This Row],[Força (N)]]/$I$5</f>
        <v>893936.58357945608</v>
      </c>
      <c r="F188" s="1">
        <f>Tabela5[[#This Row],[Tensão (Pa)]]/1000000</f>
        <v>0.89393658357945605</v>
      </c>
    </row>
    <row r="189" spans="1:6" x14ac:dyDescent="0.3">
      <c r="A189" s="5">
        <v>30.132999999999999</v>
      </c>
      <c r="B189" s="5">
        <v>2.5030999999999999</v>
      </c>
      <c r="C189" s="1">
        <f>Tabela5[[#This Row],[Alongamento (mm/mm)]]/$I$2</f>
        <v>5.0061999999999995E-2</v>
      </c>
      <c r="D189" s="5">
        <v>38.271999999999998</v>
      </c>
      <c r="E189" s="1">
        <f>Tabela5[[#This Row],[Força (N)]]/$I$5</f>
        <v>910106.96229923761</v>
      </c>
      <c r="F189" s="1">
        <f>Tabela5[[#This Row],[Tensão (Pa)]]/1000000</f>
        <v>0.9101069622992376</v>
      </c>
    </row>
    <row r="190" spans="1:6" x14ac:dyDescent="0.3">
      <c r="A190" s="5">
        <v>30.233000000000001</v>
      </c>
      <c r="B190" s="5">
        <v>2.5114000000000001</v>
      </c>
      <c r="C190" s="1">
        <f>Tabela5[[#This Row],[Alongamento (mm/mm)]]/$I$2</f>
        <v>5.0228000000000002E-2</v>
      </c>
      <c r="D190" s="5">
        <v>38.953000000000003</v>
      </c>
      <c r="E190" s="1">
        <f>Tabela5[[#This Row],[Força (N)]]/$I$5</f>
        <v>926301.12098772486</v>
      </c>
      <c r="F190" s="1">
        <f>Tabela5[[#This Row],[Tensão (Pa)]]/1000000</f>
        <v>0.92630112098772488</v>
      </c>
    </row>
    <row r="191" spans="1:6" x14ac:dyDescent="0.3">
      <c r="A191" s="5">
        <v>30.317</v>
      </c>
      <c r="B191" s="5">
        <v>2.5183</v>
      </c>
      <c r="C191" s="1">
        <f>Tabela5[[#This Row],[Alongamento (mm/mm)]]/$I$2</f>
        <v>5.0366000000000001E-2</v>
      </c>
      <c r="D191" s="5">
        <v>39.633000000000003</v>
      </c>
      <c r="E191" s="1">
        <f>Tabela5[[#This Row],[Força (N)]]/$I$5</f>
        <v>942471.4997075065</v>
      </c>
      <c r="F191" s="1">
        <f>Tabela5[[#This Row],[Tensão (Pa)]]/1000000</f>
        <v>0.94247149970750654</v>
      </c>
    </row>
    <row r="192" spans="1:6" x14ac:dyDescent="0.3">
      <c r="A192" s="5">
        <v>30.417000000000002</v>
      </c>
      <c r="B192" s="5">
        <v>2.5266000000000002</v>
      </c>
      <c r="C192" s="1">
        <f>Tabela5[[#This Row],[Alongamento (mm/mm)]]/$I$2</f>
        <v>5.0532000000000001E-2</v>
      </c>
      <c r="D192" s="5">
        <v>40.313000000000002</v>
      </c>
      <c r="E192" s="1">
        <f>Tabela5[[#This Row],[Força (N)]]/$I$5</f>
        <v>958641.87842728815</v>
      </c>
      <c r="F192" s="1">
        <f>Tabela5[[#This Row],[Tensão (Pa)]]/1000000</f>
        <v>0.9586418784272881</v>
      </c>
    </row>
    <row r="193" spans="1:6" x14ac:dyDescent="0.3">
      <c r="A193" s="5">
        <v>30.516999999999999</v>
      </c>
      <c r="B193" s="5">
        <v>2.5350000000000001</v>
      </c>
      <c r="C193" s="1">
        <f>Tabela5[[#This Row],[Alongamento (mm/mm)]]/$I$2</f>
        <v>5.0700000000000002E-2</v>
      </c>
      <c r="D193" s="5">
        <v>40.994</v>
      </c>
      <c r="E193" s="1">
        <f>Tabela5[[#This Row],[Força (N)]]/$I$5</f>
        <v>974836.03711577517</v>
      </c>
      <c r="F193" s="1">
        <f>Tabela5[[#This Row],[Tensão (Pa)]]/1000000</f>
        <v>0.97483603711577516</v>
      </c>
    </row>
    <row r="194" spans="1:6" x14ac:dyDescent="0.3">
      <c r="A194" s="5">
        <v>30.6</v>
      </c>
      <c r="B194" s="5">
        <v>2.5419</v>
      </c>
      <c r="C194" s="1">
        <f>Tabela5[[#This Row],[Alongamento (mm/mm)]]/$I$2</f>
        <v>5.0838000000000001E-2</v>
      </c>
      <c r="D194" s="5">
        <v>41.673999999999999</v>
      </c>
      <c r="E194" s="1">
        <f>Tabela5[[#This Row],[Força (N)]]/$I$5</f>
        <v>991006.41583555681</v>
      </c>
      <c r="F194" s="1">
        <f>Tabela5[[#This Row],[Tensão (Pa)]]/1000000</f>
        <v>0.99100641583555682</v>
      </c>
    </row>
    <row r="195" spans="1:6" x14ac:dyDescent="0.3">
      <c r="A195" s="5">
        <v>30.7</v>
      </c>
      <c r="B195" s="5">
        <v>2.5503</v>
      </c>
      <c r="C195" s="1">
        <f>Tabela5[[#This Row],[Alongamento (mm/mm)]]/$I$2</f>
        <v>5.1006000000000003E-2</v>
      </c>
      <c r="D195" s="5">
        <v>42.354999999999997</v>
      </c>
      <c r="E195" s="1">
        <f>Tabela5[[#This Row],[Força (N)]]/$I$5</f>
        <v>1007200.5745240439</v>
      </c>
      <c r="F195" s="1">
        <f>Tabela5[[#This Row],[Tensão (Pa)]]/1000000</f>
        <v>1.007200574524044</v>
      </c>
    </row>
    <row r="196" spans="1:6" x14ac:dyDescent="0.3">
      <c r="A196" s="5">
        <v>30.783000000000001</v>
      </c>
      <c r="B196" s="5">
        <v>2.5571000000000002</v>
      </c>
      <c r="C196" s="1">
        <f>Tabela5[[#This Row],[Alongamento (mm/mm)]]/$I$2</f>
        <v>5.1142E-2</v>
      </c>
      <c r="D196" s="5">
        <v>43.034999999999997</v>
      </c>
      <c r="E196" s="1">
        <f>Tabela5[[#This Row],[Força (N)]]/$I$5</f>
        <v>1023370.9532438255</v>
      </c>
      <c r="F196" s="1">
        <f>Tabela5[[#This Row],[Tensão (Pa)]]/1000000</f>
        <v>1.0233709532438255</v>
      </c>
    </row>
    <row r="197" spans="1:6" x14ac:dyDescent="0.3">
      <c r="A197" s="5">
        <v>30.882999999999999</v>
      </c>
      <c r="B197" s="5">
        <v>2.5655000000000001</v>
      </c>
      <c r="C197" s="1">
        <f>Tabela5[[#This Row],[Alongamento (mm/mm)]]/$I$2</f>
        <v>5.1310000000000001E-2</v>
      </c>
      <c r="D197" s="5">
        <v>43.715000000000003</v>
      </c>
      <c r="E197" s="1">
        <f>Tabela5[[#This Row],[Força (N)]]/$I$5</f>
        <v>1039541.3319636073</v>
      </c>
      <c r="F197" s="1">
        <f>Tabela5[[#This Row],[Tensão (Pa)]]/1000000</f>
        <v>1.0395413319636073</v>
      </c>
    </row>
    <row r="198" spans="1:6" x14ac:dyDescent="0.3">
      <c r="A198" s="5">
        <v>30.983000000000001</v>
      </c>
      <c r="B198" s="5">
        <v>2.5739000000000001</v>
      </c>
      <c r="C198" s="1">
        <f>Tabela5[[#This Row],[Alongamento (mm/mm)]]/$I$2</f>
        <v>5.1478000000000003E-2</v>
      </c>
      <c r="D198" s="5">
        <v>44.396000000000001</v>
      </c>
      <c r="E198" s="1">
        <f>Tabela5[[#This Row],[Força (N)]]/$I$5</f>
        <v>1055735.4906520944</v>
      </c>
      <c r="F198" s="1">
        <f>Tabela5[[#This Row],[Tensão (Pa)]]/1000000</f>
        <v>1.0557354906520944</v>
      </c>
    </row>
    <row r="199" spans="1:6" x14ac:dyDescent="0.3">
      <c r="A199" s="5">
        <v>31.082999999999998</v>
      </c>
      <c r="B199" s="5">
        <v>2.5823</v>
      </c>
      <c r="C199" s="1">
        <f>Tabela5[[#This Row],[Alongamento (mm/mm)]]/$I$2</f>
        <v>5.1645999999999997E-2</v>
      </c>
      <c r="D199" s="5">
        <v>45.076000000000001</v>
      </c>
      <c r="E199" s="1">
        <f>Tabela5[[#This Row],[Força (N)]]/$I$5</f>
        <v>1071905.8693718759</v>
      </c>
      <c r="F199" s="1">
        <f>Tabela5[[#This Row],[Tensão (Pa)]]/1000000</f>
        <v>1.0719058693718759</v>
      </c>
    </row>
    <row r="200" spans="1:6" x14ac:dyDescent="0.3">
      <c r="A200" s="5">
        <v>31.2</v>
      </c>
      <c r="B200" s="5">
        <v>2.5920000000000001</v>
      </c>
      <c r="C200" s="1">
        <f>Tabela5[[#This Row],[Alongamento (mm/mm)]]/$I$2</f>
        <v>5.1840000000000004E-2</v>
      </c>
      <c r="D200" s="5">
        <v>45.756999999999998</v>
      </c>
      <c r="E200" s="1">
        <f>Tabela5[[#This Row],[Força (N)]]/$I$5</f>
        <v>1088100.0280603631</v>
      </c>
      <c r="F200" s="1">
        <f>Tabela5[[#This Row],[Tensão (Pa)]]/1000000</f>
        <v>1.0881000280603632</v>
      </c>
    </row>
    <row r="201" spans="1:6" x14ac:dyDescent="0.3">
      <c r="A201" s="5">
        <v>31.3</v>
      </c>
      <c r="B201" s="5">
        <v>2.6002999999999998</v>
      </c>
      <c r="C201" s="1">
        <f>Tabela5[[#This Row],[Alongamento (mm/mm)]]/$I$2</f>
        <v>5.2005999999999997E-2</v>
      </c>
      <c r="D201" s="5">
        <v>46.436999999999998</v>
      </c>
      <c r="E201" s="1">
        <f>Tabela5[[#This Row],[Força (N)]]/$I$5</f>
        <v>1104270.4067801447</v>
      </c>
      <c r="F201" s="1">
        <f>Tabela5[[#This Row],[Tensão (Pa)]]/1000000</f>
        <v>1.1042704067801448</v>
      </c>
    </row>
    <row r="202" spans="1:6" x14ac:dyDescent="0.3">
      <c r="A202" s="5">
        <v>31.4</v>
      </c>
      <c r="B202" s="5">
        <v>2.6086</v>
      </c>
      <c r="C202" s="1">
        <f>Tabela5[[#This Row],[Alongamento (mm/mm)]]/$I$2</f>
        <v>5.2172000000000003E-2</v>
      </c>
      <c r="D202" s="5">
        <v>47.116999999999997</v>
      </c>
      <c r="E202" s="1">
        <f>Tabela5[[#This Row],[Força (N)]]/$I$5</f>
        <v>1120440.7854999262</v>
      </c>
      <c r="F202" s="1">
        <f>Tabela5[[#This Row],[Tensão (Pa)]]/1000000</f>
        <v>1.1204407854999261</v>
      </c>
    </row>
    <row r="203" spans="1:6" x14ac:dyDescent="0.3">
      <c r="A203" s="5">
        <v>31.5</v>
      </c>
      <c r="B203" s="5">
        <v>2.617</v>
      </c>
      <c r="C203" s="1">
        <f>Tabela5[[#This Row],[Alongamento (mm/mm)]]/$I$2</f>
        <v>5.2339999999999998E-2</v>
      </c>
      <c r="D203" s="5">
        <v>47.798000000000002</v>
      </c>
      <c r="E203" s="1">
        <f>Tabela5[[#This Row],[Força (N)]]/$I$5</f>
        <v>1136634.9441884137</v>
      </c>
      <c r="F203" s="1">
        <f>Tabela5[[#This Row],[Tensão (Pa)]]/1000000</f>
        <v>1.1366349441884136</v>
      </c>
    </row>
    <row r="204" spans="1:6" x14ac:dyDescent="0.3">
      <c r="A204" s="5">
        <v>31.6</v>
      </c>
      <c r="B204" s="5">
        <v>2.6253000000000002</v>
      </c>
      <c r="C204" s="1">
        <f>Tabela5[[#This Row],[Alongamento (mm/mm)]]/$I$2</f>
        <v>5.2506000000000004E-2</v>
      </c>
      <c r="D204" s="5">
        <v>48.478000000000002</v>
      </c>
      <c r="E204" s="1">
        <f>Tabela5[[#This Row],[Força (N)]]/$I$5</f>
        <v>1152805.3229081952</v>
      </c>
      <c r="F204" s="1">
        <f>Tabela5[[#This Row],[Tensão (Pa)]]/1000000</f>
        <v>1.1528053229081952</v>
      </c>
    </row>
    <row r="205" spans="1:6" x14ac:dyDescent="0.3">
      <c r="A205" s="5">
        <v>31.7</v>
      </c>
      <c r="B205" s="5">
        <v>2.6335999999999999</v>
      </c>
      <c r="C205" s="1">
        <f>Tabela5[[#This Row],[Alongamento (mm/mm)]]/$I$2</f>
        <v>5.2671999999999997E-2</v>
      </c>
      <c r="D205" s="5">
        <v>49.158999999999999</v>
      </c>
      <c r="E205" s="1">
        <f>Tabela5[[#This Row],[Força (N)]]/$I$5</f>
        <v>1168999.4815966822</v>
      </c>
      <c r="F205" s="1">
        <f>Tabela5[[#This Row],[Tensão (Pa)]]/1000000</f>
        <v>1.1689994815966822</v>
      </c>
    </row>
    <row r="206" spans="1:6" x14ac:dyDescent="0.3">
      <c r="A206" s="5">
        <v>31.783000000000001</v>
      </c>
      <c r="B206" s="5">
        <v>2.6404999999999998</v>
      </c>
      <c r="C206" s="1">
        <f>Tabela5[[#This Row],[Alongamento (mm/mm)]]/$I$2</f>
        <v>5.2809999999999996E-2</v>
      </c>
      <c r="D206" s="5">
        <v>49.838999999999999</v>
      </c>
      <c r="E206" s="1">
        <f>Tabela5[[#This Row],[Força (N)]]/$I$5</f>
        <v>1185169.860316464</v>
      </c>
      <c r="F206" s="1">
        <f>Tabela5[[#This Row],[Tensão (Pa)]]/1000000</f>
        <v>1.185169860316464</v>
      </c>
    </row>
    <row r="207" spans="1:6" x14ac:dyDescent="0.3">
      <c r="A207" s="5">
        <v>31.867000000000001</v>
      </c>
      <c r="B207" s="5">
        <v>2.6475</v>
      </c>
      <c r="C207" s="1">
        <f>Tabela5[[#This Row],[Alongamento (mm/mm)]]/$I$2</f>
        <v>5.2949999999999997E-2</v>
      </c>
      <c r="D207" s="5">
        <v>50.518999999999998</v>
      </c>
      <c r="E207" s="1">
        <f>Tabela5[[#This Row],[Força (N)]]/$I$5</f>
        <v>1201340.2390362455</v>
      </c>
      <c r="F207" s="1">
        <f>Tabela5[[#This Row],[Tensão (Pa)]]/1000000</f>
        <v>1.2013402390362455</v>
      </c>
    </row>
    <row r="208" spans="1:6" x14ac:dyDescent="0.3">
      <c r="A208" s="5">
        <v>31.966999999999999</v>
      </c>
      <c r="B208" s="5">
        <v>2.6558000000000002</v>
      </c>
      <c r="C208" s="1">
        <f>Tabela5[[#This Row],[Alongamento (mm/mm)]]/$I$2</f>
        <v>5.3116000000000003E-2</v>
      </c>
      <c r="D208" s="5">
        <v>51.2</v>
      </c>
      <c r="E208" s="1">
        <f>Tabela5[[#This Row],[Força (N)]]/$I$5</f>
        <v>1217534.3977247328</v>
      </c>
      <c r="F208" s="1">
        <f>Tabela5[[#This Row],[Tensão (Pa)]]/1000000</f>
        <v>1.2175343977247328</v>
      </c>
    </row>
    <row r="209" spans="1:6" x14ac:dyDescent="0.3">
      <c r="A209" s="5">
        <v>32.067</v>
      </c>
      <c r="B209" s="5">
        <v>2.6642000000000001</v>
      </c>
      <c r="C209" s="1">
        <f>Tabela5[[#This Row],[Alongamento (mm/mm)]]/$I$2</f>
        <v>5.3284000000000005E-2</v>
      </c>
      <c r="D209" s="5">
        <v>51.88</v>
      </c>
      <c r="E209" s="1">
        <f>Tabela5[[#This Row],[Força (N)]]/$I$5</f>
        <v>1233704.7764445143</v>
      </c>
      <c r="F209" s="1">
        <f>Tabela5[[#This Row],[Tensão (Pa)]]/1000000</f>
        <v>1.2337047764445144</v>
      </c>
    </row>
    <row r="210" spans="1:6" x14ac:dyDescent="0.3">
      <c r="A210" s="5">
        <v>32.15</v>
      </c>
      <c r="B210" s="5">
        <v>2.6709999999999998</v>
      </c>
      <c r="C210" s="1">
        <f>Tabela5[[#This Row],[Alongamento (mm/mm)]]/$I$2</f>
        <v>5.3419999999999995E-2</v>
      </c>
      <c r="D210" s="5">
        <v>52.561</v>
      </c>
      <c r="E210" s="1">
        <f>Tabela5[[#This Row],[Força (N)]]/$I$5</f>
        <v>1249898.9351330015</v>
      </c>
      <c r="F210" s="1">
        <f>Tabela5[[#This Row],[Tensão (Pa)]]/1000000</f>
        <v>1.2498989351330014</v>
      </c>
    </row>
    <row r="211" spans="1:6" x14ac:dyDescent="0.3">
      <c r="A211" s="5">
        <v>32.232999999999997</v>
      </c>
      <c r="B211" s="5">
        <v>2.6781000000000001</v>
      </c>
      <c r="C211" s="1">
        <f>Tabela5[[#This Row],[Alongamento (mm/mm)]]/$I$2</f>
        <v>5.3562000000000005E-2</v>
      </c>
      <c r="D211" s="5">
        <v>53.241</v>
      </c>
      <c r="E211" s="1">
        <f>Tabela5[[#This Row],[Força (N)]]/$I$5</f>
        <v>1266069.3138527831</v>
      </c>
      <c r="F211" s="1">
        <f>Tabela5[[#This Row],[Tensão (Pa)]]/1000000</f>
        <v>1.266069313852783</v>
      </c>
    </row>
    <row r="212" spans="1:6" x14ac:dyDescent="0.3">
      <c r="A212" s="5">
        <v>32.317</v>
      </c>
      <c r="B212" s="5">
        <v>2.6850000000000001</v>
      </c>
      <c r="C212" s="1">
        <f>Tabela5[[#This Row],[Alongamento (mm/mm)]]/$I$2</f>
        <v>5.3699999999999998E-2</v>
      </c>
      <c r="D212" s="5">
        <v>53.920999999999999</v>
      </c>
      <c r="E212" s="1">
        <f>Tabela5[[#This Row],[Força (N)]]/$I$5</f>
        <v>1282239.6925725646</v>
      </c>
      <c r="F212" s="1">
        <f>Tabela5[[#This Row],[Tensão (Pa)]]/1000000</f>
        <v>1.2822396925725645</v>
      </c>
    </row>
    <row r="213" spans="1:6" x14ac:dyDescent="0.3">
      <c r="A213" s="5">
        <v>32.4</v>
      </c>
      <c r="B213" s="5">
        <v>2.6920000000000002</v>
      </c>
      <c r="C213" s="1">
        <f>Tabela5[[#This Row],[Alongamento (mm/mm)]]/$I$2</f>
        <v>5.3840000000000006E-2</v>
      </c>
      <c r="D213" s="5">
        <v>54.601999999999997</v>
      </c>
      <c r="E213" s="1">
        <f>Tabela5[[#This Row],[Força (N)]]/$I$5</f>
        <v>1298433.8512610518</v>
      </c>
      <c r="F213" s="1">
        <f>Tabela5[[#This Row],[Tensão (Pa)]]/1000000</f>
        <v>1.2984338512610518</v>
      </c>
    </row>
    <row r="214" spans="1:6" x14ac:dyDescent="0.3">
      <c r="A214" s="5">
        <v>32.482999999999997</v>
      </c>
      <c r="B214" s="5">
        <v>2.6989999999999998</v>
      </c>
      <c r="C214" s="1">
        <f>Tabela5[[#This Row],[Alongamento (mm/mm)]]/$I$2</f>
        <v>5.398E-2</v>
      </c>
      <c r="D214" s="5">
        <v>55.281999999999996</v>
      </c>
      <c r="E214" s="1">
        <f>Tabela5[[#This Row],[Força (N)]]/$I$5</f>
        <v>1314604.2299808334</v>
      </c>
      <c r="F214" s="1">
        <f>Tabela5[[#This Row],[Tensão (Pa)]]/1000000</f>
        <v>1.3146042299808334</v>
      </c>
    </row>
    <row r="215" spans="1:6" x14ac:dyDescent="0.3">
      <c r="A215" s="5">
        <v>32.567</v>
      </c>
      <c r="B215" s="5">
        <v>2.7058</v>
      </c>
      <c r="C215" s="1">
        <f>Tabela5[[#This Row],[Alongamento (mm/mm)]]/$I$2</f>
        <v>5.4115999999999997E-2</v>
      </c>
      <c r="D215" s="5">
        <v>55.963000000000001</v>
      </c>
      <c r="E215" s="1">
        <f>Tabela5[[#This Row],[Força (N)]]/$I$5</f>
        <v>1330798.3886693206</v>
      </c>
      <c r="F215" s="1">
        <f>Tabela5[[#This Row],[Tensão (Pa)]]/1000000</f>
        <v>1.3307983886693207</v>
      </c>
    </row>
    <row r="216" spans="1:6" x14ac:dyDescent="0.3">
      <c r="A216" s="5">
        <v>32.65</v>
      </c>
      <c r="B216" s="5">
        <v>2.7126999999999999</v>
      </c>
      <c r="C216" s="1">
        <f>Tabela5[[#This Row],[Alongamento (mm/mm)]]/$I$2</f>
        <v>5.4253999999999997E-2</v>
      </c>
      <c r="D216" s="5">
        <v>56.643000000000001</v>
      </c>
      <c r="E216" s="1">
        <f>Tabela5[[#This Row],[Força (N)]]/$I$5</f>
        <v>1346968.7673891021</v>
      </c>
      <c r="F216" s="1">
        <f>Tabela5[[#This Row],[Tensão (Pa)]]/1000000</f>
        <v>1.3469687673891022</v>
      </c>
    </row>
    <row r="217" spans="1:6" x14ac:dyDescent="0.3">
      <c r="A217" s="5">
        <v>32.732999999999997</v>
      </c>
      <c r="B217" s="5">
        <v>2.7197</v>
      </c>
      <c r="C217" s="1">
        <f>Tabela5[[#This Row],[Alongamento (mm/mm)]]/$I$2</f>
        <v>5.4393999999999998E-2</v>
      </c>
      <c r="D217" s="5">
        <v>57.323</v>
      </c>
      <c r="E217" s="1">
        <f>Tabela5[[#This Row],[Força (N)]]/$I$5</f>
        <v>1363139.1461088839</v>
      </c>
      <c r="F217" s="1">
        <f>Tabela5[[#This Row],[Tensão (Pa)]]/1000000</f>
        <v>1.363139146108884</v>
      </c>
    </row>
    <row r="218" spans="1:6" x14ac:dyDescent="0.3">
      <c r="A218" s="5">
        <v>32.817</v>
      </c>
      <c r="B218" s="5">
        <v>2.7267000000000001</v>
      </c>
      <c r="C218" s="1">
        <f>Tabela5[[#This Row],[Alongamento (mm/mm)]]/$I$2</f>
        <v>5.4533999999999999E-2</v>
      </c>
      <c r="D218" s="5">
        <v>58.003999999999998</v>
      </c>
      <c r="E218" s="1">
        <f>Tabela5[[#This Row],[Força (N)]]/$I$5</f>
        <v>1379333.3047973709</v>
      </c>
      <c r="F218" s="1">
        <f>Tabela5[[#This Row],[Tensão (Pa)]]/1000000</f>
        <v>1.3793333047973708</v>
      </c>
    </row>
    <row r="219" spans="1:6" x14ac:dyDescent="0.3">
      <c r="A219" s="5">
        <v>32.9</v>
      </c>
      <c r="B219" s="5">
        <v>2.7336</v>
      </c>
      <c r="C219" s="1">
        <f>Tabela5[[#This Row],[Alongamento (mm/mm)]]/$I$2</f>
        <v>5.4671999999999998E-2</v>
      </c>
      <c r="D219" s="5">
        <v>58.683999999999997</v>
      </c>
      <c r="E219" s="1">
        <f>Tabela5[[#This Row],[Força (N)]]/$I$5</f>
        <v>1395503.6835171524</v>
      </c>
      <c r="F219" s="1">
        <f>Tabela5[[#This Row],[Tensão (Pa)]]/1000000</f>
        <v>1.3955036835171524</v>
      </c>
    </row>
    <row r="220" spans="1:6" x14ac:dyDescent="0.3">
      <c r="A220" s="5">
        <v>32.966999999999999</v>
      </c>
      <c r="B220" s="5">
        <v>2.7391999999999999</v>
      </c>
      <c r="C220" s="1">
        <f>Tabela5[[#This Row],[Alongamento (mm/mm)]]/$I$2</f>
        <v>5.4783999999999999E-2</v>
      </c>
      <c r="D220" s="5">
        <v>59.363999999999997</v>
      </c>
      <c r="E220" s="1">
        <f>Tabela5[[#This Row],[Força (N)]]/$I$5</f>
        <v>1411674.0622369342</v>
      </c>
      <c r="F220" s="1">
        <f>Tabela5[[#This Row],[Tensão (Pa)]]/1000000</f>
        <v>1.4116740622369341</v>
      </c>
    </row>
    <row r="221" spans="1:6" x14ac:dyDescent="0.3">
      <c r="A221" s="5">
        <v>33.049999999999997</v>
      </c>
      <c r="B221" s="5">
        <v>2.7461000000000002</v>
      </c>
      <c r="C221" s="1">
        <f>Tabela5[[#This Row],[Alongamento (mm/mm)]]/$I$2</f>
        <v>5.4922000000000006E-2</v>
      </c>
      <c r="D221" s="5">
        <v>60.045000000000002</v>
      </c>
      <c r="E221" s="1">
        <f>Tabela5[[#This Row],[Força (N)]]/$I$5</f>
        <v>1427868.2209254215</v>
      </c>
      <c r="F221" s="1">
        <f>Tabela5[[#This Row],[Tensão (Pa)]]/1000000</f>
        <v>1.4278682209254214</v>
      </c>
    </row>
    <row r="222" spans="1:6" x14ac:dyDescent="0.3">
      <c r="A222" s="5">
        <v>33.133000000000003</v>
      </c>
      <c r="B222" s="5">
        <v>2.7530000000000001</v>
      </c>
      <c r="C222" s="1">
        <f>Tabela5[[#This Row],[Alongamento (mm/mm)]]/$I$2</f>
        <v>5.5060000000000005E-2</v>
      </c>
      <c r="D222" s="5">
        <v>60.725000000000001</v>
      </c>
      <c r="E222" s="1">
        <f>Tabela5[[#This Row],[Força (N)]]/$I$5</f>
        <v>1444038.599645203</v>
      </c>
      <c r="F222" s="1">
        <f>Tabela5[[#This Row],[Tensão (Pa)]]/1000000</f>
        <v>1.444038599645203</v>
      </c>
    </row>
    <row r="223" spans="1:6" x14ac:dyDescent="0.3">
      <c r="A223" s="5">
        <v>33.200000000000003</v>
      </c>
      <c r="B223" s="5">
        <v>2.7585000000000002</v>
      </c>
      <c r="C223" s="1">
        <f>Tabela5[[#This Row],[Alongamento (mm/mm)]]/$I$2</f>
        <v>5.5170000000000004E-2</v>
      </c>
      <c r="D223" s="5">
        <v>61.405999999999999</v>
      </c>
      <c r="E223" s="1">
        <f>Tabela5[[#This Row],[Força (N)]]/$I$5</f>
        <v>1460232.75833369</v>
      </c>
      <c r="F223" s="1">
        <f>Tabela5[[#This Row],[Tensão (Pa)]]/1000000</f>
        <v>1.46023275833369</v>
      </c>
    </row>
    <row r="224" spans="1:6" x14ac:dyDescent="0.3">
      <c r="A224" s="5">
        <v>33.283000000000001</v>
      </c>
      <c r="B224" s="5">
        <v>2.7656000000000001</v>
      </c>
      <c r="C224" s="1">
        <f>Tabela5[[#This Row],[Alongamento (mm/mm)]]/$I$2</f>
        <v>5.5312E-2</v>
      </c>
      <c r="D224" s="5">
        <v>62.085999999999999</v>
      </c>
      <c r="E224" s="1">
        <f>Tabela5[[#This Row],[Força (N)]]/$I$5</f>
        <v>1476403.1370534718</v>
      </c>
      <c r="F224" s="1">
        <f>Tabela5[[#This Row],[Tensão (Pa)]]/1000000</f>
        <v>1.4764031370534718</v>
      </c>
    </row>
    <row r="225" spans="1:6" x14ac:dyDescent="0.3">
      <c r="A225" s="5">
        <v>33.35</v>
      </c>
      <c r="B225" s="5">
        <v>2.7711999999999999</v>
      </c>
      <c r="C225" s="1">
        <f>Tabela5[[#This Row],[Alongamento (mm/mm)]]/$I$2</f>
        <v>5.5424000000000001E-2</v>
      </c>
      <c r="D225" s="5">
        <v>62.765999999999998</v>
      </c>
      <c r="E225" s="1">
        <f>Tabela5[[#This Row],[Força (N)]]/$I$5</f>
        <v>1492573.5157732533</v>
      </c>
      <c r="F225" s="1">
        <f>Tabela5[[#This Row],[Tensão (Pa)]]/1000000</f>
        <v>1.4925735157732534</v>
      </c>
    </row>
    <row r="226" spans="1:6" x14ac:dyDescent="0.3">
      <c r="A226" s="5">
        <v>33.433</v>
      </c>
      <c r="B226" s="5">
        <v>2.7782</v>
      </c>
      <c r="C226" s="1">
        <f>Tabela5[[#This Row],[Alongamento (mm/mm)]]/$I$2</f>
        <v>5.5564000000000002E-2</v>
      </c>
      <c r="D226" s="5">
        <v>63.447000000000003</v>
      </c>
      <c r="E226" s="1">
        <f>Tabela5[[#This Row],[Força (N)]]/$I$5</f>
        <v>1508767.6744617405</v>
      </c>
      <c r="F226" s="1">
        <f>Tabela5[[#This Row],[Tensão (Pa)]]/1000000</f>
        <v>1.5087676744617404</v>
      </c>
    </row>
    <row r="227" spans="1:6" x14ac:dyDescent="0.3">
      <c r="A227" s="5">
        <v>33.5</v>
      </c>
      <c r="B227" s="5">
        <v>2.7835999999999999</v>
      </c>
      <c r="C227" s="1">
        <f>Tabela5[[#This Row],[Alongamento (mm/mm)]]/$I$2</f>
        <v>5.5671999999999999E-2</v>
      </c>
      <c r="D227" s="5">
        <v>64.126999999999995</v>
      </c>
      <c r="E227" s="1">
        <f>Tabela5[[#This Row],[Força (N)]]/$I$5</f>
        <v>1524938.0531815221</v>
      </c>
      <c r="F227" s="1">
        <f>Tabela5[[#This Row],[Tensão (Pa)]]/1000000</f>
        <v>1.524938053181522</v>
      </c>
    </row>
    <row r="228" spans="1:6" x14ac:dyDescent="0.3">
      <c r="A228" s="5">
        <v>33.567</v>
      </c>
      <c r="B228" s="5">
        <v>2.7890999999999999</v>
      </c>
      <c r="C228" s="1">
        <f>Tabela5[[#This Row],[Alongamento (mm/mm)]]/$I$2</f>
        <v>5.5781999999999998E-2</v>
      </c>
      <c r="D228" s="5">
        <v>64.808000000000007</v>
      </c>
      <c r="E228" s="1">
        <f>Tabela5[[#This Row],[Força (N)]]/$I$5</f>
        <v>1541132.2118700095</v>
      </c>
      <c r="F228" s="1">
        <f>Tabela5[[#This Row],[Tensão (Pa)]]/1000000</f>
        <v>1.5411322118700095</v>
      </c>
    </row>
    <row r="229" spans="1:6" x14ac:dyDescent="0.3">
      <c r="A229" s="5">
        <v>33.633000000000003</v>
      </c>
      <c r="B229" s="5">
        <v>2.7947000000000002</v>
      </c>
      <c r="C229" s="1">
        <f>Tabela5[[#This Row],[Alongamento (mm/mm)]]/$I$2</f>
        <v>5.5894000000000006E-2</v>
      </c>
      <c r="D229" s="5">
        <v>65.488</v>
      </c>
      <c r="E229" s="1">
        <f>Tabela5[[#This Row],[Força (N)]]/$I$5</f>
        <v>1557302.5905897908</v>
      </c>
      <c r="F229" s="1">
        <f>Tabela5[[#This Row],[Tensão (Pa)]]/1000000</f>
        <v>1.5573025905897908</v>
      </c>
    </row>
    <row r="230" spans="1:6" x14ac:dyDescent="0.3">
      <c r="A230" s="5">
        <v>33.716999999999999</v>
      </c>
      <c r="B230" s="5">
        <v>2.8016999999999999</v>
      </c>
      <c r="C230" s="1">
        <f>Tabela5[[#This Row],[Alongamento (mm/mm)]]/$I$2</f>
        <v>5.6034E-2</v>
      </c>
      <c r="D230" s="5">
        <v>66.168000000000006</v>
      </c>
      <c r="E230" s="1">
        <f>Tabela5[[#This Row],[Força (N)]]/$I$5</f>
        <v>1573472.9693095726</v>
      </c>
      <c r="F230" s="1">
        <f>Tabela5[[#This Row],[Tensão (Pa)]]/1000000</f>
        <v>1.5734729693095726</v>
      </c>
    </row>
    <row r="231" spans="1:6" x14ac:dyDescent="0.3">
      <c r="A231" s="5">
        <v>33.783000000000001</v>
      </c>
      <c r="B231" s="5">
        <v>2.8073000000000001</v>
      </c>
      <c r="C231" s="1">
        <f>Tabela5[[#This Row],[Alongamento (mm/mm)]]/$I$2</f>
        <v>5.6146000000000001E-2</v>
      </c>
      <c r="D231" s="5">
        <v>66.849000000000004</v>
      </c>
      <c r="E231" s="1">
        <f>Tabela5[[#This Row],[Força (N)]]/$I$5</f>
        <v>1589667.1279980598</v>
      </c>
      <c r="F231" s="1">
        <f>Tabela5[[#This Row],[Tensão (Pa)]]/1000000</f>
        <v>1.5896671279980599</v>
      </c>
    </row>
    <row r="232" spans="1:6" x14ac:dyDescent="0.3">
      <c r="A232" s="5">
        <v>33.85</v>
      </c>
      <c r="B232" s="5">
        <v>2.8128000000000002</v>
      </c>
      <c r="C232" s="1">
        <f>Tabela5[[#This Row],[Alongamento (mm/mm)]]/$I$2</f>
        <v>5.6256E-2</v>
      </c>
      <c r="D232" s="5">
        <v>67.528999999999996</v>
      </c>
      <c r="E232" s="1">
        <f>Tabela5[[#This Row],[Força (N)]]/$I$5</f>
        <v>1605837.5067178411</v>
      </c>
      <c r="F232" s="1">
        <f>Tabela5[[#This Row],[Tensão (Pa)]]/1000000</f>
        <v>1.6058375067178412</v>
      </c>
    </row>
    <row r="233" spans="1:6" x14ac:dyDescent="0.3">
      <c r="A233" s="5">
        <v>33.917000000000002</v>
      </c>
      <c r="B233" s="5">
        <v>2.8184</v>
      </c>
      <c r="C233" s="1">
        <f>Tabela5[[#This Row],[Alongamento (mm/mm)]]/$I$2</f>
        <v>5.6368000000000001E-2</v>
      </c>
      <c r="D233" s="5">
        <v>68.209999999999994</v>
      </c>
      <c r="E233" s="1">
        <f>Tabela5[[#This Row],[Força (N)]]/$I$5</f>
        <v>1622031.6654063284</v>
      </c>
      <c r="F233" s="1">
        <f>Tabela5[[#This Row],[Tensão (Pa)]]/1000000</f>
        <v>1.6220316654063285</v>
      </c>
    </row>
    <row r="234" spans="1:6" x14ac:dyDescent="0.3">
      <c r="A234" s="5">
        <v>33.982999999999997</v>
      </c>
      <c r="B234" s="5">
        <v>2.8239000000000001</v>
      </c>
      <c r="C234" s="1">
        <f>Tabela5[[#This Row],[Alongamento (mm/mm)]]/$I$2</f>
        <v>5.6478E-2</v>
      </c>
      <c r="D234" s="5">
        <v>68.89</v>
      </c>
      <c r="E234" s="1">
        <f>Tabela5[[#This Row],[Força (N)]]/$I$5</f>
        <v>1638202.0441261102</v>
      </c>
      <c r="F234" s="1">
        <f>Tabela5[[#This Row],[Tensão (Pa)]]/1000000</f>
        <v>1.6382020441261103</v>
      </c>
    </row>
    <row r="235" spans="1:6" x14ac:dyDescent="0.3">
      <c r="A235" s="5">
        <v>34.049999999999997</v>
      </c>
      <c r="B235" s="5">
        <v>2.8294000000000001</v>
      </c>
      <c r="C235" s="1">
        <f>Tabela5[[#This Row],[Alongamento (mm/mm)]]/$I$2</f>
        <v>5.6587999999999999E-2</v>
      </c>
      <c r="D235" s="5">
        <v>69.569999999999993</v>
      </c>
      <c r="E235" s="1">
        <f>Tabela5[[#This Row],[Força (N)]]/$I$5</f>
        <v>1654372.4228458914</v>
      </c>
      <c r="F235" s="1">
        <f>Tabela5[[#This Row],[Tensão (Pa)]]/1000000</f>
        <v>1.6543724228458914</v>
      </c>
    </row>
    <row r="236" spans="1:6" x14ac:dyDescent="0.3">
      <c r="A236" s="5">
        <v>34.116999999999997</v>
      </c>
      <c r="B236" s="5">
        <v>2.835</v>
      </c>
      <c r="C236" s="1">
        <f>Tabela5[[#This Row],[Alongamento (mm/mm)]]/$I$2</f>
        <v>5.67E-2</v>
      </c>
      <c r="D236" s="5">
        <v>70.251000000000005</v>
      </c>
      <c r="E236" s="1">
        <f>Tabela5[[#This Row],[Força (N)]]/$I$5</f>
        <v>1670566.5815343789</v>
      </c>
      <c r="F236" s="1">
        <f>Tabela5[[#This Row],[Tensão (Pa)]]/1000000</f>
        <v>1.6705665815343789</v>
      </c>
    </row>
    <row r="237" spans="1:6" x14ac:dyDescent="0.3">
      <c r="A237" s="5">
        <v>34.183</v>
      </c>
      <c r="B237" s="5">
        <v>2.8405999999999998</v>
      </c>
      <c r="C237" s="1">
        <f>Tabela5[[#This Row],[Alongamento (mm/mm)]]/$I$2</f>
        <v>5.6811999999999994E-2</v>
      </c>
      <c r="D237" s="5">
        <v>70.930999999999997</v>
      </c>
      <c r="E237" s="1">
        <f>Tabela5[[#This Row],[Força (N)]]/$I$5</f>
        <v>1686736.9602541605</v>
      </c>
      <c r="F237" s="1">
        <f>Tabela5[[#This Row],[Tensão (Pa)]]/1000000</f>
        <v>1.6867369602541604</v>
      </c>
    </row>
    <row r="238" spans="1:6" x14ac:dyDescent="0.3">
      <c r="A238" s="5">
        <v>34.25</v>
      </c>
      <c r="B238" s="5">
        <v>2.8460999999999999</v>
      </c>
      <c r="C238" s="1">
        <f>Tabela5[[#This Row],[Alongamento (mm/mm)]]/$I$2</f>
        <v>5.6922E-2</v>
      </c>
      <c r="D238" s="5">
        <v>71.611999999999995</v>
      </c>
      <c r="E238" s="1">
        <f>Tabela5[[#This Row],[Força (N)]]/$I$5</f>
        <v>1702931.1189426475</v>
      </c>
      <c r="F238" s="1">
        <f>Tabela5[[#This Row],[Tensão (Pa)]]/1000000</f>
        <v>1.7029311189426475</v>
      </c>
    </row>
    <row r="239" spans="1:6" x14ac:dyDescent="0.3">
      <c r="A239" s="5">
        <v>34.299999999999997</v>
      </c>
      <c r="B239" s="5">
        <v>2.8502999999999998</v>
      </c>
      <c r="C239" s="1">
        <f>Tabela5[[#This Row],[Alongamento (mm/mm)]]/$I$2</f>
        <v>5.7005999999999994E-2</v>
      </c>
      <c r="D239" s="5">
        <v>72.292000000000002</v>
      </c>
      <c r="E239" s="1">
        <f>Tabela5[[#This Row],[Força (N)]]/$I$5</f>
        <v>1719101.4976624292</v>
      </c>
      <c r="F239" s="1">
        <f>Tabela5[[#This Row],[Tensão (Pa)]]/1000000</f>
        <v>1.7191014976624293</v>
      </c>
    </row>
    <row r="240" spans="1:6" x14ac:dyDescent="0.3">
      <c r="A240" s="5">
        <v>34.366999999999997</v>
      </c>
      <c r="B240" s="5">
        <v>2.8559000000000001</v>
      </c>
      <c r="C240" s="1">
        <f>Tabela5[[#This Row],[Alongamento (mm/mm)]]/$I$2</f>
        <v>5.7118000000000002E-2</v>
      </c>
      <c r="D240" s="5">
        <v>72.971999999999994</v>
      </c>
      <c r="E240" s="1">
        <f>Tabela5[[#This Row],[Força (N)]]/$I$5</f>
        <v>1735271.8763822108</v>
      </c>
      <c r="F240" s="1">
        <f>Tabela5[[#This Row],[Tensão (Pa)]]/1000000</f>
        <v>1.7352718763822108</v>
      </c>
    </row>
    <row r="241" spans="1:6" x14ac:dyDescent="0.3">
      <c r="A241" s="5">
        <v>34.433</v>
      </c>
      <c r="B241" s="5">
        <v>2.8613</v>
      </c>
      <c r="C241" s="1">
        <f>Tabela5[[#This Row],[Alongamento (mm/mm)]]/$I$2</f>
        <v>5.7225999999999999E-2</v>
      </c>
      <c r="D241" s="5">
        <v>73.653000000000006</v>
      </c>
      <c r="E241" s="1">
        <f>Tabela5[[#This Row],[Força (N)]]/$I$5</f>
        <v>1751466.035070698</v>
      </c>
      <c r="F241" s="1">
        <f>Tabela5[[#This Row],[Tensão (Pa)]]/1000000</f>
        <v>1.7514660350706981</v>
      </c>
    </row>
    <row r="242" spans="1:6" x14ac:dyDescent="0.3">
      <c r="A242" s="5">
        <v>34.5</v>
      </c>
      <c r="B242" s="5">
        <v>2.8668999999999998</v>
      </c>
      <c r="C242" s="1">
        <f>Tabela5[[#This Row],[Alongamento (mm/mm)]]/$I$2</f>
        <v>5.7337999999999993E-2</v>
      </c>
      <c r="D242" s="5">
        <v>74.332999999999998</v>
      </c>
      <c r="E242" s="1">
        <f>Tabela5[[#This Row],[Força (N)]]/$I$5</f>
        <v>1767636.4137904795</v>
      </c>
      <c r="F242" s="1">
        <f>Tabela5[[#This Row],[Tensão (Pa)]]/1000000</f>
        <v>1.7676364137904796</v>
      </c>
    </row>
    <row r="243" spans="1:6" x14ac:dyDescent="0.3">
      <c r="A243" s="5">
        <v>34.567</v>
      </c>
      <c r="B243" s="5">
        <v>2.8725000000000001</v>
      </c>
      <c r="C243" s="1">
        <f>Tabela5[[#This Row],[Alongamento (mm/mm)]]/$I$2</f>
        <v>5.7450000000000001E-2</v>
      </c>
      <c r="D243" s="5">
        <v>75.013999999999996</v>
      </c>
      <c r="E243" s="1">
        <f>Tabela5[[#This Row],[Força (N)]]/$I$5</f>
        <v>1783830.5724789666</v>
      </c>
      <c r="F243" s="1">
        <f>Tabela5[[#This Row],[Tensão (Pa)]]/1000000</f>
        <v>1.7838305724789665</v>
      </c>
    </row>
    <row r="244" spans="1:6" x14ac:dyDescent="0.3">
      <c r="A244" s="5">
        <v>34.633000000000003</v>
      </c>
      <c r="B244" s="5">
        <v>2.8780999999999999</v>
      </c>
      <c r="C244" s="1">
        <f>Tabela5[[#This Row],[Alongamento (mm/mm)]]/$I$2</f>
        <v>5.7561999999999995E-2</v>
      </c>
      <c r="D244" s="5">
        <v>75.694000000000003</v>
      </c>
      <c r="E244" s="1">
        <f>Tabela5[[#This Row],[Força (N)]]/$I$5</f>
        <v>1800000.9511987483</v>
      </c>
      <c r="F244" s="1">
        <f>Tabela5[[#This Row],[Tensão (Pa)]]/1000000</f>
        <v>1.8000009511987483</v>
      </c>
    </row>
    <row r="245" spans="1:6" x14ac:dyDescent="0.3">
      <c r="A245" s="5">
        <v>34.683</v>
      </c>
      <c r="B245" s="5">
        <v>2.8822000000000001</v>
      </c>
      <c r="C245" s="1">
        <f>Tabela5[[#This Row],[Alongamento (mm/mm)]]/$I$2</f>
        <v>5.7644000000000001E-2</v>
      </c>
      <c r="D245" s="5">
        <v>76.373999999999995</v>
      </c>
      <c r="E245" s="1">
        <f>Tabela5[[#This Row],[Força (N)]]/$I$5</f>
        <v>1816171.3299185298</v>
      </c>
      <c r="F245" s="1">
        <f>Tabela5[[#This Row],[Tensão (Pa)]]/1000000</f>
        <v>1.8161713299185298</v>
      </c>
    </row>
    <row r="246" spans="1:6" x14ac:dyDescent="0.3">
      <c r="A246" s="5">
        <v>34.75</v>
      </c>
      <c r="B246" s="5">
        <v>2.8877999999999999</v>
      </c>
      <c r="C246" s="1">
        <f>Tabela5[[#This Row],[Alongamento (mm/mm)]]/$I$2</f>
        <v>5.7756000000000002E-2</v>
      </c>
      <c r="D246" s="5">
        <v>77.055000000000007</v>
      </c>
      <c r="E246" s="1">
        <f>Tabela5[[#This Row],[Força (N)]]/$I$5</f>
        <v>1832365.4886070173</v>
      </c>
      <c r="F246" s="1">
        <f>Tabela5[[#This Row],[Tensão (Pa)]]/1000000</f>
        <v>1.8323654886070173</v>
      </c>
    </row>
    <row r="247" spans="1:6" x14ac:dyDescent="0.3">
      <c r="A247" s="5">
        <v>34.817</v>
      </c>
      <c r="B247" s="5">
        <v>2.8934000000000002</v>
      </c>
      <c r="C247" s="1">
        <f>Tabela5[[#This Row],[Alongamento (mm/mm)]]/$I$2</f>
        <v>5.7868000000000003E-2</v>
      </c>
      <c r="D247" s="5">
        <v>77.734999999999999</v>
      </c>
      <c r="E247" s="1">
        <f>Tabela5[[#This Row],[Força (N)]]/$I$5</f>
        <v>1848535.8673267986</v>
      </c>
      <c r="F247" s="1">
        <f>Tabela5[[#This Row],[Tensão (Pa)]]/1000000</f>
        <v>1.8485358673267986</v>
      </c>
    </row>
    <row r="248" spans="1:6" x14ac:dyDescent="0.3">
      <c r="A248" s="5">
        <v>34.883000000000003</v>
      </c>
      <c r="B248" s="5">
        <v>2.8988</v>
      </c>
      <c r="C248" s="1">
        <f>Tabela5[[#This Row],[Alongamento (mm/mm)]]/$I$2</f>
        <v>5.7976E-2</v>
      </c>
      <c r="D248" s="5">
        <v>78.415999999999997</v>
      </c>
      <c r="E248" s="1">
        <f>Tabela5[[#This Row],[Força (N)]]/$I$5</f>
        <v>1864730.0260152859</v>
      </c>
      <c r="F248" s="1">
        <f>Tabela5[[#This Row],[Tensão (Pa)]]/1000000</f>
        <v>1.8647300260152859</v>
      </c>
    </row>
    <row r="249" spans="1:6" x14ac:dyDescent="0.3">
      <c r="A249" s="5">
        <v>34.933</v>
      </c>
      <c r="B249" s="5">
        <v>2.903</v>
      </c>
      <c r="C249" s="1">
        <f>Tabela5[[#This Row],[Alongamento (mm/mm)]]/$I$2</f>
        <v>5.806E-2</v>
      </c>
      <c r="D249" s="5">
        <v>79.096000000000004</v>
      </c>
      <c r="E249" s="1">
        <f>Tabela5[[#This Row],[Força (N)]]/$I$5</f>
        <v>1880900.4047350676</v>
      </c>
      <c r="F249" s="1">
        <f>Tabela5[[#This Row],[Tensão (Pa)]]/1000000</f>
        <v>1.8809004047350677</v>
      </c>
    </row>
    <row r="250" spans="1:6" x14ac:dyDescent="0.3">
      <c r="A250" s="5">
        <v>35</v>
      </c>
      <c r="B250" s="5">
        <v>2.9085999999999999</v>
      </c>
      <c r="C250" s="1">
        <f>Tabela5[[#This Row],[Alongamento (mm/mm)]]/$I$2</f>
        <v>5.8171999999999995E-2</v>
      </c>
      <c r="D250" s="5">
        <v>79.775999999999996</v>
      </c>
      <c r="E250" s="1">
        <f>Tabela5[[#This Row],[Força (N)]]/$I$5</f>
        <v>1897070.7834548489</v>
      </c>
      <c r="F250" s="1">
        <f>Tabela5[[#This Row],[Tensão (Pa)]]/1000000</f>
        <v>1.8970707834548488</v>
      </c>
    </row>
    <row r="251" spans="1:6" x14ac:dyDescent="0.3">
      <c r="A251" s="5">
        <v>35.067</v>
      </c>
      <c r="B251" s="5">
        <v>2.9140999999999999</v>
      </c>
      <c r="C251" s="1">
        <f>Tabela5[[#This Row],[Alongamento (mm/mm)]]/$I$2</f>
        <v>5.8282E-2</v>
      </c>
      <c r="D251" s="5">
        <v>80.456999999999994</v>
      </c>
      <c r="E251" s="1">
        <f>Tabela5[[#This Row],[Força (N)]]/$I$5</f>
        <v>1913264.9421433362</v>
      </c>
      <c r="F251" s="1">
        <f>Tabela5[[#This Row],[Tensão (Pa)]]/1000000</f>
        <v>1.9132649421433361</v>
      </c>
    </row>
    <row r="252" spans="1:6" x14ac:dyDescent="0.3">
      <c r="A252" s="5">
        <v>35.133000000000003</v>
      </c>
      <c r="B252" s="5">
        <v>2.9197000000000002</v>
      </c>
      <c r="C252" s="1">
        <f>Tabela5[[#This Row],[Alongamento (mm/mm)]]/$I$2</f>
        <v>5.8394000000000001E-2</v>
      </c>
      <c r="D252" s="5">
        <v>81.137</v>
      </c>
      <c r="E252" s="1">
        <f>Tabela5[[#This Row],[Força (N)]]/$I$5</f>
        <v>1929435.3208631179</v>
      </c>
      <c r="F252" s="1">
        <f>Tabela5[[#This Row],[Tensão (Pa)]]/1000000</f>
        <v>1.9294353208631179</v>
      </c>
    </row>
    <row r="253" spans="1:6" x14ac:dyDescent="0.3">
      <c r="A253" s="5">
        <v>35.183</v>
      </c>
      <c r="B253" s="5">
        <v>2.9239000000000002</v>
      </c>
      <c r="C253" s="1">
        <f>Tabela5[[#This Row],[Alongamento (mm/mm)]]/$I$2</f>
        <v>5.8478000000000002E-2</v>
      </c>
      <c r="D253" s="5">
        <v>81.817999999999998</v>
      </c>
      <c r="E253" s="1">
        <f>Tabela5[[#This Row],[Força (N)]]/$I$5</f>
        <v>1945629.4795516049</v>
      </c>
      <c r="F253" s="1">
        <f>Tabela5[[#This Row],[Tensão (Pa)]]/1000000</f>
        <v>1.9456294795516049</v>
      </c>
    </row>
    <row r="254" spans="1:6" x14ac:dyDescent="0.3">
      <c r="A254" s="5">
        <v>35.25</v>
      </c>
      <c r="B254" s="5">
        <v>2.9293999999999998</v>
      </c>
      <c r="C254" s="1">
        <f>Tabela5[[#This Row],[Alongamento (mm/mm)]]/$I$2</f>
        <v>5.8587999999999994E-2</v>
      </c>
      <c r="D254" s="5">
        <v>82.498000000000005</v>
      </c>
      <c r="E254" s="1">
        <f>Tabela5[[#This Row],[Força (N)]]/$I$5</f>
        <v>1961799.8582713867</v>
      </c>
      <c r="F254" s="1">
        <f>Tabela5[[#This Row],[Tensão (Pa)]]/1000000</f>
        <v>1.9617998582713867</v>
      </c>
    </row>
    <row r="255" spans="1:6" x14ac:dyDescent="0.3">
      <c r="A255" s="5">
        <v>35.317</v>
      </c>
      <c r="B255" s="5">
        <v>2.9350000000000001</v>
      </c>
      <c r="C255" s="1">
        <f>Tabela5[[#This Row],[Alongamento (mm/mm)]]/$I$2</f>
        <v>5.8700000000000002E-2</v>
      </c>
      <c r="D255" s="5">
        <v>83.177999999999997</v>
      </c>
      <c r="E255" s="1">
        <f>Tabela5[[#This Row],[Força (N)]]/$I$5</f>
        <v>1977970.2369911682</v>
      </c>
      <c r="F255" s="1">
        <f>Tabela5[[#This Row],[Tensão (Pa)]]/1000000</f>
        <v>1.9779702369911683</v>
      </c>
    </row>
    <row r="256" spans="1:6" x14ac:dyDescent="0.3">
      <c r="A256" s="5">
        <v>35.383000000000003</v>
      </c>
      <c r="B256" s="5">
        <v>2.9405000000000001</v>
      </c>
      <c r="C256" s="1">
        <f>Tabela5[[#This Row],[Alongamento (mm/mm)]]/$I$2</f>
        <v>5.8810000000000001E-2</v>
      </c>
      <c r="D256" s="5">
        <v>84.028999999999996</v>
      </c>
      <c r="E256" s="1">
        <f>Tabela5[[#This Row],[Força (N)]]/$I$5</f>
        <v>1998206.9903596006</v>
      </c>
      <c r="F256" s="1">
        <f>Tabela5[[#This Row],[Tensão (Pa)]]/1000000</f>
        <v>1.9982069903596007</v>
      </c>
    </row>
    <row r="257" spans="1:6" x14ac:dyDescent="0.3">
      <c r="A257" s="5">
        <v>35.450000000000003</v>
      </c>
      <c r="B257" s="5">
        <v>2.9460999999999999</v>
      </c>
      <c r="C257" s="1">
        <f>Tabela5[[#This Row],[Alongamento (mm/mm)]]/$I$2</f>
        <v>5.8922000000000002E-2</v>
      </c>
      <c r="D257" s="5">
        <v>84.709000000000003</v>
      </c>
      <c r="E257" s="1">
        <f>Tabela5[[#This Row],[Força (N)]]/$I$5</f>
        <v>2014377.3690793826</v>
      </c>
      <c r="F257" s="1">
        <f>Tabela5[[#This Row],[Tensão (Pa)]]/1000000</f>
        <v>2.0143773690793827</v>
      </c>
    </row>
    <row r="258" spans="1:6" x14ac:dyDescent="0.3">
      <c r="A258" s="5">
        <v>35.517000000000003</v>
      </c>
      <c r="B258" s="5">
        <v>2.9517000000000002</v>
      </c>
      <c r="C258" s="1">
        <f>Tabela5[[#This Row],[Alongamento (mm/mm)]]/$I$2</f>
        <v>5.9034000000000003E-2</v>
      </c>
      <c r="D258" s="5">
        <v>85.56</v>
      </c>
      <c r="E258" s="1">
        <f>Tabela5[[#This Row],[Força (N)]]/$I$5</f>
        <v>2034614.122447815</v>
      </c>
      <c r="F258" s="1">
        <f>Tabela5[[#This Row],[Tensão (Pa)]]/1000000</f>
        <v>2.0346141224478149</v>
      </c>
    </row>
    <row r="259" spans="1:6" x14ac:dyDescent="0.3">
      <c r="A259" s="5">
        <v>35.582999999999998</v>
      </c>
      <c r="B259" s="5">
        <v>2.9573</v>
      </c>
      <c r="C259" s="1">
        <f>Tabela5[[#This Row],[Alongamento (mm/mm)]]/$I$2</f>
        <v>5.9146000000000004E-2</v>
      </c>
      <c r="D259" s="5">
        <v>86.24</v>
      </c>
      <c r="E259" s="1">
        <f>Tabela5[[#This Row],[Força (N)]]/$I$5</f>
        <v>2050784.5011675966</v>
      </c>
      <c r="F259" s="1">
        <f>Tabela5[[#This Row],[Tensão (Pa)]]/1000000</f>
        <v>2.0507845011675965</v>
      </c>
    </row>
    <row r="260" spans="1:6" x14ac:dyDescent="0.3">
      <c r="A260" s="5">
        <v>35.65</v>
      </c>
      <c r="B260" s="5">
        <v>2.9628000000000001</v>
      </c>
      <c r="C260" s="1">
        <f>Tabela5[[#This Row],[Alongamento (mm/mm)]]/$I$2</f>
        <v>5.9256000000000003E-2</v>
      </c>
      <c r="D260" s="5">
        <v>86.92</v>
      </c>
      <c r="E260" s="1">
        <f>Tabela5[[#This Row],[Força (N)]]/$I$5</f>
        <v>2066954.8798873783</v>
      </c>
      <c r="F260" s="1">
        <f>Tabela5[[#This Row],[Tensão (Pa)]]/1000000</f>
        <v>2.0669548798873785</v>
      </c>
    </row>
    <row r="261" spans="1:6" x14ac:dyDescent="0.3">
      <c r="A261" s="5">
        <v>35.700000000000003</v>
      </c>
      <c r="B261" s="5">
        <v>2.9670000000000001</v>
      </c>
      <c r="C261" s="1">
        <f>Tabela5[[#This Row],[Alongamento (mm/mm)]]/$I$2</f>
        <v>5.9340000000000004E-2</v>
      </c>
      <c r="D261" s="5">
        <v>87.600999999999999</v>
      </c>
      <c r="E261" s="1">
        <f>Tabela5[[#This Row],[Força (N)]]/$I$5</f>
        <v>2083149.0385758653</v>
      </c>
      <c r="F261" s="1">
        <f>Tabela5[[#This Row],[Tensão (Pa)]]/1000000</f>
        <v>2.0831490385758653</v>
      </c>
    </row>
    <row r="262" spans="1:6" x14ac:dyDescent="0.3">
      <c r="A262" s="5">
        <v>35.767000000000003</v>
      </c>
      <c r="B262" s="5">
        <v>2.9725999999999999</v>
      </c>
      <c r="C262" s="1">
        <f>Tabela5[[#This Row],[Alongamento (mm/mm)]]/$I$2</f>
        <v>5.9451999999999998E-2</v>
      </c>
      <c r="D262" s="5">
        <v>88.450999999999993</v>
      </c>
      <c r="E262" s="1">
        <f>Tabela5[[#This Row],[Força (N)]]/$I$5</f>
        <v>2103362.0119755925</v>
      </c>
      <c r="F262" s="1">
        <f>Tabela5[[#This Row],[Tensão (Pa)]]/1000000</f>
        <v>2.1033620119755922</v>
      </c>
    </row>
    <row r="263" spans="1:6" x14ac:dyDescent="0.3">
      <c r="A263" s="5">
        <v>35.832999999999998</v>
      </c>
      <c r="B263" s="5">
        <v>2.9781</v>
      </c>
      <c r="C263" s="1">
        <f>Tabela5[[#This Row],[Alongamento (mm/mm)]]/$I$2</f>
        <v>5.9561999999999997E-2</v>
      </c>
      <c r="D263" s="5">
        <v>89.132000000000005</v>
      </c>
      <c r="E263" s="1">
        <f>Tabela5[[#This Row],[Força (N)]]/$I$5</f>
        <v>2119556.1706640795</v>
      </c>
      <c r="F263" s="1">
        <f>Tabela5[[#This Row],[Tensão (Pa)]]/1000000</f>
        <v>2.1195561706640795</v>
      </c>
    </row>
    <row r="264" spans="1:6" x14ac:dyDescent="0.3">
      <c r="A264" s="5">
        <v>35.883000000000003</v>
      </c>
      <c r="B264" s="5">
        <v>2.9822000000000002</v>
      </c>
      <c r="C264" s="1">
        <f>Tabela5[[#This Row],[Alongamento (mm/mm)]]/$I$2</f>
        <v>5.9644000000000003E-2</v>
      </c>
      <c r="D264" s="5">
        <v>89.811999999999998</v>
      </c>
      <c r="E264" s="1">
        <f>Tabela5[[#This Row],[Força (N)]]/$I$5</f>
        <v>2135726.549383861</v>
      </c>
      <c r="F264" s="1">
        <f>Tabela5[[#This Row],[Tensão (Pa)]]/1000000</f>
        <v>2.1357265493838611</v>
      </c>
    </row>
    <row r="265" spans="1:6" x14ac:dyDescent="0.3">
      <c r="A265" s="5">
        <v>35.950000000000003</v>
      </c>
      <c r="B265" s="5">
        <v>2.9878</v>
      </c>
      <c r="C265" s="1">
        <f>Tabela5[[#This Row],[Alongamento (mm/mm)]]/$I$2</f>
        <v>5.9756000000000004E-2</v>
      </c>
      <c r="D265" s="5">
        <v>90.492999999999995</v>
      </c>
      <c r="E265" s="1">
        <f>Tabela5[[#This Row],[Força (N)]]/$I$5</f>
        <v>2151920.708072348</v>
      </c>
      <c r="F265" s="1">
        <f>Tabela5[[#This Row],[Tensão (Pa)]]/1000000</f>
        <v>2.1519207080723479</v>
      </c>
    </row>
    <row r="266" spans="1:6" x14ac:dyDescent="0.3">
      <c r="A266" s="5">
        <v>36</v>
      </c>
      <c r="B266" s="5">
        <v>2.9918999999999998</v>
      </c>
      <c r="C266" s="1">
        <f>Tabela5[[#This Row],[Alongamento (mm/mm)]]/$I$2</f>
        <v>5.9837999999999995E-2</v>
      </c>
      <c r="D266" s="5">
        <v>91.173000000000002</v>
      </c>
      <c r="E266" s="1">
        <f>Tabela5[[#This Row],[Força (N)]]/$I$5</f>
        <v>2168091.08679213</v>
      </c>
      <c r="F266" s="1">
        <f>Tabela5[[#This Row],[Tensão (Pa)]]/1000000</f>
        <v>2.1680910867921299</v>
      </c>
    </row>
    <row r="267" spans="1:6" x14ac:dyDescent="0.3">
      <c r="A267" s="5">
        <v>36.049999999999997</v>
      </c>
      <c r="B267" s="5">
        <v>2.9961000000000002</v>
      </c>
      <c r="C267" s="1">
        <f>Tabela5[[#This Row],[Alongamento (mm/mm)]]/$I$2</f>
        <v>5.9922000000000003E-2</v>
      </c>
      <c r="D267" s="5">
        <v>91.852999999999994</v>
      </c>
      <c r="E267" s="1">
        <f>Tabela5[[#This Row],[Força (N)]]/$I$5</f>
        <v>2184261.4655119115</v>
      </c>
      <c r="F267" s="1">
        <f>Tabela5[[#This Row],[Tensão (Pa)]]/1000000</f>
        <v>2.1842614655119115</v>
      </c>
    </row>
    <row r="268" spans="1:6" x14ac:dyDescent="0.3">
      <c r="A268" s="5">
        <v>36.1</v>
      </c>
      <c r="B268" s="5">
        <v>3.0003000000000002</v>
      </c>
      <c r="C268" s="1">
        <f>Tabela5[[#This Row],[Alongamento (mm/mm)]]/$I$2</f>
        <v>6.0006000000000004E-2</v>
      </c>
      <c r="D268" s="5">
        <v>92.534000000000006</v>
      </c>
      <c r="E268" s="1">
        <f>Tabela5[[#This Row],[Força (N)]]/$I$5</f>
        <v>2200455.624200399</v>
      </c>
      <c r="F268" s="1">
        <f>Tabela5[[#This Row],[Tensão (Pa)]]/1000000</f>
        <v>2.2004556242003992</v>
      </c>
    </row>
    <row r="269" spans="1:6" x14ac:dyDescent="0.3">
      <c r="A269" s="5">
        <v>36.15</v>
      </c>
      <c r="B269" s="5">
        <v>3.0045000000000002</v>
      </c>
      <c r="C269" s="1">
        <f>Tabela5[[#This Row],[Alongamento (mm/mm)]]/$I$2</f>
        <v>6.0090000000000005E-2</v>
      </c>
      <c r="D269" s="5">
        <v>93.213999999999999</v>
      </c>
      <c r="E269" s="1">
        <f>Tabela5[[#This Row],[Força (N)]]/$I$5</f>
        <v>2216626.0029201801</v>
      </c>
      <c r="F269" s="1">
        <f>Tabela5[[#This Row],[Tensão (Pa)]]/1000000</f>
        <v>2.2166260029201803</v>
      </c>
    </row>
    <row r="270" spans="1:6" x14ac:dyDescent="0.3">
      <c r="A270" s="5">
        <v>36.200000000000003</v>
      </c>
      <c r="B270" s="5">
        <v>3.0085999999999999</v>
      </c>
      <c r="C270" s="1">
        <f>Tabela5[[#This Row],[Alongamento (mm/mm)]]/$I$2</f>
        <v>6.0171999999999996E-2</v>
      </c>
      <c r="D270" s="5">
        <v>93.894999999999996</v>
      </c>
      <c r="E270" s="1">
        <f>Tabela5[[#This Row],[Força (N)]]/$I$5</f>
        <v>2232820.1616086676</v>
      </c>
      <c r="F270" s="1">
        <f>Tabela5[[#This Row],[Tensão (Pa)]]/1000000</f>
        <v>2.2328201616086676</v>
      </c>
    </row>
    <row r="271" spans="1:6" x14ac:dyDescent="0.3">
      <c r="A271" s="5">
        <v>36.267000000000003</v>
      </c>
      <c r="B271" s="5">
        <v>3.0141</v>
      </c>
      <c r="C271" s="1">
        <f>Tabela5[[#This Row],[Alongamento (mm/mm)]]/$I$2</f>
        <v>6.0282000000000002E-2</v>
      </c>
      <c r="D271" s="5">
        <v>94.575000000000003</v>
      </c>
      <c r="E271" s="1">
        <f>Tabela5[[#This Row],[Força (N)]]/$I$5</f>
        <v>2248990.5403284491</v>
      </c>
      <c r="F271" s="1">
        <f>Tabela5[[#This Row],[Tensão (Pa)]]/1000000</f>
        <v>2.2489905403284491</v>
      </c>
    </row>
    <row r="272" spans="1:6" x14ac:dyDescent="0.3">
      <c r="A272" s="5">
        <v>36.317</v>
      </c>
      <c r="B272" s="5">
        <v>3.0183</v>
      </c>
      <c r="C272" s="1">
        <f>Tabela5[[#This Row],[Alongamento (mm/mm)]]/$I$2</f>
        <v>6.0366000000000003E-2</v>
      </c>
      <c r="D272" s="5">
        <v>95.254999999999995</v>
      </c>
      <c r="E272" s="1">
        <f>Tabela5[[#This Row],[Força (N)]]/$I$5</f>
        <v>2265160.9190482306</v>
      </c>
      <c r="F272" s="1">
        <f>Tabela5[[#This Row],[Tensão (Pa)]]/1000000</f>
        <v>2.2651609190482307</v>
      </c>
    </row>
    <row r="273" spans="1:6" x14ac:dyDescent="0.3">
      <c r="A273" s="5">
        <v>36.383000000000003</v>
      </c>
      <c r="B273" s="5">
        <v>3.0238999999999998</v>
      </c>
      <c r="C273" s="1">
        <f>Tabela5[[#This Row],[Alongamento (mm/mm)]]/$I$2</f>
        <v>6.0477999999999997E-2</v>
      </c>
      <c r="D273" s="5">
        <v>95.936000000000007</v>
      </c>
      <c r="E273" s="1">
        <f>Tabela5[[#This Row],[Força (N)]]/$I$5</f>
        <v>2281355.0777367181</v>
      </c>
      <c r="F273" s="1">
        <f>Tabela5[[#This Row],[Tensão (Pa)]]/1000000</f>
        <v>2.281355077736718</v>
      </c>
    </row>
    <row r="274" spans="1:6" x14ac:dyDescent="0.3">
      <c r="A274" s="5">
        <v>36.433</v>
      </c>
      <c r="B274" s="5">
        <v>3.028</v>
      </c>
      <c r="C274" s="1">
        <f>Tabela5[[#This Row],[Alongamento (mm/mm)]]/$I$2</f>
        <v>6.0560000000000003E-2</v>
      </c>
      <c r="D274" s="5">
        <v>96.616</v>
      </c>
      <c r="E274" s="1">
        <f>Tabela5[[#This Row],[Força (N)]]/$I$5</f>
        <v>2297525.4564564996</v>
      </c>
      <c r="F274" s="1">
        <f>Tabela5[[#This Row],[Tensão (Pa)]]/1000000</f>
        <v>2.2975254564564995</v>
      </c>
    </row>
    <row r="275" spans="1:6" x14ac:dyDescent="0.3">
      <c r="A275" s="5">
        <v>36.482999999999997</v>
      </c>
      <c r="B275" s="5">
        <v>3.0322</v>
      </c>
      <c r="C275" s="1">
        <f>Tabela5[[#This Row],[Alongamento (mm/mm)]]/$I$2</f>
        <v>6.0644000000000003E-2</v>
      </c>
      <c r="D275" s="5">
        <v>97.296999999999997</v>
      </c>
      <c r="E275" s="1">
        <f>Tabela5[[#This Row],[Força (N)]]/$I$5</f>
        <v>2313719.6151449867</v>
      </c>
      <c r="F275" s="1">
        <f>Tabela5[[#This Row],[Tensão (Pa)]]/1000000</f>
        <v>2.3137196151449868</v>
      </c>
    </row>
    <row r="276" spans="1:6" x14ac:dyDescent="0.3">
      <c r="A276" s="5">
        <v>36.549999999999997</v>
      </c>
      <c r="B276" s="5">
        <v>3.0377000000000001</v>
      </c>
      <c r="C276" s="1">
        <f>Tabela5[[#This Row],[Alongamento (mm/mm)]]/$I$2</f>
        <v>6.0754000000000002E-2</v>
      </c>
      <c r="D276" s="5">
        <v>98.147000000000006</v>
      </c>
      <c r="E276" s="1">
        <f>Tabela5[[#This Row],[Força (N)]]/$I$5</f>
        <v>2333932.5885447138</v>
      </c>
      <c r="F276" s="1">
        <f>Tabela5[[#This Row],[Tensão (Pa)]]/1000000</f>
        <v>2.3339325885447137</v>
      </c>
    </row>
    <row r="277" spans="1:6" x14ac:dyDescent="0.3">
      <c r="A277" s="5">
        <v>36.616999999999997</v>
      </c>
      <c r="B277" s="5">
        <v>3.0432999999999999</v>
      </c>
      <c r="C277" s="1">
        <f>Tabela5[[#This Row],[Alongamento (mm/mm)]]/$I$2</f>
        <v>6.0865999999999996E-2</v>
      </c>
      <c r="D277" s="5">
        <v>98.998000000000005</v>
      </c>
      <c r="E277" s="1">
        <f>Tabela5[[#This Row],[Força (N)]]/$I$5</f>
        <v>2354169.3419131464</v>
      </c>
      <c r="F277" s="1">
        <f>Tabela5[[#This Row],[Tensão (Pa)]]/1000000</f>
        <v>2.3541693419131464</v>
      </c>
    </row>
    <row r="278" spans="1:6" x14ac:dyDescent="0.3">
      <c r="A278" s="5">
        <v>36.683</v>
      </c>
      <c r="B278" s="5">
        <v>3.0489000000000002</v>
      </c>
      <c r="C278" s="1">
        <f>Tabela5[[#This Row],[Alongamento (mm/mm)]]/$I$2</f>
        <v>6.0978000000000004E-2</v>
      </c>
      <c r="D278" s="5">
        <v>99.847999999999999</v>
      </c>
      <c r="E278" s="1">
        <f>Tabela5[[#This Row],[Força (N)]]/$I$5</f>
        <v>2374382.3153128731</v>
      </c>
      <c r="F278" s="1">
        <f>Tabela5[[#This Row],[Tensão (Pa)]]/1000000</f>
        <v>2.3743823153128729</v>
      </c>
    </row>
    <row r="279" spans="1:6" x14ac:dyDescent="0.3">
      <c r="A279" s="5">
        <v>36.75</v>
      </c>
      <c r="B279" s="5">
        <v>3.0543999999999998</v>
      </c>
      <c r="C279" s="1">
        <f>Tabela5[[#This Row],[Alongamento (mm/mm)]]/$I$2</f>
        <v>6.1087999999999996E-2</v>
      </c>
      <c r="D279" s="5">
        <v>100.7</v>
      </c>
      <c r="E279" s="1">
        <f>Tabela5[[#This Row],[Força (N)]]/$I$5</f>
        <v>2394642.8486500112</v>
      </c>
      <c r="F279" s="1">
        <f>Tabela5[[#This Row],[Tensão (Pa)]]/1000000</f>
        <v>2.3946428486500113</v>
      </c>
    </row>
    <row r="280" spans="1:6" x14ac:dyDescent="0.3">
      <c r="A280" s="5">
        <v>36.817</v>
      </c>
      <c r="B280" s="5">
        <v>3.06</v>
      </c>
      <c r="C280" s="1">
        <f>Tabela5[[#This Row],[Alongamento (mm/mm)]]/$I$2</f>
        <v>6.1200000000000004E-2</v>
      </c>
      <c r="D280" s="5">
        <v>101.55</v>
      </c>
      <c r="E280" s="1">
        <f>Tabela5[[#This Row],[Força (N)]]/$I$5</f>
        <v>2414855.8220497384</v>
      </c>
      <c r="F280" s="1">
        <f>Tabela5[[#This Row],[Tensão (Pa)]]/1000000</f>
        <v>2.4148558220497383</v>
      </c>
    </row>
    <row r="281" spans="1:6" x14ac:dyDescent="0.3">
      <c r="A281" s="5">
        <v>36.883000000000003</v>
      </c>
      <c r="B281" s="5">
        <v>3.0655999999999999</v>
      </c>
      <c r="C281" s="1">
        <f>Tabela5[[#This Row],[Alongamento (mm/mm)]]/$I$2</f>
        <v>6.1311999999999998E-2</v>
      </c>
      <c r="D281" s="5">
        <v>102.4</v>
      </c>
      <c r="E281" s="1">
        <f>Tabela5[[#This Row],[Força (N)]]/$I$5</f>
        <v>2435068.7954494655</v>
      </c>
      <c r="F281" s="1">
        <f>Tabela5[[#This Row],[Tensão (Pa)]]/1000000</f>
        <v>2.4350687954494656</v>
      </c>
    </row>
    <row r="282" spans="1:6" x14ac:dyDescent="0.3">
      <c r="A282" s="5">
        <v>36.933</v>
      </c>
      <c r="B282" s="5">
        <v>3.0697000000000001</v>
      </c>
      <c r="C282" s="1">
        <f>Tabela5[[#This Row],[Alongamento (mm/mm)]]/$I$2</f>
        <v>6.1394000000000004E-2</v>
      </c>
      <c r="D282" s="5">
        <v>103.08</v>
      </c>
      <c r="E282" s="1">
        <f>Tabela5[[#This Row],[Força (N)]]/$I$5</f>
        <v>2451239.174169247</v>
      </c>
      <c r="F282" s="1">
        <f>Tabela5[[#This Row],[Tensão (Pa)]]/1000000</f>
        <v>2.4512391741692472</v>
      </c>
    </row>
    <row r="283" spans="1:6" x14ac:dyDescent="0.3">
      <c r="A283" s="5">
        <v>37</v>
      </c>
      <c r="B283" s="5">
        <v>3.0752999999999999</v>
      </c>
      <c r="C283" s="1">
        <f>Tabela5[[#This Row],[Alongamento (mm/mm)]]/$I$2</f>
        <v>6.1505999999999998E-2</v>
      </c>
      <c r="D283" s="5">
        <v>103.93</v>
      </c>
      <c r="E283" s="1">
        <f>Tabela5[[#This Row],[Força (N)]]/$I$5</f>
        <v>2471452.1475689742</v>
      </c>
      <c r="F283" s="1">
        <f>Tabela5[[#This Row],[Tensão (Pa)]]/1000000</f>
        <v>2.4714521475689741</v>
      </c>
    </row>
    <row r="284" spans="1:6" x14ac:dyDescent="0.3">
      <c r="A284" s="5">
        <v>37.049999999999997</v>
      </c>
      <c r="B284" s="5">
        <v>3.0794000000000001</v>
      </c>
      <c r="C284" s="1">
        <f>Tabela5[[#This Row],[Alongamento (mm/mm)]]/$I$2</f>
        <v>6.1588000000000004E-2</v>
      </c>
      <c r="D284" s="5">
        <v>104.61</v>
      </c>
      <c r="E284" s="1">
        <f>Tabela5[[#This Row],[Força (N)]]/$I$5</f>
        <v>2487622.5262887557</v>
      </c>
      <c r="F284" s="1">
        <f>Tabela5[[#This Row],[Tensão (Pa)]]/1000000</f>
        <v>2.4876225262887557</v>
      </c>
    </row>
    <row r="285" spans="1:6" x14ac:dyDescent="0.3">
      <c r="A285" s="5">
        <v>37.1</v>
      </c>
      <c r="B285" s="5">
        <v>3.0836000000000001</v>
      </c>
      <c r="C285" s="1">
        <f>Tabela5[[#This Row],[Alongamento (mm/mm)]]/$I$2</f>
        <v>6.1672000000000005E-2</v>
      </c>
      <c r="D285" s="5">
        <v>105.29</v>
      </c>
      <c r="E285" s="1">
        <f>Tabela5[[#This Row],[Força (N)]]/$I$5</f>
        <v>2503792.9050085372</v>
      </c>
      <c r="F285" s="1">
        <f>Tabela5[[#This Row],[Tensão (Pa)]]/1000000</f>
        <v>2.5037929050085372</v>
      </c>
    </row>
    <row r="286" spans="1:6" x14ac:dyDescent="0.3">
      <c r="A286" s="5">
        <v>37.15</v>
      </c>
      <c r="B286" s="5">
        <v>3.0878999999999999</v>
      </c>
      <c r="C286" s="1">
        <f>Tabela5[[#This Row],[Alongamento (mm/mm)]]/$I$2</f>
        <v>6.1758E-2</v>
      </c>
      <c r="D286" s="5">
        <v>105.97</v>
      </c>
      <c r="E286" s="1">
        <f>Tabela5[[#This Row],[Força (N)]]/$I$5</f>
        <v>2519963.2837283188</v>
      </c>
      <c r="F286" s="1">
        <f>Tabela5[[#This Row],[Tensão (Pa)]]/1000000</f>
        <v>2.5199632837283188</v>
      </c>
    </row>
    <row r="287" spans="1:6" x14ac:dyDescent="0.3">
      <c r="A287" s="5">
        <v>37.200000000000003</v>
      </c>
      <c r="B287" s="5">
        <v>3.0918999999999999</v>
      </c>
      <c r="C287" s="1">
        <f>Tabela5[[#This Row],[Alongamento (mm/mm)]]/$I$2</f>
        <v>6.1837999999999997E-2</v>
      </c>
      <c r="D287" s="5">
        <v>106.65</v>
      </c>
      <c r="E287" s="1">
        <f>Tabela5[[#This Row],[Força (N)]]/$I$5</f>
        <v>2536133.6624481007</v>
      </c>
      <c r="F287" s="1">
        <f>Tabela5[[#This Row],[Tensão (Pa)]]/1000000</f>
        <v>2.5361336624481008</v>
      </c>
    </row>
    <row r="288" spans="1:6" x14ac:dyDescent="0.3">
      <c r="A288" s="5">
        <v>37.25</v>
      </c>
      <c r="B288" s="5">
        <v>3.0960999999999999</v>
      </c>
      <c r="C288" s="1">
        <f>Tabela5[[#This Row],[Alongamento (mm/mm)]]/$I$2</f>
        <v>6.1921999999999998E-2</v>
      </c>
      <c r="D288" s="5">
        <v>107.33</v>
      </c>
      <c r="E288" s="1">
        <f>Tabela5[[#This Row],[Força (N)]]/$I$5</f>
        <v>2552304.0411678818</v>
      </c>
      <c r="F288" s="1">
        <f>Tabela5[[#This Row],[Tensão (Pa)]]/1000000</f>
        <v>2.5523040411678819</v>
      </c>
    </row>
    <row r="289" spans="1:6" x14ac:dyDescent="0.3">
      <c r="A289" s="5">
        <v>37.299999999999997</v>
      </c>
      <c r="B289" s="5">
        <v>3.1002000000000001</v>
      </c>
      <c r="C289" s="1">
        <f>Tabela5[[#This Row],[Alongamento (mm/mm)]]/$I$2</f>
        <v>6.2004000000000004E-2</v>
      </c>
      <c r="D289" s="5">
        <v>108.01</v>
      </c>
      <c r="E289" s="1">
        <f>Tabela5[[#This Row],[Força (N)]]/$I$5</f>
        <v>2568474.4198876638</v>
      </c>
      <c r="F289" s="1">
        <f>Tabela5[[#This Row],[Tensão (Pa)]]/1000000</f>
        <v>2.5684744198876639</v>
      </c>
    </row>
    <row r="290" spans="1:6" x14ac:dyDescent="0.3">
      <c r="A290" s="5">
        <v>37.35</v>
      </c>
      <c r="B290" s="5">
        <v>3.1044</v>
      </c>
      <c r="C290" s="1">
        <f>Tabela5[[#This Row],[Alongamento (mm/mm)]]/$I$2</f>
        <v>6.2088000000000004E-2</v>
      </c>
      <c r="D290" s="5">
        <v>108.69</v>
      </c>
      <c r="E290" s="1">
        <f>Tabela5[[#This Row],[Força (N)]]/$I$5</f>
        <v>2584644.7986074453</v>
      </c>
      <c r="F290" s="1">
        <f>Tabela5[[#This Row],[Tensão (Pa)]]/1000000</f>
        <v>2.5846447986074454</v>
      </c>
    </row>
    <row r="291" spans="1:6" x14ac:dyDescent="0.3">
      <c r="A291" s="5">
        <v>37.4</v>
      </c>
      <c r="B291" s="5">
        <v>3.1086</v>
      </c>
      <c r="C291" s="1">
        <f>Tabela5[[#This Row],[Alongamento (mm/mm)]]/$I$2</f>
        <v>6.2171999999999998E-2</v>
      </c>
      <c r="D291" s="5">
        <v>109.37</v>
      </c>
      <c r="E291" s="1">
        <f>Tabela5[[#This Row],[Força (N)]]/$I$5</f>
        <v>2600815.1773272268</v>
      </c>
      <c r="F291" s="1">
        <f>Tabela5[[#This Row],[Tensão (Pa)]]/1000000</f>
        <v>2.600815177327227</v>
      </c>
    </row>
    <row r="292" spans="1:6" x14ac:dyDescent="0.3">
      <c r="A292" s="5">
        <v>37.450000000000003</v>
      </c>
      <c r="B292" s="5">
        <v>3.1128</v>
      </c>
      <c r="C292" s="1">
        <f>Tabela5[[#This Row],[Alongamento (mm/mm)]]/$I$2</f>
        <v>6.2255999999999999E-2</v>
      </c>
      <c r="D292" s="5">
        <v>110.05</v>
      </c>
      <c r="E292" s="1">
        <f>Tabela5[[#This Row],[Força (N)]]/$I$5</f>
        <v>2616985.5560470084</v>
      </c>
      <c r="F292" s="1">
        <f>Tabela5[[#This Row],[Tensão (Pa)]]/1000000</f>
        <v>2.6169855560470086</v>
      </c>
    </row>
    <row r="293" spans="1:6" x14ac:dyDescent="0.3">
      <c r="A293" s="5">
        <v>37.5</v>
      </c>
      <c r="B293" s="5">
        <v>3.117</v>
      </c>
      <c r="C293" s="1">
        <f>Tabela5[[#This Row],[Alongamento (mm/mm)]]/$I$2</f>
        <v>6.234E-2</v>
      </c>
      <c r="D293" s="5">
        <v>110.73</v>
      </c>
      <c r="E293" s="1">
        <f>Tabela5[[#This Row],[Força (N)]]/$I$5</f>
        <v>2633155.9347667904</v>
      </c>
      <c r="F293" s="1">
        <f>Tabela5[[#This Row],[Tensão (Pa)]]/1000000</f>
        <v>2.6331559347667906</v>
      </c>
    </row>
    <row r="294" spans="1:6" x14ac:dyDescent="0.3">
      <c r="A294" s="5">
        <v>37.549999999999997</v>
      </c>
      <c r="B294" s="5">
        <v>3.1211000000000002</v>
      </c>
      <c r="C294" s="1">
        <f>Tabela5[[#This Row],[Alongamento (mm/mm)]]/$I$2</f>
        <v>6.2422000000000005E-2</v>
      </c>
      <c r="D294" s="5">
        <v>111.41</v>
      </c>
      <c r="E294" s="1">
        <f>Tabela5[[#This Row],[Força (N)]]/$I$5</f>
        <v>2649326.3134865714</v>
      </c>
      <c r="F294" s="1">
        <f>Tabela5[[#This Row],[Tensão (Pa)]]/1000000</f>
        <v>2.6493263134865712</v>
      </c>
    </row>
    <row r="295" spans="1:6" x14ac:dyDescent="0.3">
      <c r="A295" s="5">
        <v>37.6</v>
      </c>
      <c r="B295" s="5">
        <v>3.1253000000000002</v>
      </c>
      <c r="C295" s="1">
        <f>Tabela5[[#This Row],[Alongamento (mm/mm)]]/$I$2</f>
        <v>6.2506000000000006E-2</v>
      </c>
      <c r="D295" s="5">
        <v>112.1</v>
      </c>
      <c r="E295" s="1">
        <f>Tabela5[[#This Row],[Força (N)]]/$I$5</f>
        <v>2665734.4918934088</v>
      </c>
      <c r="F295" s="1">
        <f>Tabela5[[#This Row],[Tensão (Pa)]]/1000000</f>
        <v>2.6657344918934087</v>
      </c>
    </row>
    <row r="296" spans="1:6" x14ac:dyDescent="0.3">
      <c r="A296" s="5">
        <v>37.65</v>
      </c>
      <c r="B296" s="5">
        <v>3.1294</v>
      </c>
      <c r="C296" s="1">
        <f>Tabela5[[#This Row],[Alongamento (mm/mm)]]/$I$2</f>
        <v>6.2588000000000005E-2</v>
      </c>
      <c r="D296" s="5">
        <v>112.78</v>
      </c>
      <c r="E296" s="1">
        <f>Tabela5[[#This Row],[Força (N)]]/$I$5</f>
        <v>2681904.8706131903</v>
      </c>
      <c r="F296" s="1">
        <f>Tabela5[[#This Row],[Tensão (Pa)]]/1000000</f>
        <v>2.6819048706131903</v>
      </c>
    </row>
    <row r="297" spans="1:6" x14ac:dyDescent="0.3">
      <c r="A297" s="5">
        <v>37.700000000000003</v>
      </c>
      <c r="B297" s="5">
        <v>3.1335999999999999</v>
      </c>
      <c r="C297" s="1">
        <f>Tabela5[[#This Row],[Alongamento (mm/mm)]]/$I$2</f>
        <v>6.2672000000000005E-2</v>
      </c>
      <c r="D297" s="5">
        <v>113.63</v>
      </c>
      <c r="E297" s="1">
        <f>Tabela5[[#This Row],[Força (N)]]/$I$5</f>
        <v>2702117.8440129175</v>
      </c>
      <c r="F297" s="1">
        <f>Tabela5[[#This Row],[Tensão (Pa)]]/1000000</f>
        <v>2.7021178440129177</v>
      </c>
    </row>
    <row r="298" spans="1:6" x14ac:dyDescent="0.3">
      <c r="A298" s="5">
        <v>37.75</v>
      </c>
      <c r="B298" s="5">
        <v>3.1377999999999999</v>
      </c>
      <c r="C298" s="1">
        <f>Tabela5[[#This Row],[Alongamento (mm/mm)]]/$I$2</f>
        <v>6.2755999999999992E-2</v>
      </c>
      <c r="D298" s="5">
        <v>114.31</v>
      </c>
      <c r="E298" s="1">
        <f>Tabela5[[#This Row],[Força (N)]]/$I$5</f>
        <v>2718288.222732699</v>
      </c>
      <c r="F298" s="1">
        <f>Tabela5[[#This Row],[Tensão (Pa)]]/1000000</f>
        <v>2.7182882227326992</v>
      </c>
    </row>
    <row r="299" spans="1:6" x14ac:dyDescent="0.3">
      <c r="A299" s="5">
        <v>37.799999999999997</v>
      </c>
      <c r="B299" s="5">
        <v>3.1419000000000001</v>
      </c>
      <c r="C299" s="1">
        <f>Tabela5[[#This Row],[Alongamento (mm/mm)]]/$I$2</f>
        <v>6.2838000000000005E-2</v>
      </c>
      <c r="D299" s="5">
        <v>114.99</v>
      </c>
      <c r="E299" s="1">
        <f>Tabela5[[#This Row],[Força (N)]]/$I$5</f>
        <v>2734458.6014524805</v>
      </c>
      <c r="F299" s="1">
        <f>Tabela5[[#This Row],[Tensão (Pa)]]/1000000</f>
        <v>2.7344586014524803</v>
      </c>
    </row>
    <row r="300" spans="1:6" x14ac:dyDescent="0.3">
      <c r="A300" s="5">
        <v>37.85</v>
      </c>
      <c r="B300" s="5">
        <v>3.1461000000000001</v>
      </c>
      <c r="C300" s="1">
        <f>Tabela5[[#This Row],[Alongamento (mm/mm)]]/$I$2</f>
        <v>6.2922000000000006E-2</v>
      </c>
      <c r="D300" s="5">
        <v>115.84</v>
      </c>
      <c r="E300" s="1">
        <f>Tabela5[[#This Row],[Força (N)]]/$I$5</f>
        <v>2754671.5748522077</v>
      </c>
      <c r="F300" s="1">
        <f>Tabela5[[#This Row],[Tensão (Pa)]]/1000000</f>
        <v>2.7546715748522077</v>
      </c>
    </row>
    <row r="301" spans="1:6" x14ac:dyDescent="0.3">
      <c r="A301" s="5">
        <v>37.9</v>
      </c>
      <c r="B301" s="5">
        <v>3.1503999999999999</v>
      </c>
      <c r="C301" s="1">
        <f>Tabela5[[#This Row],[Alongamento (mm/mm)]]/$I$2</f>
        <v>6.3007999999999995E-2</v>
      </c>
      <c r="D301" s="5">
        <v>116.52</v>
      </c>
      <c r="E301" s="1">
        <f>Tabela5[[#This Row],[Força (N)]]/$I$5</f>
        <v>2770841.9535719892</v>
      </c>
      <c r="F301" s="1">
        <f>Tabela5[[#This Row],[Tensão (Pa)]]/1000000</f>
        <v>2.7708419535719893</v>
      </c>
    </row>
    <row r="302" spans="1:6" x14ac:dyDescent="0.3">
      <c r="A302" s="5">
        <v>37.950000000000003</v>
      </c>
      <c r="B302" s="5">
        <v>3.1545000000000001</v>
      </c>
      <c r="C302" s="1">
        <f>Tabela5[[#This Row],[Alongamento (mm/mm)]]/$I$2</f>
        <v>6.3090000000000007E-2</v>
      </c>
      <c r="D302" s="5">
        <v>117.2</v>
      </c>
      <c r="E302" s="1">
        <f>Tabela5[[#This Row],[Força (N)]]/$I$5</f>
        <v>2787012.3322917712</v>
      </c>
      <c r="F302" s="1">
        <f>Tabela5[[#This Row],[Tensão (Pa)]]/1000000</f>
        <v>2.7870123322917713</v>
      </c>
    </row>
    <row r="303" spans="1:6" x14ac:dyDescent="0.3">
      <c r="A303" s="5">
        <v>38</v>
      </c>
      <c r="B303" s="5">
        <v>3.1587000000000001</v>
      </c>
      <c r="C303" s="1">
        <f>Tabela5[[#This Row],[Alongamento (mm/mm)]]/$I$2</f>
        <v>6.3174000000000008E-2</v>
      </c>
      <c r="D303" s="5">
        <v>118.05</v>
      </c>
      <c r="E303" s="1">
        <f>Tabela5[[#This Row],[Força (N)]]/$I$5</f>
        <v>2807225.3056914979</v>
      </c>
      <c r="F303" s="1">
        <f>Tabela5[[#This Row],[Tensão (Pa)]]/1000000</f>
        <v>2.8072253056914978</v>
      </c>
    </row>
    <row r="304" spans="1:6" x14ac:dyDescent="0.3">
      <c r="A304" s="5">
        <v>38.049999999999997</v>
      </c>
      <c r="B304" s="5">
        <v>3.1627999999999998</v>
      </c>
      <c r="C304" s="1">
        <f>Tabela5[[#This Row],[Alongamento (mm/mm)]]/$I$2</f>
        <v>6.3255999999999993E-2</v>
      </c>
      <c r="D304" s="5">
        <v>118.73</v>
      </c>
      <c r="E304" s="1">
        <f>Tabela5[[#This Row],[Força (N)]]/$I$5</f>
        <v>2823395.6844112794</v>
      </c>
      <c r="F304" s="1">
        <f>Tabela5[[#This Row],[Tensão (Pa)]]/1000000</f>
        <v>2.8233956844112793</v>
      </c>
    </row>
    <row r="305" spans="1:6" x14ac:dyDescent="0.3">
      <c r="A305" s="5">
        <v>38.1</v>
      </c>
      <c r="B305" s="5">
        <v>3.1669</v>
      </c>
      <c r="C305" s="1">
        <f>Tabela5[[#This Row],[Alongamento (mm/mm)]]/$I$2</f>
        <v>6.3338000000000005E-2</v>
      </c>
      <c r="D305" s="5">
        <v>119.58</v>
      </c>
      <c r="E305" s="1">
        <f>Tabela5[[#This Row],[Força (N)]]/$I$5</f>
        <v>2843608.6578110065</v>
      </c>
      <c r="F305" s="1">
        <f>Tabela5[[#This Row],[Tensão (Pa)]]/1000000</f>
        <v>2.8436086578110067</v>
      </c>
    </row>
    <row r="306" spans="1:6" x14ac:dyDescent="0.3">
      <c r="A306" s="5">
        <v>38.15</v>
      </c>
      <c r="B306" s="5">
        <v>3.1711</v>
      </c>
      <c r="C306" s="1">
        <f>Tabela5[[#This Row],[Alongamento (mm/mm)]]/$I$2</f>
        <v>6.3422000000000006E-2</v>
      </c>
      <c r="D306" s="5">
        <v>120.26</v>
      </c>
      <c r="E306" s="1">
        <f>Tabela5[[#This Row],[Força (N)]]/$I$5</f>
        <v>2859779.0365307881</v>
      </c>
      <c r="F306" s="1">
        <f>Tabela5[[#This Row],[Tensão (Pa)]]/1000000</f>
        <v>2.8597790365307882</v>
      </c>
    </row>
    <row r="307" spans="1:6" x14ac:dyDescent="0.3">
      <c r="A307" s="5">
        <v>38.200000000000003</v>
      </c>
      <c r="B307" s="5">
        <v>3.1753</v>
      </c>
      <c r="C307" s="1">
        <f>Tabela5[[#This Row],[Alongamento (mm/mm)]]/$I$2</f>
        <v>6.3506000000000007E-2</v>
      </c>
      <c r="D307" s="5">
        <v>121.11</v>
      </c>
      <c r="E307" s="1">
        <f>Tabela5[[#This Row],[Força (N)]]/$I$5</f>
        <v>2879992.0099305152</v>
      </c>
      <c r="F307" s="1">
        <f>Tabela5[[#This Row],[Tensão (Pa)]]/1000000</f>
        <v>2.8799920099305152</v>
      </c>
    </row>
    <row r="308" spans="1:6" x14ac:dyDescent="0.3">
      <c r="A308" s="5">
        <v>38.25</v>
      </c>
      <c r="B308" s="5">
        <v>3.1793999999999998</v>
      </c>
      <c r="C308" s="1">
        <f>Tabela5[[#This Row],[Alongamento (mm/mm)]]/$I$2</f>
        <v>6.3587999999999992E-2</v>
      </c>
      <c r="D308" s="5">
        <v>121.79</v>
      </c>
      <c r="E308" s="1">
        <f>Tabela5[[#This Row],[Força (N)]]/$I$5</f>
        <v>2896162.3886502967</v>
      </c>
      <c r="F308" s="1">
        <f>Tabela5[[#This Row],[Tensão (Pa)]]/1000000</f>
        <v>2.8961623886502967</v>
      </c>
    </row>
    <row r="309" spans="1:6" x14ac:dyDescent="0.3">
      <c r="A309" s="5">
        <v>38.299999999999997</v>
      </c>
      <c r="B309" s="5">
        <v>3.1836000000000002</v>
      </c>
      <c r="C309" s="1">
        <f>Tabela5[[#This Row],[Alongamento (mm/mm)]]/$I$2</f>
        <v>6.3672000000000006E-2</v>
      </c>
      <c r="D309" s="5">
        <v>122.47</v>
      </c>
      <c r="E309" s="1">
        <f>Tabela5[[#This Row],[Força (N)]]/$I$5</f>
        <v>2912332.7673700782</v>
      </c>
      <c r="F309" s="1">
        <f>Tabela5[[#This Row],[Tensão (Pa)]]/1000000</f>
        <v>2.9123327673700783</v>
      </c>
    </row>
    <row r="310" spans="1:6" x14ac:dyDescent="0.3">
      <c r="A310" s="5">
        <v>38.35</v>
      </c>
      <c r="B310" s="5">
        <v>3.1878000000000002</v>
      </c>
      <c r="C310" s="1">
        <f>Tabela5[[#This Row],[Alongamento (mm/mm)]]/$I$2</f>
        <v>6.3756000000000007E-2</v>
      </c>
      <c r="D310" s="5">
        <v>123.32</v>
      </c>
      <c r="E310" s="1">
        <f>Tabela5[[#This Row],[Força (N)]]/$I$5</f>
        <v>2932545.7407698054</v>
      </c>
      <c r="F310" s="1">
        <f>Tabela5[[#This Row],[Tensão (Pa)]]/1000000</f>
        <v>2.9325457407698052</v>
      </c>
    </row>
    <row r="311" spans="1:6" x14ac:dyDescent="0.3">
      <c r="A311" s="5">
        <v>38.4</v>
      </c>
      <c r="B311" s="5">
        <v>3.1920000000000002</v>
      </c>
      <c r="C311" s="1">
        <f>Tabela5[[#This Row],[Alongamento (mm/mm)]]/$I$2</f>
        <v>6.3840000000000008E-2</v>
      </c>
      <c r="D311" s="5">
        <v>124</v>
      </c>
      <c r="E311" s="1">
        <f>Tabela5[[#This Row],[Força (N)]]/$I$5</f>
        <v>2948716.1194895869</v>
      </c>
      <c r="F311" s="1">
        <f>Tabela5[[#This Row],[Tensão (Pa)]]/1000000</f>
        <v>2.9487161194895868</v>
      </c>
    </row>
    <row r="312" spans="1:6" x14ac:dyDescent="0.3">
      <c r="A312" s="5">
        <v>38.433</v>
      </c>
      <c r="B312" s="5">
        <v>3.1947000000000001</v>
      </c>
      <c r="C312" s="1">
        <f>Tabela5[[#This Row],[Alongamento (mm/mm)]]/$I$2</f>
        <v>6.3894000000000006E-2</v>
      </c>
      <c r="D312" s="5">
        <v>124.68</v>
      </c>
      <c r="E312" s="1">
        <f>Tabela5[[#This Row],[Força (N)]]/$I$5</f>
        <v>2964886.4982093689</v>
      </c>
      <c r="F312" s="1">
        <f>Tabela5[[#This Row],[Tensão (Pa)]]/1000000</f>
        <v>2.9648864982093688</v>
      </c>
    </row>
    <row r="313" spans="1:6" x14ac:dyDescent="0.3">
      <c r="A313" s="5">
        <v>38.482999999999997</v>
      </c>
      <c r="B313" s="5">
        <v>3.1989000000000001</v>
      </c>
      <c r="C313" s="1">
        <f>Tabela5[[#This Row],[Alongamento (mm/mm)]]/$I$2</f>
        <v>6.3978000000000007E-2</v>
      </c>
      <c r="D313" s="5">
        <v>125.36</v>
      </c>
      <c r="E313" s="1">
        <f>Tabela5[[#This Row],[Força (N)]]/$I$5</f>
        <v>2981056.87692915</v>
      </c>
      <c r="F313" s="1">
        <f>Tabela5[[#This Row],[Tensão (Pa)]]/1000000</f>
        <v>2.9810568769291499</v>
      </c>
    </row>
    <row r="314" spans="1:6" x14ac:dyDescent="0.3">
      <c r="A314" s="5">
        <v>38.533000000000001</v>
      </c>
      <c r="B314" s="5">
        <v>3.2031000000000001</v>
      </c>
      <c r="C314" s="1">
        <f>Tabela5[[#This Row],[Alongamento (mm/mm)]]/$I$2</f>
        <v>6.4062000000000008E-2</v>
      </c>
      <c r="D314" s="5">
        <v>126.04</v>
      </c>
      <c r="E314" s="1">
        <f>Tabela5[[#This Row],[Força (N)]]/$I$5</f>
        <v>2997227.255648932</v>
      </c>
      <c r="F314" s="1">
        <f>Tabela5[[#This Row],[Tensão (Pa)]]/1000000</f>
        <v>2.9972272556489319</v>
      </c>
    </row>
    <row r="315" spans="1:6" x14ac:dyDescent="0.3">
      <c r="A315" s="5">
        <v>38.582999999999998</v>
      </c>
      <c r="B315" s="5">
        <v>3.2071999999999998</v>
      </c>
      <c r="C315" s="1">
        <f>Tabela5[[#This Row],[Alongamento (mm/mm)]]/$I$2</f>
        <v>6.4143999999999993E-2</v>
      </c>
      <c r="D315" s="5">
        <v>126.89</v>
      </c>
      <c r="E315" s="1">
        <f>Tabela5[[#This Row],[Força (N)]]/$I$5</f>
        <v>3017440.2290486586</v>
      </c>
      <c r="F315" s="1">
        <f>Tabela5[[#This Row],[Tensão (Pa)]]/1000000</f>
        <v>3.0174402290486588</v>
      </c>
    </row>
    <row r="316" spans="1:6" x14ac:dyDescent="0.3">
      <c r="A316" s="5">
        <v>38.633000000000003</v>
      </c>
      <c r="B316" s="5">
        <v>3.2113999999999998</v>
      </c>
      <c r="C316" s="1">
        <f>Tabela5[[#This Row],[Alongamento (mm/mm)]]/$I$2</f>
        <v>6.4227999999999993E-2</v>
      </c>
      <c r="D316" s="5">
        <v>127.74</v>
      </c>
      <c r="E316" s="1">
        <f>Tabela5[[#This Row],[Força (N)]]/$I$5</f>
        <v>3037653.2024483858</v>
      </c>
      <c r="F316" s="1">
        <f>Tabela5[[#This Row],[Tensão (Pa)]]/1000000</f>
        <v>3.0376532024483858</v>
      </c>
    </row>
    <row r="317" spans="1:6" x14ac:dyDescent="0.3">
      <c r="A317" s="5">
        <v>38.683</v>
      </c>
      <c r="B317" s="5">
        <v>3.2155</v>
      </c>
      <c r="C317" s="1">
        <f>Tabela5[[#This Row],[Alongamento (mm/mm)]]/$I$2</f>
        <v>6.4310000000000006E-2</v>
      </c>
      <c r="D317" s="5">
        <v>128.41999999999999</v>
      </c>
      <c r="E317" s="1">
        <f>Tabela5[[#This Row],[Força (N)]]/$I$5</f>
        <v>3053823.5811681673</v>
      </c>
      <c r="F317" s="1">
        <f>Tabela5[[#This Row],[Tensão (Pa)]]/1000000</f>
        <v>3.0538235811681673</v>
      </c>
    </row>
    <row r="318" spans="1:6" x14ac:dyDescent="0.3">
      <c r="A318" s="5">
        <v>38.732999999999997</v>
      </c>
      <c r="B318" s="5">
        <v>3.2197</v>
      </c>
      <c r="C318" s="1">
        <f>Tabela5[[#This Row],[Alongamento (mm/mm)]]/$I$2</f>
        <v>6.4394000000000007E-2</v>
      </c>
      <c r="D318" s="5">
        <v>129.1</v>
      </c>
      <c r="E318" s="1">
        <f>Tabela5[[#This Row],[Força (N)]]/$I$5</f>
        <v>3069993.9598879488</v>
      </c>
      <c r="F318" s="1">
        <f>Tabela5[[#This Row],[Tensão (Pa)]]/1000000</f>
        <v>3.0699939598879489</v>
      </c>
    </row>
    <row r="319" spans="1:6" x14ac:dyDescent="0.3">
      <c r="A319" s="5">
        <v>38.767000000000003</v>
      </c>
      <c r="B319" s="5">
        <v>3.2225000000000001</v>
      </c>
      <c r="C319" s="1">
        <f>Tabela5[[#This Row],[Alongamento (mm/mm)]]/$I$2</f>
        <v>6.4450000000000007E-2</v>
      </c>
      <c r="D319" s="5">
        <v>129.79</v>
      </c>
      <c r="E319" s="1">
        <f>Tabela5[[#This Row],[Força (N)]]/$I$5</f>
        <v>3086402.1382947862</v>
      </c>
      <c r="F319" s="1">
        <f>Tabela5[[#This Row],[Tensão (Pa)]]/1000000</f>
        <v>3.0864021382947864</v>
      </c>
    </row>
    <row r="320" spans="1:6" x14ac:dyDescent="0.3">
      <c r="A320" s="5">
        <v>38.817</v>
      </c>
      <c r="B320" s="5">
        <v>3.2267000000000001</v>
      </c>
      <c r="C320" s="1">
        <f>Tabela5[[#This Row],[Alongamento (mm/mm)]]/$I$2</f>
        <v>6.4534000000000008E-2</v>
      </c>
      <c r="D320" s="5">
        <v>130.47</v>
      </c>
      <c r="E320" s="1">
        <f>Tabela5[[#This Row],[Força (N)]]/$I$5</f>
        <v>3102572.5170145677</v>
      </c>
      <c r="F320" s="1">
        <f>Tabela5[[#This Row],[Tensão (Pa)]]/1000000</f>
        <v>3.1025725170145679</v>
      </c>
    </row>
    <row r="321" spans="1:6" x14ac:dyDescent="0.3">
      <c r="A321" s="5">
        <v>38.866999999999997</v>
      </c>
      <c r="B321" s="5">
        <v>3.2307999999999999</v>
      </c>
      <c r="C321" s="1">
        <f>Tabela5[[#This Row],[Alongamento (mm/mm)]]/$I$2</f>
        <v>6.4615999999999993E-2</v>
      </c>
      <c r="D321" s="5">
        <v>131.32</v>
      </c>
      <c r="E321" s="1">
        <f>Tabela5[[#This Row],[Força (N)]]/$I$5</f>
        <v>3122785.4904142949</v>
      </c>
      <c r="F321" s="1">
        <f>Tabela5[[#This Row],[Tensão (Pa)]]/1000000</f>
        <v>3.1227854904142949</v>
      </c>
    </row>
    <row r="322" spans="1:6" x14ac:dyDescent="0.3">
      <c r="A322" s="5">
        <v>38.933</v>
      </c>
      <c r="B322" s="5">
        <v>3.2364000000000002</v>
      </c>
      <c r="C322" s="1">
        <f>Tabela5[[#This Row],[Alongamento (mm/mm)]]/$I$2</f>
        <v>6.4728000000000008E-2</v>
      </c>
      <c r="D322" s="5">
        <v>132.34</v>
      </c>
      <c r="E322" s="1">
        <f>Tabela5[[#This Row],[Força (N)]]/$I$5</f>
        <v>3147041.0584939672</v>
      </c>
      <c r="F322" s="1">
        <f>Tabela5[[#This Row],[Tensão (Pa)]]/1000000</f>
        <v>3.1470410584939672</v>
      </c>
    </row>
    <row r="323" spans="1:6" x14ac:dyDescent="0.3">
      <c r="A323" s="5">
        <v>39</v>
      </c>
      <c r="B323" s="5">
        <v>3.242</v>
      </c>
      <c r="C323" s="1">
        <f>Tabela5[[#This Row],[Alongamento (mm/mm)]]/$I$2</f>
        <v>6.4839999999999995E-2</v>
      </c>
      <c r="D323" s="5">
        <v>133.36000000000001</v>
      </c>
      <c r="E323" s="1">
        <f>Tabela5[[#This Row],[Força (N)]]/$I$5</f>
        <v>3171296.6265736399</v>
      </c>
      <c r="F323" s="1">
        <f>Tabela5[[#This Row],[Tensão (Pa)]]/1000000</f>
        <v>3.17129662657364</v>
      </c>
    </row>
    <row r="324" spans="1:6" x14ac:dyDescent="0.3">
      <c r="A324" s="5">
        <v>39.067</v>
      </c>
      <c r="B324" s="5">
        <v>3.2475000000000001</v>
      </c>
      <c r="C324" s="1">
        <f>Tabela5[[#This Row],[Alongamento (mm/mm)]]/$I$2</f>
        <v>6.4950000000000008E-2</v>
      </c>
      <c r="D324" s="5">
        <v>134.38</v>
      </c>
      <c r="E324" s="1">
        <f>Tabela5[[#This Row],[Força (N)]]/$I$5</f>
        <v>3195552.1946533117</v>
      </c>
      <c r="F324" s="1">
        <f>Tabela5[[#This Row],[Tensão (Pa)]]/1000000</f>
        <v>3.1955521946533119</v>
      </c>
    </row>
    <row r="325" spans="1:6" x14ac:dyDescent="0.3">
      <c r="A325" s="5">
        <v>39.133000000000003</v>
      </c>
      <c r="B325" s="5">
        <v>3.2530999999999999</v>
      </c>
      <c r="C325" s="1">
        <f>Tabela5[[#This Row],[Alongamento (mm/mm)]]/$I$2</f>
        <v>6.5061999999999995E-2</v>
      </c>
      <c r="D325" s="5">
        <v>135.4</v>
      </c>
      <c r="E325" s="1">
        <f>Tabela5[[#This Row],[Força (N)]]/$I$5</f>
        <v>3219807.7627329845</v>
      </c>
      <c r="F325" s="1">
        <f>Tabela5[[#This Row],[Tensão (Pa)]]/1000000</f>
        <v>3.2198077627329846</v>
      </c>
    </row>
    <row r="326" spans="1:6" x14ac:dyDescent="0.3">
      <c r="A326" s="5">
        <v>39.200000000000003</v>
      </c>
      <c r="B326" s="5">
        <v>3.2587000000000002</v>
      </c>
      <c r="C326" s="1">
        <f>Tabela5[[#This Row],[Alongamento (mm/mm)]]/$I$2</f>
        <v>6.517400000000001E-2</v>
      </c>
      <c r="D326" s="5">
        <v>136.41999999999999</v>
      </c>
      <c r="E326" s="1">
        <f>Tabela5[[#This Row],[Força (N)]]/$I$5</f>
        <v>3244063.3308126568</v>
      </c>
      <c r="F326" s="1">
        <f>Tabela5[[#This Row],[Tensão (Pa)]]/1000000</f>
        <v>3.244063330812657</v>
      </c>
    </row>
    <row r="327" spans="1:6" x14ac:dyDescent="0.3">
      <c r="A327" s="5">
        <v>39.267000000000003</v>
      </c>
      <c r="B327" s="5">
        <v>3.2642000000000002</v>
      </c>
      <c r="C327" s="1">
        <f>Tabela5[[#This Row],[Alongamento (mm/mm)]]/$I$2</f>
        <v>6.5284000000000009E-2</v>
      </c>
      <c r="D327" s="5">
        <v>137.44</v>
      </c>
      <c r="E327" s="1">
        <f>Tabela5[[#This Row],[Força (N)]]/$I$5</f>
        <v>3268318.8988923291</v>
      </c>
      <c r="F327" s="1">
        <f>Tabela5[[#This Row],[Tensão (Pa)]]/1000000</f>
        <v>3.2683188988923293</v>
      </c>
    </row>
    <row r="328" spans="1:6" x14ac:dyDescent="0.3">
      <c r="A328" s="5">
        <v>39.332999999999998</v>
      </c>
      <c r="B328" s="5">
        <v>3.2696999999999998</v>
      </c>
      <c r="C328" s="1">
        <f>Tabela5[[#This Row],[Alongamento (mm/mm)]]/$I$2</f>
        <v>6.5393999999999994E-2</v>
      </c>
      <c r="D328" s="5">
        <v>138.63</v>
      </c>
      <c r="E328" s="1">
        <f>Tabela5[[#This Row],[Força (N)]]/$I$5</f>
        <v>3296617.061651947</v>
      </c>
      <c r="F328" s="1">
        <f>Tabela5[[#This Row],[Tensão (Pa)]]/1000000</f>
        <v>3.296617061651947</v>
      </c>
    </row>
    <row r="329" spans="1:6" x14ac:dyDescent="0.3">
      <c r="A329" s="5">
        <v>39.4</v>
      </c>
      <c r="B329" s="5">
        <v>3.2753000000000001</v>
      </c>
      <c r="C329" s="1">
        <f>Tabela5[[#This Row],[Alongamento (mm/mm)]]/$I$2</f>
        <v>6.5506000000000009E-2</v>
      </c>
      <c r="D329" s="5">
        <v>139.65</v>
      </c>
      <c r="E329" s="1">
        <f>Tabela5[[#This Row],[Força (N)]]/$I$5</f>
        <v>3320872.6297316197</v>
      </c>
      <c r="F329" s="1">
        <f>Tabela5[[#This Row],[Tensão (Pa)]]/1000000</f>
        <v>3.3208726297316198</v>
      </c>
    </row>
    <row r="330" spans="1:6" x14ac:dyDescent="0.3">
      <c r="A330" s="5">
        <v>39.466999999999999</v>
      </c>
      <c r="B330" s="5">
        <v>3.2808999999999999</v>
      </c>
      <c r="C330" s="1">
        <f>Tabela5[[#This Row],[Alongamento (mm/mm)]]/$I$2</f>
        <v>6.5617999999999996E-2</v>
      </c>
      <c r="D330" s="5">
        <v>140.66999999999999</v>
      </c>
      <c r="E330" s="1">
        <f>Tabela5[[#This Row],[Força (N)]]/$I$5</f>
        <v>3345128.1978112916</v>
      </c>
      <c r="F330" s="1">
        <f>Tabela5[[#This Row],[Tensão (Pa)]]/1000000</f>
        <v>3.3451281978112917</v>
      </c>
    </row>
    <row r="331" spans="1:6" x14ac:dyDescent="0.3">
      <c r="A331" s="5">
        <v>39.533000000000001</v>
      </c>
      <c r="B331" s="5">
        <v>3.2863000000000002</v>
      </c>
      <c r="C331" s="1">
        <f>Tabela5[[#This Row],[Alongamento (mm/mm)]]/$I$2</f>
        <v>6.5726000000000007E-2</v>
      </c>
      <c r="D331" s="5">
        <v>141.86000000000001</v>
      </c>
      <c r="E331" s="1">
        <f>Tabela5[[#This Row],[Força (N)]]/$I$5</f>
        <v>3373426.3605709099</v>
      </c>
      <c r="F331" s="1">
        <f>Tabela5[[#This Row],[Tensão (Pa)]]/1000000</f>
        <v>3.3734263605709098</v>
      </c>
    </row>
    <row r="332" spans="1:6" x14ac:dyDescent="0.3">
      <c r="A332" s="5">
        <v>39.6</v>
      </c>
      <c r="B332" s="5">
        <v>3.2919</v>
      </c>
      <c r="C332" s="1">
        <f>Tabela5[[#This Row],[Alongamento (mm/mm)]]/$I$2</f>
        <v>6.5838000000000008E-2</v>
      </c>
      <c r="D332" s="5">
        <v>142.88</v>
      </c>
      <c r="E332" s="1">
        <f>Tabela5[[#This Row],[Força (N)]]/$I$5</f>
        <v>3397681.9286505822</v>
      </c>
      <c r="F332" s="1">
        <f>Tabela5[[#This Row],[Tensão (Pa)]]/1000000</f>
        <v>3.3976819286505822</v>
      </c>
    </row>
    <row r="333" spans="1:6" x14ac:dyDescent="0.3">
      <c r="A333" s="5">
        <v>39.667000000000002</v>
      </c>
      <c r="B333" s="5">
        <v>3.2974999999999999</v>
      </c>
      <c r="C333" s="1">
        <f>Tabela5[[#This Row],[Alongamento (mm/mm)]]/$I$2</f>
        <v>6.5949999999999995E-2</v>
      </c>
      <c r="D333" s="5">
        <v>143.9</v>
      </c>
      <c r="E333" s="1">
        <f>Tabela5[[#This Row],[Força (N)]]/$I$5</f>
        <v>3421937.4967302545</v>
      </c>
      <c r="F333" s="1">
        <f>Tabela5[[#This Row],[Tensão (Pa)]]/1000000</f>
        <v>3.4219374967302545</v>
      </c>
    </row>
    <row r="334" spans="1:6" x14ac:dyDescent="0.3">
      <c r="A334" s="5">
        <v>39.732999999999997</v>
      </c>
      <c r="B334" s="5">
        <v>3.3031000000000001</v>
      </c>
      <c r="C334" s="1">
        <f>Tabela5[[#This Row],[Alongamento (mm/mm)]]/$I$2</f>
        <v>6.606200000000001E-2</v>
      </c>
      <c r="D334" s="5">
        <v>145.09</v>
      </c>
      <c r="E334" s="1">
        <f>Tabela5[[#This Row],[Força (N)]]/$I$5</f>
        <v>3450235.6594898724</v>
      </c>
      <c r="F334" s="1">
        <f>Tabela5[[#This Row],[Tensão (Pa)]]/1000000</f>
        <v>3.4502356594898722</v>
      </c>
    </row>
    <row r="335" spans="1:6" x14ac:dyDescent="0.3">
      <c r="A335" s="5">
        <v>39.799999999999997</v>
      </c>
      <c r="B335" s="5">
        <v>3.3086000000000002</v>
      </c>
      <c r="C335" s="1">
        <f>Tabela5[[#This Row],[Alongamento (mm/mm)]]/$I$2</f>
        <v>6.6172000000000009E-2</v>
      </c>
      <c r="D335" s="5">
        <v>146.11000000000001</v>
      </c>
      <c r="E335" s="1">
        <f>Tabela5[[#This Row],[Força (N)]]/$I$5</f>
        <v>3474491.2275695452</v>
      </c>
      <c r="F335" s="1">
        <f>Tabela5[[#This Row],[Tensão (Pa)]]/1000000</f>
        <v>3.474491227569545</v>
      </c>
    </row>
    <row r="336" spans="1:6" x14ac:dyDescent="0.3">
      <c r="A336" s="5">
        <v>39.866999999999997</v>
      </c>
      <c r="B336" s="5">
        <v>3.3142</v>
      </c>
      <c r="C336" s="1">
        <f>Tabela5[[#This Row],[Alongamento (mm/mm)]]/$I$2</f>
        <v>6.6283999999999996E-2</v>
      </c>
      <c r="D336" s="5">
        <v>147.31</v>
      </c>
      <c r="E336" s="1">
        <f>Tabela5[[#This Row],[Força (N)]]/$I$5</f>
        <v>3503027.1900162185</v>
      </c>
      <c r="F336" s="1">
        <f>Tabela5[[#This Row],[Tensão (Pa)]]/1000000</f>
        <v>3.5030271900162187</v>
      </c>
    </row>
    <row r="337" spans="1:6" x14ac:dyDescent="0.3">
      <c r="A337" s="5">
        <v>39.933</v>
      </c>
      <c r="B337" s="5">
        <v>3.3197999999999999</v>
      </c>
      <c r="C337" s="1">
        <f>Tabela5[[#This Row],[Alongamento (mm/mm)]]/$I$2</f>
        <v>6.6395999999999997E-2</v>
      </c>
      <c r="D337" s="5">
        <v>148.33000000000001</v>
      </c>
      <c r="E337" s="1">
        <f>Tabela5[[#This Row],[Força (N)]]/$I$5</f>
        <v>3527282.7580958907</v>
      </c>
      <c r="F337" s="1">
        <f>Tabela5[[#This Row],[Tensão (Pa)]]/1000000</f>
        <v>3.5272827580958905</v>
      </c>
    </row>
    <row r="338" spans="1:6" x14ac:dyDescent="0.3">
      <c r="A338" s="5">
        <v>40</v>
      </c>
      <c r="B338" s="5">
        <v>3.3252999999999999</v>
      </c>
      <c r="C338" s="1">
        <f>Tabela5[[#This Row],[Alongamento (mm/mm)]]/$I$2</f>
        <v>6.6505999999999996E-2</v>
      </c>
      <c r="D338" s="5">
        <v>149.52000000000001</v>
      </c>
      <c r="E338" s="1">
        <f>Tabela5[[#This Row],[Força (N)]]/$I$5</f>
        <v>3555580.9208555087</v>
      </c>
      <c r="F338" s="1">
        <f>Tabela5[[#This Row],[Tensão (Pa)]]/1000000</f>
        <v>3.5555809208555087</v>
      </c>
    </row>
    <row r="339" spans="1:6" x14ac:dyDescent="0.3">
      <c r="A339" s="5">
        <v>40.067</v>
      </c>
      <c r="B339" s="5">
        <v>3.3308</v>
      </c>
      <c r="C339" s="1">
        <f>Tabela5[[#This Row],[Alongamento (mm/mm)]]/$I$2</f>
        <v>6.6615999999999995E-2</v>
      </c>
      <c r="D339" s="5">
        <v>150.71</v>
      </c>
      <c r="E339" s="1">
        <f>Tabela5[[#This Row],[Força (N)]]/$I$5</f>
        <v>3583879.0836151266</v>
      </c>
      <c r="F339" s="1">
        <f>Tabela5[[#This Row],[Tensão (Pa)]]/1000000</f>
        <v>3.5838790836151264</v>
      </c>
    </row>
    <row r="340" spans="1:6" x14ac:dyDescent="0.3">
      <c r="A340" s="5">
        <v>40.133000000000003</v>
      </c>
      <c r="B340" s="5">
        <v>3.3363999999999998</v>
      </c>
      <c r="C340" s="1">
        <f>Tabela5[[#This Row],[Alongamento (mm/mm)]]/$I$2</f>
        <v>6.6727999999999996E-2</v>
      </c>
      <c r="D340" s="5">
        <v>151.9</v>
      </c>
      <c r="E340" s="1">
        <f>Tabela5[[#This Row],[Força (N)]]/$I$5</f>
        <v>3612177.246374744</v>
      </c>
      <c r="F340" s="1">
        <f>Tabela5[[#This Row],[Tensão (Pa)]]/1000000</f>
        <v>3.6121772463747441</v>
      </c>
    </row>
    <row r="341" spans="1:6" x14ac:dyDescent="0.3">
      <c r="A341" s="5">
        <v>40.200000000000003</v>
      </c>
      <c r="B341" s="5">
        <v>3.3420000000000001</v>
      </c>
      <c r="C341" s="1">
        <f>Tabela5[[#This Row],[Alongamento (mm/mm)]]/$I$2</f>
        <v>6.6839999999999997E-2</v>
      </c>
      <c r="D341" s="5">
        <v>152.91999999999999</v>
      </c>
      <c r="E341" s="1">
        <f>Tabela5[[#This Row],[Força (N)]]/$I$5</f>
        <v>3636432.8144544163</v>
      </c>
      <c r="F341" s="1">
        <f>Tabela5[[#This Row],[Tensão (Pa)]]/1000000</f>
        <v>3.6364328144544165</v>
      </c>
    </row>
    <row r="342" spans="1:6" x14ac:dyDescent="0.3">
      <c r="A342" s="5">
        <v>40.267000000000003</v>
      </c>
      <c r="B342" s="5">
        <v>3.3475000000000001</v>
      </c>
      <c r="C342" s="1">
        <f>Tabela5[[#This Row],[Alongamento (mm/mm)]]/$I$2</f>
        <v>6.695000000000001E-2</v>
      </c>
      <c r="D342" s="5">
        <v>154.11000000000001</v>
      </c>
      <c r="E342" s="1">
        <f>Tabela5[[#This Row],[Força (N)]]/$I$5</f>
        <v>3664730.9772140346</v>
      </c>
      <c r="F342" s="1">
        <f>Tabela5[[#This Row],[Tensão (Pa)]]/1000000</f>
        <v>3.6647309772140346</v>
      </c>
    </row>
    <row r="343" spans="1:6" x14ac:dyDescent="0.3">
      <c r="A343" s="5">
        <v>40.332999999999998</v>
      </c>
      <c r="B343" s="5">
        <v>3.3531</v>
      </c>
      <c r="C343" s="1">
        <f>Tabela5[[#This Row],[Alongamento (mm/mm)]]/$I$2</f>
        <v>6.7061999999999997E-2</v>
      </c>
      <c r="D343" s="5">
        <v>155.30000000000001</v>
      </c>
      <c r="E343" s="1">
        <f>Tabela5[[#This Row],[Força (N)]]/$I$5</f>
        <v>3693029.1399736525</v>
      </c>
      <c r="F343" s="1">
        <f>Tabela5[[#This Row],[Tensão (Pa)]]/1000000</f>
        <v>3.6930291399736523</v>
      </c>
    </row>
    <row r="344" spans="1:6" x14ac:dyDescent="0.3">
      <c r="A344" s="5">
        <v>40.4</v>
      </c>
      <c r="B344" s="5">
        <v>3.3586</v>
      </c>
      <c r="C344" s="1">
        <f>Tabela5[[#This Row],[Alongamento (mm/mm)]]/$I$2</f>
        <v>6.7171999999999996E-2</v>
      </c>
      <c r="D344" s="5">
        <v>156.49</v>
      </c>
      <c r="E344" s="1">
        <f>Tabela5[[#This Row],[Força (N)]]/$I$5</f>
        <v>3721327.30273327</v>
      </c>
      <c r="F344" s="1">
        <f>Tabela5[[#This Row],[Tensão (Pa)]]/1000000</f>
        <v>3.7213273027332701</v>
      </c>
    </row>
    <row r="345" spans="1:6" x14ac:dyDescent="0.3">
      <c r="A345" s="5">
        <v>40.466999999999999</v>
      </c>
      <c r="B345" s="5">
        <v>3.3641000000000001</v>
      </c>
      <c r="C345" s="1">
        <f>Tabela5[[#This Row],[Alongamento (mm/mm)]]/$I$2</f>
        <v>6.7282000000000008E-2</v>
      </c>
      <c r="D345" s="5">
        <v>157.68</v>
      </c>
      <c r="E345" s="1">
        <f>Tabela5[[#This Row],[Força (N)]]/$I$5</f>
        <v>3749625.4654928879</v>
      </c>
      <c r="F345" s="1">
        <f>Tabela5[[#This Row],[Tensão (Pa)]]/1000000</f>
        <v>3.7496254654928878</v>
      </c>
    </row>
    <row r="346" spans="1:6" x14ac:dyDescent="0.3">
      <c r="A346" s="5">
        <v>40.533000000000001</v>
      </c>
      <c r="B346" s="5">
        <v>3.3696999999999999</v>
      </c>
      <c r="C346" s="1">
        <f>Tabela5[[#This Row],[Alongamento (mm/mm)]]/$I$2</f>
        <v>6.7393999999999996E-2</v>
      </c>
      <c r="D346" s="5">
        <v>158.87</v>
      </c>
      <c r="E346" s="1">
        <f>Tabela5[[#This Row],[Força (N)]]/$I$5</f>
        <v>3777923.6282525058</v>
      </c>
      <c r="F346" s="1">
        <f>Tabela5[[#This Row],[Tensão (Pa)]]/1000000</f>
        <v>3.7779236282525059</v>
      </c>
    </row>
    <row r="347" spans="1:6" x14ac:dyDescent="0.3">
      <c r="A347" s="5">
        <v>40.6</v>
      </c>
      <c r="B347" s="5">
        <v>3.3753000000000002</v>
      </c>
      <c r="C347" s="1">
        <f>Tabela5[[#This Row],[Alongamento (mm/mm)]]/$I$2</f>
        <v>6.750600000000001E-2</v>
      </c>
      <c r="D347" s="5">
        <v>160.06</v>
      </c>
      <c r="E347" s="1">
        <f>Tabela5[[#This Row],[Força (N)]]/$I$5</f>
        <v>3806221.7910121232</v>
      </c>
      <c r="F347" s="1">
        <f>Tabela5[[#This Row],[Tensão (Pa)]]/1000000</f>
        <v>3.8062217910121232</v>
      </c>
    </row>
    <row r="348" spans="1:6" x14ac:dyDescent="0.3">
      <c r="A348" s="5">
        <v>40.667000000000002</v>
      </c>
      <c r="B348" s="5">
        <v>3.3807999999999998</v>
      </c>
      <c r="C348" s="1">
        <f>Tabela5[[#This Row],[Alongamento (mm/mm)]]/$I$2</f>
        <v>6.7615999999999996E-2</v>
      </c>
      <c r="D348" s="5">
        <v>161.25</v>
      </c>
      <c r="E348" s="1">
        <f>Tabela5[[#This Row],[Força (N)]]/$I$5</f>
        <v>3834519.9537717411</v>
      </c>
      <c r="F348" s="1">
        <f>Tabela5[[#This Row],[Tensão (Pa)]]/1000000</f>
        <v>3.8345199537717409</v>
      </c>
    </row>
    <row r="349" spans="1:6" x14ac:dyDescent="0.3">
      <c r="A349" s="5">
        <v>40.732999999999997</v>
      </c>
      <c r="B349" s="5">
        <v>3.3864000000000001</v>
      </c>
      <c r="C349" s="1">
        <f>Tabela5[[#This Row],[Alongamento (mm/mm)]]/$I$2</f>
        <v>6.7727999999999997E-2</v>
      </c>
      <c r="D349" s="5">
        <v>162.44</v>
      </c>
      <c r="E349" s="1">
        <f>Tabela5[[#This Row],[Força (N)]]/$I$5</f>
        <v>3862818.116531359</v>
      </c>
      <c r="F349" s="1">
        <f>Tabela5[[#This Row],[Tensão (Pa)]]/1000000</f>
        <v>3.8628181165313591</v>
      </c>
    </row>
    <row r="350" spans="1:6" x14ac:dyDescent="0.3">
      <c r="A350" s="5">
        <v>40.783000000000001</v>
      </c>
      <c r="B350" s="5">
        <v>3.3906000000000001</v>
      </c>
      <c r="C350" s="1">
        <f>Tabela5[[#This Row],[Alongamento (mm/mm)]]/$I$2</f>
        <v>6.7811999999999997E-2</v>
      </c>
      <c r="D350" s="5">
        <v>163.46</v>
      </c>
      <c r="E350" s="1">
        <f>Tabela5[[#This Row],[Força (N)]]/$I$5</f>
        <v>3887073.6846110313</v>
      </c>
      <c r="F350" s="1">
        <f>Tabela5[[#This Row],[Tensão (Pa)]]/1000000</f>
        <v>3.8870736846110314</v>
      </c>
    </row>
    <row r="351" spans="1:6" x14ac:dyDescent="0.3">
      <c r="A351" s="5">
        <v>40.85</v>
      </c>
      <c r="B351" s="5">
        <v>3.3961999999999999</v>
      </c>
      <c r="C351" s="1">
        <f>Tabela5[[#This Row],[Alongamento (mm/mm)]]/$I$2</f>
        <v>6.7923999999999998E-2</v>
      </c>
      <c r="D351" s="5">
        <v>164.66</v>
      </c>
      <c r="E351" s="1">
        <f>Tabela5[[#This Row],[Força (N)]]/$I$5</f>
        <v>3915609.6470577046</v>
      </c>
      <c r="F351" s="1">
        <f>Tabela5[[#This Row],[Tensão (Pa)]]/1000000</f>
        <v>3.9156096470577046</v>
      </c>
    </row>
    <row r="352" spans="1:6" x14ac:dyDescent="0.3">
      <c r="A352" s="5">
        <v>40.917000000000002</v>
      </c>
      <c r="B352" s="5">
        <v>3.4016000000000002</v>
      </c>
      <c r="C352" s="1">
        <f>Tabela5[[#This Row],[Alongamento (mm/mm)]]/$I$2</f>
        <v>6.8032000000000009E-2</v>
      </c>
      <c r="D352" s="5">
        <v>165.85</v>
      </c>
      <c r="E352" s="1">
        <f>Tabela5[[#This Row],[Força (N)]]/$I$5</f>
        <v>3943907.8098173225</v>
      </c>
      <c r="F352" s="1">
        <f>Tabela5[[#This Row],[Tensão (Pa)]]/1000000</f>
        <v>3.9439078098173224</v>
      </c>
    </row>
    <row r="353" spans="1:6" x14ac:dyDescent="0.3">
      <c r="A353" s="5">
        <v>40.982999999999997</v>
      </c>
      <c r="B353" s="5">
        <v>3.4072</v>
      </c>
      <c r="C353" s="1">
        <f>Tabela5[[#This Row],[Alongamento (mm/mm)]]/$I$2</f>
        <v>6.8143999999999996E-2</v>
      </c>
      <c r="D353" s="5">
        <v>167.04</v>
      </c>
      <c r="E353" s="1">
        <f>Tabela5[[#This Row],[Força (N)]]/$I$5</f>
        <v>3972205.97257694</v>
      </c>
      <c r="F353" s="1">
        <f>Tabela5[[#This Row],[Tensão (Pa)]]/1000000</f>
        <v>3.9722059725769401</v>
      </c>
    </row>
    <row r="354" spans="1:6" x14ac:dyDescent="0.3">
      <c r="A354" s="5">
        <v>41.05</v>
      </c>
      <c r="B354" s="5">
        <v>3.4127999999999998</v>
      </c>
      <c r="C354" s="1">
        <f>Tabela5[[#This Row],[Alongamento (mm/mm)]]/$I$2</f>
        <v>6.8255999999999997E-2</v>
      </c>
      <c r="D354" s="5">
        <v>168.23</v>
      </c>
      <c r="E354" s="1">
        <f>Tabela5[[#This Row],[Força (N)]]/$I$5</f>
        <v>4000504.1353365579</v>
      </c>
      <c r="F354" s="1">
        <f>Tabela5[[#This Row],[Tensão (Pa)]]/1000000</f>
        <v>4.0005041353365582</v>
      </c>
    </row>
    <row r="355" spans="1:6" x14ac:dyDescent="0.3">
      <c r="A355" s="5">
        <v>41.1</v>
      </c>
      <c r="B355" s="5">
        <v>3.4169</v>
      </c>
      <c r="C355" s="1">
        <f>Tabela5[[#This Row],[Alongamento (mm/mm)]]/$I$2</f>
        <v>6.8337999999999996E-2</v>
      </c>
      <c r="D355" s="5">
        <v>169.25</v>
      </c>
      <c r="E355" s="1">
        <f>Tabela5[[#This Row],[Força (N)]]/$I$5</f>
        <v>4024759.7034162306</v>
      </c>
      <c r="F355" s="1">
        <f>Tabela5[[#This Row],[Tensão (Pa)]]/1000000</f>
        <v>4.0247597034162306</v>
      </c>
    </row>
    <row r="356" spans="1:6" x14ac:dyDescent="0.3">
      <c r="A356" s="5">
        <v>41.167000000000002</v>
      </c>
      <c r="B356" s="5">
        <v>3.4224999999999999</v>
      </c>
      <c r="C356" s="1">
        <f>Tabela5[[#This Row],[Alongamento (mm/mm)]]/$I$2</f>
        <v>6.8449999999999997E-2</v>
      </c>
      <c r="D356" s="5">
        <v>170.44</v>
      </c>
      <c r="E356" s="1">
        <f>Tabela5[[#This Row],[Força (N)]]/$I$5</f>
        <v>4053057.8661758485</v>
      </c>
      <c r="F356" s="1">
        <f>Tabela5[[#This Row],[Tensão (Pa)]]/1000000</f>
        <v>4.0530578661758483</v>
      </c>
    </row>
    <row r="357" spans="1:6" x14ac:dyDescent="0.3">
      <c r="A357" s="5">
        <v>41.232999999999997</v>
      </c>
      <c r="B357" s="5">
        <v>3.4281000000000001</v>
      </c>
      <c r="C357" s="1">
        <f>Tabela5[[#This Row],[Alongamento (mm/mm)]]/$I$2</f>
        <v>6.8561999999999998E-2</v>
      </c>
      <c r="D357" s="5">
        <v>171.63</v>
      </c>
      <c r="E357" s="1">
        <f>Tabela5[[#This Row],[Força (N)]]/$I$5</f>
        <v>4081356.028935466</v>
      </c>
      <c r="F357" s="1">
        <f>Tabela5[[#This Row],[Tensão (Pa)]]/1000000</f>
        <v>4.081356028935466</v>
      </c>
    </row>
    <row r="358" spans="1:6" x14ac:dyDescent="0.3">
      <c r="A358" s="5">
        <v>41.283000000000001</v>
      </c>
      <c r="B358" s="5">
        <v>3.4321999999999999</v>
      </c>
      <c r="C358" s="1">
        <f>Tabela5[[#This Row],[Alongamento (mm/mm)]]/$I$2</f>
        <v>6.8643999999999997E-2</v>
      </c>
      <c r="D358" s="5">
        <v>172.65</v>
      </c>
      <c r="E358" s="1">
        <f>Tabela5[[#This Row],[Força (N)]]/$I$5</f>
        <v>4105611.5970151387</v>
      </c>
      <c r="F358" s="1">
        <f>Tabela5[[#This Row],[Tensão (Pa)]]/1000000</f>
        <v>4.1056115970151383</v>
      </c>
    </row>
    <row r="359" spans="1:6" x14ac:dyDescent="0.3">
      <c r="A359" s="5">
        <v>41.35</v>
      </c>
      <c r="B359" s="5">
        <v>3.4378000000000002</v>
      </c>
      <c r="C359" s="1">
        <f>Tabela5[[#This Row],[Alongamento (mm/mm)]]/$I$2</f>
        <v>6.8755999999999998E-2</v>
      </c>
      <c r="D359" s="5">
        <v>173.84</v>
      </c>
      <c r="E359" s="1">
        <f>Tabela5[[#This Row],[Força (N)]]/$I$5</f>
        <v>4133909.7597747566</v>
      </c>
      <c r="F359" s="1">
        <f>Tabela5[[#This Row],[Tensão (Pa)]]/1000000</f>
        <v>4.1339097597747569</v>
      </c>
    </row>
    <row r="360" spans="1:6" x14ac:dyDescent="0.3">
      <c r="A360" s="5">
        <v>41.417000000000002</v>
      </c>
      <c r="B360" s="5">
        <v>3.4434</v>
      </c>
      <c r="C360" s="1">
        <f>Tabela5[[#This Row],[Alongamento (mm/mm)]]/$I$2</f>
        <v>6.8867999999999999E-2</v>
      </c>
      <c r="D360" s="5">
        <v>175.03</v>
      </c>
      <c r="E360" s="1">
        <f>Tabela5[[#This Row],[Força (N)]]/$I$5</f>
        <v>4162207.9225343741</v>
      </c>
      <c r="F360" s="1">
        <f>Tabela5[[#This Row],[Tensão (Pa)]]/1000000</f>
        <v>4.1622079225343738</v>
      </c>
    </row>
    <row r="361" spans="1:6" x14ac:dyDescent="0.3">
      <c r="A361" s="5">
        <v>41.482999999999997</v>
      </c>
      <c r="B361" s="5">
        <v>3.4489000000000001</v>
      </c>
      <c r="C361" s="1">
        <f>Tabela5[[#This Row],[Alongamento (mm/mm)]]/$I$2</f>
        <v>6.8977999999999998E-2</v>
      </c>
      <c r="D361" s="5">
        <v>176.39</v>
      </c>
      <c r="E361" s="1">
        <f>Tabela5[[#This Row],[Força (N)]]/$I$5</f>
        <v>4194548.6799739376</v>
      </c>
      <c r="F361" s="1">
        <f>Tabela5[[#This Row],[Tensão (Pa)]]/1000000</f>
        <v>4.1945486799739378</v>
      </c>
    </row>
    <row r="362" spans="1:6" x14ac:dyDescent="0.3">
      <c r="A362" s="5">
        <v>41.567</v>
      </c>
      <c r="B362" s="5">
        <v>3.4558</v>
      </c>
      <c r="C362" s="1">
        <f>Tabela5[[#This Row],[Alongamento (mm/mm)]]/$I$2</f>
        <v>6.9115999999999997E-2</v>
      </c>
      <c r="D362" s="5">
        <v>177.92</v>
      </c>
      <c r="E362" s="1">
        <f>Tabela5[[#This Row],[Força (N)]]/$I$5</f>
        <v>4230932.0320934458</v>
      </c>
      <c r="F362" s="1">
        <f>Tabela5[[#This Row],[Tensão (Pa)]]/1000000</f>
        <v>4.2309320320934454</v>
      </c>
    </row>
    <row r="363" spans="1:6" x14ac:dyDescent="0.3">
      <c r="A363" s="5">
        <v>41.633000000000003</v>
      </c>
      <c r="B363" s="5">
        <v>3.4613999999999998</v>
      </c>
      <c r="C363" s="1">
        <f>Tabela5[[#This Row],[Alongamento (mm/mm)]]/$I$2</f>
        <v>6.9227999999999998E-2</v>
      </c>
      <c r="D363" s="5">
        <v>179.28</v>
      </c>
      <c r="E363" s="1">
        <f>Tabela5[[#This Row],[Força (N)]]/$I$5</f>
        <v>4263272.7895330098</v>
      </c>
      <c r="F363" s="1">
        <f>Tabela5[[#This Row],[Tensão (Pa)]]/1000000</f>
        <v>4.2632727895330094</v>
      </c>
    </row>
    <row r="364" spans="1:6" x14ac:dyDescent="0.3">
      <c r="A364" s="5">
        <v>41.716999999999999</v>
      </c>
      <c r="B364" s="5">
        <v>3.4683999999999999</v>
      </c>
      <c r="C364" s="1">
        <f>Tabela5[[#This Row],[Alongamento (mm/mm)]]/$I$2</f>
        <v>6.9367999999999999E-2</v>
      </c>
      <c r="D364" s="5">
        <v>180.82</v>
      </c>
      <c r="E364" s="1">
        <f>Tabela5[[#This Row],[Força (N)]]/$I$5</f>
        <v>4299893.9413395729</v>
      </c>
      <c r="F364" s="1">
        <f>Tabela5[[#This Row],[Tensão (Pa)]]/1000000</f>
        <v>4.2998939413395725</v>
      </c>
    </row>
    <row r="365" spans="1:6" x14ac:dyDescent="0.3">
      <c r="A365" s="5">
        <v>41.783000000000001</v>
      </c>
      <c r="B365" s="5">
        <v>3.4739</v>
      </c>
      <c r="C365" s="1">
        <f>Tabela5[[#This Row],[Alongamento (mm/mm)]]/$I$2</f>
        <v>6.9477999999999998E-2</v>
      </c>
      <c r="D365" s="5">
        <v>182.18</v>
      </c>
      <c r="E365" s="1">
        <f>Tabela5[[#This Row],[Força (N)]]/$I$5</f>
        <v>4332234.6987791369</v>
      </c>
      <c r="F365" s="1">
        <f>Tabela5[[#This Row],[Tensão (Pa)]]/1000000</f>
        <v>4.3322346987791365</v>
      </c>
    </row>
    <row r="366" spans="1:6" x14ac:dyDescent="0.3">
      <c r="A366" s="5">
        <v>41.85</v>
      </c>
      <c r="B366" s="5">
        <v>3.4794</v>
      </c>
      <c r="C366" s="1">
        <f>Tabela5[[#This Row],[Alongamento (mm/mm)]]/$I$2</f>
        <v>6.9587999999999997E-2</v>
      </c>
      <c r="D366" s="5">
        <v>183.54</v>
      </c>
      <c r="E366" s="1">
        <f>Tabela5[[#This Row],[Força (N)]]/$I$5</f>
        <v>4364575.4562186999</v>
      </c>
      <c r="F366" s="1">
        <f>Tabela5[[#This Row],[Tensão (Pa)]]/1000000</f>
        <v>4.3645754562186996</v>
      </c>
    </row>
    <row r="367" spans="1:6" x14ac:dyDescent="0.3">
      <c r="A367" s="5">
        <v>41.933</v>
      </c>
      <c r="B367" s="5">
        <v>3.4864000000000002</v>
      </c>
      <c r="C367" s="1">
        <f>Tabela5[[#This Row],[Alongamento (mm/mm)]]/$I$2</f>
        <v>6.9727999999999998E-2</v>
      </c>
      <c r="D367" s="5">
        <v>185.07</v>
      </c>
      <c r="E367" s="1">
        <f>Tabela5[[#This Row],[Força (N)]]/$I$5</f>
        <v>4400958.8083382081</v>
      </c>
      <c r="F367" s="1">
        <f>Tabela5[[#This Row],[Tensão (Pa)]]/1000000</f>
        <v>4.4009588083382081</v>
      </c>
    </row>
    <row r="368" spans="1:6" x14ac:dyDescent="0.3">
      <c r="A368" s="5">
        <v>42</v>
      </c>
      <c r="B368" s="5">
        <v>3.492</v>
      </c>
      <c r="C368" s="1">
        <f>Tabela5[[#This Row],[Alongamento (mm/mm)]]/$I$2</f>
        <v>6.9839999999999999E-2</v>
      </c>
      <c r="D368" s="5">
        <v>186.6</v>
      </c>
      <c r="E368" s="1">
        <f>Tabela5[[#This Row],[Força (N)]]/$I$5</f>
        <v>4437342.1604577173</v>
      </c>
      <c r="F368" s="1">
        <f>Tabela5[[#This Row],[Tensão (Pa)]]/1000000</f>
        <v>4.4373421604577175</v>
      </c>
    </row>
    <row r="369" spans="1:6" x14ac:dyDescent="0.3">
      <c r="A369" s="5">
        <v>42.082999999999998</v>
      </c>
      <c r="B369" s="5">
        <v>3.4988999999999999</v>
      </c>
      <c r="C369" s="1">
        <f>Tabela5[[#This Row],[Alongamento (mm/mm)]]/$I$2</f>
        <v>6.9977999999999999E-2</v>
      </c>
      <c r="D369" s="5">
        <v>188.13</v>
      </c>
      <c r="E369" s="1">
        <f>Tabela5[[#This Row],[Força (N)]]/$I$5</f>
        <v>4473725.5125772255</v>
      </c>
      <c r="F369" s="1">
        <f>Tabela5[[#This Row],[Tensão (Pa)]]/1000000</f>
        <v>4.4737255125772251</v>
      </c>
    </row>
    <row r="370" spans="1:6" x14ac:dyDescent="0.3">
      <c r="A370" s="5">
        <v>42.15</v>
      </c>
      <c r="B370" s="5">
        <v>3.5045000000000002</v>
      </c>
      <c r="C370" s="1">
        <f>Tabela5[[#This Row],[Alongamento (mm/mm)]]/$I$2</f>
        <v>7.009E-2</v>
      </c>
      <c r="D370" s="5">
        <v>189.66</v>
      </c>
      <c r="E370" s="1">
        <f>Tabela5[[#This Row],[Força (N)]]/$I$5</f>
        <v>4510108.8646967346</v>
      </c>
      <c r="F370" s="1">
        <f>Tabela5[[#This Row],[Tensão (Pa)]]/1000000</f>
        <v>4.5101088646967344</v>
      </c>
    </row>
    <row r="371" spans="1:6" x14ac:dyDescent="0.3">
      <c r="A371" s="5">
        <v>42.232999999999997</v>
      </c>
      <c r="B371" s="5">
        <v>3.5114000000000001</v>
      </c>
      <c r="C371" s="1">
        <f>Tabela5[[#This Row],[Alongamento (mm/mm)]]/$I$2</f>
        <v>7.0227999999999999E-2</v>
      </c>
      <c r="D371" s="5">
        <v>191.19</v>
      </c>
      <c r="E371" s="1">
        <f>Tabela5[[#This Row],[Força (N)]]/$I$5</f>
        <v>4546492.2168162428</v>
      </c>
      <c r="F371" s="1">
        <f>Tabela5[[#This Row],[Tensão (Pa)]]/1000000</f>
        <v>4.5464922168162429</v>
      </c>
    </row>
    <row r="372" spans="1:6" x14ac:dyDescent="0.3">
      <c r="A372" s="5">
        <v>42.3</v>
      </c>
      <c r="B372" s="5">
        <v>3.5169000000000001</v>
      </c>
      <c r="C372" s="1">
        <f>Tabela5[[#This Row],[Alongamento (mm/mm)]]/$I$2</f>
        <v>7.0337999999999998E-2</v>
      </c>
      <c r="D372" s="5">
        <v>192.55</v>
      </c>
      <c r="E372" s="1">
        <f>Tabela5[[#This Row],[Força (N)]]/$I$5</f>
        <v>4578832.9742558068</v>
      </c>
      <c r="F372" s="1">
        <f>Tabela5[[#This Row],[Tensão (Pa)]]/1000000</f>
        <v>4.5788329742558069</v>
      </c>
    </row>
    <row r="373" spans="1:6" x14ac:dyDescent="0.3">
      <c r="A373" s="5">
        <v>42.366999999999997</v>
      </c>
      <c r="B373" s="5">
        <v>3.5225</v>
      </c>
      <c r="C373" s="1">
        <f>Tabela5[[#This Row],[Alongamento (mm/mm)]]/$I$2</f>
        <v>7.0449999999999999E-2</v>
      </c>
      <c r="D373" s="5">
        <v>194.08</v>
      </c>
      <c r="E373" s="1">
        <f>Tabela5[[#This Row],[Força (N)]]/$I$5</f>
        <v>4615216.326375315</v>
      </c>
      <c r="F373" s="1">
        <f>Tabela5[[#This Row],[Tensão (Pa)]]/1000000</f>
        <v>4.6152163263753145</v>
      </c>
    </row>
    <row r="374" spans="1:6" x14ac:dyDescent="0.3">
      <c r="A374" s="5">
        <v>42.45</v>
      </c>
      <c r="B374" s="5">
        <v>3.5295000000000001</v>
      </c>
      <c r="C374" s="1">
        <f>Tabela5[[#This Row],[Alongamento (mm/mm)]]/$I$2</f>
        <v>7.059E-2</v>
      </c>
      <c r="D374" s="5">
        <v>195.61</v>
      </c>
      <c r="E374" s="1">
        <f>Tabela5[[#This Row],[Força (N)]]/$I$5</f>
        <v>4651599.6784948241</v>
      </c>
      <c r="F374" s="1">
        <f>Tabela5[[#This Row],[Tensão (Pa)]]/1000000</f>
        <v>4.6515996784948239</v>
      </c>
    </row>
    <row r="375" spans="1:6" x14ac:dyDescent="0.3">
      <c r="A375" s="5">
        <v>42.517000000000003</v>
      </c>
      <c r="B375" s="5">
        <v>3.5350000000000001</v>
      </c>
      <c r="C375" s="1">
        <f>Tabela5[[#This Row],[Alongamento (mm/mm)]]/$I$2</f>
        <v>7.0699999999999999E-2</v>
      </c>
      <c r="D375" s="5">
        <v>196.97</v>
      </c>
      <c r="E375" s="1">
        <f>Tabela5[[#This Row],[Força (N)]]/$I$5</f>
        <v>4683940.4359343862</v>
      </c>
      <c r="F375" s="1">
        <f>Tabela5[[#This Row],[Tensão (Pa)]]/1000000</f>
        <v>4.6839404359343861</v>
      </c>
    </row>
    <row r="376" spans="1:6" x14ac:dyDescent="0.3">
      <c r="A376" s="5">
        <v>42.582999999999998</v>
      </c>
      <c r="B376" s="5">
        <v>3.5406</v>
      </c>
      <c r="C376" s="1">
        <f>Tabela5[[#This Row],[Alongamento (mm/mm)]]/$I$2</f>
        <v>7.0812E-2</v>
      </c>
      <c r="D376" s="5">
        <v>198.34</v>
      </c>
      <c r="E376" s="1">
        <f>Tabela5[[#This Row],[Força (N)]]/$I$5</f>
        <v>4716518.9930610051</v>
      </c>
      <c r="F376" s="1">
        <f>Tabela5[[#This Row],[Tensão (Pa)]]/1000000</f>
        <v>4.7165189930610047</v>
      </c>
    </row>
    <row r="377" spans="1:6" x14ac:dyDescent="0.3">
      <c r="A377" s="5">
        <v>42.65</v>
      </c>
      <c r="B377" s="5">
        <v>3.5461999999999998</v>
      </c>
      <c r="C377" s="1">
        <f>Tabela5[[#This Row],[Alongamento (mm/mm)]]/$I$2</f>
        <v>7.0924000000000001E-2</v>
      </c>
      <c r="D377" s="5">
        <v>199.7</v>
      </c>
      <c r="E377" s="1">
        <f>Tabela5[[#This Row],[Força (N)]]/$I$5</f>
        <v>4748859.7505005682</v>
      </c>
      <c r="F377" s="1">
        <f>Tabela5[[#This Row],[Tensão (Pa)]]/1000000</f>
        <v>4.7488597505005679</v>
      </c>
    </row>
    <row r="378" spans="1:6" x14ac:dyDescent="0.3">
      <c r="A378" s="5">
        <v>42.716999999999999</v>
      </c>
      <c r="B378" s="5">
        <v>3.5516999999999999</v>
      </c>
      <c r="C378" s="1">
        <f>Tabela5[[#This Row],[Alongamento (mm/mm)]]/$I$2</f>
        <v>7.1034E-2</v>
      </c>
      <c r="D378" s="5">
        <v>201.06</v>
      </c>
      <c r="E378" s="1">
        <f>Tabela5[[#This Row],[Força (N)]]/$I$5</f>
        <v>4781200.5079401322</v>
      </c>
      <c r="F378" s="1">
        <f>Tabela5[[#This Row],[Tensão (Pa)]]/1000000</f>
        <v>4.7812005079401318</v>
      </c>
    </row>
    <row r="379" spans="1:6" x14ac:dyDescent="0.3">
      <c r="A379" s="5">
        <v>42.783000000000001</v>
      </c>
      <c r="B379" s="5">
        <v>3.5571999999999999</v>
      </c>
      <c r="C379" s="1">
        <f>Tabela5[[#This Row],[Alongamento (mm/mm)]]/$I$2</f>
        <v>7.1143999999999999E-2</v>
      </c>
      <c r="D379" s="5">
        <v>202.42</v>
      </c>
      <c r="E379" s="1">
        <f>Tabela5[[#This Row],[Força (N)]]/$I$5</f>
        <v>4813541.2653796952</v>
      </c>
      <c r="F379" s="1">
        <f>Tabela5[[#This Row],[Tensão (Pa)]]/1000000</f>
        <v>4.813541265379695</v>
      </c>
    </row>
    <row r="380" spans="1:6" x14ac:dyDescent="0.3">
      <c r="A380" s="5">
        <v>42.85</v>
      </c>
      <c r="B380" s="5">
        <v>3.5628000000000002</v>
      </c>
      <c r="C380" s="1">
        <f>Tabela5[[#This Row],[Alongamento (mm/mm)]]/$I$2</f>
        <v>7.1256E-2</v>
      </c>
      <c r="D380" s="5">
        <v>203.95</v>
      </c>
      <c r="E380" s="1">
        <f>Tabela5[[#This Row],[Força (N)]]/$I$5</f>
        <v>4849924.6174992034</v>
      </c>
      <c r="F380" s="1">
        <f>Tabela5[[#This Row],[Tensão (Pa)]]/1000000</f>
        <v>4.8499246174992034</v>
      </c>
    </row>
    <row r="381" spans="1:6" x14ac:dyDescent="0.3">
      <c r="A381" s="5">
        <v>42.917000000000002</v>
      </c>
      <c r="B381" s="5">
        <v>3.5684</v>
      </c>
      <c r="C381" s="1">
        <f>Tabela5[[#This Row],[Alongamento (mm/mm)]]/$I$2</f>
        <v>7.1368000000000001E-2</v>
      </c>
      <c r="D381" s="5">
        <v>205.31</v>
      </c>
      <c r="E381" s="1">
        <f>Tabela5[[#This Row],[Força (N)]]/$I$5</f>
        <v>4882265.3749387674</v>
      </c>
      <c r="F381" s="1">
        <f>Tabela5[[#This Row],[Tensão (Pa)]]/1000000</f>
        <v>4.8822653749387674</v>
      </c>
    </row>
    <row r="382" spans="1:6" x14ac:dyDescent="0.3">
      <c r="A382" s="5">
        <v>42.982999999999997</v>
      </c>
      <c r="B382" s="5">
        <v>3.5739000000000001</v>
      </c>
      <c r="C382" s="1">
        <f>Tabela5[[#This Row],[Alongamento (mm/mm)]]/$I$2</f>
        <v>7.1478E-2</v>
      </c>
      <c r="D382" s="5">
        <v>206.67</v>
      </c>
      <c r="E382" s="1">
        <f>Tabela5[[#This Row],[Força (N)]]/$I$5</f>
        <v>4914606.1323783295</v>
      </c>
      <c r="F382" s="1">
        <f>Tabela5[[#This Row],[Tensão (Pa)]]/1000000</f>
        <v>4.9146061323783297</v>
      </c>
    </row>
    <row r="383" spans="1:6" x14ac:dyDescent="0.3">
      <c r="A383" s="5">
        <v>43.05</v>
      </c>
      <c r="B383" s="5">
        <v>3.5794999999999999</v>
      </c>
      <c r="C383" s="1">
        <f>Tabela5[[#This Row],[Alongamento (mm/mm)]]/$I$2</f>
        <v>7.1590000000000001E-2</v>
      </c>
      <c r="D383" s="5">
        <v>208.03</v>
      </c>
      <c r="E383" s="1">
        <f>Tabela5[[#This Row],[Força (N)]]/$I$5</f>
        <v>4946946.8898178935</v>
      </c>
      <c r="F383" s="1">
        <f>Tabela5[[#This Row],[Tensão (Pa)]]/1000000</f>
        <v>4.9469468898178937</v>
      </c>
    </row>
    <row r="384" spans="1:6" x14ac:dyDescent="0.3">
      <c r="A384" s="5">
        <v>43.116999999999997</v>
      </c>
      <c r="B384" s="5">
        <v>3.5851000000000002</v>
      </c>
      <c r="C384" s="1">
        <f>Tabela5[[#This Row],[Alongamento (mm/mm)]]/$I$2</f>
        <v>7.1702000000000002E-2</v>
      </c>
      <c r="D384" s="5">
        <v>209.56</v>
      </c>
      <c r="E384" s="1">
        <f>Tabela5[[#This Row],[Força (N)]]/$I$5</f>
        <v>4983330.2419374017</v>
      </c>
      <c r="F384" s="1">
        <f>Tabela5[[#This Row],[Tensão (Pa)]]/1000000</f>
        <v>4.9833302419374013</v>
      </c>
    </row>
    <row r="385" spans="1:6" x14ac:dyDescent="0.3">
      <c r="A385" s="5">
        <v>43.183</v>
      </c>
      <c r="B385" s="5">
        <v>3.5905</v>
      </c>
      <c r="C385" s="1">
        <f>Tabela5[[#This Row],[Alongamento (mm/mm)]]/$I$2</f>
        <v>7.1809999999999999E-2</v>
      </c>
      <c r="D385" s="5">
        <v>210.92</v>
      </c>
      <c r="E385" s="1">
        <f>Tabela5[[#This Row],[Força (N)]]/$I$5</f>
        <v>5015670.9993769648</v>
      </c>
      <c r="F385" s="1">
        <f>Tabela5[[#This Row],[Tensão (Pa)]]/1000000</f>
        <v>5.0156709993769644</v>
      </c>
    </row>
    <row r="386" spans="1:6" x14ac:dyDescent="0.3">
      <c r="A386" s="5">
        <v>43.25</v>
      </c>
      <c r="B386" s="5">
        <v>3.5960000000000001</v>
      </c>
      <c r="C386" s="1">
        <f>Tabela5[[#This Row],[Alongamento (mm/mm)]]/$I$2</f>
        <v>7.1919999999999998E-2</v>
      </c>
      <c r="D386" s="5">
        <v>212.28</v>
      </c>
      <c r="E386" s="1">
        <f>Tabela5[[#This Row],[Força (N)]]/$I$5</f>
        <v>5048011.7568165287</v>
      </c>
      <c r="F386" s="1">
        <f>Tabela5[[#This Row],[Tensão (Pa)]]/1000000</f>
        <v>5.0480117568165284</v>
      </c>
    </row>
    <row r="387" spans="1:6" x14ac:dyDescent="0.3">
      <c r="A387" s="5">
        <v>43.317</v>
      </c>
      <c r="B387" s="5">
        <v>3.6015999999999999</v>
      </c>
      <c r="C387" s="1">
        <f>Tabela5[[#This Row],[Alongamento (mm/mm)]]/$I$2</f>
        <v>7.2031999999999999E-2</v>
      </c>
      <c r="D387" s="5">
        <v>213.81</v>
      </c>
      <c r="E387" s="1">
        <f>Tabela5[[#This Row],[Força (N)]]/$I$5</f>
        <v>5084395.1089360369</v>
      </c>
      <c r="F387" s="1">
        <f>Tabela5[[#This Row],[Tensão (Pa)]]/1000000</f>
        <v>5.0843951089360369</v>
      </c>
    </row>
    <row r="388" spans="1:6" x14ac:dyDescent="0.3">
      <c r="A388" s="5">
        <v>43.383000000000003</v>
      </c>
      <c r="B388" s="5">
        <v>3.6072000000000002</v>
      </c>
      <c r="C388" s="1">
        <f>Tabela5[[#This Row],[Alongamento (mm/mm)]]/$I$2</f>
        <v>7.2144E-2</v>
      </c>
      <c r="D388" s="5">
        <v>215.18</v>
      </c>
      <c r="E388" s="1">
        <f>Tabela5[[#This Row],[Força (N)]]/$I$5</f>
        <v>5116973.6660626559</v>
      </c>
      <c r="F388" s="1">
        <f>Tabela5[[#This Row],[Tensão (Pa)]]/1000000</f>
        <v>5.1169736660626555</v>
      </c>
    </row>
    <row r="389" spans="1:6" x14ac:dyDescent="0.3">
      <c r="A389" s="5">
        <v>43.45</v>
      </c>
      <c r="B389" s="5">
        <v>3.6126999999999998</v>
      </c>
      <c r="C389" s="1">
        <f>Tabela5[[#This Row],[Alongamento (mm/mm)]]/$I$2</f>
        <v>7.2253999999999999E-2</v>
      </c>
      <c r="D389" s="5">
        <v>216.71</v>
      </c>
      <c r="E389" s="1">
        <f>Tabela5[[#This Row],[Força (N)]]/$I$5</f>
        <v>5153357.018182165</v>
      </c>
      <c r="F389" s="1">
        <f>Tabela5[[#This Row],[Tensão (Pa)]]/1000000</f>
        <v>5.1533570181821649</v>
      </c>
    </row>
    <row r="390" spans="1:6" x14ac:dyDescent="0.3">
      <c r="A390" s="5">
        <v>43.517000000000003</v>
      </c>
      <c r="B390" s="5">
        <v>3.6183999999999998</v>
      </c>
      <c r="C390" s="1">
        <f>Tabela5[[#This Row],[Alongamento (mm/mm)]]/$I$2</f>
        <v>7.2368000000000002E-2</v>
      </c>
      <c r="D390" s="5">
        <v>218.24</v>
      </c>
      <c r="E390" s="1">
        <f>Tabela5[[#This Row],[Força (N)]]/$I$5</f>
        <v>5189740.3703016732</v>
      </c>
      <c r="F390" s="1">
        <f>Tabela5[[#This Row],[Tensão (Pa)]]/1000000</f>
        <v>5.1897403703016733</v>
      </c>
    </row>
    <row r="391" spans="1:6" x14ac:dyDescent="0.3">
      <c r="A391" s="5">
        <v>43.6</v>
      </c>
      <c r="B391" s="5">
        <v>3.6254</v>
      </c>
      <c r="C391" s="1">
        <f>Tabela5[[#This Row],[Alongamento (mm/mm)]]/$I$2</f>
        <v>7.2508000000000003E-2</v>
      </c>
      <c r="D391" s="5">
        <v>219.94</v>
      </c>
      <c r="E391" s="1">
        <f>Tabela5[[#This Row],[Força (N)]]/$I$5</f>
        <v>5230166.3171011275</v>
      </c>
      <c r="F391" s="1">
        <f>Tabela5[[#This Row],[Tensão (Pa)]]/1000000</f>
        <v>5.2301663171011272</v>
      </c>
    </row>
    <row r="392" spans="1:6" x14ac:dyDescent="0.3">
      <c r="A392" s="5">
        <v>43.683</v>
      </c>
      <c r="B392" s="5">
        <v>3.6322000000000001</v>
      </c>
      <c r="C392" s="1">
        <f>Tabela5[[#This Row],[Alongamento (mm/mm)]]/$I$2</f>
        <v>7.2644E-2</v>
      </c>
      <c r="D392" s="5">
        <v>221.81</v>
      </c>
      <c r="E392" s="1">
        <f>Tabela5[[#This Row],[Força (N)]]/$I$5</f>
        <v>5274634.8585805269</v>
      </c>
      <c r="F392" s="1">
        <f>Tabela5[[#This Row],[Tensão (Pa)]]/1000000</f>
        <v>5.2746348585805265</v>
      </c>
    </row>
    <row r="393" spans="1:6" x14ac:dyDescent="0.3">
      <c r="A393" s="5">
        <v>43.767000000000003</v>
      </c>
      <c r="B393" s="5">
        <v>3.6392000000000002</v>
      </c>
      <c r="C393" s="1">
        <f>Tabela5[[#This Row],[Alongamento (mm/mm)]]/$I$2</f>
        <v>7.2784000000000001E-2</v>
      </c>
      <c r="D393" s="5">
        <v>223.68</v>
      </c>
      <c r="E393" s="1">
        <f>Tabela5[[#This Row],[Força (N)]]/$I$5</f>
        <v>5319103.4000599263</v>
      </c>
      <c r="F393" s="1">
        <f>Tabela5[[#This Row],[Tensão (Pa)]]/1000000</f>
        <v>5.3191034000599267</v>
      </c>
    </row>
    <row r="394" spans="1:6" x14ac:dyDescent="0.3">
      <c r="A394" s="5">
        <v>43.85</v>
      </c>
      <c r="B394" s="5">
        <v>3.6461999999999999</v>
      </c>
      <c r="C394" s="1">
        <f>Tabela5[[#This Row],[Alongamento (mm/mm)]]/$I$2</f>
        <v>7.2924000000000003E-2</v>
      </c>
      <c r="D394" s="5">
        <v>225.55</v>
      </c>
      <c r="E394" s="1">
        <f>Tabela5[[#This Row],[Força (N)]]/$I$5</f>
        <v>5363571.9415393258</v>
      </c>
      <c r="F394" s="1">
        <f>Tabela5[[#This Row],[Tensão (Pa)]]/1000000</f>
        <v>5.3635719415393259</v>
      </c>
    </row>
    <row r="395" spans="1:6" x14ac:dyDescent="0.3">
      <c r="A395" s="5">
        <v>43.933</v>
      </c>
      <c r="B395" s="5">
        <v>3.653</v>
      </c>
      <c r="C395" s="1">
        <f>Tabela5[[#This Row],[Alongamento (mm/mm)]]/$I$2</f>
        <v>7.306E-2</v>
      </c>
      <c r="D395" s="5">
        <v>227.42</v>
      </c>
      <c r="E395" s="1">
        <f>Tabela5[[#This Row],[Força (N)]]/$I$5</f>
        <v>5408040.4830187242</v>
      </c>
      <c r="F395" s="1">
        <f>Tabela5[[#This Row],[Tensão (Pa)]]/1000000</f>
        <v>5.4080404830187243</v>
      </c>
    </row>
    <row r="396" spans="1:6" x14ac:dyDescent="0.3">
      <c r="A396" s="5">
        <v>44.017000000000003</v>
      </c>
      <c r="B396" s="5">
        <v>3.66</v>
      </c>
      <c r="C396" s="1">
        <f>Tabela5[[#This Row],[Alongamento (mm/mm)]]/$I$2</f>
        <v>7.3200000000000001E-2</v>
      </c>
      <c r="D396" s="5">
        <v>229.29</v>
      </c>
      <c r="E396" s="1">
        <f>Tabela5[[#This Row],[Força (N)]]/$I$5</f>
        <v>5452509.0244981237</v>
      </c>
      <c r="F396" s="1">
        <f>Tabela5[[#This Row],[Tensão (Pa)]]/1000000</f>
        <v>5.4525090244981236</v>
      </c>
    </row>
    <row r="397" spans="1:6" x14ac:dyDescent="0.3">
      <c r="A397" s="5">
        <v>44.1</v>
      </c>
      <c r="B397" s="5">
        <v>3.6669999999999998</v>
      </c>
      <c r="C397" s="1">
        <f>Tabela5[[#This Row],[Alongamento (mm/mm)]]/$I$2</f>
        <v>7.3340000000000002E-2</v>
      </c>
      <c r="D397" s="5">
        <v>231.33</v>
      </c>
      <c r="E397" s="1">
        <f>Tabela5[[#This Row],[Força (N)]]/$I$5</f>
        <v>5501020.1606574692</v>
      </c>
      <c r="F397" s="1">
        <f>Tabela5[[#This Row],[Tensão (Pa)]]/1000000</f>
        <v>5.5010201606574691</v>
      </c>
    </row>
    <row r="398" spans="1:6" x14ac:dyDescent="0.3">
      <c r="A398" s="5">
        <v>44.183</v>
      </c>
      <c r="B398" s="5">
        <v>3.6738</v>
      </c>
      <c r="C398" s="1">
        <f>Tabela5[[#This Row],[Alongamento (mm/mm)]]/$I$2</f>
        <v>7.3476E-2</v>
      </c>
      <c r="D398" s="5">
        <v>233.21</v>
      </c>
      <c r="E398" s="1">
        <f>Tabela5[[#This Row],[Força (N)]]/$I$5</f>
        <v>5545726.5018239245</v>
      </c>
      <c r="F398" s="1">
        <f>Tabela5[[#This Row],[Tensão (Pa)]]/1000000</f>
        <v>5.5457265018239248</v>
      </c>
    </row>
    <row r="399" spans="1:6" x14ac:dyDescent="0.3">
      <c r="A399" s="5">
        <v>44.267000000000003</v>
      </c>
      <c r="B399" s="5">
        <v>3.6808000000000001</v>
      </c>
      <c r="C399" s="1">
        <f>Tabela5[[#This Row],[Alongamento (mm/mm)]]/$I$2</f>
        <v>7.3616000000000001E-2</v>
      </c>
      <c r="D399" s="5">
        <v>235.08</v>
      </c>
      <c r="E399" s="1">
        <f>Tabela5[[#This Row],[Força (N)]]/$I$5</f>
        <v>5590195.0433033239</v>
      </c>
      <c r="F399" s="1">
        <f>Tabela5[[#This Row],[Tensão (Pa)]]/1000000</f>
        <v>5.5901950433033241</v>
      </c>
    </row>
    <row r="400" spans="1:6" x14ac:dyDescent="0.3">
      <c r="A400" s="5">
        <v>44.332999999999998</v>
      </c>
      <c r="B400" s="5">
        <v>3.6863999999999999</v>
      </c>
      <c r="C400" s="1">
        <f>Tabela5[[#This Row],[Alongamento (mm/mm)]]/$I$2</f>
        <v>7.3728000000000002E-2</v>
      </c>
      <c r="D400" s="5">
        <v>236.78</v>
      </c>
      <c r="E400" s="1">
        <f>Tabela5[[#This Row],[Força (N)]]/$I$5</f>
        <v>5630620.9901027773</v>
      </c>
      <c r="F400" s="1">
        <f>Tabela5[[#This Row],[Tensão (Pa)]]/1000000</f>
        <v>5.6306209901027771</v>
      </c>
    </row>
    <row r="401" spans="1:6" x14ac:dyDescent="0.3">
      <c r="A401" s="5">
        <v>44.417000000000002</v>
      </c>
      <c r="B401" s="5">
        <v>3.6934</v>
      </c>
      <c r="C401" s="1">
        <f>Tabela5[[#This Row],[Alongamento (mm/mm)]]/$I$2</f>
        <v>7.3868000000000003E-2</v>
      </c>
      <c r="D401" s="5">
        <v>238.65</v>
      </c>
      <c r="E401" s="1">
        <f>Tabela5[[#This Row],[Força (N)]]/$I$5</f>
        <v>5675089.5315821767</v>
      </c>
      <c r="F401" s="1">
        <f>Tabela5[[#This Row],[Tensão (Pa)]]/1000000</f>
        <v>5.6750895315821763</v>
      </c>
    </row>
    <row r="402" spans="1:6" x14ac:dyDescent="0.3">
      <c r="A402" s="5">
        <v>44.5</v>
      </c>
      <c r="B402" s="5">
        <v>3.7002999999999999</v>
      </c>
      <c r="C402" s="1">
        <f>Tabela5[[#This Row],[Alongamento (mm/mm)]]/$I$2</f>
        <v>7.4006000000000002E-2</v>
      </c>
      <c r="D402" s="5">
        <v>240.52</v>
      </c>
      <c r="E402" s="1">
        <f>Tabela5[[#This Row],[Força (N)]]/$I$5</f>
        <v>5719558.0730615761</v>
      </c>
      <c r="F402" s="1">
        <f>Tabela5[[#This Row],[Tensão (Pa)]]/1000000</f>
        <v>5.7195580730615765</v>
      </c>
    </row>
    <row r="403" spans="1:6" x14ac:dyDescent="0.3">
      <c r="A403" s="5">
        <v>44.567</v>
      </c>
      <c r="B403" s="5">
        <v>3.7058</v>
      </c>
      <c r="C403" s="1">
        <f>Tabela5[[#This Row],[Alongamento (mm/mm)]]/$I$2</f>
        <v>7.4116000000000001E-2</v>
      </c>
      <c r="D403" s="5">
        <v>242.22</v>
      </c>
      <c r="E403" s="1">
        <f>Tabela5[[#This Row],[Força (N)]]/$I$5</f>
        <v>5759984.0198610304</v>
      </c>
      <c r="F403" s="1">
        <f>Tabela5[[#This Row],[Tensão (Pa)]]/1000000</f>
        <v>5.7599840198610304</v>
      </c>
    </row>
    <row r="404" spans="1:6" x14ac:dyDescent="0.3">
      <c r="A404" s="5">
        <v>44.65</v>
      </c>
      <c r="B404" s="5">
        <v>3.7128000000000001</v>
      </c>
      <c r="C404" s="1">
        <f>Tabela5[[#This Row],[Alongamento (mm/mm)]]/$I$2</f>
        <v>7.4256000000000003E-2</v>
      </c>
      <c r="D404" s="5">
        <v>244.09</v>
      </c>
      <c r="E404" s="1">
        <f>Tabela5[[#This Row],[Força (N)]]/$I$5</f>
        <v>5804452.5613404298</v>
      </c>
      <c r="F404" s="1">
        <f>Tabela5[[#This Row],[Tensão (Pa)]]/1000000</f>
        <v>5.8044525613404296</v>
      </c>
    </row>
    <row r="405" spans="1:6" x14ac:dyDescent="0.3">
      <c r="A405" s="5">
        <v>44.732999999999997</v>
      </c>
      <c r="B405" s="5">
        <v>3.7197</v>
      </c>
      <c r="C405" s="1">
        <f>Tabela5[[#This Row],[Alongamento (mm/mm)]]/$I$2</f>
        <v>7.4394000000000002E-2</v>
      </c>
      <c r="D405" s="5">
        <v>245.96</v>
      </c>
      <c r="E405" s="1">
        <f>Tabela5[[#This Row],[Força (N)]]/$I$5</f>
        <v>5848921.1028198292</v>
      </c>
      <c r="F405" s="1">
        <f>Tabela5[[#This Row],[Tensão (Pa)]]/1000000</f>
        <v>5.8489211028198289</v>
      </c>
    </row>
    <row r="406" spans="1:6" x14ac:dyDescent="0.3">
      <c r="A406" s="5">
        <v>44.8</v>
      </c>
      <c r="B406" s="5">
        <v>3.7252999999999998</v>
      </c>
      <c r="C406" s="1">
        <f>Tabela5[[#This Row],[Alongamento (mm/mm)]]/$I$2</f>
        <v>7.4506000000000003E-2</v>
      </c>
      <c r="D406" s="5">
        <v>247.66</v>
      </c>
      <c r="E406" s="1">
        <f>Tabela5[[#This Row],[Força (N)]]/$I$5</f>
        <v>5889347.0496192826</v>
      </c>
      <c r="F406" s="1">
        <f>Tabela5[[#This Row],[Tensão (Pa)]]/1000000</f>
        <v>5.8893470496192828</v>
      </c>
    </row>
    <row r="407" spans="1:6" x14ac:dyDescent="0.3">
      <c r="A407" s="5">
        <v>44.883000000000003</v>
      </c>
      <c r="B407" s="5">
        <v>3.7322000000000002</v>
      </c>
      <c r="C407" s="1">
        <f>Tabela5[[#This Row],[Alongamento (mm/mm)]]/$I$2</f>
        <v>7.4644000000000002E-2</v>
      </c>
      <c r="D407" s="5">
        <v>249.53</v>
      </c>
      <c r="E407" s="1">
        <f>Tabela5[[#This Row],[Força (N)]]/$I$5</f>
        <v>5933815.591098683</v>
      </c>
      <c r="F407" s="1">
        <f>Tabela5[[#This Row],[Tensão (Pa)]]/1000000</f>
        <v>5.933815591098683</v>
      </c>
    </row>
    <row r="408" spans="1:6" x14ac:dyDescent="0.3">
      <c r="A408" s="5">
        <v>44.966999999999999</v>
      </c>
      <c r="B408" s="5">
        <v>3.7393000000000001</v>
      </c>
      <c r="C408" s="1">
        <f>Tabela5[[#This Row],[Alongamento (mm/mm)]]/$I$2</f>
        <v>7.4786000000000005E-2</v>
      </c>
      <c r="D408" s="5">
        <v>251.41</v>
      </c>
      <c r="E408" s="1">
        <f>Tabela5[[#This Row],[Força (N)]]/$I$5</f>
        <v>5978521.9322651373</v>
      </c>
      <c r="F408" s="1">
        <f>Tabela5[[#This Row],[Tensão (Pa)]]/1000000</f>
        <v>5.9785219322651377</v>
      </c>
    </row>
    <row r="409" spans="1:6" x14ac:dyDescent="0.3">
      <c r="A409" s="5">
        <v>45.033000000000001</v>
      </c>
      <c r="B409" s="5">
        <v>3.7446999999999999</v>
      </c>
      <c r="C409" s="1">
        <f>Tabela5[[#This Row],[Alongamento (mm/mm)]]/$I$2</f>
        <v>7.4894000000000002E-2</v>
      </c>
      <c r="D409" s="5">
        <v>253.11</v>
      </c>
      <c r="E409" s="1">
        <f>Tabela5[[#This Row],[Força (N)]]/$I$5</f>
        <v>6018947.8790645916</v>
      </c>
      <c r="F409" s="1">
        <f>Tabela5[[#This Row],[Tensão (Pa)]]/1000000</f>
        <v>6.0189478790645916</v>
      </c>
    </row>
    <row r="410" spans="1:6" x14ac:dyDescent="0.3">
      <c r="A410" s="5">
        <v>45.116999999999997</v>
      </c>
      <c r="B410" s="5">
        <v>3.7515999999999998</v>
      </c>
      <c r="C410" s="1">
        <f>Tabela5[[#This Row],[Alongamento (mm/mm)]]/$I$2</f>
        <v>7.5032000000000001E-2</v>
      </c>
      <c r="D410" s="5">
        <v>254.98</v>
      </c>
      <c r="E410" s="1">
        <f>Tabela5[[#This Row],[Força (N)]]/$I$5</f>
        <v>6063416.420543991</v>
      </c>
      <c r="F410" s="1">
        <f>Tabela5[[#This Row],[Tensão (Pa)]]/1000000</f>
        <v>6.0634164205439909</v>
      </c>
    </row>
    <row r="411" spans="1:6" x14ac:dyDescent="0.3">
      <c r="A411" s="5">
        <v>45.183</v>
      </c>
      <c r="B411" s="5">
        <v>3.7572000000000001</v>
      </c>
      <c r="C411" s="1">
        <f>Tabela5[[#This Row],[Alongamento (mm/mm)]]/$I$2</f>
        <v>7.5144000000000002E-2</v>
      </c>
      <c r="D411" s="5">
        <v>256.68</v>
      </c>
      <c r="E411" s="1">
        <f>Tabela5[[#This Row],[Força (N)]]/$I$5</f>
        <v>6103842.3673434453</v>
      </c>
      <c r="F411" s="1">
        <f>Tabela5[[#This Row],[Tensão (Pa)]]/1000000</f>
        <v>6.1038423673434457</v>
      </c>
    </row>
    <row r="412" spans="1:6" x14ac:dyDescent="0.3">
      <c r="A412" s="5">
        <v>45.267000000000003</v>
      </c>
      <c r="B412" s="5">
        <v>3.7642000000000002</v>
      </c>
      <c r="C412" s="1">
        <f>Tabela5[[#This Row],[Alongamento (mm/mm)]]/$I$2</f>
        <v>7.5284000000000004E-2</v>
      </c>
      <c r="D412" s="5">
        <v>258.55</v>
      </c>
      <c r="E412" s="1">
        <f>Tabela5[[#This Row],[Força (N)]]/$I$5</f>
        <v>6148310.9088228447</v>
      </c>
      <c r="F412" s="1">
        <f>Tabela5[[#This Row],[Tensão (Pa)]]/1000000</f>
        <v>6.1483109088228449</v>
      </c>
    </row>
    <row r="413" spans="1:6" x14ac:dyDescent="0.3">
      <c r="A413" s="5">
        <v>45.332999999999998</v>
      </c>
      <c r="B413" s="5">
        <v>3.7698</v>
      </c>
      <c r="C413" s="1">
        <f>Tabela5[[#This Row],[Alongamento (mm/mm)]]/$I$2</f>
        <v>7.5396000000000005E-2</v>
      </c>
      <c r="D413" s="5">
        <v>260.25</v>
      </c>
      <c r="E413" s="1">
        <f>Tabela5[[#This Row],[Força (N)]]/$I$5</f>
        <v>6188736.8556222981</v>
      </c>
      <c r="F413" s="1">
        <f>Tabela5[[#This Row],[Tensão (Pa)]]/1000000</f>
        <v>6.1887368556222979</v>
      </c>
    </row>
    <row r="414" spans="1:6" x14ac:dyDescent="0.3">
      <c r="A414" s="5">
        <v>45.417000000000002</v>
      </c>
      <c r="B414" s="5">
        <v>3.7766999999999999</v>
      </c>
      <c r="C414" s="1">
        <f>Tabela5[[#This Row],[Alongamento (mm/mm)]]/$I$2</f>
        <v>7.5534000000000004E-2</v>
      </c>
      <c r="D414" s="5">
        <v>262.29000000000002</v>
      </c>
      <c r="E414" s="1">
        <f>Tabela5[[#This Row],[Força (N)]]/$I$5</f>
        <v>6237247.9917816436</v>
      </c>
      <c r="F414" s="1">
        <f>Tabela5[[#This Row],[Tensão (Pa)]]/1000000</f>
        <v>6.2372479917816435</v>
      </c>
    </row>
    <row r="415" spans="1:6" x14ac:dyDescent="0.3">
      <c r="A415" s="5">
        <v>45.517000000000003</v>
      </c>
      <c r="B415" s="5">
        <v>3.7850000000000001</v>
      </c>
      <c r="C415" s="1">
        <f>Tabela5[[#This Row],[Alongamento (mm/mm)]]/$I$2</f>
        <v>7.5700000000000003E-2</v>
      </c>
      <c r="D415" s="5">
        <v>264.67</v>
      </c>
      <c r="E415" s="1">
        <f>Tabela5[[#This Row],[Força (N)]]/$I$5</f>
        <v>6293844.3173008794</v>
      </c>
      <c r="F415" s="1">
        <f>Tabela5[[#This Row],[Tensão (Pa)]]/1000000</f>
        <v>6.2938443173008798</v>
      </c>
    </row>
    <row r="416" spans="1:6" x14ac:dyDescent="0.3">
      <c r="A416" s="5">
        <v>45.6</v>
      </c>
      <c r="B416" s="5">
        <v>3.7919</v>
      </c>
      <c r="C416" s="1">
        <f>Tabela5[[#This Row],[Alongamento (mm/mm)]]/$I$2</f>
        <v>7.5838000000000003E-2</v>
      </c>
      <c r="D416" s="5">
        <v>266.70999999999998</v>
      </c>
      <c r="E416" s="1">
        <f>Tabela5[[#This Row],[Força (N)]]/$I$5</f>
        <v>6342355.453460223</v>
      </c>
      <c r="F416" s="1">
        <f>Tabela5[[#This Row],[Tensão (Pa)]]/1000000</f>
        <v>6.3423554534602227</v>
      </c>
    </row>
    <row r="417" spans="1:6" x14ac:dyDescent="0.3">
      <c r="A417" s="5">
        <v>45.683</v>
      </c>
      <c r="B417" s="5">
        <v>3.7988</v>
      </c>
      <c r="C417" s="1">
        <f>Tabela5[[#This Row],[Alongamento (mm/mm)]]/$I$2</f>
        <v>7.5976000000000002E-2</v>
      </c>
      <c r="D417" s="5">
        <v>268.76</v>
      </c>
      <c r="E417" s="1">
        <f>Tabela5[[#This Row],[Força (N)]]/$I$5</f>
        <v>6391104.3893066235</v>
      </c>
      <c r="F417" s="1">
        <f>Tabela5[[#This Row],[Tensão (Pa)]]/1000000</f>
        <v>6.3911043893066237</v>
      </c>
    </row>
    <row r="418" spans="1:6" x14ac:dyDescent="0.3">
      <c r="A418" s="5">
        <v>45.783000000000001</v>
      </c>
      <c r="B418" s="5">
        <v>3.8071999999999999</v>
      </c>
      <c r="C418" s="1">
        <f>Tabela5[[#This Row],[Alongamento (mm/mm)]]/$I$2</f>
        <v>7.6144000000000003E-2</v>
      </c>
      <c r="D418" s="5">
        <v>271.14</v>
      </c>
      <c r="E418" s="1">
        <f>Tabela5[[#This Row],[Força (N)]]/$I$5</f>
        <v>6447700.7148258593</v>
      </c>
      <c r="F418" s="1">
        <f>Tabela5[[#This Row],[Tensão (Pa)]]/1000000</f>
        <v>6.4477007148258592</v>
      </c>
    </row>
    <row r="419" spans="1:6" x14ac:dyDescent="0.3">
      <c r="A419" s="5">
        <v>45.866999999999997</v>
      </c>
      <c r="B419" s="5">
        <v>3.8142</v>
      </c>
      <c r="C419" s="1">
        <f>Tabela5[[#This Row],[Alongamento (mm/mm)]]/$I$2</f>
        <v>7.6284000000000005E-2</v>
      </c>
      <c r="D419" s="5">
        <v>273.18</v>
      </c>
      <c r="E419" s="1">
        <f>Tabela5[[#This Row],[Força (N)]]/$I$5</f>
        <v>6496211.8509852048</v>
      </c>
      <c r="F419" s="1">
        <f>Tabela5[[#This Row],[Tensão (Pa)]]/1000000</f>
        <v>6.4962118509852047</v>
      </c>
    </row>
    <row r="420" spans="1:6" x14ac:dyDescent="0.3">
      <c r="A420" s="5">
        <v>45.95</v>
      </c>
      <c r="B420" s="5">
        <v>3.8210999999999999</v>
      </c>
      <c r="C420" s="1">
        <f>Tabela5[[#This Row],[Alongamento (mm/mm)]]/$I$2</f>
        <v>7.6422000000000004E-2</v>
      </c>
      <c r="D420" s="5">
        <v>275.22000000000003</v>
      </c>
      <c r="E420" s="1">
        <f>Tabela5[[#This Row],[Força (N)]]/$I$5</f>
        <v>6544722.9871445503</v>
      </c>
      <c r="F420" s="1">
        <f>Tabela5[[#This Row],[Tensão (Pa)]]/1000000</f>
        <v>6.5447229871445503</v>
      </c>
    </row>
    <row r="421" spans="1:6" x14ac:dyDescent="0.3">
      <c r="A421" s="5">
        <v>46.033000000000001</v>
      </c>
      <c r="B421" s="5">
        <v>3.8279999999999998</v>
      </c>
      <c r="C421" s="1">
        <f>Tabela5[[#This Row],[Alongamento (mm/mm)]]/$I$2</f>
        <v>7.6560000000000003E-2</v>
      </c>
      <c r="D421" s="5">
        <v>277.26</v>
      </c>
      <c r="E421" s="1">
        <f>Tabela5[[#This Row],[Força (N)]]/$I$5</f>
        <v>6593234.123303894</v>
      </c>
      <c r="F421" s="1">
        <f>Tabela5[[#This Row],[Tensão (Pa)]]/1000000</f>
        <v>6.593234123303894</v>
      </c>
    </row>
    <row r="422" spans="1:6" x14ac:dyDescent="0.3">
      <c r="A422" s="5">
        <v>46.116999999999997</v>
      </c>
      <c r="B422" s="5">
        <v>3.835</v>
      </c>
      <c r="C422" s="1">
        <f>Tabela5[[#This Row],[Alongamento (mm/mm)]]/$I$2</f>
        <v>7.6700000000000004E-2</v>
      </c>
      <c r="D422" s="5">
        <v>279.47000000000003</v>
      </c>
      <c r="E422" s="1">
        <f>Tabela5[[#This Row],[Força (N)]]/$I$5</f>
        <v>6645787.8541431855</v>
      </c>
      <c r="F422" s="1">
        <f>Tabela5[[#This Row],[Tensão (Pa)]]/1000000</f>
        <v>6.6457878541431858</v>
      </c>
    </row>
    <row r="423" spans="1:6" x14ac:dyDescent="0.3">
      <c r="A423" s="5">
        <v>46.2</v>
      </c>
      <c r="B423" s="5">
        <v>3.8420000000000001</v>
      </c>
      <c r="C423" s="1">
        <f>Tabela5[[#This Row],[Alongamento (mm/mm)]]/$I$2</f>
        <v>7.6840000000000006E-2</v>
      </c>
      <c r="D423" s="5">
        <v>281.68</v>
      </c>
      <c r="E423" s="1">
        <f>Tabela5[[#This Row],[Força (N)]]/$I$5</f>
        <v>6698341.5849824753</v>
      </c>
      <c r="F423" s="1">
        <f>Tabela5[[#This Row],[Tensão (Pa)]]/1000000</f>
        <v>6.698341584982475</v>
      </c>
    </row>
    <row r="424" spans="1:6" x14ac:dyDescent="0.3">
      <c r="A424" s="5">
        <v>46.283000000000001</v>
      </c>
      <c r="B424" s="5">
        <v>3.8489</v>
      </c>
      <c r="C424" s="1">
        <f>Tabela5[[#This Row],[Alongamento (mm/mm)]]/$I$2</f>
        <v>7.6978000000000005E-2</v>
      </c>
      <c r="D424" s="5">
        <v>283.72000000000003</v>
      </c>
      <c r="E424" s="1">
        <f>Tabela5[[#This Row],[Força (N)]]/$I$5</f>
        <v>6746852.7211418198</v>
      </c>
      <c r="F424" s="1">
        <f>Tabela5[[#This Row],[Tensão (Pa)]]/1000000</f>
        <v>6.7468527211418197</v>
      </c>
    </row>
    <row r="425" spans="1:6" x14ac:dyDescent="0.3">
      <c r="A425" s="5">
        <v>46.366999999999997</v>
      </c>
      <c r="B425" s="5">
        <v>3.8559000000000001</v>
      </c>
      <c r="C425" s="1">
        <f>Tabela5[[#This Row],[Alongamento (mm/mm)]]/$I$2</f>
        <v>7.7118000000000006E-2</v>
      </c>
      <c r="D425" s="5">
        <v>285.94</v>
      </c>
      <c r="E425" s="1">
        <f>Tabela5[[#This Row],[Força (N)]]/$I$5</f>
        <v>6799644.2516681654</v>
      </c>
      <c r="F425" s="1">
        <f>Tabela5[[#This Row],[Tensão (Pa)]]/1000000</f>
        <v>6.7996442516681652</v>
      </c>
    </row>
    <row r="426" spans="1:6" x14ac:dyDescent="0.3">
      <c r="A426" s="5">
        <v>46.45</v>
      </c>
      <c r="B426" s="5">
        <v>3.8628</v>
      </c>
      <c r="C426" s="1">
        <f>Tabela5[[#This Row],[Alongamento (mm/mm)]]/$I$2</f>
        <v>7.7256000000000005E-2</v>
      </c>
      <c r="D426" s="5">
        <v>288.14999999999998</v>
      </c>
      <c r="E426" s="1">
        <f>Tabela5[[#This Row],[Força (N)]]/$I$5</f>
        <v>6852197.9825074552</v>
      </c>
      <c r="F426" s="1">
        <f>Tabela5[[#This Row],[Tensão (Pa)]]/1000000</f>
        <v>6.8521979825074553</v>
      </c>
    </row>
    <row r="427" spans="1:6" x14ac:dyDescent="0.3">
      <c r="A427" s="5">
        <v>46.533000000000001</v>
      </c>
      <c r="B427" s="5">
        <v>3.8696999999999999</v>
      </c>
      <c r="C427" s="1">
        <f>Tabela5[[#This Row],[Alongamento (mm/mm)]]/$I$2</f>
        <v>7.7394000000000004E-2</v>
      </c>
      <c r="D427" s="5">
        <v>290.36</v>
      </c>
      <c r="E427" s="1">
        <f>Tabela5[[#This Row],[Força (N)]]/$I$5</f>
        <v>6904751.7133467458</v>
      </c>
      <c r="F427" s="1">
        <f>Tabela5[[#This Row],[Tensão (Pa)]]/1000000</f>
        <v>6.9047517133467462</v>
      </c>
    </row>
    <row r="428" spans="1:6" x14ac:dyDescent="0.3">
      <c r="A428" s="5">
        <v>46.616999999999997</v>
      </c>
      <c r="B428" s="5">
        <v>3.8765999999999998</v>
      </c>
      <c r="C428" s="1">
        <f>Tabela5[[#This Row],[Alongamento (mm/mm)]]/$I$2</f>
        <v>7.753199999999999E-2</v>
      </c>
      <c r="D428" s="5">
        <v>292.57</v>
      </c>
      <c r="E428" s="1">
        <f>Tabela5[[#This Row],[Força (N)]]/$I$5</f>
        <v>6957305.4441860355</v>
      </c>
      <c r="F428" s="1">
        <f>Tabela5[[#This Row],[Tensão (Pa)]]/1000000</f>
        <v>6.9573054441860354</v>
      </c>
    </row>
    <row r="429" spans="1:6" x14ac:dyDescent="0.3">
      <c r="A429" s="5">
        <v>46.7</v>
      </c>
      <c r="B429" s="5">
        <v>3.8835999999999999</v>
      </c>
      <c r="C429" s="1">
        <f>Tabela5[[#This Row],[Alongamento (mm/mm)]]/$I$2</f>
        <v>7.7672000000000005E-2</v>
      </c>
      <c r="D429" s="5">
        <v>294.95</v>
      </c>
      <c r="E429" s="1">
        <f>Tabela5[[#This Row],[Força (N)]]/$I$5</f>
        <v>7013901.7697052713</v>
      </c>
      <c r="F429" s="1">
        <f>Tabela5[[#This Row],[Tensão (Pa)]]/1000000</f>
        <v>7.0139017697052717</v>
      </c>
    </row>
    <row r="430" spans="1:6" x14ac:dyDescent="0.3">
      <c r="A430" s="5">
        <v>46.783000000000001</v>
      </c>
      <c r="B430" s="5">
        <v>3.8904999999999998</v>
      </c>
      <c r="C430" s="1">
        <f>Tabela5[[#This Row],[Alongamento (mm/mm)]]/$I$2</f>
        <v>7.780999999999999E-2</v>
      </c>
      <c r="D430" s="5">
        <v>297.16000000000003</v>
      </c>
      <c r="E430" s="1">
        <f>Tabela5[[#This Row],[Força (N)]]/$I$5</f>
        <v>7066455.500544562</v>
      </c>
      <c r="F430" s="1">
        <f>Tabela5[[#This Row],[Tensão (Pa)]]/1000000</f>
        <v>7.0664555005445617</v>
      </c>
    </row>
    <row r="431" spans="1:6" x14ac:dyDescent="0.3">
      <c r="A431" s="5">
        <v>46.866999999999997</v>
      </c>
      <c r="B431" s="5">
        <v>3.8975</v>
      </c>
      <c r="C431" s="1">
        <f>Tabela5[[#This Row],[Alongamento (mm/mm)]]/$I$2</f>
        <v>7.7950000000000005E-2</v>
      </c>
      <c r="D431" s="5">
        <v>299.37</v>
      </c>
      <c r="E431" s="1">
        <f>Tabela5[[#This Row],[Força (N)]]/$I$5</f>
        <v>7119009.2313838517</v>
      </c>
      <c r="F431" s="1">
        <f>Tabela5[[#This Row],[Tensão (Pa)]]/1000000</f>
        <v>7.1190092313838518</v>
      </c>
    </row>
    <row r="432" spans="1:6" x14ac:dyDescent="0.3">
      <c r="A432" s="5">
        <v>46.95</v>
      </c>
      <c r="B432" s="5">
        <v>3.9045000000000001</v>
      </c>
      <c r="C432" s="1">
        <f>Tabela5[[#This Row],[Alongamento (mm/mm)]]/$I$2</f>
        <v>7.8090000000000007E-2</v>
      </c>
      <c r="D432" s="5">
        <v>301.58999999999997</v>
      </c>
      <c r="E432" s="1">
        <f>Tabela5[[#This Row],[Força (N)]]/$I$5</f>
        <v>7171800.7619101973</v>
      </c>
      <c r="F432" s="1">
        <f>Tabela5[[#This Row],[Tensão (Pa)]]/1000000</f>
        <v>7.1718007619101973</v>
      </c>
    </row>
    <row r="433" spans="1:6" x14ac:dyDescent="0.3">
      <c r="A433" s="5">
        <v>47.033000000000001</v>
      </c>
      <c r="B433" s="5">
        <v>3.9114</v>
      </c>
      <c r="C433" s="1">
        <f>Tabela5[[#This Row],[Alongamento (mm/mm)]]/$I$2</f>
        <v>7.8228000000000006E-2</v>
      </c>
      <c r="D433" s="5">
        <v>303.8</v>
      </c>
      <c r="E433" s="1">
        <f>Tabela5[[#This Row],[Força (N)]]/$I$5</f>
        <v>7224354.492749488</v>
      </c>
      <c r="F433" s="1">
        <f>Tabela5[[#This Row],[Tensão (Pa)]]/1000000</f>
        <v>7.2243544927494883</v>
      </c>
    </row>
    <row r="434" spans="1:6" x14ac:dyDescent="0.3">
      <c r="A434" s="5">
        <v>47.116999999999997</v>
      </c>
      <c r="B434" s="5">
        <v>3.9184000000000001</v>
      </c>
      <c r="C434" s="1">
        <f>Tabela5[[#This Row],[Alongamento (mm/mm)]]/$I$2</f>
        <v>7.8368000000000007E-2</v>
      </c>
      <c r="D434" s="5">
        <v>306.01</v>
      </c>
      <c r="E434" s="1">
        <f>Tabela5[[#This Row],[Força (N)]]/$I$5</f>
        <v>7276908.2235887777</v>
      </c>
      <c r="F434" s="1">
        <f>Tabela5[[#This Row],[Tensão (Pa)]]/1000000</f>
        <v>7.2769082235887774</v>
      </c>
    </row>
    <row r="435" spans="1:6" x14ac:dyDescent="0.3">
      <c r="A435" s="5">
        <v>47.216999999999999</v>
      </c>
      <c r="B435" s="5">
        <v>3.9266999999999999</v>
      </c>
      <c r="C435" s="1">
        <f>Tabela5[[#This Row],[Alongamento (mm/mm)]]/$I$2</f>
        <v>7.8533999999999993E-2</v>
      </c>
      <c r="D435" s="5">
        <v>308.73</v>
      </c>
      <c r="E435" s="1">
        <f>Tabela5[[#This Row],[Força (N)]]/$I$5</f>
        <v>7341589.7384679047</v>
      </c>
      <c r="F435" s="1">
        <f>Tabela5[[#This Row],[Tensão (Pa)]]/1000000</f>
        <v>7.3415897384679045</v>
      </c>
    </row>
    <row r="436" spans="1:6" x14ac:dyDescent="0.3">
      <c r="A436" s="5">
        <v>47.317</v>
      </c>
      <c r="B436" s="5">
        <v>3.9350999999999998</v>
      </c>
      <c r="C436" s="1">
        <f>Tabela5[[#This Row],[Alongamento (mm/mm)]]/$I$2</f>
        <v>7.8701999999999994E-2</v>
      </c>
      <c r="D436" s="5">
        <v>311.45</v>
      </c>
      <c r="E436" s="1">
        <f>Tabela5[[#This Row],[Força (N)]]/$I$5</f>
        <v>7406271.2533470308</v>
      </c>
      <c r="F436" s="1">
        <f>Tabela5[[#This Row],[Tensão (Pa)]]/1000000</f>
        <v>7.4062712533470307</v>
      </c>
    </row>
    <row r="437" spans="1:6" x14ac:dyDescent="0.3">
      <c r="A437" s="5">
        <v>47.4</v>
      </c>
      <c r="B437" s="5">
        <v>3.9419</v>
      </c>
      <c r="C437" s="1">
        <f>Tabela5[[#This Row],[Alongamento (mm/mm)]]/$I$2</f>
        <v>7.8838000000000005E-2</v>
      </c>
      <c r="D437" s="5">
        <v>313.83</v>
      </c>
      <c r="E437" s="1">
        <f>Tabela5[[#This Row],[Força (N)]]/$I$5</f>
        <v>7462867.5788662666</v>
      </c>
      <c r="F437" s="1">
        <f>Tabela5[[#This Row],[Tensão (Pa)]]/1000000</f>
        <v>7.4628675788662671</v>
      </c>
    </row>
    <row r="438" spans="1:6" x14ac:dyDescent="0.3">
      <c r="A438" s="5">
        <v>47.5</v>
      </c>
      <c r="B438" s="5">
        <v>3.9502999999999999</v>
      </c>
      <c r="C438" s="1">
        <f>Tabela5[[#This Row],[Alongamento (mm/mm)]]/$I$2</f>
        <v>7.9005999999999993E-2</v>
      </c>
      <c r="D438" s="5">
        <v>316.55</v>
      </c>
      <c r="E438" s="1">
        <f>Tabela5[[#This Row],[Força (N)]]/$I$5</f>
        <v>7527549.0937453937</v>
      </c>
      <c r="F438" s="1">
        <f>Tabela5[[#This Row],[Tensão (Pa)]]/1000000</f>
        <v>7.5275490937453933</v>
      </c>
    </row>
    <row r="439" spans="1:6" x14ac:dyDescent="0.3">
      <c r="A439" s="5">
        <v>47.582999999999998</v>
      </c>
      <c r="B439" s="5">
        <v>3.9571999999999998</v>
      </c>
      <c r="C439" s="1">
        <f>Tabela5[[#This Row],[Alongamento (mm/mm)]]/$I$2</f>
        <v>7.9143999999999992E-2</v>
      </c>
      <c r="D439" s="5">
        <v>318.94</v>
      </c>
      <c r="E439" s="1">
        <f>Tabela5[[#This Row],[Força (N)]]/$I$5</f>
        <v>7584383.2189516844</v>
      </c>
      <c r="F439" s="1">
        <f>Tabela5[[#This Row],[Tensão (Pa)]]/1000000</f>
        <v>7.5843832189516842</v>
      </c>
    </row>
    <row r="440" spans="1:6" x14ac:dyDescent="0.3">
      <c r="A440" s="5">
        <v>47.683</v>
      </c>
      <c r="B440" s="5">
        <v>3.9655999999999998</v>
      </c>
      <c r="C440" s="1">
        <f>Tabela5[[#This Row],[Alongamento (mm/mm)]]/$I$2</f>
        <v>7.9311999999999994E-2</v>
      </c>
      <c r="D440" s="5">
        <v>321.66000000000003</v>
      </c>
      <c r="E440" s="1">
        <f>Tabela5[[#This Row],[Força (N)]]/$I$5</f>
        <v>7649064.7338308115</v>
      </c>
      <c r="F440" s="1">
        <f>Tabela5[[#This Row],[Tensão (Pa)]]/1000000</f>
        <v>7.6490647338308113</v>
      </c>
    </row>
    <row r="441" spans="1:6" x14ac:dyDescent="0.3">
      <c r="A441" s="5">
        <v>47.767000000000003</v>
      </c>
      <c r="B441" s="5">
        <v>3.9725999999999999</v>
      </c>
      <c r="C441" s="1">
        <f>Tabela5[[#This Row],[Alongamento (mm/mm)]]/$I$2</f>
        <v>7.9451999999999995E-2</v>
      </c>
      <c r="D441" s="5">
        <v>324.04000000000002</v>
      </c>
      <c r="E441" s="1">
        <f>Tabela5[[#This Row],[Força (N)]]/$I$5</f>
        <v>7705661.0593500473</v>
      </c>
      <c r="F441" s="1">
        <f>Tabela5[[#This Row],[Tensão (Pa)]]/1000000</f>
        <v>7.7056610593500476</v>
      </c>
    </row>
    <row r="442" spans="1:6" x14ac:dyDescent="0.3">
      <c r="A442" s="5">
        <v>47.866999999999997</v>
      </c>
      <c r="B442" s="5">
        <v>3.9807999999999999</v>
      </c>
      <c r="C442" s="1">
        <f>Tabela5[[#This Row],[Alongamento (mm/mm)]]/$I$2</f>
        <v>7.9615999999999992E-2</v>
      </c>
      <c r="D442" s="5">
        <v>326.76</v>
      </c>
      <c r="E442" s="1">
        <f>Tabela5[[#This Row],[Força (N)]]/$I$5</f>
        <v>7770342.5742291724</v>
      </c>
      <c r="F442" s="1">
        <f>Tabela5[[#This Row],[Tensão (Pa)]]/1000000</f>
        <v>7.7703425742291721</v>
      </c>
    </row>
    <row r="443" spans="1:6" x14ac:dyDescent="0.3">
      <c r="A443" s="5">
        <v>47.95</v>
      </c>
      <c r="B443" s="5">
        <v>3.9878</v>
      </c>
      <c r="C443" s="1">
        <f>Tabela5[[#This Row],[Alongamento (mm/mm)]]/$I$2</f>
        <v>7.9755999999999994E-2</v>
      </c>
      <c r="D443" s="5">
        <v>329.14</v>
      </c>
      <c r="E443" s="1">
        <f>Tabela5[[#This Row],[Força (N)]]/$I$5</f>
        <v>7826938.8997484082</v>
      </c>
      <c r="F443" s="1">
        <f>Tabela5[[#This Row],[Tensão (Pa)]]/1000000</f>
        <v>7.8269388997484084</v>
      </c>
    </row>
    <row r="444" spans="1:6" x14ac:dyDescent="0.3">
      <c r="A444" s="5">
        <v>48.033000000000001</v>
      </c>
      <c r="B444" s="5">
        <v>3.9946999999999999</v>
      </c>
      <c r="C444" s="1">
        <f>Tabela5[[#This Row],[Alongamento (mm/mm)]]/$I$2</f>
        <v>7.9893999999999993E-2</v>
      </c>
      <c r="D444" s="5">
        <v>331.52</v>
      </c>
      <c r="E444" s="1">
        <f>Tabela5[[#This Row],[Força (N)]]/$I$5</f>
        <v>7883535.225267644</v>
      </c>
      <c r="F444" s="1">
        <f>Tabela5[[#This Row],[Tensão (Pa)]]/1000000</f>
        <v>7.8835352252676438</v>
      </c>
    </row>
    <row r="445" spans="1:6" x14ac:dyDescent="0.3">
      <c r="A445" s="5">
        <v>48.133000000000003</v>
      </c>
      <c r="B445" s="5">
        <v>4.0030999999999999</v>
      </c>
      <c r="C445" s="1">
        <f>Tabela5[[#This Row],[Alongamento (mm/mm)]]/$I$2</f>
        <v>8.0061999999999994E-2</v>
      </c>
      <c r="D445" s="5">
        <v>334.24</v>
      </c>
      <c r="E445" s="1">
        <f>Tabela5[[#This Row],[Força (N)]]/$I$5</f>
        <v>7948216.7401467711</v>
      </c>
      <c r="F445" s="1">
        <f>Tabela5[[#This Row],[Tensão (Pa)]]/1000000</f>
        <v>7.9482167401467709</v>
      </c>
    </row>
    <row r="446" spans="1:6" x14ac:dyDescent="0.3">
      <c r="A446" s="5">
        <v>48.216999999999999</v>
      </c>
      <c r="B446" s="5">
        <v>4.01</v>
      </c>
      <c r="C446" s="1">
        <f>Tabela5[[#This Row],[Alongamento (mm/mm)]]/$I$2</f>
        <v>8.0199999999999994E-2</v>
      </c>
      <c r="D446" s="5">
        <v>336.63</v>
      </c>
      <c r="E446" s="1">
        <f>Tabela5[[#This Row],[Força (N)]]/$I$5</f>
        <v>8005050.8653530618</v>
      </c>
      <c r="F446" s="1">
        <f>Tabela5[[#This Row],[Tensão (Pa)]]/1000000</f>
        <v>8.005050865353061</v>
      </c>
    </row>
    <row r="447" spans="1:6" x14ac:dyDescent="0.3">
      <c r="A447" s="5">
        <v>48.3</v>
      </c>
      <c r="B447" s="5">
        <v>4.0168999999999997</v>
      </c>
      <c r="C447" s="1">
        <f>Tabela5[[#This Row],[Alongamento (mm/mm)]]/$I$2</f>
        <v>8.0337999999999993E-2</v>
      </c>
      <c r="D447" s="5">
        <v>339.18</v>
      </c>
      <c r="E447" s="1">
        <f>Tabela5[[#This Row],[Força (N)]]/$I$5</f>
        <v>8065689.7855522428</v>
      </c>
      <c r="F447" s="1">
        <f>Tabela5[[#This Row],[Tensão (Pa)]]/1000000</f>
        <v>8.0656897855522427</v>
      </c>
    </row>
    <row r="448" spans="1:6" x14ac:dyDescent="0.3">
      <c r="A448" s="5">
        <v>48.383000000000003</v>
      </c>
      <c r="B448" s="5">
        <v>4.0239000000000003</v>
      </c>
      <c r="C448" s="1">
        <f>Tabela5[[#This Row],[Alongamento (mm/mm)]]/$I$2</f>
        <v>8.0478000000000008E-2</v>
      </c>
      <c r="D448" s="5">
        <v>341.73</v>
      </c>
      <c r="E448" s="1">
        <f>Tabela5[[#This Row],[Força (N)]]/$I$5</f>
        <v>8126328.7057514247</v>
      </c>
      <c r="F448" s="1">
        <f>Tabela5[[#This Row],[Tensão (Pa)]]/1000000</f>
        <v>8.1263287057514244</v>
      </c>
    </row>
    <row r="449" spans="1:6" x14ac:dyDescent="0.3">
      <c r="A449" s="5">
        <v>48.466999999999999</v>
      </c>
      <c r="B449" s="5">
        <v>4.0308000000000002</v>
      </c>
      <c r="C449" s="1">
        <f>Tabela5[[#This Row],[Alongamento (mm/mm)]]/$I$2</f>
        <v>8.0616000000000007E-2</v>
      </c>
      <c r="D449" s="5">
        <v>344.11</v>
      </c>
      <c r="E449" s="1">
        <f>Tabela5[[#This Row],[Força (N)]]/$I$5</f>
        <v>8182925.0312706595</v>
      </c>
      <c r="F449" s="1">
        <f>Tabela5[[#This Row],[Tensão (Pa)]]/1000000</f>
        <v>8.1829250312706598</v>
      </c>
    </row>
    <row r="450" spans="1:6" x14ac:dyDescent="0.3">
      <c r="A450" s="5">
        <v>48.55</v>
      </c>
      <c r="B450" s="5">
        <v>4.0377999999999998</v>
      </c>
      <c r="C450" s="1">
        <f>Tabela5[[#This Row],[Alongamento (mm/mm)]]/$I$2</f>
        <v>8.0755999999999994E-2</v>
      </c>
      <c r="D450" s="5">
        <v>346.66</v>
      </c>
      <c r="E450" s="1">
        <f>Tabela5[[#This Row],[Força (N)]]/$I$5</f>
        <v>8243563.9514698414</v>
      </c>
      <c r="F450" s="1">
        <f>Tabela5[[#This Row],[Tensão (Pa)]]/1000000</f>
        <v>8.2435639514698416</v>
      </c>
    </row>
    <row r="451" spans="1:6" x14ac:dyDescent="0.3">
      <c r="A451" s="5">
        <v>48.633000000000003</v>
      </c>
      <c r="B451" s="5">
        <v>4.0448000000000004</v>
      </c>
      <c r="C451" s="1">
        <f>Tabela5[[#This Row],[Alongamento (mm/mm)]]/$I$2</f>
        <v>8.089600000000001E-2</v>
      </c>
      <c r="D451" s="5">
        <v>349.21</v>
      </c>
      <c r="E451" s="1">
        <f>Tabela5[[#This Row],[Força (N)]]/$I$5</f>
        <v>8304202.8716690214</v>
      </c>
      <c r="F451" s="1">
        <f>Tabela5[[#This Row],[Tensão (Pa)]]/1000000</f>
        <v>8.3042028716690215</v>
      </c>
    </row>
    <row r="452" spans="1:6" x14ac:dyDescent="0.3">
      <c r="A452" s="5">
        <v>48.732999999999997</v>
      </c>
      <c r="B452" s="5">
        <v>4.0529999999999999</v>
      </c>
      <c r="C452" s="1">
        <f>Tabela5[[#This Row],[Alongamento (mm/mm)]]/$I$2</f>
        <v>8.1059999999999993E-2</v>
      </c>
      <c r="D452" s="5">
        <v>352.1</v>
      </c>
      <c r="E452" s="1">
        <f>Tabela5[[#This Row],[Força (N)]]/$I$5</f>
        <v>8372926.9812280936</v>
      </c>
      <c r="F452" s="1">
        <f>Tabela5[[#This Row],[Tensão (Pa)]]/1000000</f>
        <v>8.372926981228094</v>
      </c>
    </row>
    <row r="453" spans="1:6" x14ac:dyDescent="0.3">
      <c r="A453" s="5">
        <v>48.832999999999998</v>
      </c>
      <c r="B453" s="5">
        <v>4.0613000000000001</v>
      </c>
      <c r="C453" s="1">
        <f>Tabela5[[#This Row],[Alongamento (mm/mm)]]/$I$2</f>
        <v>8.1226000000000007E-2</v>
      </c>
      <c r="D453" s="5">
        <v>355.17</v>
      </c>
      <c r="E453" s="1">
        <f>Tabela5[[#This Row],[Força (N)]]/$I$5</f>
        <v>8445931.4851541668</v>
      </c>
      <c r="F453" s="1">
        <f>Tabela5[[#This Row],[Tensão (Pa)]]/1000000</f>
        <v>8.4459314851541674</v>
      </c>
    </row>
    <row r="454" spans="1:6" x14ac:dyDescent="0.3">
      <c r="A454" s="5">
        <v>48.933</v>
      </c>
      <c r="B454" s="5">
        <v>4.0697000000000001</v>
      </c>
      <c r="C454" s="1">
        <f>Tabela5[[#This Row],[Alongamento (mm/mm)]]/$I$2</f>
        <v>8.1394000000000008E-2</v>
      </c>
      <c r="D454" s="5">
        <v>358.23</v>
      </c>
      <c r="E454" s="1">
        <f>Tabela5[[#This Row],[Força (N)]]/$I$5</f>
        <v>8518698.1893931832</v>
      </c>
      <c r="F454" s="1">
        <f>Tabela5[[#This Row],[Tensão (Pa)]]/1000000</f>
        <v>8.5186981893931826</v>
      </c>
    </row>
    <row r="455" spans="1:6" x14ac:dyDescent="0.3">
      <c r="A455" s="5">
        <v>49.033000000000001</v>
      </c>
      <c r="B455" s="5">
        <v>4.0780000000000003</v>
      </c>
      <c r="C455" s="1">
        <f>Tabela5[[#This Row],[Alongamento (mm/mm)]]/$I$2</f>
        <v>8.1560000000000007E-2</v>
      </c>
      <c r="D455" s="5">
        <v>361.29</v>
      </c>
      <c r="E455" s="1">
        <f>Tabela5[[#This Row],[Força (N)]]/$I$5</f>
        <v>8591464.8936322015</v>
      </c>
      <c r="F455" s="1">
        <f>Tabela5[[#This Row],[Tensão (Pa)]]/1000000</f>
        <v>8.5914648936322013</v>
      </c>
    </row>
    <row r="456" spans="1:6" x14ac:dyDescent="0.3">
      <c r="A456" s="5">
        <v>49.133000000000003</v>
      </c>
      <c r="B456" s="5">
        <v>4.0865</v>
      </c>
      <c r="C456" s="1">
        <f>Tabela5[[#This Row],[Alongamento (mm/mm)]]/$I$2</f>
        <v>8.1729999999999997E-2</v>
      </c>
      <c r="D456" s="5">
        <v>364.35</v>
      </c>
      <c r="E456" s="1">
        <f>Tabela5[[#This Row],[Força (N)]]/$I$5</f>
        <v>8664231.5978712179</v>
      </c>
      <c r="F456" s="1">
        <f>Tabela5[[#This Row],[Tensão (Pa)]]/1000000</f>
        <v>8.6642315978712183</v>
      </c>
    </row>
    <row r="457" spans="1:6" x14ac:dyDescent="0.3">
      <c r="A457" s="5">
        <v>49.232999999999997</v>
      </c>
      <c r="B457" s="5">
        <v>4.0948000000000002</v>
      </c>
      <c r="C457" s="1">
        <f>Tabela5[[#This Row],[Alongamento (mm/mm)]]/$I$2</f>
        <v>8.189600000000001E-2</v>
      </c>
      <c r="D457" s="5">
        <v>367.41</v>
      </c>
      <c r="E457" s="1">
        <f>Tabela5[[#This Row],[Força (N)]]/$I$5</f>
        <v>8736998.3021102361</v>
      </c>
      <c r="F457" s="1">
        <f>Tabela5[[#This Row],[Tensão (Pa)]]/1000000</f>
        <v>8.7369983021102353</v>
      </c>
    </row>
    <row r="458" spans="1:6" x14ac:dyDescent="0.3">
      <c r="A458" s="5">
        <v>49.332999999999998</v>
      </c>
      <c r="B458" s="5">
        <v>4.1029999999999998</v>
      </c>
      <c r="C458" s="1">
        <f>Tabela5[[#This Row],[Alongamento (mm/mm)]]/$I$2</f>
        <v>8.2059999999999994E-2</v>
      </c>
      <c r="D458" s="5">
        <v>370.48</v>
      </c>
      <c r="E458" s="1">
        <f>Tabela5[[#This Row],[Força (N)]]/$I$5</f>
        <v>8810002.8060363084</v>
      </c>
      <c r="F458" s="1">
        <f>Tabela5[[#This Row],[Tensão (Pa)]]/1000000</f>
        <v>8.8100028060363087</v>
      </c>
    </row>
    <row r="459" spans="1:6" x14ac:dyDescent="0.3">
      <c r="A459" s="5">
        <v>49.433</v>
      </c>
      <c r="B459" s="5">
        <v>4.1113999999999997</v>
      </c>
      <c r="C459" s="1">
        <f>Tabela5[[#This Row],[Alongamento (mm/mm)]]/$I$2</f>
        <v>8.2227999999999996E-2</v>
      </c>
      <c r="D459" s="5">
        <v>373.54</v>
      </c>
      <c r="E459" s="1">
        <f>Tabela5[[#This Row],[Força (N)]]/$I$5</f>
        <v>8882769.5102753248</v>
      </c>
      <c r="F459" s="1">
        <f>Tabela5[[#This Row],[Tensão (Pa)]]/1000000</f>
        <v>8.8827695102753257</v>
      </c>
    </row>
    <row r="460" spans="1:6" x14ac:dyDescent="0.3">
      <c r="A460" s="5">
        <v>49.533000000000001</v>
      </c>
      <c r="B460" s="5">
        <v>4.1197999999999997</v>
      </c>
      <c r="C460" s="1">
        <f>Tabela5[[#This Row],[Alongamento (mm/mm)]]/$I$2</f>
        <v>8.2395999999999997E-2</v>
      </c>
      <c r="D460" s="5">
        <v>376.6</v>
      </c>
      <c r="E460" s="1">
        <f>Tabela5[[#This Row],[Força (N)]]/$I$5</f>
        <v>8955536.2145143431</v>
      </c>
      <c r="F460" s="1">
        <f>Tabela5[[#This Row],[Tensão (Pa)]]/1000000</f>
        <v>8.9555362145143427</v>
      </c>
    </row>
    <row r="461" spans="1:6" x14ac:dyDescent="0.3">
      <c r="A461" s="5">
        <v>49.616999999999997</v>
      </c>
      <c r="B461" s="5">
        <v>4.1266999999999996</v>
      </c>
      <c r="C461" s="1">
        <f>Tabela5[[#This Row],[Alongamento (mm/mm)]]/$I$2</f>
        <v>8.2533999999999996E-2</v>
      </c>
      <c r="D461" s="5">
        <v>379.32</v>
      </c>
      <c r="E461" s="1">
        <f>Tabela5[[#This Row],[Força (N)]]/$I$5</f>
        <v>9020217.7293934692</v>
      </c>
      <c r="F461" s="1">
        <f>Tabela5[[#This Row],[Tensão (Pa)]]/1000000</f>
        <v>9.0202177293934689</v>
      </c>
    </row>
    <row r="462" spans="1:6" x14ac:dyDescent="0.3">
      <c r="A462" s="5">
        <v>49.716999999999999</v>
      </c>
      <c r="B462" s="5">
        <v>4.1349999999999998</v>
      </c>
      <c r="C462" s="1">
        <f>Tabela5[[#This Row],[Alongamento (mm/mm)]]/$I$2</f>
        <v>8.2699999999999996E-2</v>
      </c>
      <c r="D462" s="5">
        <v>382.38</v>
      </c>
      <c r="E462" s="1">
        <f>Tabela5[[#This Row],[Força (N)]]/$I$5</f>
        <v>9092984.4336324856</v>
      </c>
      <c r="F462" s="1">
        <f>Tabela5[[#This Row],[Tensão (Pa)]]/1000000</f>
        <v>9.0929844336324859</v>
      </c>
    </row>
    <row r="463" spans="1:6" x14ac:dyDescent="0.3">
      <c r="A463" s="5">
        <v>49.8</v>
      </c>
      <c r="B463" s="5">
        <v>4.1420000000000003</v>
      </c>
      <c r="C463" s="1">
        <f>Tabela5[[#This Row],[Alongamento (mm/mm)]]/$I$2</f>
        <v>8.2840000000000011E-2</v>
      </c>
      <c r="D463" s="5">
        <v>385.1</v>
      </c>
      <c r="E463" s="1">
        <f>Tabela5[[#This Row],[Força (N)]]/$I$5</f>
        <v>9157665.9485116135</v>
      </c>
      <c r="F463" s="1">
        <f>Tabela5[[#This Row],[Tensão (Pa)]]/1000000</f>
        <v>9.1576659485116139</v>
      </c>
    </row>
    <row r="464" spans="1:6" x14ac:dyDescent="0.3">
      <c r="A464" s="5">
        <v>49.9</v>
      </c>
      <c r="B464" s="5">
        <v>4.1502999999999997</v>
      </c>
      <c r="C464" s="1">
        <f>Tabela5[[#This Row],[Alongamento (mm/mm)]]/$I$2</f>
        <v>8.3005999999999996E-2</v>
      </c>
      <c r="D464" s="5">
        <v>388.17</v>
      </c>
      <c r="E464" s="1">
        <f>Tabela5[[#This Row],[Força (N)]]/$I$5</f>
        <v>9230670.4524376858</v>
      </c>
      <c r="F464" s="1">
        <f>Tabela5[[#This Row],[Tensão (Pa)]]/1000000</f>
        <v>9.2306704524376855</v>
      </c>
    </row>
    <row r="465" spans="1:6" x14ac:dyDescent="0.3">
      <c r="A465" s="5">
        <v>49.982999999999997</v>
      </c>
      <c r="B465" s="5">
        <v>4.1573000000000002</v>
      </c>
      <c r="C465" s="1">
        <f>Tabela5[[#This Row],[Alongamento (mm/mm)]]/$I$2</f>
        <v>8.3145999999999998E-2</v>
      </c>
      <c r="D465" s="5">
        <v>390.89</v>
      </c>
      <c r="E465" s="1">
        <f>Tabela5[[#This Row],[Força (N)]]/$I$5</f>
        <v>9295351.9673168119</v>
      </c>
      <c r="F465" s="1">
        <f>Tabela5[[#This Row],[Tensão (Pa)]]/1000000</f>
        <v>9.2953519673168117</v>
      </c>
    </row>
    <row r="466" spans="1:6" x14ac:dyDescent="0.3">
      <c r="A466" s="5">
        <v>50.082999999999998</v>
      </c>
      <c r="B466" s="5">
        <v>4.1656000000000004</v>
      </c>
      <c r="C466" s="1">
        <f>Tabela5[[#This Row],[Alongamento (mm/mm)]]/$I$2</f>
        <v>8.3312000000000011E-2</v>
      </c>
      <c r="D466" s="5">
        <v>393.95</v>
      </c>
      <c r="E466" s="1">
        <f>Tabela5[[#This Row],[Força (N)]]/$I$5</f>
        <v>9368118.6715558283</v>
      </c>
      <c r="F466" s="1">
        <f>Tabela5[[#This Row],[Tensão (Pa)]]/1000000</f>
        <v>9.3681186715558287</v>
      </c>
    </row>
    <row r="467" spans="1:6" x14ac:dyDescent="0.3">
      <c r="A467" s="5">
        <v>50.183</v>
      </c>
      <c r="B467" s="5">
        <v>4.1738999999999997</v>
      </c>
      <c r="C467" s="1">
        <f>Tabela5[[#This Row],[Alongamento (mm/mm)]]/$I$2</f>
        <v>8.3477999999999997E-2</v>
      </c>
      <c r="D467" s="5">
        <v>397.18</v>
      </c>
      <c r="E467" s="1">
        <f>Tabela5[[#This Row],[Força (N)]]/$I$5</f>
        <v>9444927.9704747908</v>
      </c>
      <c r="F467" s="1">
        <f>Tabela5[[#This Row],[Tensão (Pa)]]/1000000</f>
        <v>9.4449279704747902</v>
      </c>
    </row>
    <row r="468" spans="1:6" x14ac:dyDescent="0.3">
      <c r="A468" s="5">
        <v>50.283000000000001</v>
      </c>
      <c r="B468" s="5">
        <v>4.1821999999999999</v>
      </c>
      <c r="C468" s="1">
        <f>Tabela5[[#This Row],[Alongamento (mm/mm)]]/$I$2</f>
        <v>8.3643999999999996E-2</v>
      </c>
      <c r="D468" s="5">
        <v>400.41</v>
      </c>
      <c r="E468" s="1">
        <f>Tabela5[[#This Row],[Força (N)]]/$I$5</f>
        <v>9521737.2693937551</v>
      </c>
      <c r="F468" s="1">
        <f>Tabela5[[#This Row],[Tensão (Pa)]]/1000000</f>
        <v>9.5217372693937552</v>
      </c>
    </row>
    <row r="469" spans="1:6" x14ac:dyDescent="0.3">
      <c r="A469" s="5">
        <v>50.383000000000003</v>
      </c>
      <c r="B469" s="5">
        <v>4.1905999999999999</v>
      </c>
      <c r="C469" s="1">
        <f>Tabela5[[#This Row],[Alongamento (mm/mm)]]/$I$2</f>
        <v>8.3811999999999998E-2</v>
      </c>
      <c r="D469" s="5">
        <v>403.64</v>
      </c>
      <c r="E469" s="1">
        <f>Tabela5[[#This Row],[Força (N)]]/$I$5</f>
        <v>9598546.5683127157</v>
      </c>
      <c r="F469" s="1">
        <f>Tabela5[[#This Row],[Tensão (Pa)]]/1000000</f>
        <v>9.5985465683127149</v>
      </c>
    </row>
    <row r="470" spans="1:6" x14ac:dyDescent="0.3">
      <c r="A470" s="5">
        <v>50.482999999999997</v>
      </c>
      <c r="B470" s="5">
        <v>4.1989000000000001</v>
      </c>
      <c r="C470" s="1">
        <f>Tabela5[[#This Row],[Alongamento (mm/mm)]]/$I$2</f>
        <v>8.3977999999999997E-2</v>
      </c>
      <c r="D470" s="5">
        <v>406.88</v>
      </c>
      <c r="E470" s="1">
        <f>Tabela5[[#This Row],[Força (N)]]/$I$5</f>
        <v>9675593.6669187341</v>
      </c>
      <c r="F470" s="1">
        <f>Tabela5[[#This Row],[Tensão (Pa)]]/1000000</f>
        <v>9.6755936669187346</v>
      </c>
    </row>
    <row r="471" spans="1:6" x14ac:dyDescent="0.3">
      <c r="A471" s="5">
        <v>50.582999999999998</v>
      </c>
      <c r="B471" s="5">
        <v>4.2072000000000003</v>
      </c>
      <c r="C471" s="1">
        <f>Tabela5[[#This Row],[Alongamento (mm/mm)]]/$I$2</f>
        <v>8.414400000000001E-2</v>
      </c>
      <c r="D471" s="5">
        <v>410.11</v>
      </c>
      <c r="E471" s="1">
        <f>Tabela5[[#This Row],[Força (N)]]/$I$5</f>
        <v>9752402.9658376984</v>
      </c>
      <c r="F471" s="1">
        <f>Tabela5[[#This Row],[Tensão (Pa)]]/1000000</f>
        <v>9.7524029658376978</v>
      </c>
    </row>
    <row r="472" spans="1:6" x14ac:dyDescent="0.3">
      <c r="A472" s="5">
        <v>50.683</v>
      </c>
      <c r="B472" s="5">
        <v>4.2154999999999996</v>
      </c>
      <c r="C472" s="1">
        <f>Tabela5[[#This Row],[Alongamento (mm/mm)]]/$I$2</f>
        <v>8.4309999999999996E-2</v>
      </c>
      <c r="D472" s="5">
        <v>413.34</v>
      </c>
      <c r="E472" s="1">
        <f>Tabela5[[#This Row],[Força (N)]]/$I$5</f>
        <v>9829212.264756659</v>
      </c>
      <c r="F472" s="1">
        <f>Tabela5[[#This Row],[Tensão (Pa)]]/1000000</f>
        <v>9.8292122647566593</v>
      </c>
    </row>
    <row r="473" spans="1:6" x14ac:dyDescent="0.3">
      <c r="A473" s="5">
        <v>50.783000000000001</v>
      </c>
      <c r="B473" s="5">
        <v>4.2239000000000004</v>
      </c>
      <c r="C473" s="1">
        <f>Tabela5[[#This Row],[Alongamento (mm/mm)]]/$I$2</f>
        <v>8.4478000000000011E-2</v>
      </c>
      <c r="D473" s="5">
        <v>416.74</v>
      </c>
      <c r="E473" s="1">
        <f>Tabela5[[#This Row],[Força (N)]]/$I$5</f>
        <v>9910064.1583555695</v>
      </c>
      <c r="F473" s="1">
        <f>Tabela5[[#This Row],[Tensão (Pa)]]/1000000</f>
        <v>9.9100641583555689</v>
      </c>
    </row>
    <row r="474" spans="1:6" x14ac:dyDescent="0.3">
      <c r="A474" s="5">
        <v>50.883000000000003</v>
      </c>
      <c r="B474" s="5">
        <v>4.2321999999999997</v>
      </c>
      <c r="C474" s="1">
        <f>Tabela5[[#This Row],[Alongamento (mm/mm)]]/$I$2</f>
        <v>8.4643999999999997E-2</v>
      </c>
      <c r="D474" s="5">
        <v>420.14</v>
      </c>
      <c r="E474" s="1">
        <f>Tabela5[[#This Row],[Força (N)]]/$I$5</f>
        <v>9990916.0519544762</v>
      </c>
      <c r="F474" s="1">
        <f>Tabela5[[#This Row],[Tensão (Pa)]]/1000000</f>
        <v>9.9909160519544766</v>
      </c>
    </row>
    <row r="475" spans="1:6" x14ac:dyDescent="0.3">
      <c r="A475" s="5">
        <v>50.982999999999997</v>
      </c>
      <c r="B475" s="5">
        <v>4.2405999999999997</v>
      </c>
      <c r="C475" s="1">
        <f>Tabela5[[#This Row],[Alongamento (mm/mm)]]/$I$2</f>
        <v>8.4811999999999999E-2</v>
      </c>
      <c r="D475" s="5">
        <v>423.38</v>
      </c>
      <c r="E475" s="1">
        <f>Tabela5[[#This Row],[Força (N)]]/$I$5</f>
        <v>10067963.150560495</v>
      </c>
      <c r="F475" s="1">
        <f>Tabela5[[#This Row],[Tensão (Pa)]]/1000000</f>
        <v>10.067963150560495</v>
      </c>
    </row>
    <row r="476" spans="1:6" x14ac:dyDescent="0.3">
      <c r="A476" s="5">
        <v>51.082999999999998</v>
      </c>
      <c r="B476" s="5">
        <v>4.2488000000000001</v>
      </c>
      <c r="C476" s="1">
        <f>Tabela5[[#This Row],[Alongamento (mm/mm)]]/$I$2</f>
        <v>8.4975999999999996E-2</v>
      </c>
      <c r="D476" s="5">
        <v>426.61</v>
      </c>
      <c r="E476" s="1">
        <f>Tabela5[[#This Row],[Força (N)]]/$I$5</f>
        <v>10144772.449479457</v>
      </c>
      <c r="F476" s="1">
        <f>Tabela5[[#This Row],[Tensão (Pa)]]/1000000</f>
        <v>10.144772449479458</v>
      </c>
    </row>
    <row r="477" spans="1:6" x14ac:dyDescent="0.3">
      <c r="A477" s="5">
        <v>51.183</v>
      </c>
      <c r="B477" s="5">
        <v>4.2572000000000001</v>
      </c>
      <c r="C477" s="1">
        <f>Tabela5[[#This Row],[Alongamento (mm/mm)]]/$I$2</f>
        <v>8.5143999999999997E-2</v>
      </c>
      <c r="D477" s="5">
        <v>429.84</v>
      </c>
      <c r="E477" s="1">
        <f>Tabela5[[#This Row],[Força (N)]]/$I$5</f>
        <v>10221581.748398419</v>
      </c>
      <c r="F477" s="1">
        <f>Tabela5[[#This Row],[Tensão (Pa)]]/1000000</f>
        <v>10.221581748398419</v>
      </c>
    </row>
    <row r="478" spans="1:6" x14ac:dyDescent="0.3">
      <c r="A478" s="5">
        <v>51.283000000000001</v>
      </c>
      <c r="B478" s="5">
        <v>4.2656000000000001</v>
      </c>
      <c r="C478" s="1">
        <f>Tabela5[[#This Row],[Alongamento (mm/mm)]]/$I$2</f>
        <v>8.5311999999999999E-2</v>
      </c>
      <c r="D478" s="5">
        <v>433.24</v>
      </c>
      <c r="E478" s="1">
        <f>Tabela5[[#This Row],[Força (N)]]/$I$5</f>
        <v>10302433.641997328</v>
      </c>
      <c r="F478" s="1">
        <f>Tabela5[[#This Row],[Tensão (Pa)]]/1000000</f>
        <v>10.302433641997329</v>
      </c>
    </row>
    <row r="479" spans="1:6" x14ac:dyDescent="0.3">
      <c r="A479" s="5">
        <v>51.383000000000003</v>
      </c>
      <c r="B479" s="5">
        <v>4.2739000000000003</v>
      </c>
      <c r="C479" s="1">
        <f>Tabela5[[#This Row],[Alongamento (mm/mm)]]/$I$2</f>
        <v>8.5477999999999998E-2</v>
      </c>
      <c r="D479" s="5">
        <v>436.47</v>
      </c>
      <c r="E479" s="1">
        <f>Tabela5[[#This Row],[Força (N)]]/$I$5</f>
        <v>10379242.940916291</v>
      </c>
      <c r="F479" s="1">
        <f>Tabela5[[#This Row],[Tensão (Pa)]]/1000000</f>
        <v>10.37924294091629</v>
      </c>
    </row>
    <row r="480" spans="1:6" x14ac:dyDescent="0.3">
      <c r="A480" s="5">
        <v>51.5</v>
      </c>
      <c r="B480" s="5">
        <v>4.2835999999999999</v>
      </c>
      <c r="C480" s="1">
        <f>Tabela5[[#This Row],[Alongamento (mm/mm)]]/$I$2</f>
        <v>8.5671999999999998E-2</v>
      </c>
      <c r="D480" s="5">
        <v>440.22</v>
      </c>
      <c r="E480" s="1">
        <f>Tabela5[[#This Row],[Força (N)]]/$I$5</f>
        <v>10468417.823562145</v>
      </c>
      <c r="F480" s="1">
        <f>Tabela5[[#This Row],[Tensão (Pa)]]/1000000</f>
        <v>10.468417823562145</v>
      </c>
    </row>
    <row r="481" spans="1:6" x14ac:dyDescent="0.3">
      <c r="A481" s="5">
        <v>51.616999999999997</v>
      </c>
      <c r="B481" s="5">
        <v>4.2933000000000003</v>
      </c>
      <c r="C481" s="1">
        <f>Tabela5[[#This Row],[Alongamento (mm/mm)]]/$I$2</f>
        <v>8.5866000000000012E-2</v>
      </c>
      <c r="D481" s="5">
        <v>443.96</v>
      </c>
      <c r="E481" s="1">
        <f>Tabela5[[#This Row],[Força (N)]]/$I$5</f>
        <v>10557354.906520944</v>
      </c>
      <c r="F481" s="1">
        <f>Tabela5[[#This Row],[Tensão (Pa)]]/1000000</f>
        <v>10.557354906520944</v>
      </c>
    </row>
    <row r="482" spans="1:6" x14ac:dyDescent="0.3">
      <c r="A482" s="5">
        <v>51.716999999999999</v>
      </c>
      <c r="B482" s="5">
        <v>4.3017000000000003</v>
      </c>
      <c r="C482" s="1">
        <f>Tabela5[[#This Row],[Alongamento (mm/mm)]]/$I$2</f>
        <v>8.6033999999999999E-2</v>
      </c>
      <c r="D482" s="5">
        <v>447.36</v>
      </c>
      <c r="E482" s="1">
        <f>Tabela5[[#This Row],[Força (N)]]/$I$5</f>
        <v>10638206.800119853</v>
      </c>
      <c r="F482" s="1">
        <f>Tabela5[[#This Row],[Tensão (Pa)]]/1000000</f>
        <v>10.638206800119853</v>
      </c>
    </row>
    <row r="483" spans="1:6" x14ac:dyDescent="0.3">
      <c r="A483" s="5">
        <v>51.832999999999998</v>
      </c>
      <c r="B483" s="5">
        <v>4.3113999999999999</v>
      </c>
      <c r="C483" s="1">
        <f>Tabela5[[#This Row],[Alongamento (mm/mm)]]/$I$2</f>
        <v>8.6227999999999999E-2</v>
      </c>
      <c r="D483" s="5">
        <v>451.1</v>
      </c>
      <c r="E483" s="1">
        <f>Tabela5[[#This Row],[Força (N)]]/$I$5</f>
        <v>10727143.883078652</v>
      </c>
      <c r="F483" s="1">
        <f>Tabela5[[#This Row],[Tensão (Pa)]]/1000000</f>
        <v>10.727143883078652</v>
      </c>
    </row>
    <row r="484" spans="1:6" x14ac:dyDescent="0.3">
      <c r="A484" s="5">
        <v>51.933</v>
      </c>
      <c r="B484" s="5">
        <v>4.3197999999999999</v>
      </c>
      <c r="C484" s="1">
        <f>Tabela5[[#This Row],[Alongamento (mm/mm)]]/$I$2</f>
        <v>8.6396000000000001E-2</v>
      </c>
      <c r="D484" s="5">
        <v>454.5</v>
      </c>
      <c r="E484" s="1">
        <f>Tabela5[[#This Row],[Força (N)]]/$I$5</f>
        <v>10807995.776677558</v>
      </c>
      <c r="F484" s="1">
        <f>Tabela5[[#This Row],[Tensão (Pa)]]/1000000</f>
        <v>10.807995776677558</v>
      </c>
    </row>
    <row r="485" spans="1:6" x14ac:dyDescent="0.3">
      <c r="A485" s="5">
        <v>52.033000000000001</v>
      </c>
      <c r="B485" s="5">
        <v>4.3281000000000001</v>
      </c>
      <c r="C485" s="1">
        <f>Tabela5[[#This Row],[Alongamento (mm/mm)]]/$I$2</f>
        <v>8.6562E-2</v>
      </c>
      <c r="D485" s="5">
        <v>457.91</v>
      </c>
      <c r="E485" s="1">
        <f>Tabela5[[#This Row],[Força (N)]]/$I$5</f>
        <v>10889085.469963523</v>
      </c>
      <c r="F485" s="1">
        <f>Tabela5[[#This Row],[Tensão (Pa)]]/1000000</f>
        <v>10.889085469963522</v>
      </c>
    </row>
    <row r="486" spans="1:6" x14ac:dyDescent="0.3">
      <c r="A486" s="5">
        <v>52.133000000000003</v>
      </c>
      <c r="B486" s="5">
        <v>4.3364000000000003</v>
      </c>
      <c r="C486" s="1">
        <f>Tabela5[[#This Row],[Alongamento (mm/mm)]]/$I$2</f>
        <v>8.6728E-2</v>
      </c>
      <c r="D486" s="5">
        <v>461.31</v>
      </c>
      <c r="E486" s="1">
        <f>Tabela5[[#This Row],[Força (N)]]/$I$5</f>
        <v>10969937.363562431</v>
      </c>
      <c r="F486" s="1">
        <f>Tabela5[[#This Row],[Tensão (Pa)]]/1000000</f>
        <v>10.969937363562432</v>
      </c>
    </row>
    <row r="487" spans="1:6" x14ac:dyDescent="0.3">
      <c r="A487" s="5">
        <v>52.232999999999997</v>
      </c>
      <c r="B487" s="5">
        <v>4.3448000000000002</v>
      </c>
      <c r="C487" s="1">
        <f>Tabela5[[#This Row],[Alongamento (mm/mm)]]/$I$2</f>
        <v>8.6896000000000001E-2</v>
      </c>
      <c r="D487" s="5">
        <v>464.71</v>
      </c>
      <c r="E487" s="1">
        <f>Tabela5[[#This Row],[Força (N)]]/$I$5</f>
        <v>11050789.257161338</v>
      </c>
      <c r="F487" s="1">
        <f>Tabela5[[#This Row],[Tensão (Pa)]]/1000000</f>
        <v>11.050789257161338</v>
      </c>
    </row>
    <row r="488" spans="1:6" x14ac:dyDescent="0.3">
      <c r="A488" s="5">
        <v>52.332999999999998</v>
      </c>
      <c r="B488" s="5">
        <v>4.3531000000000004</v>
      </c>
      <c r="C488" s="1">
        <f>Tabela5[[#This Row],[Alongamento (mm/mm)]]/$I$2</f>
        <v>8.7062000000000014E-2</v>
      </c>
      <c r="D488" s="5">
        <v>468.11</v>
      </c>
      <c r="E488" s="1">
        <f>Tabela5[[#This Row],[Força (N)]]/$I$5</f>
        <v>11131641.150760246</v>
      </c>
      <c r="F488" s="1">
        <f>Tabela5[[#This Row],[Tensão (Pa)]]/1000000</f>
        <v>11.131641150760247</v>
      </c>
    </row>
    <row r="489" spans="1:6" x14ac:dyDescent="0.3">
      <c r="A489" s="5">
        <v>52.433</v>
      </c>
      <c r="B489" s="5">
        <v>4.3613</v>
      </c>
      <c r="C489" s="1">
        <f>Tabela5[[#This Row],[Alongamento (mm/mm)]]/$I$2</f>
        <v>8.7225999999999998E-2</v>
      </c>
      <c r="D489" s="5">
        <v>471.51</v>
      </c>
      <c r="E489" s="1">
        <f>Tabela5[[#This Row],[Força (N)]]/$I$5</f>
        <v>11212493.044359155</v>
      </c>
      <c r="F489" s="1">
        <f>Tabela5[[#This Row],[Tensão (Pa)]]/1000000</f>
        <v>11.212493044359155</v>
      </c>
    </row>
    <row r="490" spans="1:6" x14ac:dyDescent="0.3">
      <c r="A490" s="5">
        <v>52.533000000000001</v>
      </c>
      <c r="B490" s="5">
        <v>4.3697999999999997</v>
      </c>
      <c r="C490" s="1">
        <f>Tabela5[[#This Row],[Alongamento (mm/mm)]]/$I$2</f>
        <v>8.7395999999999988E-2</v>
      </c>
      <c r="D490" s="5">
        <v>474.92</v>
      </c>
      <c r="E490" s="1">
        <f>Tabela5[[#This Row],[Força (N)]]/$I$5</f>
        <v>11293582.737645118</v>
      </c>
      <c r="F490" s="1">
        <f>Tabela5[[#This Row],[Tensão (Pa)]]/1000000</f>
        <v>11.293582737645117</v>
      </c>
    </row>
    <row r="491" spans="1:6" x14ac:dyDescent="0.3">
      <c r="A491" s="5">
        <v>52.633000000000003</v>
      </c>
      <c r="B491" s="5">
        <v>4.3780000000000001</v>
      </c>
      <c r="C491" s="1">
        <f>Tabela5[[#This Row],[Alongamento (mm/mm)]]/$I$2</f>
        <v>8.7559999999999999E-2</v>
      </c>
      <c r="D491" s="5">
        <v>478.32</v>
      </c>
      <c r="E491" s="1">
        <f>Tabela5[[#This Row],[Força (N)]]/$I$5</f>
        <v>11374434.631244026</v>
      </c>
      <c r="F491" s="1">
        <f>Tabela5[[#This Row],[Tensão (Pa)]]/1000000</f>
        <v>11.374434631244027</v>
      </c>
    </row>
    <row r="492" spans="1:6" x14ac:dyDescent="0.3">
      <c r="A492" s="5">
        <v>52.732999999999997</v>
      </c>
      <c r="B492" s="5">
        <v>4.3864000000000001</v>
      </c>
      <c r="C492" s="1">
        <f>Tabela5[[#This Row],[Alongamento (mm/mm)]]/$I$2</f>
        <v>8.7728E-2</v>
      </c>
      <c r="D492" s="5">
        <v>481.72</v>
      </c>
      <c r="E492" s="1">
        <f>Tabela5[[#This Row],[Força (N)]]/$I$5</f>
        <v>11455286.524842935</v>
      </c>
      <c r="F492" s="1">
        <f>Tabela5[[#This Row],[Tensão (Pa)]]/1000000</f>
        <v>11.455286524842935</v>
      </c>
    </row>
    <row r="493" spans="1:6" x14ac:dyDescent="0.3">
      <c r="A493" s="5">
        <v>52.85</v>
      </c>
      <c r="B493" s="5">
        <v>4.3962000000000003</v>
      </c>
      <c r="C493" s="1">
        <f>Tabela5[[#This Row],[Alongamento (mm/mm)]]/$I$2</f>
        <v>8.7924000000000002E-2</v>
      </c>
      <c r="D493" s="5">
        <v>485.63</v>
      </c>
      <c r="E493" s="1">
        <f>Tabela5[[#This Row],[Força (N)]]/$I$5</f>
        <v>11548266.202481678</v>
      </c>
      <c r="F493" s="1">
        <f>Tabela5[[#This Row],[Tensão (Pa)]]/1000000</f>
        <v>11.548266202481678</v>
      </c>
    </row>
    <row r="494" spans="1:6" x14ac:dyDescent="0.3">
      <c r="A494" s="5">
        <v>52.966999999999999</v>
      </c>
      <c r="B494" s="5">
        <v>4.4058000000000002</v>
      </c>
      <c r="C494" s="1">
        <f>Tabela5[[#This Row],[Alongamento (mm/mm)]]/$I$2</f>
        <v>8.8116E-2</v>
      </c>
      <c r="D494" s="5">
        <v>489.54</v>
      </c>
      <c r="E494" s="1">
        <f>Tabela5[[#This Row],[Força (N)]]/$I$5</f>
        <v>11641245.880120423</v>
      </c>
      <c r="F494" s="1">
        <f>Tabela5[[#This Row],[Tensão (Pa)]]/1000000</f>
        <v>11.641245880120422</v>
      </c>
    </row>
    <row r="495" spans="1:6" x14ac:dyDescent="0.3">
      <c r="A495" s="5">
        <v>53.082999999999998</v>
      </c>
      <c r="B495" s="5">
        <v>4.4156000000000004</v>
      </c>
      <c r="C495" s="1">
        <f>Tabela5[[#This Row],[Alongamento (mm/mm)]]/$I$2</f>
        <v>8.8312000000000002E-2</v>
      </c>
      <c r="D495" s="5">
        <v>493.46</v>
      </c>
      <c r="E495" s="1">
        <f>Tabela5[[#This Row],[Força (N)]]/$I$5</f>
        <v>11734463.357446222</v>
      </c>
      <c r="F495" s="1">
        <f>Tabela5[[#This Row],[Tensão (Pa)]]/1000000</f>
        <v>11.734463357446222</v>
      </c>
    </row>
    <row r="496" spans="1:6" x14ac:dyDescent="0.3">
      <c r="A496" s="5">
        <v>53.2</v>
      </c>
      <c r="B496" s="5">
        <v>4.4253</v>
      </c>
      <c r="C496" s="1">
        <f>Tabela5[[#This Row],[Alongamento (mm/mm)]]/$I$2</f>
        <v>8.8506000000000001E-2</v>
      </c>
      <c r="D496" s="5">
        <v>497.54</v>
      </c>
      <c r="E496" s="1">
        <f>Tabela5[[#This Row],[Força (N)]]/$I$5</f>
        <v>11831485.629764913</v>
      </c>
      <c r="F496" s="1">
        <f>Tabela5[[#This Row],[Tensão (Pa)]]/1000000</f>
        <v>11.831485629764913</v>
      </c>
    </row>
    <row r="497" spans="1:6" x14ac:dyDescent="0.3">
      <c r="A497" s="5">
        <v>53.317</v>
      </c>
      <c r="B497" s="5">
        <v>4.4349999999999996</v>
      </c>
      <c r="C497" s="1">
        <f>Tabela5[[#This Row],[Alongamento (mm/mm)]]/$I$2</f>
        <v>8.8699999999999987E-2</v>
      </c>
      <c r="D497" s="5">
        <v>501.45</v>
      </c>
      <c r="E497" s="1">
        <f>Tabela5[[#This Row],[Força (N)]]/$I$5</f>
        <v>11924465.307403656</v>
      </c>
      <c r="F497" s="1">
        <f>Tabela5[[#This Row],[Tensão (Pa)]]/1000000</f>
        <v>11.924465307403656</v>
      </c>
    </row>
    <row r="498" spans="1:6" x14ac:dyDescent="0.3">
      <c r="A498" s="5">
        <v>53.433</v>
      </c>
      <c r="B498" s="5">
        <v>4.4447000000000001</v>
      </c>
      <c r="C498" s="1">
        <f>Tabela5[[#This Row],[Alongamento (mm/mm)]]/$I$2</f>
        <v>8.8894000000000001E-2</v>
      </c>
      <c r="D498" s="5">
        <v>505.53</v>
      </c>
      <c r="E498" s="1">
        <f>Tabela5[[#This Row],[Força (N)]]/$I$5</f>
        <v>12021487.579722345</v>
      </c>
      <c r="F498" s="1">
        <f>Tabela5[[#This Row],[Tensão (Pa)]]/1000000</f>
        <v>12.021487579722345</v>
      </c>
    </row>
    <row r="499" spans="1:6" x14ac:dyDescent="0.3">
      <c r="A499" s="5">
        <v>53.55</v>
      </c>
      <c r="B499" s="5">
        <v>4.4545000000000003</v>
      </c>
      <c r="C499" s="1">
        <f>Tabela5[[#This Row],[Alongamento (mm/mm)]]/$I$2</f>
        <v>8.9090000000000003E-2</v>
      </c>
      <c r="D499" s="5">
        <v>509.45</v>
      </c>
      <c r="E499" s="1">
        <f>Tabela5[[#This Row],[Força (N)]]/$I$5</f>
        <v>12114705.057048146</v>
      </c>
      <c r="F499" s="1">
        <f>Tabela5[[#This Row],[Tensão (Pa)]]/1000000</f>
        <v>12.114705057048146</v>
      </c>
    </row>
    <row r="500" spans="1:6" x14ac:dyDescent="0.3">
      <c r="A500" s="5">
        <v>53.667000000000002</v>
      </c>
      <c r="B500" s="5">
        <v>4.4641999999999999</v>
      </c>
      <c r="C500" s="1">
        <f>Tabela5[[#This Row],[Alongamento (mm/mm)]]/$I$2</f>
        <v>8.9284000000000002E-2</v>
      </c>
      <c r="D500" s="5">
        <v>513.53</v>
      </c>
      <c r="E500" s="1">
        <f>Tabela5[[#This Row],[Força (N)]]/$I$5</f>
        <v>12211727.329366835</v>
      </c>
      <c r="F500" s="1">
        <f>Tabela5[[#This Row],[Tensão (Pa)]]/1000000</f>
        <v>12.211727329366834</v>
      </c>
    </row>
    <row r="501" spans="1:6" x14ac:dyDescent="0.3">
      <c r="A501" s="5">
        <v>53.783000000000001</v>
      </c>
      <c r="B501" s="5">
        <v>4.4739000000000004</v>
      </c>
      <c r="C501" s="1">
        <f>Tabela5[[#This Row],[Alongamento (mm/mm)]]/$I$2</f>
        <v>8.9478000000000002E-2</v>
      </c>
      <c r="D501" s="5">
        <v>517.44000000000005</v>
      </c>
      <c r="E501" s="1">
        <f>Tabela5[[#This Row],[Força (N)]]/$I$5</f>
        <v>12304707.007005582</v>
      </c>
      <c r="F501" s="1">
        <f>Tabela5[[#This Row],[Tensão (Pa)]]/1000000</f>
        <v>12.304707007005582</v>
      </c>
    </row>
    <row r="502" spans="1:6" x14ac:dyDescent="0.3">
      <c r="A502" s="5">
        <v>53.9</v>
      </c>
      <c r="B502" s="5">
        <v>4.4836</v>
      </c>
      <c r="C502" s="1">
        <f>Tabela5[[#This Row],[Alongamento (mm/mm)]]/$I$2</f>
        <v>8.9672000000000002E-2</v>
      </c>
      <c r="D502" s="5">
        <v>521.52</v>
      </c>
      <c r="E502" s="1">
        <f>Tabela5[[#This Row],[Força (N)]]/$I$5</f>
        <v>12401729.279324269</v>
      </c>
      <c r="F502" s="1">
        <f>Tabela5[[#This Row],[Tensão (Pa)]]/1000000</f>
        <v>12.401729279324268</v>
      </c>
    </row>
    <row r="503" spans="1:6" x14ac:dyDescent="0.3">
      <c r="A503" s="5">
        <v>54.017000000000003</v>
      </c>
      <c r="B503" s="5">
        <v>4.4934000000000003</v>
      </c>
      <c r="C503" s="1">
        <f>Tabela5[[#This Row],[Alongamento (mm/mm)]]/$I$2</f>
        <v>8.9868000000000003E-2</v>
      </c>
      <c r="D503" s="5">
        <v>525.61</v>
      </c>
      <c r="E503" s="1">
        <f>Tabela5[[#This Row],[Força (N)]]/$I$5</f>
        <v>12498989.351330016</v>
      </c>
      <c r="F503" s="1">
        <f>Tabela5[[#This Row],[Tensão (Pa)]]/1000000</f>
        <v>12.498989351330016</v>
      </c>
    </row>
    <row r="504" spans="1:6" x14ac:dyDescent="0.3">
      <c r="A504" s="5">
        <v>54.133000000000003</v>
      </c>
      <c r="B504" s="5">
        <v>4.5030999999999999</v>
      </c>
      <c r="C504" s="1">
        <f>Tabela5[[#This Row],[Alongamento (mm/mm)]]/$I$2</f>
        <v>9.0062000000000003E-2</v>
      </c>
      <c r="D504" s="5">
        <v>529.69000000000005</v>
      </c>
      <c r="E504" s="1">
        <f>Tabela5[[#This Row],[Força (N)]]/$I$5</f>
        <v>12596011.623648705</v>
      </c>
      <c r="F504" s="1">
        <f>Tabela5[[#This Row],[Tensão (Pa)]]/1000000</f>
        <v>12.596011623648705</v>
      </c>
    </row>
    <row r="505" spans="1:6" x14ac:dyDescent="0.3">
      <c r="A505" s="5">
        <v>54.25</v>
      </c>
      <c r="B505" s="5">
        <v>4.5128000000000004</v>
      </c>
      <c r="C505" s="1">
        <f>Tabela5[[#This Row],[Alongamento (mm/mm)]]/$I$2</f>
        <v>9.0256000000000003E-2</v>
      </c>
      <c r="D505" s="5">
        <v>533.77</v>
      </c>
      <c r="E505" s="1">
        <f>Tabela5[[#This Row],[Força (N)]]/$I$5</f>
        <v>12693033.895967394</v>
      </c>
      <c r="F505" s="1">
        <f>Tabela5[[#This Row],[Tensão (Pa)]]/1000000</f>
        <v>12.693033895967394</v>
      </c>
    </row>
    <row r="506" spans="1:6" x14ac:dyDescent="0.3">
      <c r="A506" s="5">
        <v>54.366999999999997</v>
      </c>
      <c r="B506" s="5">
        <v>4.5225</v>
      </c>
      <c r="C506" s="1">
        <f>Tabela5[[#This Row],[Alongamento (mm/mm)]]/$I$2</f>
        <v>9.0450000000000003E-2</v>
      </c>
      <c r="D506" s="5">
        <v>538.02</v>
      </c>
      <c r="E506" s="1">
        <f>Tabela5[[#This Row],[Força (N)]]/$I$5</f>
        <v>12794098.762966029</v>
      </c>
      <c r="F506" s="1">
        <f>Tabela5[[#This Row],[Tensão (Pa)]]/1000000</f>
        <v>12.79409876296603</v>
      </c>
    </row>
    <row r="507" spans="1:6" x14ac:dyDescent="0.3">
      <c r="A507" s="5">
        <v>54.482999999999997</v>
      </c>
      <c r="B507" s="5">
        <v>4.5321999999999996</v>
      </c>
      <c r="C507" s="1">
        <f>Tabela5[[#This Row],[Alongamento (mm/mm)]]/$I$2</f>
        <v>9.0643999999999988E-2</v>
      </c>
      <c r="D507" s="5">
        <v>542.1</v>
      </c>
      <c r="E507" s="1">
        <f>Tabela5[[#This Row],[Força (N)]]/$I$5</f>
        <v>12891121.035284718</v>
      </c>
      <c r="F507" s="1">
        <f>Tabela5[[#This Row],[Tensão (Pa)]]/1000000</f>
        <v>12.891121035284719</v>
      </c>
    </row>
    <row r="508" spans="1:6" x14ac:dyDescent="0.3">
      <c r="A508" s="5">
        <v>54.6</v>
      </c>
      <c r="B508" s="5">
        <v>4.5419</v>
      </c>
      <c r="C508" s="1">
        <f>Tabela5[[#This Row],[Alongamento (mm/mm)]]/$I$2</f>
        <v>9.0838000000000002E-2</v>
      </c>
      <c r="D508" s="5">
        <v>546.36</v>
      </c>
      <c r="E508" s="1">
        <f>Tabela5[[#This Row],[Força (N)]]/$I$5</f>
        <v>12992423.70197041</v>
      </c>
      <c r="F508" s="1">
        <f>Tabela5[[#This Row],[Tensão (Pa)]]/1000000</f>
        <v>12.992423701970409</v>
      </c>
    </row>
    <row r="509" spans="1:6" x14ac:dyDescent="0.3">
      <c r="A509" s="5">
        <v>54.716999999999999</v>
      </c>
      <c r="B509" s="5">
        <v>4.5517000000000003</v>
      </c>
      <c r="C509" s="1">
        <f>Tabela5[[#This Row],[Alongamento (mm/mm)]]/$I$2</f>
        <v>9.1034000000000004E-2</v>
      </c>
      <c r="D509" s="5">
        <v>550.44000000000005</v>
      </c>
      <c r="E509" s="1">
        <f>Tabela5[[#This Row],[Força (N)]]/$I$5</f>
        <v>13089445.974289101</v>
      </c>
      <c r="F509" s="1">
        <f>Tabela5[[#This Row],[Tensão (Pa)]]/1000000</f>
        <v>13.089445974289101</v>
      </c>
    </row>
    <row r="510" spans="1:6" x14ac:dyDescent="0.3">
      <c r="A510" s="5">
        <v>54.832999999999998</v>
      </c>
      <c r="B510" s="5">
        <v>4.5613999999999999</v>
      </c>
      <c r="C510" s="1">
        <f>Tabela5[[#This Row],[Alongamento (mm/mm)]]/$I$2</f>
        <v>9.1228000000000004E-2</v>
      </c>
      <c r="D510" s="5">
        <v>554.69000000000005</v>
      </c>
      <c r="E510" s="1">
        <f>Tabela5[[#This Row],[Força (N)]]/$I$5</f>
        <v>13190510.841287736</v>
      </c>
      <c r="F510" s="1">
        <f>Tabela5[[#This Row],[Tensão (Pa)]]/1000000</f>
        <v>13.190510841287736</v>
      </c>
    </row>
    <row r="511" spans="1:6" x14ac:dyDescent="0.3">
      <c r="A511" s="5">
        <v>54.95</v>
      </c>
      <c r="B511" s="5">
        <v>4.5711000000000004</v>
      </c>
      <c r="C511" s="1">
        <f>Tabela5[[#This Row],[Alongamento (mm/mm)]]/$I$2</f>
        <v>9.1422000000000003E-2</v>
      </c>
      <c r="D511" s="5">
        <v>558.94000000000005</v>
      </c>
      <c r="E511" s="1">
        <f>Tabela5[[#This Row],[Força (N)]]/$I$5</f>
        <v>13291575.708286371</v>
      </c>
      <c r="F511" s="1">
        <f>Tabela5[[#This Row],[Tensão (Pa)]]/1000000</f>
        <v>13.291575708286372</v>
      </c>
    </row>
    <row r="512" spans="1:6" x14ac:dyDescent="0.3">
      <c r="A512" s="5">
        <v>55.067</v>
      </c>
      <c r="B512" s="5">
        <v>4.5808999999999997</v>
      </c>
      <c r="C512" s="1">
        <f>Tabela5[[#This Row],[Alongamento (mm/mm)]]/$I$2</f>
        <v>9.1617999999999991E-2</v>
      </c>
      <c r="D512" s="5">
        <v>563.20000000000005</v>
      </c>
      <c r="E512" s="1">
        <f>Tabela5[[#This Row],[Força (N)]]/$I$5</f>
        <v>13392878.37497206</v>
      </c>
      <c r="F512" s="1">
        <f>Tabela5[[#This Row],[Tensão (Pa)]]/1000000</f>
        <v>13.39287837497206</v>
      </c>
    </row>
    <row r="513" spans="1:6" x14ac:dyDescent="0.3">
      <c r="A513" s="5">
        <v>55.183</v>
      </c>
      <c r="B513" s="5">
        <v>4.5906000000000002</v>
      </c>
      <c r="C513" s="1">
        <f>Tabela5[[#This Row],[Alongamento (mm/mm)]]/$I$2</f>
        <v>9.1812000000000005E-2</v>
      </c>
      <c r="D513" s="5">
        <v>567.45000000000005</v>
      </c>
      <c r="E513" s="1">
        <f>Tabela5[[#This Row],[Força (N)]]/$I$5</f>
        <v>13493943.241970696</v>
      </c>
      <c r="F513" s="1">
        <f>Tabela5[[#This Row],[Tensão (Pa)]]/1000000</f>
        <v>13.493943241970696</v>
      </c>
    </row>
    <row r="514" spans="1:6" x14ac:dyDescent="0.3">
      <c r="A514" s="5">
        <v>55.3</v>
      </c>
      <c r="B514" s="5">
        <v>4.6002999999999998</v>
      </c>
      <c r="C514" s="1">
        <f>Tabela5[[#This Row],[Alongamento (mm/mm)]]/$I$2</f>
        <v>9.2005999999999991E-2</v>
      </c>
      <c r="D514" s="5">
        <v>571.87</v>
      </c>
      <c r="E514" s="1">
        <f>Tabela5[[#This Row],[Força (N)]]/$I$5</f>
        <v>13599050.703649275</v>
      </c>
      <c r="F514" s="1">
        <f>Tabela5[[#This Row],[Tensão (Pa)]]/1000000</f>
        <v>13.599050703649276</v>
      </c>
    </row>
    <row r="515" spans="1:6" x14ac:dyDescent="0.3">
      <c r="A515" s="5">
        <v>55.433</v>
      </c>
      <c r="B515" s="5">
        <v>4.6113999999999997</v>
      </c>
      <c r="C515" s="1">
        <f>Tabela5[[#This Row],[Alongamento (mm/mm)]]/$I$2</f>
        <v>9.2227999999999991E-2</v>
      </c>
      <c r="D515" s="5">
        <v>576.80999999999995</v>
      </c>
      <c r="E515" s="1">
        <f>Tabela5[[#This Row],[Força (N)]]/$I$5</f>
        <v>13716523.749054747</v>
      </c>
      <c r="F515" s="1">
        <f>Tabela5[[#This Row],[Tensão (Pa)]]/1000000</f>
        <v>13.716523749054748</v>
      </c>
    </row>
    <row r="516" spans="1:6" x14ac:dyDescent="0.3">
      <c r="A516" s="5">
        <v>55.567</v>
      </c>
      <c r="B516" s="5">
        <v>4.6226000000000003</v>
      </c>
      <c r="C516" s="1">
        <f>Tabela5[[#This Row],[Alongamento (mm/mm)]]/$I$2</f>
        <v>9.2452000000000006E-2</v>
      </c>
      <c r="D516" s="5">
        <v>581.74</v>
      </c>
      <c r="E516" s="1">
        <f>Tabela5[[#This Row],[Força (N)]]/$I$5</f>
        <v>13833758.994773164</v>
      </c>
      <c r="F516" s="1">
        <f>Tabela5[[#This Row],[Tensão (Pa)]]/1000000</f>
        <v>13.833758994773165</v>
      </c>
    </row>
    <row r="517" spans="1:6" x14ac:dyDescent="0.3">
      <c r="A517" s="5">
        <v>55.7</v>
      </c>
      <c r="B517" s="5">
        <v>4.6336000000000004</v>
      </c>
      <c r="C517" s="1">
        <f>Tabela5[[#This Row],[Alongamento (mm/mm)]]/$I$2</f>
        <v>9.2672000000000004E-2</v>
      </c>
      <c r="D517" s="5">
        <v>586.66999999999996</v>
      </c>
      <c r="E517" s="1">
        <f>Tabela5[[#This Row],[Força (N)]]/$I$5</f>
        <v>13950994.24049158</v>
      </c>
      <c r="F517" s="1">
        <f>Tabela5[[#This Row],[Tensão (Pa)]]/1000000</f>
        <v>13.95099424049158</v>
      </c>
    </row>
    <row r="518" spans="1:6" x14ac:dyDescent="0.3">
      <c r="A518" s="5">
        <v>55.817</v>
      </c>
      <c r="B518" s="5">
        <v>4.6433999999999997</v>
      </c>
      <c r="C518" s="1">
        <f>Tabela5[[#This Row],[Alongamento (mm/mm)]]/$I$2</f>
        <v>9.2867999999999992E-2</v>
      </c>
      <c r="D518" s="5">
        <v>591.09</v>
      </c>
      <c r="E518" s="1">
        <f>Tabela5[[#This Row],[Força (N)]]/$I$5</f>
        <v>14056101.702170162</v>
      </c>
      <c r="F518" s="1">
        <f>Tabela5[[#This Row],[Tensão (Pa)]]/1000000</f>
        <v>14.056101702170162</v>
      </c>
    </row>
    <row r="519" spans="1:6" x14ac:dyDescent="0.3">
      <c r="A519" s="5">
        <v>55.95</v>
      </c>
      <c r="B519" s="5">
        <v>4.6544999999999996</v>
      </c>
      <c r="C519" s="1">
        <f>Tabela5[[#This Row],[Alongamento (mm/mm)]]/$I$2</f>
        <v>9.3089999999999992E-2</v>
      </c>
      <c r="D519" s="5">
        <v>596.03</v>
      </c>
      <c r="E519" s="1">
        <f>Tabela5[[#This Row],[Força (N)]]/$I$5</f>
        <v>14173574.747575633</v>
      </c>
      <c r="F519" s="1">
        <f>Tabela5[[#This Row],[Tensão (Pa)]]/1000000</f>
        <v>14.173574747575634</v>
      </c>
    </row>
    <row r="520" spans="1:6" x14ac:dyDescent="0.3">
      <c r="A520" s="5">
        <v>56.082999999999998</v>
      </c>
      <c r="B520" s="5">
        <v>4.6656000000000004</v>
      </c>
      <c r="C520" s="1">
        <f>Tabela5[[#This Row],[Alongamento (mm/mm)]]/$I$2</f>
        <v>9.3312000000000006E-2</v>
      </c>
      <c r="D520" s="5">
        <v>600.96</v>
      </c>
      <c r="E520" s="1">
        <f>Tabela5[[#This Row],[Força (N)]]/$I$5</f>
        <v>14290809.993294051</v>
      </c>
      <c r="F520" s="1">
        <f>Tabela5[[#This Row],[Tensão (Pa)]]/1000000</f>
        <v>14.290809993294051</v>
      </c>
    </row>
    <row r="521" spans="1:6" x14ac:dyDescent="0.3">
      <c r="A521" s="5">
        <v>56.2</v>
      </c>
      <c r="B521" s="5">
        <v>4.6753</v>
      </c>
      <c r="C521" s="1">
        <f>Tabela5[[#This Row],[Alongamento (mm/mm)]]/$I$2</f>
        <v>9.3506000000000006E-2</v>
      </c>
      <c r="D521" s="5">
        <v>605.38</v>
      </c>
      <c r="E521" s="1">
        <f>Tabela5[[#This Row],[Força (N)]]/$I$5</f>
        <v>14395917.45497263</v>
      </c>
      <c r="F521" s="1">
        <f>Tabela5[[#This Row],[Tensão (Pa)]]/1000000</f>
        <v>14.395917454972631</v>
      </c>
    </row>
    <row r="522" spans="1:6" x14ac:dyDescent="0.3">
      <c r="A522" s="5">
        <v>56.317</v>
      </c>
      <c r="B522" s="5">
        <v>4.6849999999999996</v>
      </c>
      <c r="C522" s="1">
        <f>Tabela5[[#This Row],[Alongamento (mm/mm)]]/$I$2</f>
        <v>9.3699999999999992E-2</v>
      </c>
      <c r="D522" s="5">
        <v>609.79999999999995</v>
      </c>
      <c r="E522" s="1">
        <f>Tabela5[[#This Row],[Força (N)]]/$I$5</f>
        <v>14501024.91665121</v>
      </c>
      <c r="F522" s="1">
        <f>Tabela5[[#This Row],[Tensão (Pa)]]/1000000</f>
        <v>14.501024916651209</v>
      </c>
    </row>
    <row r="523" spans="1:6" x14ac:dyDescent="0.3">
      <c r="A523" s="5">
        <v>56.45</v>
      </c>
      <c r="B523" s="5">
        <v>4.6962000000000002</v>
      </c>
      <c r="C523" s="1">
        <f>Tabela5[[#This Row],[Alongamento (mm/mm)]]/$I$2</f>
        <v>9.3924000000000007E-2</v>
      </c>
      <c r="D523" s="5">
        <v>614.91</v>
      </c>
      <c r="E523" s="1">
        <f>Tabela5[[#This Row],[Força (N)]]/$I$5</f>
        <v>14622540.556736628</v>
      </c>
      <c r="F523" s="1">
        <f>Tabela5[[#This Row],[Tensão (Pa)]]/1000000</f>
        <v>14.622540556736627</v>
      </c>
    </row>
    <row r="524" spans="1:6" x14ac:dyDescent="0.3">
      <c r="A524" s="5">
        <v>56.582999999999998</v>
      </c>
      <c r="B524" s="5">
        <v>4.7072000000000003</v>
      </c>
      <c r="C524" s="1">
        <f>Tabela5[[#This Row],[Alongamento (mm/mm)]]/$I$2</f>
        <v>9.4144000000000005E-2</v>
      </c>
      <c r="D524" s="5">
        <v>619.84</v>
      </c>
      <c r="E524" s="1">
        <f>Tabela5[[#This Row],[Força (N)]]/$I$5</f>
        <v>14739775.802455045</v>
      </c>
      <c r="F524" s="1">
        <f>Tabela5[[#This Row],[Tensão (Pa)]]/1000000</f>
        <v>14.739775802455044</v>
      </c>
    </row>
    <row r="525" spans="1:6" x14ac:dyDescent="0.3">
      <c r="A525" s="5">
        <v>56.716999999999999</v>
      </c>
      <c r="B525" s="5">
        <v>4.7183000000000002</v>
      </c>
      <c r="C525" s="1">
        <f>Tabela5[[#This Row],[Alongamento (mm/mm)]]/$I$2</f>
        <v>9.4366000000000005E-2</v>
      </c>
      <c r="D525" s="5">
        <v>624.94000000000005</v>
      </c>
      <c r="E525" s="1">
        <f>Tabela5[[#This Row],[Força (N)]]/$I$5</f>
        <v>14861053.642853409</v>
      </c>
      <c r="F525" s="1">
        <f>Tabela5[[#This Row],[Tensão (Pa)]]/1000000</f>
        <v>14.86105364285341</v>
      </c>
    </row>
    <row r="526" spans="1:6" x14ac:dyDescent="0.3">
      <c r="A526" s="5">
        <v>56.85</v>
      </c>
      <c r="B526" s="5">
        <v>4.7294</v>
      </c>
      <c r="C526" s="1">
        <f>Tabela5[[#This Row],[Alongamento (mm/mm)]]/$I$2</f>
        <v>9.4588000000000005E-2</v>
      </c>
      <c r="D526" s="5">
        <v>629.88</v>
      </c>
      <c r="E526" s="1">
        <f>Tabela5[[#This Row],[Força (N)]]/$I$5</f>
        <v>14978526.688258879</v>
      </c>
      <c r="F526" s="1">
        <f>Tabela5[[#This Row],[Tensão (Pa)]]/1000000</f>
        <v>14.97852668825888</v>
      </c>
    </row>
    <row r="527" spans="1:6" x14ac:dyDescent="0.3">
      <c r="A527" s="5">
        <v>56.982999999999997</v>
      </c>
      <c r="B527" s="5">
        <v>4.7405999999999997</v>
      </c>
      <c r="C527" s="1">
        <f>Tabela5[[#This Row],[Alongamento (mm/mm)]]/$I$2</f>
        <v>9.4811999999999994E-2</v>
      </c>
      <c r="D527" s="5">
        <v>634.98</v>
      </c>
      <c r="E527" s="1">
        <f>Tabela5[[#This Row],[Força (N)]]/$I$5</f>
        <v>15099804.528657243</v>
      </c>
      <c r="F527" s="1">
        <f>Tabela5[[#This Row],[Tensão (Pa)]]/1000000</f>
        <v>15.099804528657243</v>
      </c>
    </row>
    <row r="528" spans="1:6" x14ac:dyDescent="0.3">
      <c r="A528" s="5">
        <v>57.116999999999997</v>
      </c>
      <c r="B528" s="5">
        <v>4.7515999999999998</v>
      </c>
      <c r="C528" s="1">
        <f>Tabela5[[#This Row],[Alongamento (mm/mm)]]/$I$2</f>
        <v>9.5031999999999991E-2</v>
      </c>
      <c r="D528" s="5">
        <v>640.08000000000004</v>
      </c>
      <c r="E528" s="1">
        <f>Tabela5[[#This Row],[Força (N)]]/$I$5</f>
        <v>15221082.369055605</v>
      </c>
      <c r="F528" s="1">
        <f>Tabela5[[#This Row],[Tensão (Pa)]]/1000000</f>
        <v>15.221082369055605</v>
      </c>
    </row>
    <row r="529" spans="1:6" x14ac:dyDescent="0.3">
      <c r="A529" s="5">
        <v>57.25</v>
      </c>
      <c r="B529" s="5">
        <v>4.7628000000000004</v>
      </c>
      <c r="C529" s="1">
        <f>Tabela5[[#This Row],[Alongamento (mm/mm)]]/$I$2</f>
        <v>9.5256000000000007E-2</v>
      </c>
      <c r="D529" s="5">
        <v>645.01</v>
      </c>
      <c r="E529" s="1">
        <f>Tabela5[[#This Row],[Força (N)]]/$I$5</f>
        <v>15338317.61477402</v>
      </c>
      <c r="F529" s="1">
        <f>Tabela5[[#This Row],[Tensão (Pa)]]/1000000</f>
        <v>15.33831761477402</v>
      </c>
    </row>
    <row r="530" spans="1:6" x14ac:dyDescent="0.3">
      <c r="A530" s="5">
        <v>57.383000000000003</v>
      </c>
      <c r="B530" s="5">
        <v>4.7739000000000003</v>
      </c>
      <c r="C530" s="1">
        <f>Tabela5[[#This Row],[Alongamento (mm/mm)]]/$I$2</f>
        <v>9.5478000000000007E-2</v>
      </c>
      <c r="D530" s="5">
        <v>649.95000000000005</v>
      </c>
      <c r="E530" s="1">
        <f>Tabela5[[#This Row],[Força (N)]]/$I$5</f>
        <v>15455790.660179494</v>
      </c>
      <c r="F530" s="1">
        <f>Tabela5[[#This Row],[Tensão (Pa)]]/1000000</f>
        <v>15.455790660179494</v>
      </c>
    </row>
    <row r="531" spans="1:6" x14ac:dyDescent="0.3">
      <c r="A531" s="5">
        <v>57.517000000000003</v>
      </c>
      <c r="B531" s="5">
        <v>4.7849000000000004</v>
      </c>
      <c r="C531" s="1">
        <f>Tabela5[[#This Row],[Alongamento (mm/mm)]]/$I$2</f>
        <v>9.5698000000000005E-2</v>
      </c>
      <c r="D531" s="5">
        <v>655.04999999999995</v>
      </c>
      <c r="E531" s="1">
        <f>Tabela5[[#This Row],[Força (N)]]/$I$5</f>
        <v>15577068.500577854</v>
      </c>
      <c r="F531" s="1">
        <f>Tabela5[[#This Row],[Tensão (Pa)]]/1000000</f>
        <v>15.577068500577854</v>
      </c>
    </row>
    <row r="532" spans="1:6" x14ac:dyDescent="0.3">
      <c r="A532" s="5">
        <v>57.667000000000002</v>
      </c>
      <c r="B532" s="5">
        <v>4.7975000000000003</v>
      </c>
      <c r="C532" s="1">
        <f>Tabela5[[#This Row],[Alongamento (mm/mm)]]/$I$2</f>
        <v>9.5950000000000008E-2</v>
      </c>
      <c r="D532" s="5">
        <v>660.66</v>
      </c>
      <c r="E532" s="1">
        <f>Tabela5[[#This Row],[Força (N)]]/$I$5</f>
        <v>15710474.125016052</v>
      </c>
      <c r="F532" s="1">
        <f>Tabela5[[#This Row],[Tensão (Pa)]]/1000000</f>
        <v>15.710474125016052</v>
      </c>
    </row>
    <row r="533" spans="1:6" x14ac:dyDescent="0.3">
      <c r="A533" s="5">
        <v>57.817</v>
      </c>
      <c r="B533" s="5">
        <v>4.8101000000000003</v>
      </c>
      <c r="C533" s="1">
        <f>Tabela5[[#This Row],[Alongamento (mm/mm)]]/$I$2</f>
        <v>9.620200000000001E-2</v>
      </c>
      <c r="D533" s="5">
        <v>666.28</v>
      </c>
      <c r="E533" s="1">
        <f>Tabela5[[#This Row],[Força (N)]]/$I$5</f>
        <v>15844117.549141306</v>
      </c>
      <c r="F533" s="1">
        <f>Tabela5[[#This Row],[Tensão (Pa)]]/1000000</f>
        <v>15.844117549141306</v>
      </c>
    </row>
    <row r="534" spans="1:6" x14ac:dyDescent="0.3">
      <c r="A534" s="5">
        <v>57.95</v>
      </c>
      <c r="B534" s="5">
        <v>4.8211000000000004</v>
      </c>
      <c r="C534" s="1">
        <f>Tabela5[[#This Row],[Alongamento (mm/mm)]]/$I$2</f>
        <v>9.6422000000000008E-2</v>
      </c>
      <c r="D534" s="5">
        <v>671.38</v>
      </c>
      <c r="E534" s="1">
        <f>Tabela5[[#This Row],[Força (N)]]/$I$5</f>
        <v>15965395.389539668</v>
      </c>
      <c r="F534" s="1">
        <f>Tabela5[[#This Row],[Tensão (Pa)]]/1000000</f>
        <v>15.965395389539669</v>
      </c>
    </row>
    <row r="535" spans="1:6" x14ac:dyDescent="0.3">
      <c r="A535" s="5">
        <v>58.1</v>
      </c>
      <c r="B535" s="5">
        <v>4.8337000000000003</v>
      </c>
      <c r="C535" s="1">
        <f>Tabela5[[#This Row],[Alongamento (mm/mm)]]/$I$2</f>
        <v>9.667400000000001E-2</v>
      </c>
      <c r="D535" s="5">
        <v>676.99</v>
      </c>
      <c r="E535" s="1">
        <f>Tabela5[[#This Row],[Força (N)]]/$I$5</f>
        <v>16098801.013977867</v>
      </c>
      <c r="F535" s="1">
        <f>Tabela5[[#This Row],[Tensão (Pa)]]/1000000</f>
        <v>16.098801013977866</v>
      </c>
    </row>
    <row r="536" spans="1:6" x14ac:dyDescent="0.3">
      <c r="A536" s="5">
        <v>58.25</v>
      </c>
      <c r="B536" s="5">
        <v>4.8460999999999999</v>
      </c>
      <c r="C536" s="1">
        <f>Tabela5[[#This Row],[Alongamento (mm/mm)]]/$I$2</f>
        <v>9.6921999999999994E-2</v>
      </c>
      <c r="D536" s="5">
        <v>682.44</v>
      </c>
      <c r="E536" s="1">
        <f>Tabela5[[#This Row],[Força (N)]]/$I$5</f>
        <v>16228401.843423177</v>
      </c>
      <c r="F536" s="1">
        <f>Tabela5[[#This Row],[Tensão (Pa)]]/1000000</f>
        <v>16.228401843423178</v>
      </c>
    </row>
    <row r="537" spans="1:6" x14ac:dyDescent="0.3">
      <c r="A537" s="5">
        <v>58.383000000000003</v>
      </c>
      <c r="B537" s="5">
        <v>4.8573000000000004</v>
      </c>
      <c r="C537" s="1">
        <f>Tabela5[[#This Row],[Alongamento (mm/mm)]]/$I$2</f>
        <v>9.714600000000001E-2</v>
      </c>
      <c r="D537" s="5">
        <v>687.54</v>
      </c>
      <c r="E537" s="1">
        <f>Tabela5[[#This Row],[Força (N)]]/$I$5</f>
        <v>16349679.683821537</v>
      </c>
      <c r="F537" s="1">
        <f>Tabela5[[#This Row],[Tensão (Pa)]]/1000000</f>
        <v>16.349679683821538</v>
      </c>
    </row>
    <row r="538" spans="1:6" x14ac:dyDescent="0.3">
      <c r="A538" s="5">
        <v>58.517000000000003</v>
      </c>
      <c r="B538" s="5">
        <v>4.8681999999999999</v>
      </c>
      <c r="C538" s="1">
        <f>Tabela5[[#This Row],[Alongamento (mm/mm)]]/$I$2</f>
        <v>9.7363999999999992E-2</v>
      </c>
      <c r="D538" s="5">
        <v>692.64</v>
      </c>
      <c r="E538" s="1">
        <f>Tabela5[[#This Row],[Força (N)]]/$I$5</f>
        <v>16470957.524219899</v>
      </c>
      <c r="F538" s="1">
        <f>Tabela5[[#This Row],[Tensão (Pa)]]/1000000</f>
        <v>16.470957524219898</v>
      </c>
    </row>
    <row r="539" spans="1:6" x14ac:dyDescent="0.3">
      <c r="A539" s="5">
        <v>58.65</v>
      </c>
      <c r="B539" s="5">
        <v>4.8795000000000002</v>
      </c>
      <c r="C539" s="1">
        <f>Tabela5[[#This Row],[Alongamento (mm/mm)]]/$I$2</f>
        <v>9.759000000000001E-2</v>
      </c>
      <c r="D539" s="5">
        <v>697.75</v>
      </c>
      <c r="E539" s="1">
        <f>Tabela5[[#This Row],[Força (N)]]/$I$5</f>
        <v>16592473.164305316</v>
      </c>
      <c r="F539" s="1">
        <f>Tabela5[[#This Row],[Tensão (Pa)]]/1000000</f>
        <v>16.592473164305318</v>
      </c>
    </row>
    <row r="540" spans="1:6" x14ac:dyDescent="0.3">
      <c r="A540" s="5">
        <v>58.8</v>
      </c>
      <c r="B540" s="5">
        <v>4.8920000000000003</v>
      </c>
      <c r="C540" s="1">
        <f>Tabela5[[#This Row],[Alongamento (mm/mm)]]/$I$2</f>
        <v>9.784000000000001E-2</v>
      </c>
      <c r="D540" s="5">
        <v>703.53</v>
      </c>
      <c r="E540" s="1">
        <f>Tabela5[[#This Row],[Força (N)]]/$I$5</f>
        <v>16729921.383423461</v>
      </c>
      <c r="F540" s="1">
        <f>Tabela5[[#This Row],[Tensão (Pa)]]/1000000</f>
        <v>16.729921383423459</v>
      </c>
    </row>
    <row r="541" spans="1:6" x14ac:dyDescent="0.3">
      <c r="A541" s="5">
        <v>58.95</v>
      </c>
      <c r="B541" s="5">
        <v>4.9043999999999999</v>
      </c>
      <c r="C541" s="1">
        <f>Tabela5[[#This Row],[Alongamento (mm/mm)]]/$I$2</f>
        <v>9.8087999999999995E-2</v>
      </c>
      <c r="D541" s="5">
        <v>709.31</v>
      </c>
      <c r="E541" s="1">
        <f>Tabela5[[#This Row],[Força (N)]]/$I$5</f>
        <v>16867369.602541603</v>
      </c>
      <c r="F541" s="1">
        <f>Tabela5[[#This Row],[Tensão (Pa)]]/1000000</f>
        <v>16.867369602541604</v>
      </c>
    </row>
    <row r="542" spans="1:6" x14ac:dyDescent="0.3">
      <c r="A542" s="5">
        <v>59.1</v>
      </c>
      <c r="B542" s="5">
        <v>4.9169999999999998</v>
      </c>
      <c r="C542" s="1">
        <f>Tabela5[[#This Row],[Alongamento (mm/mm)]]/$I$2</f>
        <v>9.8339999999999997E-2</v>
      </c>
      <c r="D542" s="5">
        <v>715.1</v>
      </c>
      <c r="E542" s="1">
        <f>Tabela5[[#This Row],[Força (N)]]/$I$5</f>
        <v>17005055.621346805</v>
      </c>
      <c r="F542" s="1">
        <f>Tabela5[[#This Row],[Tensão (Pa)]]/1000000</f>
        <v>17.005055621346806</v>
      </c>
    </row>
    <row r="543" spans="1:6" x14ac:dyDescent="0.3">
      <c r="A543" s="5">
        <v>59.25</v>
      </c>
      <c r="B543" s="5">
        <v>4.9294000000000002</v>
      </c>
      <c r="C543" s="1">
        <f>Tabela5[[#This Row],[Alongamento (mm/mm)]]/$I$2</f>
        <v>9.8588000000000009E-2</v>
      </c>
      <c r="D543" s="5">
        <v>720.88</v>
      </c>
      <c r="E543" s="1">
        <f>Tabela5[[#This Row],[Força (N)]]/$I$5</f>
        <v>17142503.840464946</v>
      </c>
      <c r="F543" s="1">
        <f>Tabela5[[#This Row],[Tensão (Pa)]]/1000000</f>
        <v>17.142503840464947</v>
      </c>
    </row>
    <row r="544" spans="1:6" x14ac:dyDescent="0.3">
      <c r="A544" s="5">
        <v>59.4</v>
      </c>
      <c r="B544" s="5">
        <v>4.9419000000000004</v>
      </c>
      <c r="C544" s="1">
        <f>Tabela5[[#This Row],[Alongamento (mm/mm)]]/$I$2</f>
        <v>9.8838000000000009E-2</v>
      </c>
      <c r="D544" s="5">
        <v>726.49</v>
      </c>
      <c r="E544" s="1">
        <f>Tabela5[[#This Row],[Força (N)]]/$I$5</f>
        <v>17275909.464903146</v>
      </c>
      <c r="F544" s="1">
        <f>Tabela5[[#This Row],[Tensão (Pa)]]/1000000</f>
        <v>17.275909464903147</v>
      </c>
    </row>
    <row r="545" spans="1:6" x14ac:dyDescent="0.3">
      <c r="A545" s="5">
        <v>59.55</v>
      </c>
      <c r="B545" s="5">
        <v>4.9545000000000003</v>
      </c>
      <c r="C545" s="1">
        <f>Tabela5[[#This Row],[Alongamento (mm/mm)]]/$I$2</f>
        <v>9.9090000000000011E-2</v>
      </c>
      <c r="D545" s="5">
        <v>732.28</v>
      </c>
      <c r="E545" s="1">
        <f>Tabela5[[#This Row],[Força (N)]]/$I$5</f>
        <v>17413595.483708344</v>
      </c>
      <c r="F545" s="1">
        <f>Tabela5[[#This Row],[Tensão (Pa)]]/1000000</f>
        <v>17.413595483708345</v>
      </c>
    </row>
    <row r="546" spans="1:6" x14ac:dyDescent="0.3">
      <c r="A546" s="5">
        <v>59.7</v>
      </c>
      <c r="B546" s="5">
        <v>4.9669999999999996</v>
      </c>
      <c r="C546" s="1">
        <f>Tabela5[[#This Row],[Alongamento (mm/mm)]]/$I$2</f>
        <v>9.9339999999999998E-2</v>
      </c>
      <c r="D546" s="5">
        <v>738.06</v>
      </c>
      <c r="E546" s="1">
        <f>Tabela5[[#This Row],[Força (N)]]/$I$5</f>
        <v>17551043.702826489</v>
      </c>
      <c r="F546" s="1">
        <f>Tabela5[[#This Row],[Tensão (Pa)]]/1000000</f>
        <v>17.55104370282649</v>
      </c>
    </row>
    <row r="547" spans="1:6" x14ac:dyDescent="0.3">
      <c r="A547" s="5">
        <v>59.85</v>
      </c>
      <c r="B547" s="5">
        <v>4.9794999999999998</v>
      </c>
      <c r="C547" s="1">
        <f>Tabela5[[#This Row],[Alongamento (mm/mm)]]/$I$2</f>
        <v>9.9589999999999998E-2</v>
      </c>
      <c r="D547" s="5">
        <v>743.84</v>
      </c>
      <c r="E547" s="1">
        <f>Tabela5[[#This Row],[Força (N)]]/$I$5</f>
        <v>17688491.921944633</v>
      </c>
      <c r="F547" s="1">
        <f>Tabela5[[#This Row],[Tensão (Pa)]]/1000000</f>
        <v>17.688491921944632</v>
      </c>
    </row>
    <row r="548" spans="1:6" x14ac:dyDescent="0.3">
      <c r="A548" s="5">
        <v>60</v>
      </c>
      <c r="B548" s="5">
        <v>4.9919000000000002</v>
      </c>
      <c r="C548" s="1">
        <f>Tabela5[[#This Row],[Alongamento (mm/mm)]]/$I$2</f>
        <v>9.983800000000001E-2</v>
      </c>
      <c r="D548" s="5">
        <v>749.8</v>
      </c>
      <c r="E548" s="1">
        <f>Tabela5[[#This Row],[Força (N)]]/$I$5</f>
        <v>17830220.535429776</v>
      </c>
      <c r="F548" s="1">
        <f>Tabela5[[#This Row],[Tensão (Pa)]]/1000000</f>
        <v>17.830220535429774</v>
      </c>
    </row>
    <row r="549" spans="1:6" x14ac:dyDescent="0.3">
      <c r="A549" s="5">
        <v>60.15</v>
      </c>
      <c r="B549" s="5">
        <v>5.0045000000000002</v>
      </c>
      <c r="C549" s="1">
        <f>Tabela5[[#This Row],[Alongamento (mm/mm)]]/$I$2</f>
        <v>0.10009</v>
      </c>
      <c r="D549" s="5">
        <v>755.75</v>
      </c>
      <c r="E549" s="1">
        <f>Tabela5[[#This Row],[Força (N)]]/$I$5</f>
        <v>17971711.349227864</v>
      </c>
      <c r="F549" s="1">
        <f>Tabela5[[#This Row],[Tensão (Pa)]]/1000000</f>
        <v>17.971711349227864</v>
      </c>
    </row>
    <row r="550" spans="1:6" x14ac:dyDescent="0.3">
      <c r="A550" s="5">
        <v>60.3</v>
      </c>
      <c r="B550" s="5">
        <v>5.0170000000000003</v>
      </c>
      <c r="C550" s="1">
        <f>Tabela5[[#This Row],[Alongamento (mm/mm)]]/$I$2</f>
        <v>0.10034000000000001</v>
      </c>
      <c r="D550" s="5">
        <v>761.53</v>
      </c>
      <c r="E550" s="1">
        <f>Tabela5[[#This Row],[Força (N)]]/$I$5</f>
        <v>18109159.568346009</v>
      </c>
      <c r="F550" s="1">
        <f>Tabela5[[#This Row],[Tensão (Pa)]]/1000000</f>
        <v>18.109159568346008</v>
      </c>
    </row>
    <row r="551" spans="1:6" x14ac:dyDescent="0.3">
      <c r="A551" s="5">
        <v>60.45</v>
      </c>
      <c r="B551" s="5">
        <v>5.0293999999999999</v>
      </c>
      <c r="C551" s="1">
        <f>Tabela5[[#This Row],[Alongamento (mm/mm)]]/$I$2</f>
        <v>0.100588</v>
      </c>
      <c r="D551" s="5">
        <v>767.32</v>
      </c>
      <c r="E551" s="1">
        <f>Tabela5[[#This Row],[Força (N)]]/$I$5</f>
        <v>18246845.587151211</v>
      </c>
      <c r="F551" s="1">
        <f>Tabela5[[#This Row],[Tensão (Pa)]]/1000000</f>
        <v>18.24684558715121</v>
      </c>
    </row>
    <row r="552" spans="1:6" x14ac:dyDescent="0.3">
      <c r="A552" s="5">
        <v>60.6</v>
      </c>
      <c r="B552" s="5">
        <v>5.0419999999999998</v>
      </c>
      <c r="C552" s="1">
        <f>Tabela5[[#This Row],[Alongamento (mm/mm)]]/$I$2</f>
        <v>0.10084</v>
      </c>
      <c r="D552" s="5">
        <v>773.1</v>
      </c>
      <c r="E552" s="1">
        <f>Tabela5[[#This Row],[Força (N)]]/$I$5</f>
        <v>18384293.806269351</v>
      </c>
      <c r="F552" s="1">
        <f>Tabela5[[#This Row],[Tensão (Pa)]]/1000000</f>
        <v>18.384293806269351</v>
      </c>
    </row>
    <row r="553" spans="1:6" x14ac:dyDescent="0.3">
      <c r="A553" s="5">
        <v>60.75</v>
      </c>
      <c r="B553" s="5">
        <v>5.0544000000000002</v>
      </c>
      <c r="C553" s="1">
        <f>Tabela5[[#This Row],[Alongamento (mm/mm)]]/$I$2</f>
        <v>0.10108800000000001</v>
      </c>
      <c r="D553" s="5">
        <v>779.05</v>
      </c>
      <c r="E553" s="1">
        <f>Tabela5[[#This Row],[Força (N)]]/$I$5</f>
        <v>18525784.62006744</v>
      </c>
      <c r="F553" s="1">
        <f>Tabela5[[#This Row],[Tensão (Pa)]]/1000000</f>
        <v>18.525784620067441</v>
      </c>
    </row>
    <row r="554" spans="1:6" x14ac:dyDescent="0.3">
      <c r="A554" s="5">
        <v>60.9</v>
      </c>
      <c r="B554" s="5">
        <v>5.0670000000000002</v>
      </c>
      <c r="C554" s="1">
        <f>Tabela5[[#This Row],[Alongamento (mm/mm)]]/$I$2</f>
        <v>0.10134</v>
      </c>
      <c r="D554" s="5">
        <v>785.18</v>
      </c>
      <c r="E554" s="1">
        <f>Tabela5[[#This Row],[Força (N)]]/$I$5</f>
        <v>18671555.828232531</v>
      </c>
      <c r="F554" s="1">
        <f>Tabela5[[#This Row],[Tensão (Pa)]]/1000000</f>
        <v>18.671555828232531</v>
      </c>
    </row>
    <row r="555" spans="1:6" x14ac:dyDescent="0.3">
      <c r="A555" s="5">
        <v>61.05</v>
      </c>
      <c r="B555" s="5">
        <v>5.0795000000000003</v>
      </c>
      <c r="C555" s="1">
        <f>Tabela5[[#This Row],[Alongamento (mm/mm)]]/$I$2</f>
        <v>0.10159000000000001</v>
      </c>
      <c r="D555" s="5">
        <v>791.47</v>
      </c>
      <c r="E555" s="1">
        <f>Tabela5[[#This Row],[Força (N)]]/$I$5</f>
        <v>18821131.831390511</v>
      </c>
      <c r="F555" s="1">
        <f>Tabela5[[#This Row],[Tensão (Pa)]]/1000000</f>
        <v>18.82113183139051</v>
      </c>
    </row>
    <row r="556" spans="1:6" x14ac:dyDescent="0.3">
      <c r="A556" s="5">
        <v>61.2</v>
      </c>
      <c r="B556" s="5">
        <v>5.0918999999999999</v>
      </c>
      <c r="C556" s="1">
        <f>Tabela5[[#This Row],[Alongamento (mm/mm)]]/$I$2</f>
        <v>0.101838</v>
      </c>
      <c r="D556" s="5">
        <v>797.76</v>
      </c>
      <c r="E556" s="1">
        <f>Tabela5[[#This Row],[Força (N)]]/$I$5</f>
        <v>18970707.834548492</v>
      </c>
      <c r="F556" s="1">
        <f>Tabela5[[#This Row],[Tensão (Pa)]]/1000000</f>
        <v>18.970707834548492</v>
      </c>
    </row>
    <row r="557" spans="1:6" x14ac:dyDescent="0.3">
      <c r="A557" s="5">
        <v>61.35</v>
      </c>
      <c r="B557" s="5">
        <v>5.1044999999999998</v>
      </c>
      <c r="C557" s="1">
        <f>Tabela5[[#This Row],[Alongamento (mm/mm)]]/$I$2</f>
        <v>0.10209</v>
      </c>
      <c r="D557" s="5">
        <v>804.06</v>
      </c>
      <c r="E557" s="1">
        <f>Tabela5[[#This Row],[Força (N)]]/$I$5</f>
        <v>19120521.637393527</v>
      </c>
      <c r="F557" s="1">
        <f>Tabela5[[#This Row],[Tensão (Pa)]]/1000000</f>
        <v>19.120521637393527</v>
      </c>
    </row>
    <row r="558" spans="1:6" x14ac:dyDescent="0.3">
      <c r="A558" s="5">
        <v>61.5</v>
      </c>
      <c r="B558" s="5">
        <v>5.117</v>
      </c>
      <c r="C558" s="1">
        <f>Tabela5[[#This Row],[Alongamento (mm/mm)]]/$I$2</f>
        <v>0.10234</v>
      </c>
      <c r="D558" s="5">
        <v>810.35</v>
      </c>
      <c r="E558" s="1">
        <f>Tabela5[[#This Row],[Força (N)]]/$I$5</f>
        <v>19270097.640551507</v>
      </c>
      <c r="F558" s="1">
        <f>Tabela5[[#This Row],[Tensão (Pa)]]/1000000</f>
        <v>19.270097640551509</v>
      </c>
    </row>
    <row r="559" spans="1:6" x14ac:dyDescent="0.3">
      <c r="A559" s="5">
        <v>61.65</v>
      </c>
      <c r="B559" s="5">
        <v>5.1294000000000004</v>
      </c>
      <c r="C559" s="1">
        <f>Tabela5[[#This Row],[Alongamento (mm/mm)]]/$I$2</f>
        <v>0.10258800000000001</v>
      </c>
      <c r="D559" s="5">
        <v>816.47</v>
      </c>
      <c r="E559" s="1">
        <f>Tabela5[[#This Row],[Força (N)]]/$I$5</f>
        <v>19415631.04902954</v>
      </c>
      <c r="F559" s="1">
        <f>Tabela5[[#This Row],[Tensão (Pa)]]/1000000</f>
        <v>19.415631049029539</v>
      </c>
    </row>
    <row r="560" spans="1:6" x14ac:dyDescent="0.3">
      <c r="A560" s="5">
        <v>61.8</v>
      </c>
      <c r="B560" s="5">
        <v>5.1418999999999997</v>
      </c>
      <c r="C560" s="1">
        <f>Tabela5[[#This Row],[Alongamento (mm/mm)]]/$I$2</f>
        <v>0.102838</v>
      </c>
      <c r="D560" s="5">
        <v>822.77</v>
      </c>
      <c r="E560" s="1">
        <f>Tabela5[[#This Row],[Força (N)]]/$I$5</f>
        <v>19565444.851874575</v>
      </c>
      <c r="F560" s="1">
        <f>Tabela5[[#This Row],[Tensão (Pa)]]/1000000</f>
        <v>19.565444851874574</v>
      </c>
    </row>
    <row r="561" spans="1:6" x14ac:dyDescent="0.3">
      <c r="A561" s="5">
        <v>61.95</v>
      </c>
      <c r="B561" s="5">
        <v>5.1544999999999996</v>
      </c>
      <c r="C561" s="1">
        <f>Tabela5[[#This Row],[Alongamento (mm/mm)]]/$I$2</f>
        <v>0.10308999999999999</v>
      </c>
      <c r="D561" s="5">
        <v>829.06</v>
      </c>
      <c r="E561" s="1">
        <f>Tabela5[[#This Row],[Força (N)]]/$I$5</f>
        <v>19715020.855032556</v>
      </c>
      <c r="F561" s="1">
        <f>Tabela5[[#This Row],[Tensão (Pa)]]/1000000</f>
        <v>19.715020855032556</v>
      </c>
    </row>
    <row r="562" spans="1:6" x14ac:dyDescent="0.3">
      <c r="A562" s="5">
        <v>62.116999999999997</v>
      </c>
      <c r="B562" s="5">
        <v>5.1683000000000003</v>
      </c>
      <c r="C562" s="1">
        <f>Tabela5[[#This Row],[Alongamento (mm/mm)]]/$I$2</f>
        <v>0.10336600000000001</v>
      </c>
      <c r="D562" s="5">
        <v>836.04</v>
      </c>
      <c r="E562" s="1">
        <f>Tabela5[[#This Row],[Força (N)]]/$I$5</f>
        <v>19881005.036597371</v>
      </c>
      <c r="F562" s="1">
        <f>Tabela5[[#This Row],[Tensão (Pa)]]/1000000</f>
        <v>19.881005036597372</v>
      </c>
    </row>
    <row r="563" spans="1:6" x14ac:dyDescent="0.3">
      <c r="A563" s="5">
        <v>62.283000000000001</v>
      </c>
      <c r="B563" s="5">
        <v>5.1822999999999997</v>
      </c>
      <c r="C563" s="1">
        <f>Tabela5[[#This Row],[Alongamento (mm/mm)]]/$I$2</f>
        <v>0.10364599999999999</v>
      </c>
      <c r="D563" s="5">
        <v>843.01</v>
      </c>
      <c r="E563" s="1">
        <f>Tabela5[[#This Row],[Força (N)]]/$I$5</f>
        <v>20046751.418475136</v>
      </c>
      <c r="F563" s="1">
        <f>Tabela5[[#This Row],[Tensão (Pa)]]/1000000</f>
        <v>20.046751418475136</v>
      </c>
    </row>
    <row r="564" spans="1:6" x14ac:dyDescent="0.3">
      <c r="A564" s="5">
        <v>62.45</v>
      </c>
      <c r="B564" s="5">
        <v>5.1962000000000002</v>
      </c>
      <c r="C564" s="1">
        <f>Tabela5[[#This Row],[Alongamento (mm/mm)]]/$I$2</f>
        <v>0.103924</v>
      </c>
      <c r="D564" s="5">
        <v>849.98</v>
      </c>
      <c r="E564" s="1">
        <f>Tabela5[[#This Row],[Força (N)]]/$I$5</f>
        <v>20212497.800352897</v>
      </c>
      <c r="F564" s="1">
        <f>Tabela5[[#This Row],[Tensão (Pa)]]/1000000</f>
        <v>20.212497800352896</v>
      </c>
    </row>
    <row r="565" spans="1:6" x14ac:dyDescent="0.3">
      <c r="A565" s="5">
        <v>62.616999999999997</v>
      </c>
      <c r="B565" s="5">
        <v>5.2099000000000002</v>
      </c>
      <c r="C565" s="1">
        <f>Tabela5[[#This Row],[Alongamento (mm/mm)]]/$I$2</f>
        <v>0.104198</v>
      </c>
      <c r="D565" s="5">
        <v>856.96</v>
      </c>
      <c r="E565" s="1">
        <f>Tabela5[[#This Row],[Força (N)]]/$I$5</f>
        <v>20378481.981917713</v>
      </c>
      <c r="F565" s="1">
        <f>Tabela5[[#This Row],[Tensão (Pa)]]/1000000</f>
        <v>20.378481981917712</v>
      </c>
    </row>
    <row r="566" spans="1:6" x14ac:dyDescent="0.3">
      <c r="A566" s="5">
        <v>62.783000000000001</v>
      </c>
      <c r="B566" s="5">
        <v>5.2239000000000004</v>
      </c>
      <c r="C566" s="1">
        <f>Tabela5[[#This Row],[Alongamento (mm/mm)]]/$I$2</f>
        <v>0.10447800000000002</v>
      </c>
      <c r="D566" s="5">
        <v>863.76</v>
      </c>
      <c r="E566" s="1">
        <f>Tabela5[[#This Row],[Força (N)]]/$I$5</f>
        <v>20540185.76911553</v>
      </c>
      <c r="F566" s="1">
        <f>Tabela5[[#This Row],[Tensão (Pa)]]/1000000</f>
        <v>20.540185769115531</v>
      </c>
    </row>
    <row r="567" spans="1:6" x14ac:dyDescent="0.3">
      <c r="A567" s="5">
        <v>62.95</v>
      </c>
      <c r="B567" s="5">
        <v>5.2378</v>
      </c>
      <c r="C567" s="1">
        <f>Tabela5[[#This Row],[Alongamento (mm/mm)]]/$I$2</f>
        <v>0.104756</v>
      </c>
      <c r="D567" s="5">
        <v>870.74</v>
      </c>
      <c r="E567" s="1">
        <f>Tabela5[[#This Row],[Força (N)]]/$I$5</f>
        <v>20706169.950680345</v>
      </c>
      <c r="F567" s="1">
        <f>Tabela5[[#This Row],[Tensão (Pa)]]/1000000</f>
        <v>20.706169950680344</v>
      </c>
    </row>
    <row r="568" spans="1:6" x14ac:dyDescent="0.3">
      <c r="A568" s="5">
        <v>63.116999999999997</v>
      </c>
      <c r="B568" s="5">
        <v>5.2516999999999996</v>
      </c>
      <c r="C568" s="1">
        <f>Tabela5[[#This Row],[Alongamento (mm/mm)]]/$I$2</f>
        <v>0.10503399999999999</v>
      </c>
      <c r="D568" s="5">
        <v>877.54</v>
      </c>
      <c r="E568" s="1">
        <f>Tabela5[[#This Row],[Força (N)]]/$I$5</f>
        <v>20867873.737878162</v>
      </c>
      <c r="F568" s="1">
        <f>Tabela5[[#This Row],[Tensão (Pa)]]/1000000</f>
        <v>20.867873737878163</v>
      </c>
    </row>
    <row r="569" spans="1:6" x14ac:dyDescent="0.3">
      <c r="A569" s="5">
        <v>63.283000000000001</v>
      </c>
      <c r="B569" s="5">
        <v>5.2655000000000003</v>
      </c>
      <c r="C569" s="1">
        <f>Tabela5[[#This Row],[Alongamento (mm/mm)]]/$I$2</f>
        <v>0.10531</v>
      </c>
      <c r="D569" s="5">
        <v>884.68</v>
      </c>
      <c r="E569" s="1">
        <f>Tabela5[[#This Row],[Força (N)]]/$I$5</f>
        <v>21037662.714435868</v>
      </c>
      <c r="F569" s="1">
        <f>Tabela5[[#This Row],[Tensão (Pa)]]/1000000</f>
        <v>21.037662714435868</v>
      </c>
    </row>
    <row r="570" spans="1:6" x14ac:dyDescent="0.3">
      <c r="A570" s="5">
        <v>63.45</v>
      </c>
      <c r="B570" s="5">
        <v>5.2794999999999996</v>
      </c>
      <c r="C570" s="1">
        <f>Tabela5[[#This Row],[Alongamento (mm/mm)]]/$I$2</f>
        <v>0.10558999999999999</v>
      </c>
      <c r="D570" s="5">
        <v>891.66</v>
      </c>
      <c r="E570" s="1">
        <f>Tabela5[[#This Row],[Força (N)]]/$I$5</f>
        <v>21203646.896000687</v>
      </c>
      <c r="F570" s="1">
        <f>Tabela5[[#This Row],[Tensão (Pa)]]/1000000</f>
        <v>21.203646896000688</v>
      </c>
    </row>
    <row r="571" spans="1:6" x14ac:dyDescent="0.3">
      <c r="A571" s="5">
        <v>63.616999999999997</v>
      </c>
      <c r="B571" s="5">
        <v>5.2933000000000003</v>
      </c>
      <c r="C571" s="1">
        <f>Tabela5[[#This Row],[Alongamento (mm/mm)]]/$I$2</f>
        <v>0.105866</v>
      </c>
      <c r="D571" s="5">
        <v>898.63</v>
      </c>
      <c r="E571" s="1">
        <f>Tabela5[[#This Row],[Força (N)]]/$I$5</f>
        <v>21369393.277878448</v>
      </c>
      <c r="F571" s="1">
        <f>Tabela5[[#This Row],[Tensão (Pa)]]/1000000</f>
        <v>21.369393277878448</v>
      </c>
    </row>
    <row r="572" spans="1:6" x14ac:dyDescent="0.3">
      <c r="A572" s="5">
        <v>63.783000000000001</v>
      </c>
      <c r="B572" s="5">
        <v>5.3071999999999999</v>
      </c>
      <c r="C572" s="1">
        <f>Tabela5[[#This Row],[Alongamento (mm/mm)]]/$I$2</f>
        <v>0.106144</v>
      </c>
      <c r="D572" s="5">
        <v>905.44</v>
      </c>
      <c r="E572" s="1">
        <f>Tabela5[[#This Row],[Força (N)]]/$I$5</f>
        <v>21531334.864763319</v>
      </c>
      <c r="F572" s="1">
        <f>Tabela5[[#This Row],[Tensão (Pa)]]/1000000</f>
        <v>21.53133486476332</v>
      </c>
    </row>
    <row r="573" spans="1:6" x14ac:dyDescent="0.3">
      <c r="A573" s="5">
        <v>63.95</v>
      </c>
      <c r="B573" s="5">
        <v>5.3211000000000004</v>
      </c>
      <c r="C573" s="1">
        <f>Tabela5[[#This Row],[Alongamento (mm/mm)]]/$I$2</f>
        <v>0.106422</v>
      </c>
      <c r="D573" s="5">
        <v>912.41</v>
      </c>
      <c r="E573" s="1">
        <f>Tabela5[[#This Row],[Força (N)]]/$I$5</f>
        <v>21697081.246641081</v>
      </c>
      <c r="F573" s="1">
        <f>Tabela5[[#This Row],[Tensão (Pa)]]/1000000</f>
        <v>21.69708124664108</v>
      </c>
    </row>
    <row r="574" spans="1:6" x14ac:dyDescent="0.3">
      <c r="A574" s="5">
        <v>64.117000000000004</v>
      </c>
      <c r="B574" s="5">
        <v>5.335</v>
      </c>
      <c r="C574" s="1">
        <f>Tabela5[[#This Row],[Alongamento (mm/mm)]]/$I$2</f>
        <v>0.1067</v>
      </c>
      <c r="D574" s="5">
        <v>919.21</v>
      </c>
      <c r="E574" s="1">
        <f>Tabela5[[#This Row],[Força (N)]]/$I$5</f>
        <v>21858785.033838898</v>
      </c>
      <c r="F574" s="1">
        <f>Tabela5[[#This Row],[Tensão (Pa)]]/1000000</f>
        <v>21.858785033838899</v>
      </c>
    </row>
    <row r="575" spans="1:6" x14ac:dyDescent="0.3">
      <c r="A575" s="5">
        <v>64.3</v>
      </c>
      <c r="B575" s="5">
        <v>5.3502999999999998</v>
      </c>
      <c r="C575" s="1">
        <f>Tabela5[[#This Row],[Alongamento (mm/mm)]]/$I$2</f>
        <v>0.10700599999999999</v>
      </c>
      <c r="D575" s="5">
        <v>926.87</v>
      </c>
      <c r="E575" s="1">
        <f>Tabela5[[#This Row],[Força (N)]]/$I$5</f>
        <v>22040939.594123498</v>
      </c>
      <c r="F575" s="1">
        <f>Tabela5[[#This Row],[Tensão (Pa)]]/1000000</f>
        <v>22.040939594123497</v>
      </c>
    </row>
    <row r="576" spans="1:6" x14ac:dyDescent="0.3">
      <c r="A576" s="5">
        <v>64.483000000000004</v>
      </c>
      <c r="B576" s="5">
        <v>5.3654999999999999</v>
      </c>
      <c r="C576" s="1">
        <f>Tabela5[[#This Row],[Alongamento (mm/mm)]]/$I$2</f>
        <v>0.10731</v>
      </c>
      <c r="D576" s="5">
        <v>934.35</v>
      </c>
      <c r="E576" s="1">
        <f>Tabela5[[#This Row],[Força (N)]]/$I$5</f>
        <v>22218813.760041095</v>
      </c>
      <c r="F576" s="1">
        <f>Tabela5[[#This Row],[Tensão (Pa)]]/1000000</f>
        <v>22.218813760041094</v>
      </c>
    </row>
    <row r="577" spans="1:6" x14ac:dyDescent="0.3">
      <c r="A577" s="5">
        <v>64.667000000000002</v>
      </c>
      <c r="B577" s="5">
        <v>5.3807999999999998</v>
      </c>
      <c r="C577" s="1">
        <f>Tabela5[[#This Row],[Alongamento (mm/mm)]]/$I$2</f>
        <v>0.10761599999999999</v>
      </c>
      <c r="D577" s="5">
        <v>942.01</v>
      </c>
      <c r="E577" s="1">
        <f>Tabela5[[#This Row],[Força (N)]]/$I$5</f>
        <v>22400968.320325691</v>
      </c>
      <c r="F577" s="1">
        <f>Tabela5[[#This Row],[Tensão (Pa)]]/1000000</f>
        <v>22.400968320325692</v>
      </c>
    </row>
    <row r="578" spans="1:6" x14ac:dyDescent="0.3">
      <c r="A578" s="5">
        <v>64.849999999999994</v>
      </c>
      <c r="B578" s="5">
        <v>5.3960999999999997</v>
      </c>
      <c r="C578" s="1">
        <f>Tabela5[[#This Row],[Alongamento (mm/mm)]]/$I$2</f>
        <v>0.10792199999999999</v>
      </c>
      <c r="D578" s="5">
        <v>949.49</v>
      </c>
      <c r="E578" s="1">
        <f>Tabela5[[#This Row],[Força (N)]]/$I$5</f>
        <v>22578842.486243289</v>
      </c>
      <c r="F578" s="1">
        <f>Tabela5[[#This Row],[Tensão (Pa)]]/1000000</f>
        <v>22.578842486243289</v>
      </c>
    </row>
    <row r="579" spans="1:6" x14ac:dyDescent="0.3">
      <c r="A579" s="5">
        <v>65.033000000000001</v>
      </c>
      <c r="B579" s="5">
        <v>5.4112999999999998</v>
      </c>
      <c r="C579" s="1">
        <f>Tabela5[[#This Row],[Alongamento (mm/mm)]]/$I$2</f>
        <v>0.10822599999999999</v>
      </c>
      <c r="D579" s="5">
        <v>957.15</v>
      </c>
      <c r="E579" s="1">
        <f>Tabela5[[#This Row],[Força (N)]]/$I$5</f>
        <v>22760997.046527889</v>
      </c>
      <c r="F579" s="1">
        <f>Tabela5[[#This Row],[Tensão (Pa)]]/1000000</f>
        <v>22.760997046527887</v>
      </c>
    </row>
    <row r="580" spans="1:6" x14ac:dyDescent="0.3">
      <c r="A580" s="5">
        <v>65.216999999999999</v>
      </c>
      <c r="B580" s="5">
        <v>5.4265999999999996</v>
      </c>
      <c r="C580" s="1">
        <f>Tabela5[[#This Row],[Alongamento (mm/mm)]]/$I$2</f>
        <v>0.10853199999999999</v>
      </c>
      <c r="D580" s="5">
        <v>964.8</v>
      </c>
      <c r="E580" s="1">
        <f>Tabela5[[#This Row],[Força (N)]]/$I$5</f>
        <v>22942913.807125431</v>
      </c>
      <c r="F580" s="1">
        <f>Tabela5[[#This Row],[Tensão (Pa)]]/1000000</f>
        <v>22.942913807125432</v>
      </c>
    </row>
    <row r="581" spans="1:6" x14ac:dyDescent="0.3">
      <c r="A581" s="5">
        <v>65.400000000000006</v>
      </c>
      <c r="B581" s="5">
        <v>5.4419000000000004</v>
      </c>
      <c r="C581" s="1">
        <f>Tabela5[[#This Row],[Alongamento (mm/mm)]]/$I$2</f>
        <v>0.108838</v>
      </c>
      <c r="D581" s="5">
        <v>972.45</v>
      </c>
      <c r="E581" s="1">
        <f>Tabela5[[#This Row],[Força (N)]]/$I$5</f>
        <v>23124830.567722976</v>
      </c>
      <c r="F581" s="1">
        <f>Tabela5[[#This Row],[Tensão (Pa)]]/1000000</f>
        <v>23.124830567722977</v>
      </c>
    </row>
    <row r="582" spans="1:6" x14ac:dyDescent="0.3">
      <c r="A582" s="5">
        <v>65.582999999999998</v>
      </c>
      <c r="B582" s="5">
        <v>5.4572000000000003</v>
      </c>
      <c r="C582" s="1">
        <f>Tabela5[[#This Row],[Alongamento (mm/mm)]]/$I$2</f>
        <v>0.109144</v>
      </c>
      <c r="D582" s="5">
        <v>979.94</v>
      </c>
      <c r="E582" s="1">
        <f>Tabela5[[#This Row],[Força (N)]]/$I$5</f>
        <v>23302942.533327628</v>
      </c>
      <c r="F582" s="1">
        <f>Tabela5[[#This Row],[Tensão (Pa)]]/1000000</f>
        <v>23.302942533327627</v>
      </c>
    </row>
    <row r="583" spans="1:6" x14ac:dyDescent="0.3">
      <c r="A583" s="5">
        <v>65.766999999999996</v>
      </c>
      <c r="B583" s="5">
        <v>5.4725000000000001</v>
      </c>
      <c r="C583" s="1">
        <f>Tabela5[[#This Row],[Alongamento (mm/mm)]]/$I$2</f>
        <v>0.10945000000000001</v>
      </c>
      <c r="D583" s="5">
        <v>987.42</v>
      </c>
      <c r="E583" s="1">
        <f>Tabela5[[#This Row],[Força (N)]]/$I$5</f>
        <v>23480816.699245226</v>
      </c>
      <c r="F583" s="1">
        <f>Tabela5[[#This Row],[Tensão (Pa)]]/1000000</f>
        <v>23.480816699245224</v>
      </c>
    </row>
    <row r="584" spans="1:6" x14ac:dyDescent="0.3">
      <c r="A584" s="5">
        <v>65.95</v>
      </c>
      <c r="B584" s="5">
        <v>5.4877000000000002</v>
      </c>
      <c r="C584" s="1">
        <f>Tabela5[[#This Row],[Alongamento (mm/mm)]]/$I$2</f>
        <v>0.109754</v>
      </c>
      <c r="D584" s="5">
        <v>995.08</v>
      </c>
      <c r="E584" s="1">
        <f>Tabela5[[#This Row],[Força (N)]]/$I$5</f>
        <v>23662971.259529825</v>
      </c>
      <c r="F584" s="1">
        <f>Tabela5[[#This Row],[Tensão (Pa)]]/1000000</f>
        <v>23.662971259529826</v>
      </c>
    </row>
    <row r="585" spans="1:6" x14ac:dyDescent="0.3">
      <c r="A585" s="5">
        <v>66.132999999999996</v>
      </c>
      <c r="B585" s="5">
        <v>5.5030999999999999</v>
      </c>
      <c r="C585" s="1">
        <f>Tabela5[[#This Row],[Alongamento (mm/mm)]]/$I$2</f>
        <v>0.11006199999999999</v>
      </c>
      <c r="D585" s="5">
        <v>1002.7</v>
      </c>
      <c r="E585" s="1">
        <f>Tabela5[[#This Row],[Força (N)]]/$I$5</f>
        <v>23844174.621066201</v>
      </c>
      <c r="F585" s="1">
        <f>Tabela5[[#This Row],[Tensão (Pa)]]/1000000</f>
        <v>23.844174621066202</v>
      </c>
    </row>
    <row r="586" spans="1:6" x14ac:dyDescent="0.3">
      <c r="A586" s="5">
        <v>66.332999999999998</v>
      </c>
      <c r="B586" s="5">
        <v>5.5195999999999996</v>
      </c>
      <c r="C586" s="1">
        <f>Tabela5[[#This Row],[Alongamento (mm/mm)]]/$I$2</f>
        <v>0.11039199999999999</v>
      </c>
      <c r="D586" s="5">
        <v>1011.2</v>
      </c>
      <c r="E586" s="1">
        <f>Tabela5[[#This Row],[Força (N)]]/$I$5</f>
        <v>24046304.355063472</v>
      </c>
      <c r="F586" s="1">
        <f>Tabela5[[#This Row],[Tensão (Pa)]]/1000000</f>
        <v>24.046304355063473</v>
      </c>
    </row>
    <row r="587" spans="1:6" x14ac:dyDescent="0.3">
      <c r="A587" s="5">
        <v>66.533000000000001</v>
      </c>
      <c r="B587" s="5">
        <v>5.5364000000000004</v>
      </c>
      <c r="C587" s="1">
        <f>Tabela5[[#This Row],[Alongamento (mm/mm)]]/$I$2</f>
        <v>0.11072800000000001</v>
      </c>
      <c r="D587" s="5">
        <v>1019.6</v>
      </c>
      <c r="E587" s="1">
        <f>Tabela5[[#This Row],[Força (N)]]/$I$5</f>
        <v>24246056.092190184</v>
      </c>
      <c r="F587" s="1">
        <f>Tabela5[[#This Row],[Tensão (Pa)]]/1000000</f>
        <v>24.246056092190184</v>
      </c>
    </row>
    <row r="588" spans="1:6" x14ac:dyDescent="0.3">
      <c r="A588" s="5">
        <v>66.733000000000004</v>
      </c>
      <c r="B588" s="5">
        <v>5.5530999999999997</v>
      </c>
      <c r="C588" s="1">
        <f>Tabela5[[#This Row],[Alongamento (mm/mm)]]/$I$2</f>
        <v>0.11106199999999999</v>
      </c>
      <c r="D588" s="5">
        <v>1028.0999999999999</v>
      </c>
      <c r="E588" s="1">
        <f>Tabela5[[#This Row],[Força (N)]]/$I$5</f>
        <v>24448185.826187454</v>
      </c>
      <c r="F588" s="1">
        <f>Tabela5[[#This Row],[Tensão (Pa)]]/1000000</f>
        <v>24.448185826187455</v>
      </c>
    </row>
    <row r="589" spans="1:6" x14ac:dyDescent="0.3">
      <c r="A589" s="5">
        <v>66.933000000000007</v>
      </c>
      <c r="B589" s="5">
        <v>5.5697999999999999</v>
      </c>
      <c r="C589" s="1">
        <f>Tabela5[[#This Row],[Alongamento (mm/mm)]]/$I$2</f>
        <v>0.111396</v>
      </c>
      <c r="D589" s="5">
        <v>1036.4000000000001</v>
      </c>
      <c r="E589" s="1">
        <f>Tabela5[[#This Row],[Força (N)]]/$I$5</f>
        <v>24645559.566443615</v>
      </c>
      <c r="F589" s="1">
        <f>Tabela5[[#This Row],[Tensão (Pa)]]/1000000</f>
        <v>24.645559566443616</v>
      </c>
    </row>
    <row r="590" spans="1:6" x14ac:dyDescent="0.3">
      <c r="A590" s="5">
        <v>67.117000000000004</v>
      </c>
      <c r="B590" s="5">
        <v>5.5850999999999997</v>
      </c>
      <c r="C590" s="1">
        <f>Tabela5[[#This Row],[Alongamento (mm/mm)]]/$I$2</f>
        <v>0.111702</v>
      </c>
      <c r="D590" s="5">
        <v>1044.2</v>
      </c>
      <c r="E590" s="1">
        <f>Tabela5[[#This Row],[Força (N)]]/$I$5</f>
        <v>24831043.322346989</v>
      </c>
      <c r="F590" s="1">
        <f>Tabela5[[#This Row],[Tensão (Pa)]]/1000000</f>
        <v>24.831043322346989</v>
      </c>
    </row>
    <row r="591" spans="1:6" x14ac:dyDescent="0.3">
      <c r="A591" s="5">
        <v>67.3</v>
      </c>
      <c r="B591" s="5">
        <v>5.6002999999999998</v>
      </c>
      <c r="C591" s="1">
        <f>Tabela5[[#This Row],[Alongamento (mm/mm)]]/$I$2</f>
        <v>0.11200599999999999</v>
      </c>
      <c r="D591" s="5">
        <v>1052.2</v>
      </c>
      <c r="E591" s="1">
        <f>Tabela5[[#This Row],[Força (N)]]/$I$5</f>
        <v>25021283.071991481</v>
      </c>
      <c r="F591" s="1">
        <f>Tabela5[[#This Row],[Tensão (Pa)]]/1000000</f>
        <v>25.02128307199148</v>
      </c>
    </row>
    <row r="592" spans="1:6" x14ac:dyDescent="0.3">
      <c r="A592" s="5">
        <v>67.483000000000004</v>
      </c>
      <c r="B592" s="5">
        <v>5.6155999999999997</v>
      </c>
      <c r="C592" s="1">
        <f>Tabela5[[#This Row],[Alongamento (mm/mm)]]/$I$2</f>
        <v>0.112312</v>
      </c>
      <c r="D592" s="5">
        <v>1060.4000000000001</v>
      </c>
      <c r="E592" s="1">
        <f>Tabela5[[#This Row],[Força (N)]]/$I$5</f>
        <v>25216278.815377083</v>
      </c>
      <c r="F592" s="1">
        <f>Tabela5[[#This Row],[Tensão (Pa)]]/1000000</f>
        <v>25.216278815377084</v>
      </c>
    </row>
    <row r="593" spans="1:6" x14ac:dyDescent="0.3">
      <c r="A593" s="5">
        <v>67.667000000000002</v>
      </c>
      <c r="B593" s="5">
        <v>5.6307999999999998</v>
      </c>
      <c r="C593" s="1">
        <f>Tabela5[[#This Row],[Alongamento (mm/mm)]]/$I$2</f>
        <v>0.11261599999999999</v>
      </c>
      <c r="D593" s="5">
        <v>1068.5999999999999</v>
      </c>
      <c r="E593" s="1">
        <f>Tabela5[[#This Row],[Força (N)]]/$I$5</f>
        <v>25411274.558762681</v>
      </c>
      <c r="F593" s="1">
        <f>Tabela5[[#This Row],[Tensão (Pa)]]/1000000</f>
        <v>25.411274558762681</v>
      </c>
    </row>
    <row r="594" spans="1:6" x14ac:dyDescent="0.3">
      <c r="A594" s="5">
        <v>67.867000000000004</v>
      </c>
      <c r="B594" s="5">
        <v>5.6475</v>
      </c>
      <c r="C594" s="1">
        <f>Tabela5[[#This Row],[Alongamento (mm/mm)]]/$I$2</f>
        <v>0.11294999999999999</v>
      </c>
      <c r="D594" s="5">
        <v>1077.2</v>
      </c>
      <c r="E594" s="1">
        <f>Tabela5[[#This Row],[Força (N)]]/$I$5</f>
        <v>25615782.28963051</v>
      </c>
      <c r="F594" s="1">
        <f>Tabela5[[#This Row],[Tensão (Pa)]]/1000000</f>
        <v>25.615782289630509</v>
      </c>
    </row>
    <row r="595" spans="1:6" x14ac:dyDescent="0.3">
      <c r="A595" s="5">
        <v>68.05</v>
      </c>
      <c r="B595" s="5">
        <v>5.6628999999999996</v>
      </c>
      <c r="C595" s="1">
        <f>Tabela5[[#This Row],[Alongamento (mm/mm)]]/$I$2</f>
        <v>0.113258</v>
      </c>
      <c r="D595" s="5">
        <v>1085.4000000000001</v>
      </c>
      <c r="E595" s="1">
        <f>Tabela5[[#This Row],[Força (N)]]/$I$5</f>
        <v>25810778.033016112</v>
      </c>
      <c r="F595" s="1">
        <f>Tabela5[[#This Row],[Tensão (Pa)]]/1000000</f>
        <v>25.810778033016113</v>
      </c>
    </row>
    <row r="596" spans="1:6" x14ac:dyDescent="0.3">
      <c r="A596" s="5">
        <v>68.233000000000004</v>
      </c>
      <c r="B596" s="5">
        <v>5.6780999999999997</v>
      </c>
      <c r="C596" s="1">
        <f>Tabela5[[#This Row],[Alongamento (mm/mm)]]/$I$2</f>
        <v>0.113562</v>
      </c>
      <c r="D596" s="5">
        <v>1093.5999999999999</v>
      </c>
      <c r="E596" s="1">
        <f>Tabela5[[#This Row],[Força (N)]]/$I$5</f>
        <v>26005773.77640171</v>
      </c>
      <c r="F596" s="1">
        <f>Tabela5[[#This Row],[Tensão (Pa)]]/1000000</f>
        <v>26.005773776401711</v>
      </c>
    </row>
    <row r="597" spans="1:6" x14ac:dyDescent="0.3">
      <c r="A597" s="5">
        <v>68.433000000000007</v>
      </c>
      <c r="B597" s="5">
        <v>5.6947999999999999</v>
      </c>
      <c r="C597" s="1">
        <f>Tabela5[[#This Row],[Alongamento (mm/mm)]]/$I$2</f>
        <v>0.113896</v>
      </c>
      <c r="D597" s="5">
        <v>1102.4000000000001</v>
      </c>
      <c r="E597" s="1">
        <f>Tabela5[[#This Row],[Força (N)]]/$I$5</f>
        <v>26215037.501010653</v>
      </c>
      <c r="F597" s="1">
        <f>Tabela5[[#This Row],[Tensão (Pa)]]/1000000</f>
        <v>26.215037501010652</v>
      </c>
    </row>
    <row r="598" spans="1:6" x14ac:dyDescent="0.3">
      <c r="A598" s="5">
        <v>68.632999999999996</v>
      </c>
      <c r="B598" s="5">
        <v>5.7112999999999996</v>
      </c>
      <c r="C598" s="1">
        <f>Tabela5[[#This Row],[Alongamento (mm/mm)]]/$I$2</f>
        <v>0.11422599999999999</v>
      </c>
      <c r="D598" s="5">
        <v>1111.3</v>
      </c>
      <c r="E598" s="1">
        <f>Tabela5[[#This Row],[Força (N)]]/$I$5</f>
        <v>26426679.222490143</v>
      </c>
      <c r="F598" s="1">
        <f>Tabela5[[#This Row],[Tensão (Pa)]]/1000000</f>
        <v>26.426679222490144</v>
      </c>
    </row>
    <row r="599" spans="1:6" x14ac:dyDescent="0.3">
      <c r="A599" s="5">
        <v>68.832999999999998</v>
      </c>
      <c r="B599" s="5">
        <v>5.7281000000000004</v>
      </c>
      <c r="C599" s="1">
        <f>Tabela5[[#This Row],[Alongamento (mm/mm)]]/$I$2</f>
        <v>0.11456200000000001</v>
      </c>
      <c r="D599" s="5">
        <v>1120.0999999999999</v>
      </c>
      <c r="E599" s="1">
        <f>Tabela5[[#This Row],[Força (N)]]/$I$5</f>
        <v>26635942.947099082</v>
      </c>
      <c r="F599" s="1">
        <f>Tabela5[[#This Row],[Tensão (Pa)]]/1000000</f>
        <v>26.635942947099082</v>
      </c>
    </row>
    <row r="600" spans="1:6" x14ac:dyDescent="0.3">
      <c r="A600" s="5">
        <v>69.033000000000001</v>
      </c>
      <c r="B600" s="5">
        <v>5.7446999999999999</v>
      </c>
      <c r="C600" s="1">
        <f>Tabela5[[#This Row],[Alongamento (mm/mm)]]/$I$2</f>
        <v>0.114894</v>
      </c>
      <c r="D600" s="5">
        <v>1128.8</v>
      </c>
      <c r="E600" s="1">
        <f>Tabela5[[#This Row],[Força (N)]]/$I$5</f>
        <v>26842828.674837466</v>
      </c>
      <c r="F600" s="1">
        <f>Tabela5[[#This Row],[Tensão (Pa)]]/1000000</f>
        <v>26.842828674837467</v>
      </c>
    </row>
    <row r="601" spans="1:6" x14ac:dyDescent="0.3">
      <c r="A601" s="5">
        <v>69.233000000000004</v>
      </c>
      <c r="B601" s="5">
        <v>5.7614000000000001</v>
      </c>
      <c r="C601" s="1">
        <f>Tabela5[[#This Row],[Alongamento (mm/mm)]]/$I$2</f>
        <v>0.115228</v>
      </c>
      <c r="D601" s="5">
        <v>1137.5</v>
      </c>
      <c r="E601" s="1">
        <f>Tabela5[[#This Row],[Força (N)]]/$I$5</f>
        <v>27049714.402575847</v>
      </c>
      <c r="F601" s="1">
        <f>Tabela5[[#This Row],[Tensão (Pa)]]/1000000</f>
        <v>27.049714402575848</v>
      </c>
    </row>
    <row r="602" spans="1:6" x14ac:dyDescent="0.3">
      <c r="A602" s="5">
        <v>69.45</v>
      </c>
      <c r="B602" s="5">
        <v>5.7794999999999996</v>
      </c>
      <c r="C602" s="1">
        <f>Tabela5[[#This Row],[Alongamento (mm/mm)]]/$I$2</f>
        <v>0.11559</v>
      </c>
      <c r="D602" s="5">
        <v>1146.5999999999999</v>
      </c>
      <c r="E602" s="1">
        <f>Tabela5[[#This Row],[Força (N)]]/$I$5</f>
        <v>27266112.117796455</v>
      </c>
      <c r="F602" s="1">
        <f>Tabela5[[#This Row],[Tensão (Pa)]]/1000000</f>
        <v>27.266112117796453</v>
      </c>
    </row>
    <row r="603" spans="1:6" x14ac:dyDescent="0.3">
      <c r="A603" s="5">
        <v>69.667000000000002</v>
      </c>
      <c r="B603" s="5">
        <v>5.7975000000000003</v>
      </c>
      <c r="C603" s="1">
        <f>Tabela5[[#This Row],[Alongamento (mm/mm)]]/$I$2</f>
        <v>0.11595000000000001</v>
      </c>
      <c r="D603" s="5">
        <v>1156</v>
      </c>
      <c r="E603" s="1">
        <f>Tabela5[[#This Row],[Força (N)]]/$I$5</f>
        <v>27489643.823628731</v>
      </c>
      <c r="F603" s="1">
        <f>Tabela5[[#This Row],[Tensão (Pa)]]/1000000</f>
        <v>27.489643823628732</v>
      </c>
    </row>
    <row r="604" spans="1:6" x14ac:dyDescent="0.3">
      <c r="A604" s="5">
        <v>69.882999999999996</v>
      </c>
      <c r="B604" s="5">
        <v>5.8155999999999999</v>
      </c>
      <c r="C604" s="1">
        <f>Tabela5[[#This Row],[Alongamento (mm/mm)]]/$I$2</f>
        <v>0.116312</v>
      </c>
      <c r="D604" s="5">
        <v>1165.5</v>
      </c>
      <c r="E604" s="1">
        <f>Tabela5[[#This Row],[Força (N)]]/$I$5</f>
        <v>27715553.526331563</v>
      </c>
      <c r="F604" s="1">
        <f>Tabela5[[#This Row],[Tensão (Pa)]]/1000000</f>
        <v>27.715553526331561</v>
      </c>
    </row>
    <row r="605" spans="1:6" x14ac:dyDescent="0.3">
      <c r="A605" s="5">
        <v>70.099999999999994</v>
      </c>
      <c r="B605" s="5">
        <v>5.8335999999999997</v>
      </c>
      <c r="C605" s="1">
        <f>Tabela5[[#This Row],[Alongamento (mm/mm)]]/$I$2</f>
        <v>0.116672</v>
      </c>
      <c r="D605" s="5">
        <v>1174.9000000000001</v>
      </c>
      <c r="E605" s="1">
        <f>Tabela5[[#This Row],[Força (N)]]/$I$5</f>
        <v>27939085.232163839</v>
      </c>
      <c r="F605" s="1">
        <f>Tabela5[[#This Row],[Tensão (Pa)]]/1000000</f>
        <v>27.939085232163841</v>
      </c>
    </row>
    <row r="606" spans="1:6" x14ac:dyDescent="0.3">
      <c r="A606" s="5">
        <v>70.3</v>
      </c>
      <c r="B606" s="5">
        <v>5.8502999999999998</v>
      </c>
      <c r="C606" s="1">
        <f>Tabela5[[#This Row],[Alongamento (mm/mm)]]/$I$2</f>
        <v>0.117006</v>
      </c>
      <c r="D606" s="5">
        <v>1183.7</v>
      </c>
      <c r="E606" s="1">
        <f>Tabela5[[#This Row],[Força (N)]]/$I$5</f>
        <v>28148348.956772774</v>
      </c>
      <c r="F606" s="1">
        <f>Tabela5[[#This Row],[Tensão (Pa)]]/1000000</f>
        <v>28.148348956772775</v>
      </c>
    </row>
    <row r="607" spans="1:6" x14ac:dyDescent="0.3">
      <c r="A607" s="5">
        <v>70.516999999999996</v>
      </c>
      <c r="B607" s="5">
        <v>5.8682999999999996</v>
      </c>
      <c r="C607" s="1">
        <f>Tabela5[[#This Row],[Alongamento (mm/mm)]]/$I$2</f>
        <v>0.117366</v>
      </c>
      <c r="D607" s="5">
        <v>1193.2</v>
      </c>
      <c r="E607" s="1">
        <f>Tabela5[[#This Row],[Força (N)]]/$I$5</f>
        <v>28374258.659475606</v>
      </c>
      <c r="F607" s="1">
        <f>Tabela5[[#This Row],[Tensão (Pa)]]/1000000</f>
        <v>28.374258659475608</v>
      </c>
    </row>
    <row r="608" spans="1:6" x14ac:dyDescent="0.3">
      <c r="A608" s="5">
        <v>70.733000000000004</v>
      </c>
      <c r="B608" s="5">
        <v>5.8864000000000001</v>
      </c>
      <c r="C608" s="1">
        <f>Tabela5[[#This Row],[Alongamento (mm/mm)]]/$I$2</f>
        <v>0.117728</v>
      </c>
      <c r="D608" s="5">
        <v>1202.5999999999999</v>
      </c>
      <c r="E608" s="1">
        <f>Tabela5[[#This Row],[Força (N)]]/$I$5</f>
        <v>28597790.365307879</v>
      </c>
      <c r="F608" s="1">
        <f>Tabela5[[#This Row],[Tensão (Pa)]]/1000000</f>
        <v>28.59779036530788</v>
      </c>
    </row>
    <row r="609" spans="1:6" x14ac:dyDescent="0.3">
      <c r="A609" s="5">
        <v>70.95</v>
      </c>
      <c r="B609" s="5">
        <v>5.9044999999999996</v>
      </c>
      <c r="C609" s="1">
        <f>Tabela5[[#This Row],[Alongamento (mm/mm)]]/$I$2</f>
        <v>0.11808999999999999</v>
      </c>
      <c r="D609" s="5">
        <v>1212.0999999999999</v>
      </c>
      <c r="E609" s="1">
        <f>Tabela5[[#This Row],[Força (N)]]/$I$5</f>
        <v>28823700.06801071</v>
      </c>
      <c r="F609" s="1">
        <f>Tabela5[[#This Row],[Tensão (Pa)]]/1000000</f>
        <v>28.823700068010709</v>
      </c>
    </row>
    <row r="610" spans="1:6" x14ac:dyDescent="0.3">
      <c r="A610" s="5">
        <v>71.167000000000002</v>
      </c>
      <c r="B610" s="5">
        <v>5.9223999999999997</v>
      </c>
      <c r="C610" s="1">
        <f>Tabela5[[#This Row],[Alongamento (mm/mm)]]/$I$2</f>
        <v>0.118448</v>
      </c>
      <c r="D610" s="5">
        <v>1221.5999999999999</v>
      </c>
      <c r="E610" s="1">
        <f>Tabela5[[#This Row],[Força (N)]]/$I$5</f>
        <v>29049609.770713542</v>
      </c>
      <c r="F610" s="1">
        <f>Tabela5[[#This Row],[Tensão (Pa)]]/1000000</f>
        <v>29.049609770713541</v>
      </c>
    </row>
    <row r="611" spans="1:6" x14ac:dyDescent="0.3">
      <c r="A611" s="5">
        <v>71.400000000000006</v>
      </c>
      <c r="B611" s="5">
        <v>5.9420000000000002</v>
      </c>
      <c r="C611" s="1">
        <f>Tabela5[[#This Row],[Alongamento (mm/mm)]]/$I$2</f>
        <v>0.11884</v>
      </c>
      <c r="D611" s="5">
        <v>1231.7</v>
      </c>
      <c r="E611" s="1">
        <f>Tabela5[[#This Row],[Força (N)]]/$I$5</f>
        <v>29289787.454639714</v>
      </c>
      <c r="F611" s="1">
        <f>Tabela5[[#This Row],[Tensão (Pa)]]/1000000</f>
        <v>29.289787454639715</v>
      </c>
    </row>
    <row r="612" spans="1:6" x14ac:dyDescent="0.3">
      <c r="A612" s="5">
        <v>71.632999999999996</v>
      </c>
      <c r="B612" s="5">
        <v>5.9614000000000003</v>
      </c>
      <c r="C612" s="1">
        <f>Tabela5[[#This Row],[Alongamento (mm/mm)]]/$I$2</f>
        <v>0.119228</v>
      </c>
      <c r="D612" s="5">
        <v>1241.7</v>
      </c>
      <c r="E612" s="1">
        <f>Tabela5[[#This Row],[Força (N)]]/$I$5</f>
        <v>29527587.141695324</v>
      </c>
      <c r="F612" s="1">
        <f>Tabela5[[#This Row],[Tensão (Pa)]]/1000000</f>
        <v>29.527587141695324</v>
      </c>
    </row>
    <row r="613" spans="1:6" x14ac:dyDescent="0.3">
      <c r="A613" s="5">
        <v>71.867000000000004</v>
      </c>
      <c r="B613" s="5">
        <v>5.9808000000000003</v>
      </c>
      <c r="C613" s="1">
        <f>Tabela5[[#This Row],[Alongamento (mm/mm)]]/$I$2</f>
        <v>0.119616</v>
      </c>
      <c r="D613" s="5">
        <v>1251.9000000000001</v>
      </c>
      <c r="E613" s="1">
        <f>Tabela5[[#This Row],[Força (N)]]/$I$5</f>
        <v>29770142.822492048</v>
      </c>
      <c r="F613" s="1">
        <f>Tabela5[[#This Row],[Tensão (Pa)]]/1000000</f>
        <v>29.770142822492048</v>
      </c>
    </row>
    <row r="614" spans="1:6" x14ac:dyDescent="0.3">
      <c r="A614" s="5">
        <v>72.082999999999998</v>
      </c>
      <c r="B614" s="5">
        <v>5.9988999999999999</v>
      </c>
      <c r="C614" s="1">
        <f>Tabela5[[#This Row],[Alongamento (mm/mm)]]/$I$2</f>
        <v>0.119978</v>
      </c>
      <c r="D614" s="5">
        <v>1261.5999999999999</v>
      </c>
      <c r="E614" s="1">
        <f>Tabela5[[#This Row],[Força (N)]]/$I$5</f>
        <v>30000808.51893599</v>
      </c>
      <c r="F614" s="1">
        <f>Tabela5[[#This Row],[Tensão (Pa)]]/1000000</f>
        <v>30.00080851893599</v>
      </c>
    </row>
    <row r="615" spans="1:6" x14ac:dyDescent="0.3">
      <c r="A615" s="5">
        <v>72.3</v>
      </c>
      <c r="B615" s="5">
        <v>6.0168999999999997</v>
      </c>
      <c r="C615" s="1">
        <f>Tabela5[[#This Row],[Alongamento (mm/mm)]]/$I$2</f>
        <v>0.120338</v>
      </c>
      <c r="D615" s="5">
        <v>1271.5</v>
      </c>
      <c r="E615" s="1">
        <f>Tabela5[[#This Row],[Força (N)]]/$I$5</f>
        <v>30236230.209121048</v>
      </c>
      <c r="F615" s="1">
        <f>Tabela5[[#This Row],[Tensão (Pa)]]/1000000</f>
        <v>30.23623020912105</v>
      </c>
    </row>
    <row r="616" spans="1:6" x14ac:dyDescent="0.3">
      <c r="A616" s="5">
        <v>72.533000000000001</v>
      </c>
      <c r="B616" s="5">
        <v>6.0364000000000004</v>
      </c>
      <c r="C616" s="1">
        <f>Tabela5[[#This Row],[Alongamento (mm/mm)]]/$I$2</f>
        <v>0.120728</v>
      </c>
      <c r="D616" s="5">
        <v>1282</v>
      </c>
      <c r="E616" s="1">
        <f>Tabela5[[#This Row],[Força (N)]]/$I$5</f>
        <v>30485919.880529441</v>
      </c>
      <c r="F616" s="1">
        <f>Tabela5[[#This Row],[Tensão (Pa)]]/1000000</f>
        <v>30.48591988052944</v>
      </c>
    </row>
    <row r="617" spans="1:6" x14ac:dyDescent="0.3">
      <c r="A617" s="5">
        <v>72.766999999999996</v>
      </c>
      <c r="B617" s="5">
        <v>6.0557999999999996</v>
      </c>
      <c r="C617" s="1">
        <f>Tabela5[[#This Row],[Alongamento (mm/mm)]]/$I$2</f>
        <v>0.12111599999999999</v>
      </c>
      <c r="D617" s="5">
        <v>1292.2</v>
      </c>
      <c r="E617" s="1">
        <f>Tabela5[[#This Row],[Força (N)]]/$I$5</f>
        <v>30728475.561326165</v>
      </c>
      <c r="F617" s="1">
        <f>Tabela5[[#This Row],[Tensão (Pa)]]/1000000</f>
        <v>30.728475561326164</v>
      </c>
    </row>
    <row r="618" spans="1:6" x14ac:dyDescent="0.3">
      <c r="A618" s="5">
        <v>73</v>
      </c>
      <c r="B618" s="5">
        <v>6.0753000000000004</v>
      </c>
      <c r="C618" s="1">
        <f>Tabela5[[#This Row],[Alongamento (mm/mm)]]/$I$2</f>
        <v>0.121506</v>
      </c>
      <c r="D618" s="5">
        <v>1302.8</v>
      </c>
      <c r="E618" s="1">
        <f>Tabela5[[#This Row],[Força (N)]]/$I$5</f>
        <v>30980543.229605112</v>
      </c>
      <c r="F618" s="1">
        <f>Tabela5[[#This Row],[Tensão (Pa)]]/1000000</f>
        <v>30.980543229605111</v>
      </c>
    </row>
    <row r="619" spans="1:6" x14ac:dyDescent="0.3">
      <c r="A619" s="5">
        <v>73.216999999999999</v>
      </c>
      <c r="B619" s="5">
        <v>6.0933000000000002</v>
      </c>
      <c r="C619" s="1">
        <f>Tabela5[[#This Row],[Alongamento (mm/mm)]]/$I$2</f>
        <v>0.121866</v>
      </c>
      <c r="D619" s="5">
        <v>1312.7</v>
      </c>
      <c r="E619" s="1">
        <f>Tabela5[[#This Row],[Força (N)]]/$I$5</f>
        <v>31215964.919790167</v>
      </c>
      <c r="F619" s="1">
        <f>Tabela5[[#This Row],[Tensão (Pa)]]/1000000</f>
        <v>31.215964919790167</v>
      </c>
    </row>
    <row r="620" spans="1:6" x14ac:dyDescent="0.3">
      <c r="A620" s="5">
        <v>73.45</v>
      </c>
      <c r="B620" s="5">
        <v>6.1128</v>
      </c>
      <c r="C620" s="1">
        <f>Tabela5[[#This Row],[Alongamento (mm/mm)]]/$I$2</f>
        <v>0.122256</v>
      </c>
      <c r="D620" s="5">
        <v>1323.4</v>
      </c>
      <c r="E620" s="1">
        <f>Tabela5[[#This Row],[Força (N)]]/$I$5</f>
        <v>31470410.584939674</v>
      </c>
      <c r="F620" s="1">
        <f>Tabela5[[#This Row],[Tensão (Pa)]]/1000000</f>
        <v>31.470410584939675</v>
      </c>
    </row>
    <row r="621" spans="1:6" x14ac:dyDescent="0.3">
      <c r="A621" s="5">
        <v>73.683000000000007</v>
      </c>
      <c r="B621" s="5">
        <v>6.1322000000000001</v>
      </c>
      <c r="C621" s="1">
        <f>Tabela5[[#This Row],[Alongamento (mm/mm)]]/$I$2</f>
        <v>0.122644</v>
      </c>
      <c r="D621" s="5">
        <v>1333.9</v>
      </c>
      <c r="E621" s="1">
        <f>Tabela5[[#This Row],[Força (N)]]/$I$5</f>
        <v>31720100.256348066</v>
      </c>
      <c r="F621" s="1">
        <f>Tabela5[[#This Row],[Tensão (Pa)]]/1000000</f>
        <v>31.720100256348065</v>
      </c>
    </row>
    <row r="622" spans="1:6" x14ac:dyDescent="0.3">
      <c r="A622" s="5">
        <v>73.917000000000002</v>
      </c>
      <c r="B622" s="5">
        <v>6.1516999999999999</v>
      </c>
      <c r="C622" s="1">
        <f>Tabela5[[#This Row],[Alongamento (mm/mm)]]/$I$2</f>
        <v>0.123034</v>
      </c>
      <c r="D622" s="5">
        <v>1344.3</v>
      </c>
      <c r="E622" s="1">
        <f>Tabela5[[#This Row],[Força (N)]]/$I$5</f>
        <v>31967411.9308859</v>
      </c>
      <c r="F622" s="1">
        <f>Tabela5[[#This Row],[Tensão (Pa)]]/1000000</f>
        <v>31.967411930885898</v>
      </c>
    </row>
    <row r="623" spans="1:6" x14ac:dyDescent="0.3">
      <c r="A623" s="5">
        <v>74.150000000000006</v>
      </c>
      <c r="B623" s="5">
        <v>6.1710000000000003</v>
      </c>
      <c r="C623" s="1">
        <f>Tabela5[[#This Row],[Alongamento (mm/mm)]]/$I$2</f>
        <v>0.12342</v>
      </c>
      <c r="D623" s="5">
        <v>1354.7</v>
      </c>
      <c r="E623" s="1">
        <f>Tabela5[[#This Row],[Força (N)]]/$I$5</f>
        <v>32214723.605423737</v>
      </c>
      <c r="F623" s="1">
        <f>Tabela5[[#This Row],[Tensão (Pa)]]/1000000</f>
        <v>32.214723605423735</v>
      </c>
    </row>
    <row r="624" spans="1:6" x14ac:dyDescent="0.3">
      <c r="A624" s="5">
        <v>74.382999999999996</v>
      </c>
      <c r="B624" s="5">
        <v>6.1905999999999999</v>
      </c>
      <c r="C624" s="1">
        <f>Tabela5[[#This Row],[Alongamento (mm/mm)]]/$I$2</f>
        <v>0.12381199999999999</v>
      </c>
      <c r="D624" s="5">
        <v>1365.2</v>
      </c>
      <c r="E624" s="1">
        <f>Tabela5[[#This Row],[Força (N)]]/$I$5</f>
        <v>32464413.27683213</v>
      </c>
      <c r="F624" s="1">
        <f>Tabela5[[#This Row],[Tensão (Pa)]]/1000000</f>
        <v>32.464413276832133</v>
      </c>
    </row>
    <row r="625" spans="1:6" x14ac:dyDescent="0.3">
      <c r="A625" s="5">
        <v>74.632999999999996</v>
      </c>
      <c r="B625" s="5">
        <v>6.2114000000000003</v>
      </c>
      <c r="C625" s="1">
        <f>Tabela5[[#This Row],[Alongamento (mm/mm)]]/$I$2</f>
        <v>0.12422800000000001</v>
      </c>
      <c r="D625" s="5">
        <v>1376.4</v>
      </c>
      <c r="E625" s="1">
        <f>Tabela5[[#This Row],[Força (N)]]/$I$5</f>
        <v>32730748.926334418</v>
      </c>
      <c r="F625" s="1">
        <f>Tabela5[[#This Row],[Tensão (Pa)]]/1000000</f>
        <v>32.730748926334421</v>
      </c>
    </row>
    <row r="626" spans="1:6" x14ac:dyDescent="0.3">
      <c r="A626" s="5">
        <v>74.867000000000004</v>
      </c>
      <c r="B626" s="5">
        <v>6.2309000000000001</v>
      </c>
      <c r="C626" s="1">
        <f>Tabela5[[#This Row],[Alongamento (mm/mm)]]/$I$2</f>
        <v>0.12461800000000001</v>
      </c>
      <c r="D626" s="5">
        <v>1387</v>
      </c>
      <c r="E626" s="1">
        <f>Tabela5[[#This Row],[Força (N)]]/$I$5</f>
        <v>32982816.594613362</v>
      </c>
      <c r="F626" s="1">
        <f>Tabela5[[#This Row],[Tensão (Pa)]]/1000000</f>
        <v>32.982816594613361</v>
      </c>
    </row>
    <row r="627" spans="1:6" x14ac:dyDescent="0.3">
      <c r="A627" s="5">
        <v>75.117000000000004</v>
      </c>
      <c r="B627" s="5">
        <v>6.2516999999999996</v>
      </c>
      <c r="C627" s="1">
        <f>Tabela5[[#This Row],[Alongamento (mm/mm)]]/$I$2</f>
        <v>0.12503399999999998</v>
      </c>
      <c r="D627" s="5">
        <v>1398</v>
      </c>
      <c r="E627" s="1">
        <f>Tabela5[[#This Row],[Força (N)]]/$I$5</f>
        <v>33244396.250374537</v>
      </c>
      <c r="F627" s="1">
        <f>Tabela5[[#This Row],[Tensão (Pa)]]/1000000</f>
        <v>33.244396250374535</v>
      </c>
    </row>
    <row r="628" spans="1:6" x14ac:dyDescent="0.3">
      <c r="A628" s="5">
        <v>75.367000000000004</v>
      </c>
      <c r="B628" s="5">
        <v>6.2725</v>
      </c>
      <c r="C628" s="1">
        <f>Tabela5[[#This Row],[Alongamento (mm/mm)]]/$I$2</f>
        <v>0.12545000000000001</v>
      </c>
      <c r="D628" s="5">
        <v>1409.1</v>
      </c>
      <c r="E628" s="1">
        <f>Tabela5[[#This Row],[Força (N)]]/$I$5</f>
        <v>33508353.903006263</v>
      </c>
      <c r="F628" s="1">
        <f>Tabela5[[#This Row],[Tensão (Pa)]]/1000000</f>
        <v>33.50835390300626</v>
      </c>
    </row>
    <row r="629" spans="1:6" x14ac:dyDescent="0.3">
      <c r="A629" s="5">
        <v>75.617000000000004</v>
      </c>
      <c r="B629" s="5">
        <v>6.2933000000000003</v>
      </c>
      <c r="C629" s="1">
        <f>Tabela5[[#This Row],[Alongamento (mm/mm)]]/$I$2</f>
        <v>0.12586600000000001</v>
      </c>
      <c r="D629" s="5">
        <v>1420.3</v>
      </c>
      <c r="E629" s="1">
        <f>Tabela5[[#This Row],[Força (N)]]/$I$5</f>
        <v>33774689.552508548</v>
      </c>
      <c r="F629" s="1">
        <f>Tabela5[[#This Row],[Tensão (Pa)]]/1000000</f>
        <v>33.774689552508548</v>
      </c>
    </row>
    <row r="630" spans="1:6" x14ac:dyDescent="0.3">
      <c r="A630" s="5">
        <v>75.867000000000004</v>
      </c>
      <c r="B630" s="5">
        <v>6.3143000000000002</v>
      </c>
      <c r="C630" s="1">
        <f>Tabela5[[#This Row],[Alongamento (mm/mm)]]/$I$2</f>
        <v>0.12628600000000001</v>
      </c>
      <c r="D630" s="5">
        <v>1431.6</v>
      </c>
      <c r="E630" s="1">
        <f>Tabela5[[#This Row],[Força (N)]]/$I$5</f>
        <v>34043403.198881388</v>
      </c>
      <c r="F630" s="1">
        <f>Tabela5[[#This Row],[Tensão (Pa)]]/1000000</f>
        <v>34.043403198881386</v>
      </c>
    </row>
    <row r="631" spans="1:6" x14ac:dyDescent="0.3">
      <c r="A631" s="5">
        <v>76.117000000000004</v>
      </c>
      <c r="B631" s="5">
        <v>6.335</v>
      </c>
      <c r="C631" s="1">
        <f>Tabela5[[#This Row],[Alongamento (mm/mm)]]/$I$2</f>
        <v>0.12670000000000001</v>
      </c>
      <c r="D631" s="5">
        <v>1442.8</v>
      </c>
      <c r="E631" s="1">
        <f>Tabela5[[#This Row],[Força (N)]]/$I$5</f>
        <v>34309738.84838368</v>
      </c>
      <c r="F631" s="1">
        <f>Tabela5[[#This Row],[Tensão (Pa)]]/1000000</f>
        <v>34.309738848383681</v>
      </c>
    </row>
    <row r="632" spans="1:6" x14ac:dyDescent="0.3">
      <c r="A632" s="5">
        <v>76.367000000000004</v>
      </c>
      <c r="B632" s="5">
        <v>6.3559000000000001</v>
      </c>
      <c r="C632" s="1">
        <f>Tabela5[[#This Row],[Alongamento (mm/mm)]]/$I$2</f>
        <v>0.12711800000000001</v>
      </c>
      <c r="D632" s="5">
        <v>1454</v>
      </c>
      <c r="E632" s="1">
        <f>Tabela5[[#This Row],[Força (N)]]/$I$5</f>
        <v>34576074.497885965</v>
      </c>
      <c r="F632" s="1">
        <f>Tabela5[[#This Row],[Tensão (Pa)]]/1000000</f>
        <v>34.576074497885962</v>
      </c>
    </row>
    <row r="633" spans="1:6" x14ac:dyDescent="0.3">
      <c r="A633" s="5">
        <v>76.617000000000004</v>
      </c>
      <c r="B633" s="5">
        <v>6.3766999999999996</v>
      </c>
      <c r="C633" s="1">
        <f>Tabela5[[#This Row],[Alongamento (mm/mm)]]/$I$2</f>
        <v>0.12753399999999998</v>
      </c>
      <c r="D633" s="5">
        <v>1465.2</v>
      </c>
      <c r="E633" s="1">
        <f>Tabela5[[#This Row],[Força (N)]]/$I$5</f>
        <v>34842410.14738825</v>
      </c>
      <c r="F633" s="1">
        <f>Tabela5[[#This Row],[Tensão (Pa)]]/1000000</f>
        <v>34.84241014738825</v>
      </c>
    </row>
    <row r="634" spans="1:6" x14ac:dyDescent="0.3">
      <c r="A634" s="5">
        <v>76.867000000000004</v>
      </c>
      <c r="B634" s="5">
        <v>6.3975999999999997</v>
      </c>
      <c r="C634" s="1">
        <f>Tabela5[[#This Row],[Alongamento (mm/mm)]]/$I$2</f>
        <v>0.12795199999999998</v>
      </c>
      <c r="D634" s="5">
        <v>1476.5</v>
      </c>
      <c r="E634" s="1">
        <f>Tabela5[[#This Row],[Força (N)]]/$I$5</f>
        <v>35111123.793761089</v>
      </c>
      <c r="F634" s="1">
        <f>Tabela5[[#This Row],[Tensão (Pa)]]/1000000</f>
        <v>35.111123793761088</v>
      </c>
    </row>
    <row r="635" spans="1:6" x14ac:dyDescent="0.3">
      <c r="A635" s="5">
        <v>77.132999999999996</v>
      </c>
      <c r="B635" s="5">
        <v>6.4196999999999997</v>
      </c>
      <c r="C635" s="1">
        <f>Tabela5[[#This Row],[Alongamento (mm/mm)]]/$I$2</f>
        <v>0.12839400000000001</v>
      </c>
      <c r="D635" s="5">
        <v>1488.2</v>
      </c>
      <c r="E635" s="1">
        <f>Tabela5[[#This Row],[Força (N)]]/$I$5</f>
        <v>35389349.427616157</v>
      </c>
      <c r="F635" s="1">
        <f>Tabela5[[#This Row],[Tensão (Pa)]]/1000000</f>
        <v>35.389349427616153</v>
      </c>
    </row>
    <row r="636" spans="1:6" x14ac:dyDescent="0.3">
      <c r="A636" s="5">
        <v>77.400000000000006</v>
      </c>
      <c r="B636" s="5">
        <v>6.4419000000000004</v>
      </c>
      <c r="C636" s="1">
        <f>Tabela5[[#This Row],[Alongamento (mm/mm)]]/$I$2</f>
        <v>0.12883800000000001</v>
      </c>
      <c r="D636" s="5">
        <v>1499.9</v>
      </c>
      <c r="E636" s="1">
        <f>Tabela5[[#This Row],[Força (N)]]/$I$5</f>
        <v>35667575.061471224</v>
      </c>
      <c r="F636" s="1">
        <f>Tabela5[[#This Row],[Tensão (Pa)]]/1000000</f>
        <v>35.667575061471226</v>
      </c>
    </row>
    <row r="637" spans="1:6" x14ac:dyDescent="0.3">
      <c r="A637" s="5">
        <v>77.667000000000002</v>
      </c>
      <c r="B637" s="5">
        <v>6.4641999999999999</v>
      </c>
      <c r="C637" s="1">
        <f>Tabela5[[#This Row],[Alongamento (mm/mm)]]/$I$2</f>
        <v>0.12928400000000001</v>
      </c>
      <c r="D637" s="5">
        <v>1511.7</v>
      </c>
      <c r="E637" s="1">
        <f>Tabela5[[#This Row],[Força (N)]]/$I$5</f>
        <v>35948178.692196846</v>
      </c>
      <c r="F637" s="1">
        <f>Tabela5[[#This Row],[Tensão (Pa)]]/1000000</f>
        <v>35.948178692196848</v>
      </c>
    </row>
    <row r="638" spans="1:6" x14ac:dyDescent="0.3">
      <c r="A638" s="5">
        <v>77.933000000000007</v>
      </c>
      <c r="B638" s="5">
        <v>6.4863</v>
      </c>
      <c r="C638" s="1">
        <f>Tabela5[[#This Row],[Alongamento (mm/mm)]]/$I$2</f>
        <v>0.12972600000000001</v>
      </c>
      <c r="D638" s="5">
        <v>1523.6</v>
      </c>
      <c r="E638" s="1">
        <f>Tabela5[[#This Row],[Força (N)]]/$I$5</f>
        <v>36231160.319793023</v>
      </c>
      <c r="F638" s="1">
        <f>Tabela5[[#This Row],[Tensão (Pa)]]/1000000</f>
        <v>36.23116031979302</v>
      </c>
    </row>
    <row r="639" spans="1:6" x14ac:dyDescent="0.3">
      <c r="A639" s="5">
        <v>78.2</v>
      </c>
      <c r="B639" s="5">
        <v>6.5087000000000002</v>
      </c>
      <c r="C639" s="1">
        <f>Tabela5[[#This Row],[Alongamento (mm/mm)]]/$I$2</f>
        <v>0.13017400000000001</v>
      </c>
      <c r="D639" s="5">
        <v>1535.7</v>
      </c>
      <c r="E639" s="1">
        <f>Tabela5[[#This Row],[Força (N)]]/$I$5</f>
        <v>36518897.94113031</v>
      </c>
      <c r="F639" s="1">
        <f>Tabela5[[#This Row],[Tensão (Pa)]]/1000000</f>
        <v>36.518897941130312</v>
      </c>
    </row>
    <row r="640" spans="1:6" x14ac:dyDescent="0.3">
      <c r="A640" s="5">
        <v>78.466999999999999</v>
      </c>
      <c r="B640" s="5">
        <v>6.5308999999999999</v>
      </c>
      <c r="C640" s="1">
        <f>Tabela5[[#This Row],[Alongamento (mm/mm)]]/$I$2</f>
        <v>0.13061800000000001</v>
      </c>
      <c r="D640" s="5">
        <v>1547.6</v>
      </c>
      <c r="E640" s="1">
        <f>Tabela5[[#This Row],[Força (N)]]/$I$5</f>
        <v>36801879.568726487</v>
      </c>
      <c r="F640" s="1">
        <f>Tabela5[[#This Row],[Tensão (Pa)]]/1000000</f>
        <v>36.801879568726484</v>
      </c>
    </row>
    <row r="641" spans="1:6" x14ac:dyDescent="0.3">
      <c r="A641" s="5">
        <v>78.733000000000004</v>
      </c>
      <c r="B641" s="5">
        <v>6.5530999999999997</v>
      </c>
      <c r="C641" s="1">
        <f>Tabela5[[#This Row],[Alongamento (mm/mm)]]/$I$2</f>
        <v>0.13106199999999998</v>
      </c>
      <c r="D641" s="5">
        <v>1559.6</v>
      </c>
      <c r="E641" s="1">
        <f>Tabela5[[#This Row],[Força (N)]]/$I$5</f>
        <v>37087239.19319322</v>
      </c>
      <c r="F641" s="1">
        <f>Tabela5[[#This Row],[Tensão (Pa)]]/1000000</f>
        <v>37.08723919319322</v>
      </c>
    </row>
    <row r="642" spans="1:6" x14ac:dyDescent="0.3">
      <c r="A642" s="5">
        <v>79</v>
      </c>
      <c r="B642" s="5">
        <v>6.5753000000000004</v>
      </c>
      <c r="C642" s="1">
        <f>Tabela5[[#This Row],[Alongamento (mm/mm)]]/$I$2</f>
        <v>0.13150600000000001</v>
      </c>
      <c r="D642" s="5">
        <v>1571.5</v>
      </c>
      <c r="E642" s="1">
        <f>Tabela5[[#This Row],[Força (N)]]/$I$5</f>
        <v>37370220.820789404</v>
      </c>
      <c r="F642" s="1">
        <f>Tabela5[[#This Row],[Tensão (Pa)]]/1000000</f>
        <v>37.370220820789406</v>
      </c>
    </row>
    <row r="643" spans="1:6" x14ac:dyDescent="0.3">
      <c r="A643" s="5">
        <v>79.266999999999996</v>
      </c>
      <c r="B643" s="5">
        <v>6.5975000000000001</v>
      </c>
      <c r="C643" s="1">
        <f>Tabela5[[#This Row],[Alongamento (mm/mm)]]/$I$2</f>
        <v>0.13195000000000001</v>
      </c>
      <c r="D643" s="5">
        <v>1583.8</v>
      </c>
      <c r="E643" s="1">
        <f>Tabela5[[#This Row],[Força (N)]]/$I$5</f>
        <v>37662714.435867801</v>
      </c>
      <c r="F643" s="1">
        <f>Tabela5[[#This Row],[Tensão (Pa)]]/1000000</f>
        <v>37.662714435867798</v>
      </c>
    </row>
    <row r="644" spans="1:6" x14ac:dyDescent="0.3">
      <c r="A644" s="5">
        <v>79.55</v>
      </c>
      <c r="B644" s="5">
        <v>6.6211000000000002</v>
      </c>
      <c r="C644" s="1">
        <f>Tabela5[[#This Row],[Alongamento (mm/mm)]]/$I$2</f>
        <v>0.13242200000000001</v>
      </c>
      <c r="D644" s="5">
        <v>1596.7</v>
      </c>
      <c r="E644" s="1">
        <f>Tabela5[[#This Row],[Força (N)]]/$I$5</f>
        <v>37969476.032169543</v>
      </c>
      <c r="F644" s="1">
        <f>Tabela5[[#This Row],[Tensão (Pa)]]/1000000</f>
        <v>37.969476032169545</v>
      </c>
    </row>
    <row r="645" spans="1:6" x14ac:dyDescent="0.3">
      <c r="A645" s="5">
        <v>79.832999999999998</v>
      </c>
      <c r="B645" s="5">
        <v>6.6448</v>
      </c>
      <c r="C645" s="1">
        <f>Tabela5[[#This Row],[Alongamento (mm/mm)]]/$I$2</f>
        <v>0.13289600000000001</v>
      </c>
      <c r="D645" s="5">
        <v>1609.6</v>
      </c>
      <c r="E645" s="1">
        <f>Tabela5[[#This Row],[Força (N)]]/$I$5</f>
        <v>38276237.628471285</v>
      </c>
      <c r="F645" s="1">
        <f>Tabela5[[#This Row],[Tensão (Pa)]]/1000000</f>
        <v>38.276237628471286</v>
      </c>
    </row>
    <row r="646" spans="1:6" x14ac:dyDescent="0.3">
      <c r="A646" s="5">
        <v>80.117000000000004</v>
      </c>
      <c r="B646" s="5">
        <v>6.6684000000000001</v>
      </c>
      <c r="C646" s="1">
        <f>Tabela5[[#This Row],[Alongamento (mm/mm)]]/$I$2</f>
        <v>0.13336800000000001</v>
      </c>
      <c r="D646" s="5">
        <v>1622.6</v>
      </c>
      <c r="E646" s="1">
        <f>Tabela5[[#This Row],[Força (N)]]/$I$5</f>
        <v>38585377.221643575</v>
      </c>
      <c r="F646" s="1">
        <f>Tabela5[[#This Row],[Tensão (Pa)]]/1000000</f>
        <v>38.585377221643576</v>
      </c>
    </row>
    <row r="647" spans="1:6" x14ac:dyDescent="0.3">
      <c r="A647" s="5">
        <v>80.400000000000006</v>
      </c>
      <c r="B647" s="5">
        <v>6.6920000000000002</v>
      </c>
      <c r="C647" s="1">
        <f>Tabela5[[#This Row],[Alongamento (mm/mm)]]/$I$2</f>
        <v>0.13384000000000001</v>
      </c>
      <c r="D647" s="5">
        <v>1635.3</v>
      </c>
      <c r="E647" s="1">
        <f>Tabela5[[#This Row],[Força (N)]]/$I$5</f>
        <v>38887382.824204206</v>
      </c>
      <c r="F647" s="1">
        <f>Tabela5[[#This Row],[Tensão (Pa)]]/1000000</f>
        <v>38.887382824204209</v>
      </c>
    </row>
    <row r="648" spans="1:6" x14ac:dyDescent="0.3">
      <c r="A648" s="5">
        <v>80.683000000000007</v>
      </c>
      <c r="B648" s="5">
        <v>6.7154999999999996</v>
      </c>
      <c r="C648" s="1">
        <f>Tabela5[[#This Row],[Alongamento (mm/mm)]]/$I$2</f>
        <v>0.13430999999999998</v>
      </c>
      <c r="D648" s="5">
        <v>1648.3</v>
      </c>
      <c r="E648" s="1">
        <f>Tabela5[[#This Row],[Força (N)]]/$I$5</f>
        <v>39196522.417376503</v>
      </c>
      <c r="F648" s="1">
        <f>Tabela5[[#This Row],[Tensão (Pa)]]/1000000</f>
        <v>39.196522417376507</v>
      </c>
    </row>
    <row r="649" spans="1:6" x14ac:dyDescent="0.3">
      <c r="A649" s="5">
        <v>80.966999999999999</v>
      </c>
      <c r="B649" s="5">
        <v>6.7392000000000003</v>
      </c>
      <c r="C649" s="1">
        <f>Tabela5[[#This Row],[Alongamento (mm/mm)]]/$I$2</f>
        <v>0.13478400000000001</v>
      </c>
      <c r="D649" s="5">
        <v>1661</v>
      </c>
      <c r="E649" s="1">
        <f>Tabela5[[#This Row],[Força (N)]]/$I$5</f>
        <v>39498528.019937128</v>
      </c>
      <c r="F649" s="1">
        <f>Tabela5[[#This Row],[Tensão (Pa)]]/1000000</f>
        <v>39.498528019937126</v>
      </c>
    </row>
    <row r="650" spans="1:6" x14ac:dyDescent="0.3">
      <c r="A650" s="5">
        <v>81.25</v>
      </c>
      <c r="B650" s="5">
        <v>6.7628000000000004</v>
      </c>
      <c r="C650" s="1">
        <f>Tabela5[[#This Row],[Alongamento (mm/mm)]]/$I$2</f>
        <v>0.13525600000000002</v>
      </c>
      <c r="D650" s="5">
        <v>1673.9</v>
      </c>
      <c r="E650" s="1">
        <f>Tabela5[[#This Row],[Força (N)]]/$I$5</f>
        <v>39805289.61623887</v>
      </c>
      <c r="F650" s="1">
        <f>Tabela5[[#This Row],[Tensão (Pa)]]/1000000</f>
        <v>39.805289616238866</v>
      </c>
    </row>
    <row r="651" spans="1:6" x14ac:dyDescent="0.3">
      <c r="A651" s="5">
        <v>81.55</v>
      </c>
      <c r="B651" s="5">
        <v>6.7877999999999998</v>
      </c>
      <c r="C651" s="1">
        <f>Tabela5[[#This Row],[Alongamento (mm/mm)]]/$I$2</f>
        <v>0.13575599999999999</v>
      </c>
      <c r="D651" s="5">
        <v>1687.2</v>
      </c>
      <c r="E651" s="1">
        <f>Tabela5[[#This Row],[Força (N)]]/$I$5</f>
        <v>40121563.200022832</v>
      </c>
      <c r="F651" s="1">
        <f>Tabela5[[#This Row],[Tensão (Pa)]]/1000000</f>
        <v>40.121563200022834</v>
      </c>
    </row>
    <row r="652" spans="1:6" x14ac:dyDescent="0.3">
      <c r="A652" s="5">
        <v>81.849999999999994</v>
      </c>
      <c r="B652" s="5">
        <v>6.8128000000000002</v>
      </c>
      <c r="C652" s="1">
        <f>Tabela5[[#This Row],[Alongamento (mm/mm)]]/$I$2</f>
        <v>0.13625600000000002</v>
      </c>
      <c r="D652" s="5">
        <v>1700.3</v>
      </c>
      <c r="E652" s="1">
        <f>Tabela5[[#This Row],[Força (N)]]/$I$5</f>
        <v>40433080.790065683</v>
      </c>
      <c r="F652" s="1">
        <f>Tabela5[[#This Row],[Tensão (Pa)]]/1000000</f>
        <v>40.433080790065681</v>
      </c>
    </row>
    <row r="653" spans="1:6" x14ac:dyDescent="0.3">
      <c r="A653" s="5">
        <v>82.167000000000002</v>
      </c>
      <c r="B653" s="5">
        <v>6.8391999999999999</v>
      </c>
      <c r="C653" s="1">
        <f>Tabela5[[#This Row],[Alongamento (mm/mm)]]/$I$2</f>
        <v>0.13678399999999999</v>
      </c>
      <c r="D653" s="5">
        <v>1713.7</v>
      </c>
      <c r="E653" s="1">
        <f>Tabela5[[#This Row],[Força (N)]]/$I$5</f>
        <v>40751732.370720208</v>
      </c>
      <c r="F653" s="1">
        <f>Tabela5[[#This Row],[Tensão (Pa)]]/1000000</f>
        <v>40.751732370720205</v>
      </c>
    </row>
    <row r="654" spans="1:6" x14ac:dyDescent="0.3">
      <c r="A654" s="5">
        <v>82.483000000000004</v>
      </c>
      <c r="B654" s="5">
        <v>6.8654999999999999</v>
      </c>
      <c r="C654" s="1">
        <f>Tabela5[[#This Row],[Alongamento (mm/mm)]]/$I$2</f>
        <v>0.13730999999999999</v>
      </c>
      <c r="D654" s="5">
        <v>1727.7</v>
      </c>
      <c r="E654" s="1">
        <f>Tabela5[[#This Row],[Força (N)]]/$I$5</f>
        <v>41084651.932598062</v>
      </c>
      <c r="F654" s="1">
        <f>Tabela5[[#This Row],[Tensão (Pa)]]/1000000</f>
        <v>41.084651932598064</v>
      </c>
    </row>
    <row r="655" spans="1:6" x14ac:dyDescent="0.3">
      <c r="A655" s="5">
        <v>82.8</v>
      </c>
      <c r="B655" s="5">
        <v>6.8920000000000003</v>
      </c>
      <c r="C655" s="1">
        <f>Tabela5[[#This Row],[Alongamento (mm/mm)]]/$I$2</f>
        <v>0.13784000000000002</v>
      </c>
      <c r="D655" s="5">
        <v>1741.3</v>
      </c>
      <c r="E655" s="1">
        <f>Tabela5[[#This Row],[Força (N)]]/$I$5</f>
        <v>41408059.506993689</v>
      </c>
      <c r="F655" s="1">
        <f>Tabela5[[#This Row],[Tensão (Pa)]]/1000000</f>
        <v>41.408059506993688</v>
      </c>
    </row>
    <row r="656" spans="1:6" x14ac:dyDescent="0.3">
      <c r="A656" s="5">
        <v>83.117000000000004</v>
      </c>
      <c r="B656" s="5">
        <v>6.9184000000000001</v>
      </c>
      <c r="C656" s="1">
        <f>Tabela5[[#This Row],[Alongamento (mm/mm)]]/$I$2</f>
        <v>0.13836799999999999</v>
      </c>
      <c r="D656" s="5">
        <v>1755.1</v>
      </c>
      <c r="E656" s="1">
        <f>Tabela5[[#This Row],[Força (N)]]/$I$5</f>
        <v>41736223.075130433</v>
      </c>
      <c r="F656" s="1">
        <f>Tabela5[[#This Row],[Tensão (Pa)]]/1000000</f>
        <v>41.736223075130432</v>
      </c>
    </row>
    <row r="657" spans="1:6" x14ac:dyDescent="0.3">
      <c r="A657" s="5">
        <v>83.433000000000007</v>
      </c>
      <c r="B657" s="5">
        <v>6.9447000000000001</v>
      </c>
      <c r="C657" s="1">
        <f>Tabela5[[#This Row],[Alongamento (mm/mm)]]/$I$2</f>
        <v>0.13889399999999999</v>
      </c>
      <c r="D657" s="5">
        <v>1768.7</v>
      </c>
      <c r="E657" s="1">
        <f>Tabela5[[#This Row],[Força (N)]]/$I$5</f>
        <v>42059630.649526067</v>
      </c>
      <c r="F657" s="1">
        <f>Tabela5[[#This Row],[Tensão (Pa)]]/1000000</f>
        <v>42.059630649526071</v>
      </c>
    </row>
    <row r="658" spans="1:6" x14ac:dyDescent="0.3">
      <c r="A658" s="5">
        <v>83.766999999999996</v>
      </c>
      <c r="B658" s="5">
        <v>6.9725000000000001</v>
      </c>
      <c r="C658" s="1">
        <f>Tabela5[[#This Row],[Alongamento (mm/mm)]]/$I$2</f>
        <v>0.13944999999999999</v>
      </c>
      <c r="D658" s="5">
        <v>1782.8</v>
      </c>
      <c r="E658" s="1">
        <f>Tabela5[[#This Row],[Força (N)]]/$I$5</f>
        <v>42394928.208274476</v>
      </c>
      <c r="F658" s="1">
        <f>Tabela5[[#This Row],[Tensão (Pa)]]/1000000</f>
        <v>42.394928208274479</v>
      </c>
    </row>
    <row r="659" spans="1:6" x14ac:dyDescent="0.3">
      <c r="A659" s="5">
        <v>84.082999999999998</v>
      </c>
      <c r="B659" s="5">
        <v>6.9988999999999999</v>
      </c>
      <c r="C659" s="1">
        <f>Tabela5[[#This Row],[Alongamento (mm/mm)]]/$I$2</f>
        <v>0.13997799999999999</v>
      </c>
      <c r="D659" s="5">
        <v>1796.4</v>
      </c>
      <c r="E659" s="1">
        <f>Tabela5[[#This Row],[Força (N)]]/$I$5</f>
        <v>42718335.782670118</v>
      </c>
      <c r="F659" s="1">
        <f>Tabela5[[#This Row],[Tensão (Pa)]]/1000000</f>
        <v>42.718335782670117</v>
      </c>
    </row>
    <row r="660" spans="1:6" x14ac:dyDescent="0.3">
      <c r="A660" s="5">
        <v>84.417000000000002</v>
      </c>
      <c r="B660" s="5">
        <v>7.0266999999999999</v>
      </c>
      <c r="C660" s="1">
        <f>Tabela5[[#This Row],[Alongamento (mm/mm)]]/$I$2</f>
        <v>0.14053399999999999</v>
      </c>
      <c r="D660" s="5">
        <v>1810.9</v>
      </c>
      <c r="E660" s="1">
        <f>Tabela5[[#This Row],[Força (N)]]/$I$5</f>
        <v>43063145.328900754</v>
      </c>
      <c r="F660" s="1">
        <f>Tabela5[[#This Row],[Tensão (Pa)]]/1000000</f>
        <v>43.063145328900752</v>
      </c>
    </row>
    <row r="661" spans="1:6" x14ac:dyDescent="0.3">
      <c r="A661" s="5">
        <v>84.75</v>
      </c>
      <c r="B661" s="5">
        <v>7.0544000000000002</v>
      </c>
      <c r="C661" s="1">
        <f>Tabela5[[#This Row],[Alongamento (mm/mm)]]/$I$2</f>
        <v>0.14108799999999999</v>
      </c>
      <c r="D661" s="5">
        <v>1825.3</v>
      </c>
      <c r="E661" s="1">
        <f>Tabela5[[#This Row],[Força (N)]]/$I$5</f>
        <v>43405576.878260829</v>
      </c>
      <c r="F661" s="1">
        <f>Tabela5[[#This Row],[Tensão (Pa)]]/1000000</f>
        <v>43.405576878260831</v>
      </c>
    </row>
    <row r="662" spans="1:6" x14ac:dyDescent="0.3">
      <c r="A662" s="5">
        <v>85.082999999999998</v>
      </c>
      <c r="B662" s="5">
        <v>7.0823</v>
      </c>
      <c r="C662" s="1">
        <f>Tabela5[[#This Row],[Alongamento (mm/mm)]]/$I$2</f>
        <v>0.14164599999999999</v>
      </c>
      <c r="D662" s="5">
        <v>1839.6</v>
      </c>
      <c r="E662" s="1">
        <f>Tabela5[[#This Row],[Força (N)]]/$I$5</f>
        <v>43745630.430750355</v>
      </c>
      <c r="F662" s="1">
        <f>Tabela5[[#This Row],[Tensão (Pa)]]/1000000</f>
        <v>43.745630430750353</v>
      </c>
    </row>
    <row r="663" spans="1:6" x14ac:dyDescent="0.3">
      <c r="A663" s="5">
        <v>85.417000000000002</v>
      </c>
      <c r="B663" s="5">
        <v>7.11</v>
      </c>
      <c r="C663" s="1">
        <f>Tabela5[[#This Row],[Alongamento (mm/mm)]]/$I$2</f>
        <v>0.14219999999999999</v>
      </c>
      <c r="D663" s="5">
        <v>1854.4</v>
      </c>
      <c r="E663" s="1">
        <f>Tabela5[[#This Row],[Força (N)]]/$I$5</f>
        <v>44097573.967592664</v>
      </c>
      <c r="F663" s="1">
        <f>Tabela5[[#This Row],[Tensão (Pa)]]/1000000</f>
        <v>44.097573967592666</v>
      </c>
    </row>
    <row r="664" spans="1:6" x14ac:dyDescent="0.3">
      <c r="A664" s="5">
        <v>85.75</v>
      </c>
      <c r="B664" s="5">
        <v>7.1376999999999997</v>
      </c>
      <c r="C664" s="1">
        <f>Tabela5[[#This Row],[Alongamento (mm/mm)]]/$I$2</f>
        <v>0.14275399999999999</v>
      </c>
      <c r="D664" s="5">
        <v>1868.9</v>
      </c>
      <c r="E664" s="1">
        <f>Tabela5[[#This Row],[Força (N)]]/$I$5</f>
        <v>44442383.513823301</v>
      </c>
      <c r="F664" s="1">
        <f>Tabela5[[#This Row],[Tensão (Pa)]]/1000000</f>
        <v>44.442383513823302</v>
      </c>
    </row>
    <row r="665" spans="1:6" x14ac:dyDescent="0.3">
      <c r="A665" s="5">
        <v>86.1</v>
      </c>
      <c r="B665" s="5">
        <v>7.1669999999999998</v>
      </c>
      <c r="C665" s="1">
        <f>Tabela5[[#This Row],[Alongamento (mm/mm)]]/$I$2</f>
        <v>0.14334</v>
      </c>
      <c r="D665" s="5">
        <v>1883.5</v>
      </c>
      <c r="E665" s="1">
        <f>Tabela5[[#This Row],[Força (N)]]/$I$5</f>
        <v>44789571.056924492</v>
      </c>
      <c r="F665" s="1">
        <f>Tabela5[[#This Row],[Tensão (Pa)]]/1000000</f>
        <v>44.789571056924494</v>
      </c>
    </row>
    <row r="666" spans="1:6" x14ac:dyDescent="0.3">
      <c r="A666" s="5">
        <v>86.466999999999999</v>
      </c>
      <c r="B666" s="5">
        <v>7.1976000000000004</v>
      </c>
      <c r="C666" s="1">
        <f>Tabela5[[#This Row],[Alongamento (mm/mm)]]/$I$2</f>
        <v>0.143952</v>
      </c>
      <c r="D666" s="5">
        <v>1898.5</v>
      </c>
      <c r="E666" s="1">
        <f>Tabela5[[#This Row],[Força (N)]]/$I$5</f>
        <v>45146270.587507911</v>
      </c>
      <c r="F666" s="1">
        <f>Tabela5[[#This Row],[Tensão (Pa)]]/1000000</f>
        <v>45.146270587507914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321F-1B59-40DB-9774-681A0C0BBB88}">
  <dimension ref="A1:K595"/>
  <sheetViews>
    <sheetView workbookViewId="0">
      <selection sqref="A1:K1048576"/>
    </sheetView>
  </sheetViews>
  <sheetFormatPr defaultRowHeight="14.4" x14ac:dyDescent="0.3"/>
  <cols>
    <col min="1" max="1" width="11.88671875" style="1" bestFit="1" customWidth="1"/>
    <col min="2" max="2" width="25.5546875" style="1" bestFit="1" customWidth="1"/>
    <col min="3" max="3" width="24.44140625" style="1" bestFit="1" customWidth="1"/>
    <col min="4" max="4" width="11.44140625" style="1" bestFit="1" customWidth="1"/>
    <col min="5" max="5" width="13.5546875" style="1" bestFit="1" customWidth="1"/>
    <col min="6" max="6" width="15.5546875" style="1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5">
        <v>1.6667000000000001E-2</v>
      </c>
      <c r="B2" s="5">
        <v>0</v>
      </c>
      <c r="C2" s="1">
        <f>Tabela7[[#This Row],[Alongamento (mm/mm)]]/$I$2</f>
        <v>0</v>
      </c>
      <c r="D2" s="5">
        <v>0</v>
      </c>
      <c r="E2" s="1">
        <f>Tabela7[[#This Row],[Força (N)]]/$I$5</f>
        <v>0</v>
      </c>
      <c r="F2" s="1">
        <f>Tabela7[[#This Row],[Tensão (Pa)]]/1000000</f>
        <v>0</v>
      </c>
      <c r="H2" t="s">
        <v>10</v>
      </c>
      <c r="I2">
        <v>50</v>
      </c>
      <c r="J2">
        <v>12.9</v>
      </c>
      <c r="K2">
        <v>3.33</v>
      </c>
    </row>
    <row r="3" spans="1:11" x14ac:dyDescent="0.3">
      <c r="A3" s="5">
        <v>3.5832999999999999</v>
      </c>
      <c r="B3" s="5">
        <v>0.29109000000000002</v>
      </c>
      <c r="C3" s="1">
        <f>Tabela7[[#This Row],[Alongamento (mm/mm)]]/$I$2</f>
        <v>5.8218000000000002E-3</v>
      </c>
      <c r="D3" s="5">
        <v>3.2319</v>
      </c>
      <c r="E3" s="1">
        <f>Tabela7[[#This Row],[Força (N)]]/$I$5</f>
        <v>75235.700817096164</v>
      </c>
      <c r="F3" s="1">
        <f>Tabela7[[#This Row],[Tensão (Pa)]]/1000000</f>
        <v>7.5235700817096157E-2</v>
      </c>
      <c r="H3" t="s">
        <v>11</v>
      </c>
      <c r="I3">
        <f>I2/1000</f>
        <v>0.05</v>
      </c>
      <c r="J3">
        <f t="shared" ref="J3:K3" si="0">J2/1000</f>
        <v>1.29E-2</v>
      </c>
      <c r="K3">
        <f t="shared" si="0"/>
        <v>3.3300000000000001E-3</v>
      </c>
    </row>
    <row r="4" spans="1:11" x14ac:dyDescent="0.3">
      <c r="A4" s="5">
        <v>3.6166999999999998</v>
      </c>
      <c r="B4" s="5">
        <v>0.29397000000000001</v>
      </c>
      <c r="C4" s="1">
        <f>Tabela7[[#This Row],[Alongamento (mm/mm)]]/$I$2</f>
        <v>5.8793999999999999E-3</v>
      </c>
      <c r="D4" s="5">
        <v>3.2319</v>
      </c>
      <c r="E4" s="1">
        <f>Tabela7[[#This Row],[Força (N)]]/$I$5</f>
        <v>75235.700817096164</v>
      </c>
      <c r="F4" s="1">
        <f>Tabela7[[#This Row],[Tensão (Pa)]]/1000000</f>
        <v>7.5235700817096157E-2</v>
      </c>
    </row>
    <row r="5" spans="1:11" x14ac:dyDescent="0.3">
      <c r="A5" s="5">
        <v>3.65</v>
      </c>
      <c r="B5" s="5">
        <v>0.29666999999999999</v>
      </c>
      <c r="C5" s="1">
        <f>Tabela7[[#This Row],[Alongamento (mm/mm)]]/$I$2</f>
        <v>5.9334000000000001E-3</v>
      </c>
      <c r="D5" s="5">
        <v>3.2319</v>
      </c>
      <c r="E5" s="1">
        <f>Tabela7[[#This Row],[Força (N)]]/$I$5</f>
        <v>75235.700817096164</v>
      </c>
      <c r="F5" s="1">
        <f>Tabela7[[#This Row],[Tensão (Pa)]]/1000000</f>
        <v>7.5235700817096157E-2</v>
      </c>
      <c r="H5" t="s">
        <v>12</v>
      </c>
      <c r="I5">
        <f>J3*K3</f>
        <v>4.2957000000000002E-5</v>
      </c>
    </row>
    <row r="6" spans="1:11" x14ac:dyDescent="0.3">
      <c r="A6" s="5">
        <v>3.6833</v>
      </c>
      <c r="B6" s="5">
        <v>0.29954999999999998</v>
      </c>
      <c r="C6" s="1">
        <f>Tabela7[[#This Row],[Alongamento (mm/mm)]]/$I$2</f>
        <v>5.9909999999999998E-3</v>
      </c>
      <c r="D6" s="5">
        <v>3.2319</v>
      </c>
      <c r="E6" s="1">
        <f>Tabela7[[#This Row],[Força (N)]]/$I$5</f>
        <v>75235.700817096164</v>
      </c>
      <c r="F6" s="1">
        <f>Tabela7[[#This Row],[Tensão (Pa)]]/1000000</f>
        <v>7.5235700817096157E-2</v>
      </c>
    </row>
    <row r="7" spans="1:11" x14ac:dyDescent="0.3">
      <c r="A7" s="5">
        <v>3.7166999999999999</v>
      </c>
      <c r="B7" s="5">
        <v>0.30225000000000002</v>
      </c>
      <c r="C7" s="1">
        <f>Tabela7[[#This Row],[Alongamento (mm/mm)]]/$I$2</f>
        <v>6.045E-3</v>
      </c>
      <c r="D7" s="5">
        <v>3.2319</v>
      </c>
      <c r="E7" s="1">
        <f>Tabela7[[#This Row],[Força (N)]]/$I$5</f>
        <v>75235.700817096164</v>
      </c>
      <c r="F7" s="1">
        <f>Tabela7[[#This Row],[Tensão (Pa)]]/1000000</f>
        <v>7.5235700817096157E-2</v>
      </c>
    </row>
    <row r="8" spans="1:11" x14ac:dyDescent="0.3">
      <c r="A8" s="5">
        <v>3.75</v>
      </c>
      <c r="B8" s="5">
        <v>0.30503999999999998</v>
      </c>
      <c r="C8" s="1">
        <f>Tabela7[[#This Row],[Alongamento (mm/mm)]]/$I$2</f>
        <v>6.1008E-3</v>
      </c>
      <c r="D8" s="5">
        <v>3.2319</v>
      </c>
      <c r="E8" s="1">
        <f>Tabela7[[#This Row],[Força (N)]]/$I$5</f>
        <v>75235.700817096164</v>
      </c>
      <c r="F8" s="1">
        <f>Tabela7[[#This Row],[Tensão (Pa)]]/1000000</f>
        <v>7.5235700817096157E-2</v>
      </c>
    </row>
    <row r="9" spans="1:11" x14ac:dyDescent="0.3">
      <c r="A9" s="5">
        <v>3.7833000000000001</v>
      </c>
      <c r="B9" s="5">
        <v>0.30784</v>
      </c>
      <c r="C9" s="1">
        <f>Tabela7[[#This Row],[Alongamento (mm/mm)]]/$I$2</f>
        <v>6.1568000000000005E-3</v>
      </c>
      <c r="D9" s="5">
        <v>3.2319</v>
      </c>
      <c r="E9" s="1">
        <f>Tabela7[[#This Row],[Força (N)]]/$I$5</f>
        <v>75235.700817096164</v>
      </c>
      <c r="F9" s="1">
        <f>Tabela7[[#This Row],[Tensão (Pa)]]/1000000</f>
        <v>7.5235700817096157E-2</v>
      </c>
    </row>
    <row r="10" spans="1:11" x14ac:dyDescent="0.3">
      <c r="A10" s="5">
        <v>3.8167</v>
      </c>
      <c r="B10" s="5">
        <v>0.31063000000000002</v>
      </c>
      <c r="C10" s="1">
        <f>Tabela7[[#This Row],[Alongamento (mm/mm)]]/$I$2</f>
        <v>6.2126000000000004E-3</v>
      </c>
      <c r="D10" s="5">
        <v>3.2319</v>
      </c>
      <c r="E10" s="1">
        <f>Tabela7[[#This Row],[Força (N)]]/$I$5</f>
        <v>75235.700817096164</v>
      </c>
      <c r="F10" s="1">
        <f>Tabela7[[#This Row],[Tensão (Pa)]]/1000000</f>
        <v>7.5235700817096157E-2</v>
      </c>
    </row>
    <row r="11" spans="1:11" x14ac:dyDescent="0.3">
      <c r="A11" s="5">
        <v>3.85</v>
      </c>
      <c r="B11" s="5">
        <v>0.31341999999999998</v>
      </c>
      <c r="C11" s="1">
        <f>Tabela7[[#This Row],[Alongamento (mm/mm)]]/$I$2</f>
        <v>6.2683999999999995E-3</v>
      </c>
      <c r="D11" s="5">
        <v>3.2319</v>
      </c>
      <c r="E11" s="1">
        <f>Tabela7[[#This Row],[Força (N)]]/$I$5</f>
        <v>75235.700817096164</v>
      </c>
      <c r="F11" s="1">
        <f>Tabela7[[#This Row],[Tensão (Pa)]]/1000000</f>
        <v>7.5235700817096157E-2</v>
      </c>
    </row>
    <row r="12" spans="1:11" x14ac:dyDescent="0.3">
      <c r="A12" s="5">
        <v>3.8833000000000002</v>
      </c>
      <c r="B12" s="5">
        <v>0.31612000000000001</v>
      </c>
      <c r="C12" s="1">
        <f>Tabela7[[#This Row],[Alongamento (mm/mm)]]/$I$2</f>
        <v>6.3224000000000006E-3</v>
      </c>
      <c r="D12" s="5">
        <v>3.2319</v>
      </c>
      <c r="E12" s="1">
        <f>Tabela7[[#This Row],[Força (N)]]/$I$5</f>
        <v>75235.700817096164</v>
      </c>
      <c r="F12" s="1">
        <f>Tabela7[[#This Row],[Tensão (Pa)]]/1000000</f>
        <v>7.5235700817096157E-2</v>
      </c>
    </row>
    <row r="13" spans="1:11" x14ac:dyDescent="0.3">
      <c r="A13" s="5">
        <v>3.9167000000000001</v>
      </c>
      <c r="B13" s="5">
        <v>0.31900000000000001</v>
      </c>
      <c r="C13" s="1">
        <f>Tabela7[[#This Row],[Alongamento (mm/mm)]]/$I$2</f>
        <v>6.3800000000000003E-3</v>
      </c>
      <c r="D13" s="5">
        <v>3.2319</v>
      </c>
      <c r="E13" s="1">
        <f>Tabela7[[#This Row],[Força (N)]]/$I$5</f>
        <v>75235.700817096164</v>
      </c>
      <c r="F13" s="1">
        <f>Tabela7[[#This Row],[Tensão (Pa)]]/1000000</f>
        <v>7.5235700817096157E-2</v>
      </c>
    </row>
    <row r="14" spans="1:11" x14ac:dyDescent="0.3">
      <c r="A14" s="5">
        <v>3.95</v>
      </c>
      <c r="B14" s="5">
        <v>0.32169999999999999</v>
      </c>
      <c r="C14" s="1">
        <f>Tabela7[[#This Row],[Alongamento (mm/mm)]]/$I$2</f>
        <v>6.4339999999999996E-3</v>
      </c>
      <c r="D14" s="5">
        <v>3.2319</v>
      </c>
      <c r="E14" s="1">
        <f>Tabela7[[#This Row],[Força (N)]]/$I$5</f>
        <v>75235.700817096164</v>
      </c>
      <c r="F14" s="1">
        <f>Tabela7[[#This Row],[Tensão (Pa)]]/1000000</f>
        <v>7.5235700817096157E-2</v>
      </c>
    </row>
    <row r="15" spans="1:11" x14ac:dyDescent="0.3">
      <c r="A15" s="5">
        <v>3.9832999999999998</v>
      </c>
      <c r="B15" s="5">
        <v>0.32449</v>
      </c>
      <c r="C15" s="1">
        <f>Tabela7[[#This Row],[Alongamento (mm/mm)]]/$I$2</f>
        <v>6.4898000000000004E-3</v>
      </c>
      <c r="D15" s="5">
        <v>3.2319</v>
      </c>
      <c r="E15" s="1">
        <f>Tabela7[[#This Row],[Força (N)]]/$I$5</f>
        <v>75235.700817096164</v>
      </c>
      <c r="F15" s="1">
        <f>Tabela7[[#This Row],[Tensão (Pa)]]/1000000</f>
        <v>7.5235700817096157E-2</v>
      </c>
    </row>
    <row r="16" spans="1:11" x14ac:dyDescent="0.3">
      <c r="A16" s="5">
        <v>4.0167000000000002</v>
      </c>
      <c r="B16" s="5">
        <v>0.32718999999999998</v>
      </c>
      <c r="C16" s="1">
        <f>Tabela7[[#This Row],[Alongamento (mm/mm)]]/$I$2</f>
        <v>6.5437999999999998E-3</v>
      </c>
      <c r="D16" s="5">
        <v>3.0617999999999999</v>
      </c>
      <c r="E16" s="1">
        <f>Tabela7[[#This Row],[Força (N)]]/$I$5</f>
        <v>71275.92708988057</v>
      </c>
      <c r="F16" s="1">
        <f>Tabela7[[#This Row],[Tensão (Pa)]]/1000000</f>
        <v>7.1275927089880564E-2</v>
      </c>
    </row>
    <row r="17" spans="1:6" x14ac:dyDescent="0.3">
      <c r="A17" s="5">
        <v>4.05</v>
      </c>
      <c r="B17" s="5">
        <v>0.33007999999999998</v>
      </c>
      <c r="C17" s="1">
        <f>Tabela7[[#This Row],[Alongamento (mm/mm)]]/$I$2</f>
        <v>6.6016E-3</v>
      </c>
      <c r="D17" s="5">
        <v>3.0617999999999999</v>
      </c>
      <c r="E17" s="1">
        <f>Tabela7[[#This Row],[Força (N)]]/$I$5</f>
        <v>71275.92708988057</v>
      </c>
      <c r="F17" s="1">
        <f>Tabela7[[#This Row],[Tensão (Pa)]]/1000000</f>
        <v>7.1275927089880564E-2</v>
      </c>
    </row>
    <row r="18" spans="1:6" x14ac:dyDescent="0.3">
      <c r="A18" s="5">
        <v>4.0833000000000004</v>
      </c>
      <c r="B18" s="5">
        <v>0.33278000000000002</v>
      </c>
      <c r="C18" s="1">
        <f>Tabela7[[#This Row],[Alongamento (mm/mm)]]/$I$2</f>
        <v>6.6556000000000002E-3</v>
      </c>
      <c r="D18" s="5">
        <v>3.0617999999999999</v>
      </c>
      <c r="E18" s="1">
        <f>Tabela7[[#This Row],[Força (N)]]/$I$5</f>
        <v>71275.92708988057</v>
      </c>
      <c r="F18" s="1">
        <f>Tabela7[[#This Row],[Tensão (Pa)]]/1000000</f>
        <v>7.1275927089880564E-2</v>
      </c>
    </row>
    <row r="19" spans="1:6" x14ac:dyDescent="0.3">
      <c r="A19" s="5">
        <v>4.1166999999999998</v>
      </c>
      <c r="B19" s="5">
        <v>0.33566000000000001</v>
      </c>
      <c r="C19" s="1">
        <f>Tabela7[[#This Row],[Alongamento (mm/mm)]]/$I$2</f>
        <v>6.7131999999999999E-3</v>
      </c>
      <c r="D19" s="5">
        <v>3.0617999999999999</v>
      </c>
      <c r="E19" s="1">
        <f>Tabela7[[#This Row],[Força (N)]]/$I$5</f>
        <v>71275.92708988057</v>
      </c>
      <c r="F19" s="1">
        <f>Tabela7[[#This Row],[Tensão (Pa)]]/1000000</f>
        <v>7.1275927089880564E-2</v>
      </c>
    </row>
    <row r="20" spans="1:6" x14ac:dyDescent="0.3">
      <c r="A20" s="5">
        <v>4.1500000000000004</v>
      </c>
      <c r="B20" s="5">
        <v>0.33835999999999999</v>
      </c>
      <c r="C20" s="1">
        <f>Tabela7[[#This Row],[Alongamento (mm/mm)]]/$I$2</f>
        <v>6.7672000000000001E-3</v>
      </c>
      <c r="D20" s="5">
        <v>3.0617999999999999</v>
      </c>
      <c r="E20" s="1">
        <f>Tabela7[[#This Row],[Força (N)]]/$I$5</f>
        <v>71275.92708988057</v>
      </c>
      <c r="F20" s="1">
        <f>Tabela7[[#This Row],[Tensão (Pa)]]/1000000</f>
        <v>7.1275927089880564E-2</v>
      </c>
    </row>
    <row r="21" spans="1:6" x14ac:dyDescent="0.3">
      <c r="A21" s="5">
        <v>4.1833</v>
      </c>
      <c r="B21" s="5">
        <v>0.34123999999999999</v>
      </c>
      <c r="C21" s="1">
        <f>Tabela7[[#This Row],[Alongamento (mm/mm)]]/$I$2</f>
        <v>6.8247999999999998E-3</v>
      </c>
      <c r="D21" s="5">
        <v>3.0617999999999999</v>
      </c>
      <c r="E21" s="1">
        <f>Tabela7[[#This Row],[Força (N)]]/$I$5</f>
        <v>71275.92708988057</v>
      </c>
      <c r="F21" s="1">
        <f>Tabela7[[#This Row],[Tensão (Pa)]]/1000000</f>
        <v>7.1275927089880564E-2</v>
      </c>
    </row>
    <row r="22" spans="1:6" x14ac:dyDescent="0.3">
      <c r="A22" s="5">
        <v>4.2167000000000003</v>
      </c>
      <c r="B22" s="5">
        <v>0.34394000000000002</v>
      </c>
      <c r="C22" s="1">
        <f>Tabela7[[#This Row],[Alongamento (mm/mm)]]/$I$2</f>
        <v>6.8788000000000009E-3</v>
      </c>
      <c r="D22" s="5">
        <v>3.0617999999999999</v>
      </c>
      <c r="E22" s="1">
        <f>Tabela7[[#This Row],[Força (N)]]/$I$5</f>
        <v>71275.92708988057</v>
      </c>
      <c r="F22" s="1">
        <f>Tabela7[[#This Row],[Tensão (Pa)]]/1000000</f>
        <v>7.1275927089880564E-2</v>
      </c>
    </row>
    <row r="23" spans="1:6" x14ac:dyDescent="0.3">
      <c r="A23" s="5">
        <v>4.25</v>
      </c>
      <c r="B23" s="5">
        <v>0.34672999999999998</v>
      </c>
      <c r="C23" s="1">
        <f>Tabela7[[#This Row],[Alongamento (mm/mm)]]/$I$2</f>
        <v>6.9346E-3</v>
      </c>
      <c r="D23" s="5">
        <v>3.2319</v>
      </c>
      <c r="E23" s="1">
        <f>Tabela7[[#This Row],[Força (N)]]/$I$5</f>
        <v>75235.700817096164</v>
      </c>
      <c r="F23" s="1">
        <f>Tabela7[[#This Row],[Tensão (Pa)]]/1000000</f>
        <v>7.5235700817096157E-2</v>
      </c>
    </row>
    <row r="24" spans="1:6" x14ac:dyDescent="0.3">
      <c r="A24" s="5">
        <v>4.2832999999999997</v>
      </c>
      <c r="B24" s="5">
        <v>0.34953000000000001</v>
      </c>
      <c r="C24" s="1">
        <f>Tabela7[[#This Row],[Alongamento (mm/mm)]]/$I$2</f>
        <v>6.9906000000000005E-3</v>
      </c>
      <c r="D24" s="5">
        <v>3.2319</v>
      </c>
      <c r="E24" s="1">
        <f>Tabela7[[#This Row],[Força (N)]]/$I$5</f>
        <v>75235.700817096164</v>
      </c>
      <c r="F24" s="1">
        <f>Tabela7[[#This Row],[Tensão (Pa)]]/1000000</f>
        <v>7.5235700817096157E-2</v>
      </c>
    </row>
    <row r="25" spans="1:6" x14ac:dyDescent="0.3">
      <c r="A25" s="5">
        <v>4.3167</v>
      </c>
      <c r="B25" s="5">
        <v>0.35221999999999998</v>
      </c>
      <c r="C25" s="1">
        <f>Tabela7[[#This Row],[Alongamento (mm/mm)]]/$I$2</f>
        <v>7.0443999999999993E-3</v>
      </c>
      <c r="D25" s="5">
        <v>3.2319</v>
      </c>
      <c r="E25" s="1">
        <f>Tabela7[[#This Row],[Força (N)]]/$I$5</f>
        <v>75235.700817096164</v>
      </c>
      <c r="F25" s="1">
        <f>Tabela7[[#This Row],[Tensão (Pa)]]/1000000</f>
        <v>7.5235700817096157E-2</v>
      </c>
    </row>
    <row r="26" spans="1:6" x14ac:dyDescent="0.3">
      <c r="A26" s="5">
        <v>4.3499999999999996</v>
      </c>
      <c r="B26" s="5">
        <v>0.35502</v>
      </c>
      <c r="C26" s="1">
        <f>Tabela7[[#This Row],[Alongamento (mm/mm)]]/$I$2</f>
        <v>7.1003999999999998E-3</v>
      </c>
      <c r="D26" s="5">
        <v>3.2319</v>
      </c>
      <c r="E26" s="1">
        <f>Tabela7[[#This Row],[Força (N)]]/$I$5</f>
        <v>75235.700817096164</v>
      </c>
      <c r="F26" s="1">
        <f>Tabela7[[#This Row],[Tensão (Pa)]]/1000000</f>
        <v>7.5235700817096157E-2</v>
      </c>
    </row>
    <row r="27" spans="1:6" x14ac:dyDescent="0.3">
      <c r="A27" s="5">
        <v>4.3833000000000002</v>
      </c>
      <c r="B27" s="5">
        <v>0.35781000000000002</v>
      </c>
      <c r="C27" s="1">
        <f>Tabela7[[#This Row],[Alongamento (mm/mm)]]/$I$2</f>
        <v>7.1562000000000006E-3</v>
      </c>
      <c r="D27" s="5">
        <v>3.2319</v>
      </c>
      <c r="E27" s="1">
        <f>Tabela7[[#This Row],[Força (N)]]/$I$5</f>
        <v>75235.700817096164</v>
      </c>
      <c r="F27" s="1">
        <f>Tabela7[[#This Row],[Tensão (Pa)]]/1000000</f>
        <v>7.5235700817096157E-2</v>
      </c>
    </row>
    <row r="28" spans="1:6" x14ac:dyDescent="0.3">
      <c r="A28" s="5">
        <v>4.4166999999999996</v>
      </c>
      <c r="B28" s="5">
        <v>0.36059999999999998</v>
      </c>
      <c r="C28" s="1">
        <f>Tabela7[[#This Row],[Alongamento (mm/mm)]]/$I$2</f>
        <v>7.2119999999999997E-3</v>
      </c>
      <c r="D28" s="5">
        <v>3.2319</v>
      </c>
      <c r="E28" s="1">
        <f>Tabela7[[#This Row],[Força (N)]]/$I$5</f>
        <v>75235.700817096164</v>
      </c>
      <c r="F28" s="1">
        <f>Tabela7[[#This Row],[Tensão (Pa)]]/1000000</f>
        <v>7.5235700817096157E-2</v>
      </c>
    </row>
    <row r="29" spans="1:6" x14ac:dyDescent="0.3">
      <c r="A29" s="5">
        <v>4.45</v>
      </c>
      <c r="B29" s="5">
        <v>0.36338999999999999</v>
      </c>
      <c r="C29" s="1">
        <f>Tabela7[[#This Row],[Alongamento (mm/mm)]]/$I$2</f>
        <v>7.2677999999999996E-3</v>
      </c>
      <c r="D29" s="5">
        <v>3.2319</v>
      </c>
      <c r="E29" s="1">
        <f>Tabela7[[#This Row],[Força (N)]]/$I$5</f>
        <v>75235.700817096164</v>
      </c>
      <c r="F29" s="1">
        <f>Tabela7[[#This Row],[Tensão (Pa)]]/1000000</f>
        <v>7.5235700817096157E-2</v>
      </c>
    </row>
    <row r="30" spans="1:6" x14ac:dyDescent="0.3">
      <c r="A30" s="5">
        <v>4.4832999999999998</v>
      </c>
      <c r="B30" s="5">
        <v>0.36618000000000001</v>
      </c>
      <c r="C30" s="1">
        <f>Tabela7[[#This Row],[Alongamento (mm/mm)]]/$I$2</f>
        <v>7.3236000000000004E-3</v>
      </c>
      <c r="D30" s="5">
        <v>3.2319</v>
      </c>
      <c r="E30" s="1">
        <f>Tabela7[[#This Row],[Força (N)]]/$I$5</f>
        <v>75235.700817096164</v>
      </c>
      <c r="F30" s="1">
        <f>Tabela7[[#This Row],[Tensão (Pa)]]/1000000</f>
        <v>7.5235700817096157E-2</v>
      </c>
    </row>
    <row r="31" spans="1:6" x14ac:dyDescent="0.3">
      <c r="A31" s="5">
        <v>4.5332999999999997</v>
      </c>
      <c r="B31" s="5">
        <v>0.37036999999999998</v>
      </c>
      <c r="C31" s="1">
        <f>Tabela7[[#This Row],[Alongamento (mm/mm)]]/$I$2</f>
        <v>7.4073999999999997E-3</v>
      </c>
      <c r="D31" s="5">
        <v>3.2319</v>
      </c>
      <c r="E31" s="1">
        <f>Tabela7[[#This Row],[Força (N)]]/$I$5</f>
        <v>75235.700817096164</v>
      </c>
      <c r="F31" s="1">
        <f>Tabela7[[#This Row],[Tensão (Pa)]]/1000000</f>
        <v>7.5235700817096157E-2</v>
      </c>
    </row>
    <row r="32" spans="1:6" x14ac:dyDescent="0.3">
      <c r="A32" s="5">
        <v>4.5833000000000004</v>
      </c>
      <c r="B32" s="5">
        <v>0.37447000000000003</v>
      </c>
      <c r="C32" s="1">
        <f>Tabela7[[#This Row],[Alongamento (mm/mm)]]/$I$2</f>
        <v>7.4894000000000002E-3</v>
      </c>
      <c r="D32" s="5">
        <v>3.4020000000000001</v>
      </c>
      <c r="E32" s="1">
        <f>Tabela7[[#This Row],[Força (N)]]/$I$5</f>
        <v>79195.474544311757</v>
      </c>
      <c r="F32" s="1">
        <f>Tabela7[[#This Row],[Tensão (Pa)]]/1000000</f>
        <v>7.919547454431175E-2</v>
      </c>
    </row>
    <row r="33" spans="1:6" x14ac:dyDescent="0.3">
      <c r="A33" s="5">
        <v>4.6333000000000002</v>
      </c>
      <c r="B33" s="5">
        <v>0.37864999999999999</v>
      </c>
      <c r="C33" s="1">
        <f>Tabela7[[#This Row],[Alongamento (mm/mm)]]/$I$2</f>
        <v>7.5729999999999999E-3</v>
      </c>
      <c r="D33" s="5">
        <v>3.4020000000000001</v>
      </c>
      <c r="E33" s="1">
        <f>Tabela7[[#This Row],[Força (N)]]/$I$5</f>
        <v>79195.474544311757</v>
      </c>
      <c r="F33" s="1">
        <f>Tabela7[[#This Row],[Tensão (Pa)]]/1000000</f>
        <v>7.919547454431175E-2</v>
      </c>
    </row>
    <row r="34" spans="1:6" x14ac:dyDescent="0.3">
      <c r="A34" s="5">
        <v>4.6833</v>
      </c>
      <c r="B34" s="5">
        <v>0.38284000000000001</v>
      </c>
      <c r="C34" s="1">
        <f>Tabela7[[#This Row],[Alongamento (mm/mm)]]/$I$2</f>
        <v>7.6568000000000001E-3</v>
      </c>
      <c r="D34" s="5">
        <v>3.4020000000000001</v>
      </c>
      <c r="E34" s="1">
        <f>Tabela7[[#This Row],[Força (N)]]/$I$5</f>
        <v>79195.474544311757</v>
      </c>
      <c r="F34" s="1">
        <f>Tabela7[[#This Row],[Tensão (Pa)]]/1000000</f>
        <v>7.919547454431175E-2</v>
      </c>
    </row>
    <row r="35" spans="1:6" x14ac:dyDescent="0.3">
      <c r="A35" s="5">
        <v>4.7332999999999998</v>
      </c>
      <c r="B35" s="5">
        <v>0.38702999999999999</v>
      </c>
      <c r="C35" s="1">
        <f>Tabela7[[#This Row],[Alongamento (mm/mm)]]/$I$2</f>
        <v>7.7405999999999994E-3</v>
      </c>
      <c r="D35" s="5">
        <v>3.4020000000000001</v>
      </c>
      <c r="E35" s="1">
        <f>Tabela7[[#This Row],[Força (N)]]/$I$5</f>
        <v>79195.474544311757</v>
      </c>
      <c r="F35" s="1">
        <f>Tabela7[[#This Row],[Tensão (Pa)]]/1000000</f>
        <v>7.919547454431175E-2</v>
      </c>
    </row>
    <row r="36" spans="1:6" x14ac:dyDescent="0.3">
      <c r="A36" s="5">
        <v>4.7832999999999997</v>
      </c>
      <c r="B36" s="5">
        <v>0.39112000000000002</v>
      </c>
      <c r="C36" s="1">
        <f>Tabela7[[#This Row],[Alongamento (mm/mm)]]/$I$2</f>
        <v>7.8224000000000002E-3</v>
      </c>
      <c r="D36" s="5">
        <v>3.4020000000000001</v>
      </c>
      <c r="E36" s="1">
        <f>Tabela7[[#This Row],[Força (N)]]/$I$5</f>
        <v>79195.474544311757</v>
      </c>
      <c r="F36" s="1">
        <f>Tabela7[[#This Row],[Tensão (Pa)]]/1000000</f>
        <v>7.919547454431175E-2</v>
      </c>
    </row>
    <row r="37" spans="1:6" x14ac:dyDescent="0.3">
      <c r="A37" s="5">
        <v>4.8333000000000004</v>
      </c>
      <c r="B37" s="5">
        <v>0.39530999999999999</v>
      </c>
      <c r="C37" s="1">
        <f>Tabela7[[#This Row],[Alongamento (mm/mm)]]/$I$2</f>
        <v>7.9062000000000004E-3</v>
      </c>
      <c r="D37" s="5">
        <v>3.4020000000000001</v>
      </c>
      <c r="E37" s="1">
        <f>Tabela7[[#This Row],[Força (N)]]/$I$5</f>
        <v>79195.474544311757</v>
      </c>
      <c r="F37" s="1">
        <f>Tabela7[[#This Row],[Tensão (Pa)]]/1000000</f>
        <v>7.919547454431175E-2</v>
      </c>
    </row>
    <row r="38" spans="1:6" x14ac:dyDescent="0.3">
      <c r="A38" s="5">
        <v>4.8833000000000002</v>
      </c>
      <c r="B38" s="5">
        <v>0.39939999999999998</v>
      </c>
      <c r="C38" s="1">
        <f>Tabela7[[#This Row],[Alongamento (mm/mm)]]/$I$2</f>
        <v>7.9880000000000003E-3</v>
      </c>
      <c r="D38" s="5">
        <v>3.4020000000000001</v>
      </c>
      <c r="E38" s="1">
        <f>Tabela7[[#This Row],[Força (N)]]/$I$5</f>
        <v>79195.474544311757</v>
      </c>
      <c r="F38" s="1">
        <f>Tabela7[[#This Row],[Tensão (Pa)]]/1000000</f>
        <v>7.919547454431175E-2</v>
      </c>
    </row>
    <row r="39" spans="1:6" x14ac:dyDescent="0.3">
      <c r="A39" s="5">
        <v>4.9333</v>
      </c>
      <c r="B39" s="5">
        <v>0.40368999999999999</v>
      </c>
      <c r="C39" s="1">
        <f>Tabela7[[#This Row],[Alongamento (mm/mm)]]/$I$2</f>
        <v>8.073799999999999E-3</v>
      </c>
      <c r="D39" s="5">
        <v>3.7422</v>
      </c>
      <c r="E39" s="1">
        <f>Tabela7[[#This Row],[Força (N)]]/$I$5</f>
        <v>87115.02199874293</v>
      </c>
      <c r="F39" s="1">
        <f>Tabela7[[#This Row],[Tensão (Pa)]]/1000000</f>
        <v>8.7115021998742936E-2</v>
      </c>
    </row>
    <row r="40" spans="1:6" x14ac:dyDescent="0.3">
      <c r="A40" s="5">
        <v>4.9832999999999998</v>
      </c>
      <c r="B40" s="5">
        <v>0.40787000000000001</v>
      </c>
      <c r="C40" s="1">
        <f>Tabela7[[#This Row],[Alongamento (mm/mm)]]/$I$2</f>
        <v>8.1574000000000004E-3</v>
      </c>
      <c r="D40" s="5">
        <v>3.9123000000000001</v>
      </c>
      <c r="E40" s="1">
        <f>Tabela7[[#This Row],[Força (N)]]/$I$5</f>
        <v>91074.795725958509</v>
      </c>
      <c r="F40" s="1">
        <f>Tabela7[[#This Row],[Tensão (Pa)]]/1000000</f>
        <v>9.1074795725958516E-2</v>
      </c>
    </row>
    <row r="41" spans="1:6" x14ac:dyDescent="0.3">
      <c r="A41" s="5">
        <v>5.0332999999999997</v>
      </c>
      <c r="B41" s="5">
        <v>0.41205999999999998</v>
      </c>
      <c r="C41" s="1">
        <f>Tabela7[[#This Row],[Alongamento (mm/mm)]]/$I$2</f>
        <v>8.2411999999999989E-3</v>
      </c>
      <c r="D41" s="5">
        <v>4.0823999999999998</v>
      </c>
      <c r="E41" s="1">
        <f>Tabela7[[#This Row],[Força (N)]]/$I$5</f>
        <v>95034.569453174088</v>
      </c>
      <c r="F41" s="1">
        <f>Tabela7[[#This Row],[Tensão (Pa)]]/1000000</f>
        <v>9.5034569453174095E-2</v>
      </c>
    </row>
    <row r="42" spans="1:6" x14ac:dyDescent="0.3">
      <c r="A42" s="5">
        <v>5.0833000000000004</v>
      </c>
      <c r="B42" s="5">
        <v>0.41615999999999997</v>
      </c>
      <c r="C42" s="1">
        <f>Tabela7[[#This Row],[Alongamento (mm/mm)]]/$I$2</f>
        <v>8.3231999999999993E-3</v>
      </c>
      <c r="D42" s="5">
        <v>4.2525000000000004</v>
      </c>
      <c r="E42" s="1">
        <f>Tabela7[[#This Row],[Força (N)]]/$I$5</f>
        <v>98994.343180389696</v>
      </c>
      <c r="F42" s="1">
        <f>Tabela7[[#This Row],[Tensão (Pa)]]/1000000</f>
        <v>9.8994343180389702E-2</v>
      </c>
    </row>
    <row r="43" spans="1:6" x14ac:dyDescent="0.3">
      <c r="A43" s="5">
        <v>5.1333000000000002</v>
      </c>
      <c r="B43" s="5">
        <v>0.42033999999999999</v>
      </c>
      <c r="C43" s="1">
        <f>Tabela7[[#This Row],[Alongamento (mm/mm)]]/$I$2</f>
        <v>8.406799999999999E-3</v>
      </c>
      <c r="D43" s="5">
        <v>4.2525000000000004</v>
      </c>
      <c r="E43" s="1">
        <f>Tabela7[[#This Row],[Força (N)]]/$I$5</f>
        <v>98994.343180389696</v>
      </c>
      <c r="F43" s="1">
        <f>Tabela7[[#This Row],[Tensão (Pa)]]/1000000</f>
        <v>9.8994343180389702E-2</v>
      </c>
    </row>
    <row r="44" spans="1:6" x14ac:dyDescent="0.3">
      <c r="A44" s="5">
        <v>5.1833</v>
      </c>
      <c r="B44" s="5">
        <v>0.42443999999999998</v>
      </c>
      <c r="C44" s="1">
        <f>Tabela7[[#This Row],[Alongamento (mm/mm)]]/$I$2</f>
        <v>8.4887999999999995E-3</v>
      </c>
      <c r="D44" s="5">
        <v>4.4226000000000001</v>
      </c>
      <c r="E44" s="1">
        <f>Tabela7[[#This Row],[Força (N)]]/$I$5</f>
        <v>102954.11690760528</v>
      </c>
      <c r="F44" s="1">
        <f>Tabela7[[#This Row],[Tensão (Pa)]]/1000000</f>
        <v>0.10295411690760528</v>
      </c>
    </row>
    <row r="45" spans="1:6" x14ac:dyDescent="0.3">
      <c r="A45" s="5">
        <v>5.2332999999999998</v>
      </c>
      <c r="B45" s="5">
        <v>0.42871999999999999</v>
      </c>
      <c r="C45" s="1">
        <f>Tabela7[[#This Row],[Alongamento (mm/mm)]]/$I$2</f>
        <v>8.5743999999999994E-3</v>
      </c>
      <c r="D45" s="5">
        <v>4.5926999999999998</v>
      </c>
      <c r="E45" s="1">
        <f>Tabela7[[#This Row],[Força (N)]]/$I$5</f>
        <v>106913.89063482085</v>
      </c>
      <c r="F45" s="1">
        <f>Tabela7[[#This Row],[Tensão (Pa)]]/1000000</f>
        <v>0.10691389063482086</v>
      </c>
    </row>
    <row r="46" spans="1:6" x14ac:dyDescent="0.3">
      <c r="A46" s="5">
        <v>5.2832999999999997</v>
      </c>
      <c r="B46" s="5">
        <v>0.43280999999999997</v>
      </c>
      <c r="C46" s="1">
        <f>Tabela7[[#This Row],[Alongamento (mm/mm)]]/$I$2</f>
        <v>8.6561999999999993E-3</v>
      </c>
      <c r="D46" s="5">
        <v>4.7628000000000004</v>
      </c>
      <c r="E46" s="1">
        <f>Tabela7[[#This Row],[Força (N)]]/$I$5</f>
        <v>110873.66436203646</v>
      </c>
      <c r="F46" s="1">
        <f>Tabela7[[#This Row],[Tensão (Pa)]]/1000000</f>
        <v>0.11087366436203647</v>
      </c>
    </row>
    <row r="47" spans="1:6" x14ac:dyDescent="0.3">
      <c r="A47" s="5">
        <v>5.3333000000000004</v>
      </c>
      <c r="B47" s="5">
        <v>0.437</v>
      </c>
      <c r="C47" s="1">
        <f>Tabela7[[#This Row],[Alongamento (mm/mm)]]/$I$2</f>
        <v>8.7399999999999995E-3</v>
      </c>
      <c r="D47" s="5">
        <v>5.1029999999999998</v>
      </c>
      <c r="E47" s="1">
        <f>Tabela7[[#This Row],[Força (N)]]/$I$5</f>
        <v>118793.21181646762</v>
      </c>
      <c r="F47" s="1">
        <f>Tabela7[[#This Row],[Tensão (Pa)]]/1000000</f>
        <v>0.11879321181646763</v>
      </c>
    </row>
    <row r="48" spans="1:6" x14ac:dyDescent="0.3">
      <c r="A48" s="5">
        <v>5.3833000000000002</v>
      </c>
      <c r="B48" s="5">
        <v>0.44108999999999998</v>
      </c>
      <c r="C48" s="1">
        <f>Tabela7[[#This Row],[Alongamento (mm/mm)]]/$I$2</f>
        <v>8.8217999999999994E-3</v>
      </c>
      <c r="D48" s="5">
        <v>5.2731000000000003</v>
      </c>
      <c r="E48" s="1">
        <f>Tabela7[[#This Row],[Força (N)]]/$I$5</f>
        <v>122752.98554368321</v>
      </c>
      <c r="F48" s="1">
        <f>Tabela7[[#This Row],[Tensão (Pa)]]/1000000</f>
        <v>0.12275298554368322</v>
      </c>
    </row>
    <row r="49" spans="1:6" x14ac:dyDescent="0.3">
      <c r="A49" s="5">
        <v>5.4333</v>
      </c>
      <c r="B49" s="5">
        <v>0.44528000000000001</v>
      </c>
      <c r="C49" s="1">
        <f>Tabela7[[#This Row],[Alongamento (mm/mm)]]/$I$2</f>
        <v>8.9055999999999996E-3</v>
      </c>
      <c r="D49" s="5">
        <v>5.7834000000000003</v>
      </c>
      <c r="E49" s="1">
        <f>Tabela7[[#This Row],[Força (N)]]/$I$5</f>
        <v>134632.30672532998</v>
      </c>
      <c r="F49" s="1">
        <f>Tabela7[[#This Row],[Tensão (Pa)]]/1000000</f>
        <v>0.13463230672532997</v>
      </c>
    </row>
    <row r="50" spans="1:6" x14ac:dyDescent="0.3">
      <c r="A50" s="5">
        <v>5.4832999999999998</v>
      </c>
      <c r="B50" s="5">
        <v>0.44956000000000002</v>
      </c>
      <c r="C50" s="1">
        <f>Tabela7[[#This Row],[Alongamento (mm/mm)]]/$I$2</f>
        <v>8.9911999999999995E-3</v>
      </c>
      <c r="D50" s="5">
        <v>6.1235999999999997</v>
      </c>
      <c r="E50" s="1">
        <f>Tabela7[[#This Row],[Força (N)]]/$I$5</f>
        <v>142551.85417976114</v>
      </c>
      <c r="F50" s="1">
        <f>Tabela7[[#This Row],[Tensão (Pa)]]/1000000</f>
        <v>0.14255185417976113</v>
      </c>
    </row>
    <row r="51" spans="1:6" x14ac:dyDescent="0.3">
      <c r="A51" s="5">
        <v>5.5332999999999997</v>
      </c>
      <c r="B51" s="5">
        <v>0.45374999999999999</v>
      </c>
      <c r="C51" s="1">
        <f>Tabela7[[#This Row],[Alongamento (mm/mm)]]/$I$2</f>
        <v>9.0749999999999997E-3</v>
      </c>
      <c r="D51" s="5">
        <v>6.4638</v>
      </c>
      <c r="E51" s="1">
        <f>Tabela7[[#This Row],[Força (N)]]/$I$5</f>
        <v>150471.40163419233</v>
      </c>
      <c r="F51" s="1">
        <f>Tabela7[[#This Row],[Tensão (Pa)]]/1000000</f>
        <v>0.15047140163419231</v>
      </c>
    </row>
    <row r="52" spans="1:6" x14ac:dyDescent="0.3">
      <c r="A52" s="5">
        <v>5.5833000000000004</v>
      </c>
      <c r="B52" s="5">
        <v>0.45784999999999998</v>
      </c>
      <c r="C52" s="1">
        <f>Tabela7[[#This Row],[Alongamento (mm/mm)]]/$I$2</f>
        <v>9.1570000000000002E-3</v>
      </c>
      <c r="D52" s="5">
        <v>6.8040000000000003</v>
      </c>
      <c r="E52" s="1">
        <f>Tabela7[[#This Row],[Força (N)]]/$I$5</f>
        <v>158390.94908862351</v>
      </c>
      <c r="F52" s="1">
        <f>Tabela7[[#This Row],[Tensão (Pa)]]/1000000</f>
        <v>0.1583909490886235</v>
      </c>
    </row>
    <row r="53" spans="1:6" x14ac:dyDescent="0.3">
      <c r="A53" s="5">
        <v>5.6333000000000002</v>
      </c>
      <c r="B53" s="5">
        <v>0.46194000000000002</v>
      </c>
      <c r="C53" s="1">
        <f>Tabela7[[#This Row],[Alongamento (mm/mm)]]/$I$2</f>
        <v>9.2388000000000001E-3</v>
      </c>
      <c r="D53" s="5">
        <v>7.3141999999999996</v>
      </c>
      <c r="E53" s="1">
        <f>Tabela7[[#This Row],[Força (N)]]/$I$5</f>
        <v>170267.94236096559</v>
      </c>
      <c r="F53" s="1">
        <f>Tabela7[[#This Row],[Tensão (Pa)]]/1000000</f>
        <v>0.1702679423609656</v>
      </c>
    </row>
    <row r="54" spans="1:6" x14ac:dyDescent="0.3">
      <c r="A54" s="5">
        <v>5.6833</v>
      </c>
      <c r="B54" s="5">
        <v>0.46612999999999999</v>
      </c>
      <c r="C54" s="1">
        <f>Tabela7[[#This Row],[Alongamento (mm/mm)]]/$I$2</f>
        <v>9.3226000000000003E-3</v>
      </c>
      <c r="D54" s="5">
        <v>7.6543999999999999</v>
      </c>
      <c r="E54" s="1">
        <f>Tabela7[[#This Row],[Força (N)]]/$I$5</f>
        <v>178187.48981539678</v>
      </c>
      <c r="F54" s="1">
        <f>Tabela7[[#This Row],[Tensão (Pa)]]/1000000</f>
        <v>0.17818748981539678</v>
      </c>
    </row>
    <row r="55" spans="1:6" x14ac:dyDescent="0.3">
      <c r="A55" s="5">
        <v>5.7332999999999998</v>
      </c>
      <c r="B55" s="5">
        <v>0.47032000000000002</v>
      </c>
      <c r="C55" s="1">
        <f>Tabela7[[#This Row],[Alongamento (mm/mm)]]/$I$2</f>
        <v>9.4064000000000005E-3</v>
      </c>
      <c r="D55" s="5">
        <v>8.1646999999999998</v>
      </c>
      <c r="E55" s="1">
        <f>Tabela7[[#This Row],[Força (N)]]/$I$5</f>
        <v>190066.81099704353</v>
      </c>
      <c r="F55" s="1">
        <f>Tabela7[[#This Row],[Tensão (Pa)]]/1000000</f>
        <v>0.19006681099704353</v>
      </c>
    </row>
    <row r="56" spans="1:6" x14ac:dyDescent="0.3">
      <c r="A56" s="5">
        <v>5.7832999999999997</v>
      </c>
      <c r="B56" s="5">
        <v>0.47449999999999998</v>
      </c>
      <c r="C56" s="1">
        <f>Tabela7[[#This Row],[Alongamento (mm/mm)]]/$I$2</f>
        <v>9.4900000000000002E-3</v>
      </c>
      <c r="D56" s="5">
        <v>8.6750000000000007</v>
      </c>
      <c r="E56" s="1">
        <f>Tabela7[[#This Row],[Força (N)]]/$I$5</f>
        <v>201946.13217869031</v>
      </c>
      <c r="F56" s="1">
        <f>Tabela7[[#This Row],[Tensão (Pa)]]/1000000</f>
        <v>0.20194613217869031</v>
      </c>
    </row>
    <row r="57" spans="1:6" x14ac:dyDescent="0.3">
      <c r="A57" s="5">
        <v>5.8333000000000004</v>
      </c>
      <c r="B57" s="5">
        <v>0.47869</v>
      </c>
      <c r="C57" s="1">
        <f>Tabela7[[#This Row],[Alongamento (mm/mm)]]/$I$2</f>
        <v>9.5738000000000004E-3</v>
      </c>
      <c r="D57" s="5">
        <v>9.0152000000000001</v>
      </c>
      <c r="E57" s="1">
        <f>Tabela7[[#This Row],[Força (N)]]/$I$5</f>
        <v>209865.67963312147</v>
      </c>
      <c r="F57" s="1">
        <f>Tabela7[[#This Row],[Tensão (Pa)]]/1000000</f>
        <v>0.20986567963312147</v>
      </c>
    </row>
    <row r="58" spans="1:6" x14ac:dyDescent="0.3">
      <c r="A58" s="5">
        <v>5.8833000000000002</v>
      </c>
      <c r="B58" s="5">
        <v>0.48277999999999999</v>
      </c>
      <c r="C58" s="1">
        <f>Tabela7[[#This Row],[Alongamento (mm/mm)]]/$I$2</f>
        <v>9.6556000000000003E-3</v>
      </c>
      <c r="D58" s="5">
        <v>9.6956000000000007</v>
      </c>
      <c r="E58" s="1">
        <f>Tabela7[[#This Row],[Força (N)]]/$I$5</f>
        <v>225704.77454198385</v>
      </c>
      <c r="F58" s="1">
        <f>Tabela7[[#This Row],[Tensão (Pa)]]/1000000</f>
        <v>0.22570477454198384</v>
      </c>
    </row>
    <row r="59" spans="1:6" x14ac:dyDescent="0.3">
      <c r="A59" s="5">
        <v>5.9333</v>
      </c>
      <c r="B59" s="5">
        <v>0.48697000000000001</v>
      </c>
      <c r="C59" s="1">
        <f>Tabela7[[#This Row],[Alongamento (mm/mm)]]/$I$2</f>
        <v>9.7394000000000005E-3</v>
      </c>
      <c r="D59" s="5">
        <v>9.8657000000000004</v>
      </c>
      <c r="E59" s="1">
        <f>Tabela7[[#This Row],[Força (N)]]/$I$5</f>
        <v>229664.54826919944</v>
      </c>
      <c r="F59" s="1">
        <f>Tabela7[[#This Row],[Tensão (Pa)]]/1000000</f>
        <v>0.22966454826919944</v>
      </c>
    </row>
    <row r="60" spans="1:6" x14ac:dyDescent="0.3">
      <c r="A60" s="5">
        <v>5.9832999999999998</v>
      </c>
      <c r="B60" s="5">
        <v>0.49115999999999999</v>
      </c>
      <c r="C60" s="1">
        <f>Tabela7[[#This Row],[Alongamento (mm/mm)]]/$I$2</f>
        <v>9.8231999999999989E-3</v>
      </c>
      <c r="D60" s="5">
        <v>10.375999999999999</v>
      </c>
      <c r="E60" s="1">
        <f>Tabela7[[#This Row],[Força (N)]]/$I$5</f>
        <v>241543.86945084616</v>
      </c>
      <c r="F60" s="1">
        <f>Tabela7[[#This Row],[Tensão (Pa)]]/1000000</f>
        <v>0.24154386945084616</v>
      </c>
    </row>
    <row r="61" spans="1:6" x14ac:dyDescent="0.3">
      <c r="A61" s="5">
        <v>6.0332999999999997</v>
      </c>
      <c r="B61" s="5">
        <v>0.49535000000000001</v>
      </c>
      <c r="C61" s="1">
        <f>Tabela7[[#This Row],[Alongamento (mm/mm)]]/$I$2</f>
        <v>9.9070000000000009E-3</v>
      </c>
      <c r="D61" s="5">
        <v>10.885999999999999</v>
      </c>
      <c r="E61" s="1">
        <f>Tabela7[[#This Row],[Força (N)]]/$I$5</f>
        <v>253416.20690457895</v>
      </c>
      <c r="F61" s="1">
        <f>Tabela7[[#This Row],[Tensão (Pa)]]/1000000</f>
        <v>0.25341620690457894</v>
      </c>
    </row>
    <row r="62" spans="1:6" x14ac:dyDescent="0.3">
      <c r="A62" s="5">
        <v>6.0833000000000004</v>
      </c>
      <c r="B62" s="5">
        <v>0.49944</v>
      </c>
      <c r="C62" s="1">
        <f>Tabela7[[#This Row],[Alongamento (mm/mm)]]/$I$2</f>
        <v>9.9887999999999991E-3</v>
      </c>
      <c r="D62" s="5">
        <v>11.227</v>
      </c>
      <c r="E62" s="1">
        <f>Tabela7[[#This Row],[Força (N)]]/$I$5</f>
        <v>261354.37763344738</v>
      </c>
      <c r="F62" s="1">
        <f>Tabela7[[#This Row],[Tensão (Pa)]]/1000000</f>
        <v>0.26135437763344738</v>
      </c>
    </row>
    <row r="63" spans="1:6" x14ac:dyDescent="0.3">
      <c r="A63" s="5">
        <v>6.1333000000000002</v>
      </c>
      <c r="B63" s="5">
        <v>0.50363000000000002</v>
      </c>
      <c r="C63" s="1">
        <f>Tabela7[[#This Row],[Alongamento (mm/mm)]]/$I$2</f>
        <v>1.0072600000000001E-2</v>
      </c>
      <c r="D63" s="5">
        <v>11.397</v>
      </c>
      <c r="E63" s="1">
        <f>Tabela7[[#This Row],[Força (N)]]/$I$5</f>
        <v>265311.8234513583</v>
      </c>
      <c r="F63" s="1">
        <f>Tabela7[[#This Row],[Tensão (Pa)]]/1000000</f>
        <v>0.26531182345135829</v>
      </c>
    </row>
    <row r="64" spans="1:6" x14ac:dyDescent="0.3">
      <c r="A64" s="5">
        <v>6.1833</v>
      </c>
      <c r="B64" s="5">
        <v>0.50782000000000005</v>
      </c>
      <c r="C64" s="1">
        <f>Tabela7[[#This Row],[Alongamento (mm/mm)]]/$I$2</f>
        <v>1.0156400000000001E-2</v>
      </c>
      <c r="D64" s="5">
        <v>11.737</v>
      </c>
      <c r="E64" s="1">
        <f>Tabela7[[#This Row],[Força (N)]]/$I$5</f>
        <v>273226.7150871802</v>
      </c>
      <c r="F64" s="1">
        <f>Tabela7[[#This Row],[Tensão (Pa)]]/1000000</f>
        <v>0.27322671508718022</v>
      </c>
    </row>
    <row r="65" spans="1:6" x14ac:dyDescent="0.3">
      <c r="A65" s="5">
        <v>6.2332999999999998</v>
      </c>
      <c r="B65" s="5">
        <v>0.51200999999999997</v>
      </c>
      <c r="C65" s="1">
        <f>Tabela7[[#This Row],[Alongamento (mm/mm)]]/$I$2</f>
        <v>1.02402E-2</v>
      </c>
      <c r="D65" s="5">
        <v>12.247</v>
      </c>
      <c r="E65" s="1">
        <f>Tabela7[[#This Row],[Força (N)]]/$I$5</f>
        <v>285099.05254091299</v>
      </c>
      <c r="F65" s="1">
        <f>Tabela7[[#This Row],[Tensão (Pa)]]/1000000</f>
        <v>0.285099052540913</v>
      </c>
    </row>
    <row r="66" spans="1:6" x14ac:dyDescent="0.3">
      <c r="A66" s="5">
        <v>6.2832999999999997</v>
      </c>
      <c r="B66" s="5">
        <v>0.51619000000000004</v>
      </c>
      <c r="C66" s="1">
        <f>Tabela7[[#This Row],[Alongamento (mm/mm)]]/$I$2</f>
        <v>1.0323800000000001E-2</v>
      </c>
      <c r="D66" s="5">
        <v>12.587</v>
      </c>
      <c r="E66" s="1">
        <f>Tabela7[[#This Row],[Força (N)]]/$I$5</f>
        <v>293013.94417673483</v>
      </c>
      <c r="F66" s="1">
        <f>Tabela7[[#This Row],[Tensão (Pa)]]/1000000</f>
        <v>0.29301394417673482</v>
      </c>
    </row>
    <row r="67" spans="1:6" x14ac:dyDescent="0.3">
      <c r="A67" s="5">
        <v>6.3333000000000004</v>
      </c>
      <c r="B67" s="5">
        <v>0.52037999999999995</v>
      </c>
      <c r="C67" s="1">
        <f>Tabela7[[#This Row],[Alongamento (mm/mm)]]/$I$2</f>
        <v>1.0407599999999999E-2</v>
      </c>
      <c r="D67" s="5">
        <v>12.928000000000001</v>
      </c>
      <c r="E67" s="1">
        <f>Tabela7[[#This Row],[Força (N)]]/$I$5</f>
        <v>300952.11490560329</v>
      </c>
      <c r="F67" s="1">
        <f>Tabela7[[#This Row],[Tensão (Pa)]]/1000000</f>
        <v>0.30095211490560331</v>
      </c>
    </row>
    <row r="68" spans="1:6" x14ac:dyDescent="0.3">
      <c r="A68" s="5">
        <v>6.3833000000000002</v>
      </c>
      <c r="B68" s="5">
        <v>0.52446999999999999</v>
      </c>
      <c r="C68" s="1">
        <f>Tabela7[[#This Row],[Alongamento (mm/mm)]]/$I$2</f>
        <v>1.0489399999999999E-2</v>
      </c>
      <c r="D68" s="5">
        <v>13.268000000000001</v>
      </c>
      <c r="E68" s="1">
        <f>Tabela7[[#This Row],[Força (N)]]/$I$5</f>
        <v>308867.00654142513</v>
      </c>
      <c r="F68" s="1">
        <f>Tabela7[[#This Row],[Tensão (Pa)]]/1000000</f>
        <v>0.30886700654142513</v>
      </c>
    </row>
    <row r="69" spans="1:6" x14ac:dyDescent="0.3">
      <c r="A69" s="5">
        <v>6.4333</v>
      </c>
      <c r="B69" s="5">
        <v>0.52866000000000002</v>
      </c>
      <c r="C69" s="1">
        <f>Tabela7[[#This Row],[Alongamento (mm/mm)]]/$I$2</f>
        <v>1.05732E-2</v>
      </c>
      <c r="D69" s="5">
        <v>13.778</v>
      </c>
      <c r="E69" s="1">
        <f>Tabela7[[#This Row],[Força (N)]]/$I$5</f>
        <v>320739.34399515792</v>
      </c>
      <c r="F69" s="1">
        <f>Tabela7[[#This Row],[Tensão (Pa)]]/1000000</f>
        <v>0.32073934399515791</v>
      </c>
    </row>
    <row r="70" spans="1:6" x14ac:dyDescent="0.3">
      <c r="A70" s="5">
        <v>6.4832999999999998</v>
      </c>
      <c r="B70" s="5">
        <v>0.53285000000000005</v>
      </c>
      <c r="C70" s="1">
        <f>Tabela7[[#This Row],[Alongamento (mm/mm)]]/$I$2</f>
        <v>1.0657000000000002E-2</v>
      </c>
      <c r="D70" s="5">
        <v>14.118</v>
      </c>
      <c r="E70" s="1">
        <f>Tabela7[[#This Row],[Força (N)]]/$I$5</f>
        <v>328654.23563097982</v>
      </c>
      <c r="F70" s="1">
        <f>Tabela7[[#This Row],[Tensão (Pa)]]/1000000</f>
        <v>0.32865423563097984</v>
      </c>
    </row>
    <row r="71" spans="1:6" x14ac:dyDescent="0.3">
      <c r="A71" s="5">
        <v>6.5332999999999997</v>
      </c>
      <c r="B71" s="5">
        <v>0.53703999999999996</v>
      </c>
      <c r="C71" s="1">
        <f>Tabela7[[#This Row],[Alongamento (mm/mm)]]/$I$2</f>
        <v>1.07408E-2</v>
      </c>
      <c r="D71" s="5">
        <v>14.628</v>
      </c>
      <c r="E71" s="1">
        <f>Tabela7[[#This Row],[Força (N)]]/$I$5</f>
        <v>340526.57308471261</v>
      </c>
      <c r="F71" s="1">
        <f>Tabela7[[#This Row],[Tensão (Pa)]]/1000000</f>
        <v>0.34052657308471262</v>
      </c>
    </row>
    <row r="72" spans="1:6" x14ac:dyDescent="0.3">
      <c r="A72" s="5">
        <v>6.6</v>
      </c>
      <c r="B72" s="5">
        <v>0.54261999999999999</v>
      </c>
      <c r="C72" s="1">
        <f>Tabela7[[#This Row],[Alongamento (mm/mm)]]/$I$2</f>
        <v>1.08524E-2</v>
      </c>
      <c r="D72" s="5">
        <v>15.138999999999999</v>
      </c>
      <c r="E72" s="1">
        <f>Tabela7[[#This Row],[Força (N)]]/$I$5</f>
        <v>352422.1896314919</v>
      </c>
      <c r="F72" s="1">
        <f>Tabela7[[#This Row],[Tensão (Pa)]]/1000000</f>
        <v>0.35242218963149191</v>
      </c>
    </row>
    <row r="73" spans="1:6" x14ac:dyDescent="0.3">
      <c r="A73" s="5">
        <v>6.6666999999999996</v>
      </c>
      <c r="B73" s="5">
        <v>0.54810999999999999</v>
      </c>
      <c r="C73" s="1">
        <f>Tabela7[[#This Row],[Alongamento (mm/mm)]]/$I$2</f>
        <v>1.09622E-2</v>
      </c>
      <c r="D73" s="5">
        <v>15.648999999999999</v>
      </c>
      <c r="E73" s="1">
        <f>Tabela7[[#This Row],[Força (N)]]/$I$5</f>
        <v>364294.52708522475</v>
      </c>
      <c r="F73" s="1">
        <f>Tabela7[[#This Row],[Tensão (Pa)]]/1000000</f>
        <v>0.36429452708522475</v>
      </c>
    </row>
    <row r="74" spans="1:6" x14ac:dyDescent="0.3">
      <c r="A74" s="5">
        <v>6.7332999999999998</v>
      </c>
      <c r="B74" s="5">
        <v>0.55369999999999997</v>
      </c>
      <c r="C74" s="1">
        <f>Tabela7[[#This Row],[Alongamento (mm/mm)]]/$I$2</f>
        <v>1.1073999999999999E-2</v>
      </c>
      <c r="D74" s="5">
        <v>16.158999999999999</v>
      </c>
      <c r="E74" s="1">
        <f>Tabela7[[#This Row],[Força (N)]]/$I$5</f>
        <v>376166.86453895754</v>
      </c>
      <c r="F74" s="1">
        <f>Tabela7[[#This Row],[Tensão (Pa)]]/1000000</f>
        <v>0.37616686453895753</v>
      </c>
    </row>
    <row r="75" spans="1:6" x14ac:dyDescent="0.3">
      <c r="A75" s="5">
        <v>6.8</v>
      </c>
      <c r="B75" s="5">
        <v>0.55918999999999996</v>
      </c>
      <c r="C75" s="1">
        <f>Tabela7[[#This Row],[Alongamento (mm/mm)]]/$I$2</f>
        <v>1.1183799999999999E-2</v>
      </c>
      <c r="D75" s="5">
        <v>16.670000000000002</v>
      </c>
      <c r="E75" s="1">
        <f>Tabela7[[#This Row],[Força (N)]]/$I$5</f>
        <v>388062.48108573694</v>
      </c>
      <c r="F75" s="1">
        <f>Tabela7[[#This Row],[Tensão (Pa)]]/1000000</f>
        <v>0.38806248108573693</v>
      </c>
    </row>
    <row r="76" spans="1:6" x14ac:dyDescent="0.3">
      <c r="A76" s="5">
        <v>6.8666999999999998</v>
      </c>
      <c r="B76" s="5">
        <v>0.56476999999999999</v>
      </c>
      <c r="C76" s="1">
        <f>Tabela7[[#This Row],[Alongamento (mm/mm)]]/$I$2</f>
        <v>1.1295400000000001E-2</v>
      </c>
      <c r="D76" s="5">
        <v>17.350000000000001</v>
      </c>
      <c r="E76" s="1">
        <f>Tabela7[[#This Row],[Força (N)]]/$I$5</f>
        <v>403892.26435738063</v>
      </c>
      <c r="F76" s="1">
        <f>Tabela7[[#This Row],[Tensão (Pa)]]/1000000</f>
        <v>0.40389226435738063</v>
      </c>
    </row>
    <row r="77" spans="1:6" x14ac:dyDescent="0.3">
      <c r="A77" s="5">
        <v>6.9333</v>
      </c>
      <c r="B77" s="5">
        <v>0.57025999999999999</v>
      </c>
      <c r="C77" s="1">
        <f>Tabela7[[#This Row],[Alongamento (mm/mm)]]/$I$2</f>
        <v>1.1405199999999999E-2</v>
      </c>
      <c r="D77" s="5">
        <v>17.86</v>
      </c>
      <c r="E77" s="1">
        <f>Tabela7[[#This Row],[Força (N)]]/$I$5</f>
        <v>415764.60181111342</v>
      </c>
      <c r="F77" s="1">
        <f>Tabela7[[#This Row],[Tensão (Pa)]]/1000000</f>
        <v>0.41576460181111341</v>
      </c>
    </row>
    <row r="78" spans="1:6" x14ac:dyDescent="0.3">
      <c r="A78" s="5">
        <v>7</v>
      </c>
      <c r="B78" s="5">
        <v>0.57584000000000002</v>
      </c>
      <c r="C78" s="1">
        <f>Tabela7[[#This Row],[Alongamento (mm/mm)]]/$I$2</f>
        <v>1.1516800000000001E-2</v>
      </c>
      <c r="D78" s="5">
        <v>18.370999999999999</v>
      </c>
      <c r="E78" s="1">
        <f>Tabela7[[#This Row],[Força (N)]]/$I$5</f>
        <v>427660.21835789271</v>
      </c>
      <c r="F78" s="1">
        <f>Tabela7[[#This Row],[Tensão (Pa)]]/1000000</f>
        <v>0.4276602183578927</v>
      </c>
    </row>
    <row r="79" spans="1:6" x14ac:dyDescent="0.3">
      <c r="A79" s="5">
        <v>7.0667</v>
      </c>
      <c r="B79" s="5">
        <v>0.58143</v>
      </c>
      <c r="C79" s="1">
        <f>Tabela7[[#This Row],[Alongamento (mm/mm)]]/$I$2</f>
        <v>1.1628599999999999E-2</v>
      </c>
      <c r="D79" s="5">
        <v>18.881</v>
      </c>
      <c r="E79" s="1">
        <f>Tabela7[[#This Row],[Força (N)]]/$I$5</f>
        <v>439532.55581162556</v>
      </c>
      <c r="F79" s="1">
        <f>Tabela7[[#This Row],[Tensão (Pa)]]/1000000</f>
        <v>0.43953255581162554</v>
      </c>
    </row>
    <row r="80" spans="1:6" x14ac:dyDescent="0.3">
      <c r="A80" s="5">
        <v>7.1333000000000002</v>
      </c>
      <c r="B80" s="5">
        <v>0.58701000000000003</v>
      </c>
      <c r="C80" s="1">
        <f>Tabela7[[#This Row],[Alongamento (mm/mm)]]/$I$2</f>
        <v>1.1740200000000001E-2</v>
      </c>
      <c r="D80" s="5">
        <v>19.561</v>
      </c>
      <c r="E80" s="1">
        <f>Tabela7[[#This Row],[Força (N)]]/$I$5</f>
        <v>455362.3390832693</v>
      </c>
      <c r="F80" s="1">
        <f>Tabela7[[#This Row],[Tensão (Pa)]]/1000000</f>
        <v>0.45536233908326929</v>
      </c>
    </row>
    <row r="81" spans="1:6" x14ac:dyDescent="0.3">
      <c r="A81" s="5">
        <v>7.2</v>
      </c>
      <c r="B81" s="5">
        <v>0.59250000000000003</v>
      </c>
      <c r="C81" s="1">
        <f>Tabela7[[#This Row],[Alongamento (mm/mm)]]/$I$2</f>
        <v>1.1850000000000001E-2</v>
      </c>
      <c r="D81" s="5">
        <v>20.071999999999999</v>
      </c>
      <c r="E81" s="1">
        <f>Tabela7[[#This Row],[Força (N)]]/$I$5</f>
        <v>467257.95563004859</v>
      </c>
      <c r="F81" s="1">
        <f>Tabela7[[#This Row],[Tensão (Pa)]]/1000000</f>
        <v>0.46725795563004857</v>
      </c>
    </row>
    <row r="82" spans="1:6" x14ac:dyDescent="0.3">
      <c r="A82" s="5">
        <v>7.2667000000000002</v>
      </c>
      <c r="B82" s="5">
        <v>0.59818000000000005</v>
      </c>
      <c r="C82" s="1">
        <f>Tabela7[[#This Row],[Alongamento (mm/mm)]]/$I$2</f>
        <v>1.1963600000000001E-2</v>
      </c>
      <c r="D82" s="5">
        <v>20.582000000000001</v>
      </c>
      <c r="E82" s="1">
        <f>Tabela7[[#This Row],[Força (N)]]/$I$5</f>
        <v>479130.29308378143</v>
      </c>
      <c r="F82" s="1">
        <f>Tabela7[[#This Row],[Tensão (Pa)]]/1000000</f>
        <v>0.47913029308378141</v>
      </c>
    </row>
    <row r="83" spans="1:6" x14ac:dyDescent="0.3">
      <c r="A83" s="5">
        <v>7.3333000000000004</v>
      </c>
      <c r="B83" s="5">
        <v>0.60367000000000004</v>
      </c>
      <c r="C83" s="1">
        <f>Tabela7[[#This Row],[Alongamento (mm/mm)]]/$I$2</f>
        <v>1.2073400000000001E-2</v>
      </c>
      <c r="D83" s="5">
        <v>21.262</v>
      </c>
      <c r="E83" s="1">
        <f>Tabela7[[#This Row],[Força (N)]]/$I$5</f>
        <v>494960.07635542518</v>
      </c>
      <c r="F83" s="1">
        <f>Tabela7[[#This Row],[Tensão (Pa)]]/1000000</f>
        <v>0.49496007635542516</v>
      </c>
    </row>
    <row r="84" spans="1:6" x14ac:dyDescent="0.3">
      <c r="A84" s="5">
        <v>7.4</v>
      </c>
      <c r="B84" s="5">
        <v>0.60916000000000003</v>
      </c>
      <c r="C84" s="1">
        <f>Tabela7[[#This Row],[Alongamento (mm/mm)]]/$I$2</f>
        <v>1.21832E-2</v>
      </c>
      <c r="D84" s="5">
        <v>21.773</v>
      </c>
      <c r="E84" s="1">
        <f>Tabela7[[#This Row],[Força (N)]]/$I$5</f>
        <v>506855.69290220452</v>
      </c>
      <c r="F84" s="1">
        <f>Tabela7[[#This Row],[Tensão (Pa)]]/1000000</f>
        <v>0.50685569290220456</v>
      </c>
    </row>
    <row r="85" spans="1:6" x14ac:dyDescent="0.3">
      <c r="A85" s="5">
        <v>7.4667000000000003</v>
      </c>
      <c r="B85" s="5">
        <v>0.61482999999999999</v>
      </c>
      <c r="C85" s="1">
        <f>Tabela7[[#This Row],[Alongamento (mm/mm)]]/$I$2</f>
        <v>1.22966E-2</v>
      </c>
      <c r="D85" s="5">
        <v>22.283000000000001</v>
      </c>
      <c r="E85" s="1">
        <f>Tabela7[[#This Row],[Força (N)]]/$I$5</f>
        <v>518728.03035593731</v>
      </c>
      <c r="F85" s="1">
        <f>Tabela7[[#This Row],[Tensão (Pa)]]/1000000</f>
        <v>0.51872803035593729</v>
      </c>
    </row>
    <row r="86" spans="1:6" x14ac:dyDescent="0.3">
      <c r="A86" s="5">
        <v>7.5332999999999997</v>
      </c>
      <c r="B86" s="5">
        <v>0.62031999999999998</v>
      </c>
      <c r="C86" s="1">
        <f>Tabela7[[#This Row],[Alongamento (mm/mm)]]/$I$2</f>
        <v>1.24064E-2</v>
      </c>
      <c r="D86" s="5">
        <v>22.963000000000001</v>
      </c>
      <c r="E86" s="1">
        <f>Tabela7[[#This Row],[Força (N)]]/$I$5</f>
        <v>534557.81362758111</v>
      </c>
      <c r="F86" s="1">
        <f>Tabela7[[#This Row],[Tensão (Pa)]]/1000000</f>
        <v>0.53455781362758115</v>
      </c>
    </row>
    <row r="87" spans="1:6" x14ac:dyDescent="0.3">
      <c r="A87" s="5">
        <v>7.6</v>
      </c>
      <c r="B87" s="5">
        <v>0.62590999999999997</v>
      </c>
      <c r="C87" s="1">
        <f>Tabela7[[#This Row],[Alongamento (mm/mm)]]/$I$2</f>
        <v>1.25182E-2</v>
      </c>
      <c r="D87" s="5">
        <v>23.474</v>
      </c>
      <c r="E87" s="1">
        <f>Tabela7[[#This Row],[Força (N)]]/$I$5</f>
        <v>546453.4301743604</v>
      </c>
      <c r="F87" s="1">
        <f>Tabela7[[#This Row],[Tensão (Pa)]]/1000000</f>
        <v>0.54645343017436043</v>
      </c>
    </row>
    <row r="88" spans="1:6" x14ac:dyDescent="0.3">
      <c r="A88" s="5">
        <v>7.6666999999999996</v>
      </c>
      <c r="B88" s="5">
        <v>0.63139999999999996</v>
      </c>
      <c r="C88" s="1">
        <f>Tabela7[[#This Row],[Alongamento (mm/mm)]]/$I$2</f>
        <v>1.2627999999999999E-2</v>
      </c>
      <c r="D88" s="5">
        <v>23.984000000000002</v>
      </c>
      <c r="E88" s="1">
        <f>Tabela7[[#This Row],[Força (N)]]/$I$5</f>
        <v>558325.76762809325</v>
      </c>
      <c r="F88" s="1">
        <f>Tabela7[[#This Row],[Tensão (Pa)]]/1000000</f>
        <v>0.55832576762809327</v>
      </c>
    </row>
    <row r="89" spans="1:6" x14ac:dyDescent="0.3">
      <c r="A89" s="5">
        <v>7.7332999999999998</v>
      </c>
      <c r="B89" s="5">
        <v>0.63697999999999999</v>
      </c>
      <c r="C89" s="1">
        <f>Tabela7[[#This Row],[Alongamento (mm/mm)]]/$I$2</f>
        <v>1.27396E-2</v>
      </c>
      <c r="D89" s="5">
        <v>24.494</v>
      </c>
      <c r="E89" s="1">
        <f>Tabela7[[#This Row],[Força (N)]]/$I$5</f>
        <v>570198.10508182598</v>
      </c>
      <c r="F89" s="1">
        <f>Tabela7[[#This Row],[Tensão (Pa)]]/1000000</f>
        <v>0.570198105081826</v>
      </c>
    </row>
    <row r="90" spans="1:6" x14ac:dyDescent="0.3">
      <c r="A90" s="5">
        <v>7.8</v>
      </c>
      <c r="B90" s="5">
        <v>0.64256999999999997</v>
      </c>
      <c r="C90" s="1">
        <f>Tabela7[[#This Row],[Alongamento (mm/mm)]]/$I$2</f>
        <v>1.2851399999999999E-2</v>
      </c>
      <c r="D90" s="5">
        <v>25.004999999999999</v>
      </c>
      <c r="E90" s="1">
        <f>Tabela7[[#This Row],[Força (N)]]/$I$5</f>
        <v>582093.72162860527</v>
      </c>
      <c r="F90" s="1">
        <f>Tabela7[[#This Row],[Tensão (Pa)]]/1000000</f>
        <v>0.58209372162860529</v>
      </c>
    </row>
    <row r="91" spans="1:6" x14ac:dyDescent="0.3">
      <c r="A91" s="5">
        <v>7.8666999999999998</v>
      </c>
      <c r="B91" s="5">
        <v>0.64805999999999997</v>
      </c>
      <c r="C91" s="1">
        <f>Tabela7[[#This Row],[Alongamento (mm/mm)]]/$I$2</f>
        <v>1.2961199999999999E-2</v>
      </c>
      <c r="D91" s="5">
        <v>25.515000000000001</v>
      </c>
      <c r="E91" s="1">
        <f>Tabela7[[#This Row],[Força (N)]]/$I$5</f>
        <v>593966.05908233812</v>
      </c>
      <c r="F91" s="1">
        <f>Tabela7[[#This Row],[Tensão (Pa)]]/1000000</f>
        <v>0.59396605908233813</v>
      </c>
    </row>
    <row r="92" spans="1:6" x14ac:dyDescent="0.3">
      <c r="A92" s="5">
        <v>7.9333</v>
      </c>
      <c r="B92" s="5">
        <v>0.65364</v>
      </c>
      <c r="C92" s="1">
        <f>Tabela7[[#This Row],[Alongamento (mm/mm)]]/$I$2</f>
        <v>1.3072800000000001E-2</v>
      </c>
      <c r="D92" s="5">
        <v>26.024999999999999</v>
      </c>
      <c r="E92" s="1">
        <f>Tabela7[[#This Row],[Força (N)]]/$I$5</f>
        <v>605838.39653607085</v>
      </c>
      <c r="F92" s="1">
        <f>Tabela7[[#This Row],[Tensão (Pa)]]/1000000</f>
        <v>0.60583839653607086</v>
      </c>
    </row>
    <row r="93" spans="1:6" x14ac:dyDescent="0.3">
      <c r="A93" s="5">
        <v>8</v>
      </c>
      <c r="B93" s="5">
        <v>0.65922000000000003</v>
      </c>
      <c r="C93" s="1">
        <f>Tabela7[[#This Row],[Alongamento (mm/mm)]]/$I$2</f>
        <v>1.3184400000000001E-2</v>
      </c>
      <c r="D93" s="5">
        <v>26.535</v>
      </c>
      <c r="E93" s="1">
        <f>Tabela7[[#This Row],[Força (N)]]/$I$5</f>
        <v>617710.7339898037</v>
      </c>
      <c r="F93" s="1">
        <f>Tabela7[[#This Row],[Tensão (Pa)]]/1000000</f>
        <v>0.6177107339898037</v>
      </c>
    </row>
    <row r="94" spans="1:6" x14ac:dyDescent="0.3">
      <c r="A94" s="5">
        <v>8.0667000000000009</v>
      </c>
      <c r="B94" s="5">
        <v>0.66481000000000001</v>
      </c>
      <c r="C94" s="1">
        <f>Tabela7[[#This Row],[Alongamento (mm/mm)]]/$I$2</f>
        <v>1.3296200000000001E-2</v>
      </c>
      <c r="D94" s="5">
        <v>27.045999999999999</v>
      </c>
      <c r="E94" s="1">
        <f>Tabela7[[#This Row],[Força (N)]]/$I$5</f>
        <v>629606.35053658299</v>
      </c>
      <c r="F94" s="1">
        <f>Tabela7[[#This Row],[Tensão (Pa)]]/1000000</f>
        <v>0.62960635053658298</v>
      </c>
    </row>
    <row r="95" spans="1:6" x14ac:dyDescent="0.3">
      <c r="A95" s="5">
        <v>8.1333000000000002</v>
      </c>
      <c r="B95" s="5">
        <v>0.67030000000000001</v>
      </c>
      <c r="C95" s="1">
        <f>Tabela7[[#This Row],[Alongamento (mm/mm)]]/$I$2</f>
        <v>1.3406E-2</v>
      </c>
      <c r="D95" s="5">
        <v>27.556000000000001</v>
      </c>
      <c r="E95" s="1">
        <f>Tabela7[[#This Row],[Força (N)]]/$I$5</f>
        <v>641478.68799031584</v>
      </c>
      <c r="F95" s="1">
        <f>Tabela7[[#This Row],[Tensão (Pa)]]/1000000</f>
        <v>0.64147868799031582</v>
      </c>
    </row>
    <row r="96" spans="1:6" x14ac:dyDescent="0.3">
      <c r="A96" s="5">
        <v>8.1999999999999993</v>
      </c>
      <c r="B96" s="5">
        <v>0.67588000000000004</v>
      </c>
      <c r="C96" s="1">
        <f>Tabela7[[#This Row],[Alongamento (mm/mm)]]/$I$2</f>
        <v>1.3517600000000001E-2</v>
      </c>
      <c r="D96" s="5">
        <v>28.065999999999999</v>
      </c>
      <c r="E96" s="1">
        <f>Tabela7[[#This Row],[Força (N)]]/$I$5</f>
        <v>653351.02544404869</v>
      </c>
      <c r="F96" s="1">
        <f>Tabela7[[#This Row],[Tensão (Pa)]]/1000000</f>
        <v>0.65335102544404866</v>
      </c>
    </row>
    <row r="97" spans="1:6" x14ac:dyDescent="0.3">
      <c r="A97" s="5">
        <v>8.2667000000000002</v>
      </c>
      <c r="B97" s="5">
        <v>0.68145999999999995</v>
      </c>
      <c r="C97" s="1">
        <f>Tabela7[[#This Row],[Alongamento (mm/mm)]]/$I$2</f>
        <v>1.3629199999999999E-2</v>
      </c>
      <c r="D97" s="5">
        <v>28.577000000000002</v>
      </c>
      <c r="E97" s="1">
        <f>Tabela7[[#This Row],[Força (N)]]/$I$5</f>
        <v>665246.6419908281</v>
      </c>
      <c r="F97" s="1">
        <f>Tabela7[[#This Row],[Tensão (Pa)]]/1000000</f>
        <v>0.66524664199082806</v>
      </c>
    </row>
    <row r="98" spans="1:6" x14ac:dyDescent="0.3">
      <c r="A98" s="5">
        <v>8.3332999999999995</v>
      </c>
      <c r="B98" s="5">
        <v>0.68705000000000005</v>
      </c>
      <c r="C98" s="1">
        <f>Tabela7[[#This Row],[Alongamento (mm/mm)]]/$I$2</f>
        <v>1.3741000000000001E-2</v>
      </c>
      <c r="D98" s="5">
        <v>29.087</v>
      </c>
      <c r="E98" s="1">
        <f>Tabela7[[#This Row],[Força (N)]]/$I$5</f>
        <v>677118.97944456083</v>
      </c>
      <c r="F98" s="1">
        <f>Tabela7[[#This Row],[Tensão (Pa)]]/1000000</f>
        <v>0.67711897944456079</v>
      </c>
    </row>
    <row r="99" spans="1:6" x14ac:dyDescent="0.3">
      <c r="A99" s="5">
        <v>8.4</v>
      </c>
      <c r="B99" s="5">
        <v>0.69254000000000004</v>
      </c>
      <c r="C99" s="1">
        <f>Tabela7[[#This Row],[Alongamento (mm/mm)]]/$I$2</f>
        <v>1.3850800000000002E-2</v>
      </c>
      <c r="D99" s="5">
        <v>29.597000000000001</v>
      </c>
      <c r="E99" s="1">
        <f>Tabela7[[#This Row],[Força (N)]]/$I$5</f>
        <v>688991.31689829368</v>
      </c>
      <c r="F99" s="1">
        <f>Tabela7[[#This Row],[Tensão (Pa)]]/1000000</f>
        <v>0.68899131689829363</v>
      </c>
    </row>
    <row r="100" spans="1:6" x14ac:dyDescent="0.3">
      <c r="A100" s="5">
        <v>8.4666999999999994</v>
      </c>
      <c r="B100" s="5">
        <v>0.69811999999999996</v>
      </c>
      <c r="C100" s="1">
        <f>Tabela7[[#This Row],[Alongamento (mm/mm)]]/$I$2</f>
        <v>1.39624E-2</v>
      </c>
      <c r="D100" s="5">
        <v>30.106999999999999</v>
      </c>
      <c r="E100" s="1">
        <f>Tabela7[[#This Row],[Força (N)]]/$I$5</f>
        <v>700863.65435202641</v>
      </c>
      <c r="F100" s="1">
        <f>Tabela7[[#This Row],[Tensão (Pa)]]/1000000</f>
        <v>0.70086365435202636</v>
      </c>
    </row>
    <row r="101" spans="1:6" x14ac:dyDescent="0.3">
      <c r="A101" s="5">
        <v>8.5333000000000006</v>
      </c>
      <c r="B101" s="5">
        <v>0.70360999999999996</v>
      </c>
      <c r="C101" s="1">
        <f>Tabela7[[#This Row],[Alongamento (mm/mm)]]/$I$2</f>
        <v>1.40722E-2</v>
      </c>
      <c r="D101" s="5">
        <v>30.617999999999999</v>
      </c>
      <c r="E101" s="1">
        <f>Tabela7[[#This Row],[Força (N)]]/$I$5</f>
        <v>712759.2708988057</v>
      </c>
      <c r="F101" s="1">
        <f>Tabela7[[#This Row],[Tensão (Pa)]]/1000000</f>
        <v>0.71275927089880575</v>
      </c>
    </row>
    <row r="102" spans="1:6" x14ac:dyDescent="0.3">
      <c r="A102" s="5">
        <v>8.6</v>
      </c>
      <c r="B102" s="5">
        <v>0.70920000000000005</v>
      </c>
      <c r="C102" s="1">
        <f>Tabela7[[#This Row],[Alongamento (mm/mm)]]/$I$2</f>
        <v>1.4184E-2</v>
      </c>
      <c r="D102" s="5">
        <v>31.128</v>
      </c>
      <c r="E102" s="1">
        <f>Tabela7[[#This Row],[Força (N)]]/$I$5</f>
        <v>724631.60835253855</v>
      </c>
      <c r="F102" s="1">
        <f>Tabela7[[#This Row],[Tensão (Pa)]]/1000000</f>
        <v>0.72463160835253859</v>
      </c>
    </row>
    <row r="103" spans="1:6" x14ac:dyDescent="0.3">
      <c r="A103" s="5">
        <v>8.6667000000000005</v>
      </c>
      <c r="B103" s="5">
        <v>0.71477999999999997</v>
      </c>
      <c r="C103" s="1">
        <f>Tabela7[[#This Row],[Alongamento (mm/mm)]]/$I$2</f>
        <v>1.4295599999999999E-2</v>
      </c>
      <c r="D103" s="5">
        <v>31.468</v>
      </c>
      <c r="E103" s="1">
        <f>Tabela7[[#This Row],[Força (N)]]/$I$5</f>
        <v>732546.49998836045</v>
      </c>
      <c r="F103" s="1">
        <f>Tabela7[[#This Row],[Tensão (Pa)]]/1000000</f>
        <v>0.73254649998836041</v>
      </c>
    </row>
    <row r="104" spans="1:6" x14ac:dyDescent="0.3">
      <c r="A104" s="5">
        <v>8.75</v>
      </c>
      <c r="B104" s="5">
        <v>0.72175999999999996</v>
      </c>
      <c r="C104" s="1">
        <f>Tabela7[[#This Row],[Alongamento (mm/mm)]]/$I$2</f>
        <v>1.4435199999999999E-2</v>
      </c>
      <c r="D104" s="5">
        <v>32.149000000000001</v>
      </c>
      <c r="E104" s="1">
        <f>Tabela7[[#This Row],[Força (N)]]/$I$5</f>
        <v>748399.56235305069</v>
      </c>
      <c r="F104" s="1">
        <f>Tabela7[[#This Row],[Tensão (Pa)]]/1000000</f>
        <v>0.74839956235305072</v>
      </c>
    </row>
    <row r="105" spans="1:6" x14ac:dyDescent="0.3">
      <c r="A105" s="5">
        <v>8.8332999999999995</v>
      </c>
      <c r="B105" s="5">
        <v>0.72863999999999995</v>
      </c>
      <c r="C105" s="1">
        <f>Tabela7[[#This Row],[Alongamento (mm/mm)]]/$I$2</f>
        <v>1.4572799999999999E-2</v>
      </c>
      <c r="D105" s="5">
        <v>32.658999999999999</v>
      </c>
      <c r="E105" s="1">
        <f>Tabela7[[#This Row],[Força (N)]]/$I$5</f>
        <v>760271.89980678342</v>
      </c>
      <c r="F105" s="1">
        <f>Tabela7[[#This Row],[Tensão (Pa)]]/1000000</f>
        <v>0.76027189980678345</v>
      </c>
    </row>
    <row r="106" spans="1:6" x14ac:dyDescent="0.3">
      <c r="A106" s="5">
        <v>8.9167000000000005</v>
      </c>
      <c r="B106" s="5">
        <v>0.73562000000000005</v>
      </c>
      <c r="C106" s="1">
        <f>Tabela7[[#This Row],[Alongamento (mm/mm)]]/$I$2</f>
        <v>1.47124E-2</v>
      </c>
      <c r="D106" s="5">
        <v>33.338999999999999</v>
      </c>
      <c r="E106" s="1">
        <f>Tabela7[[#This Row],[Força (N)]]/$I$5</f>
        <v>776101.68307842722</v>
      </c>
      <c r="F106" s="1">
        <f>Tabela7[[#This Row],[Tensão (Pa)]]/1000000</f>
        <v>0.7761016830784272</v>
      </c>
    </row>
    <row r="107" spans="1:6" x14ac:dyDescent="0.3">
      <c r="A107" s="5">
        <v>9</v>
      </c>
      <c r="B107" s="5">
        <v>0.74260000000000004</v>
      </c>
      <c r="C107" s="1">
        <f>Tabela7[[#This Row],[Alongamento (mm/mm)]]/$I$2</f>
        <v>1.4852000000000001E-2</v>
      </c>
      <c r="D107" s="5">
        <v>33.85</v>
      </c>
      <c r="E107" s="1">
        <f>Tabela7[[#This Row],[Força (N)]]/$I$5</f>
        <v>787997.29962520662</v>
      </c>
      <c r="F107" s="1">
        <f>Tabela7[[#This Row],[Tensão (Pa)]]/1000000</f>
        <v>0.78799729962520659</v>
      </c>
    </row>
    <row r="108" spans="1:6" x14ac:dyDescent="0.3">
      <c r="A108" s="5">
        <v>9.0832999999999995</v>
      </c>
      <c r="B108" s="5">
        <v>0.74948999999999999</v>
      </c>
      <c r="C108" s="1">
        <f>Tabela7[[#This Row],[Alongamento (mm/mm)]]/$I$2</f>
        <v>1.4989799999999999E-2</v>
      </c>
      <c r="D108" s="5">
        <v>34.36</v>
      </c>
      <c r="E108" s="1">
        <f>Tabela7[[#This Row],[Força (N)]]/$I$5</f>
        <v>799869.63707893935</v>
      </c>
      <c r="F108" s="1">
        <f>Tabela7[[#This Row],[Tensão (Pa)]]/1000000</f>
        <v>0.79986963707893932</v>
      </c>
    </row>
    <row r="109" spans="1:6" x14ac:dyDescent="0.3">
      <c r="A109" s="5">
        <v>9.1667000000000005</v>
      </c>
      <c r="B109" s="5">
        <v>0.75638000000000005</v>
      </c>
      <c r="C109" s="1">
        <f>Tabela7[[#This Row],[Alongamento (mm/mm)]]/$I$2</f>
        <v>1.5127600000000001E-2</v>
      </c>
      <c r="D109" s="5">
        <v>35.04</v>
      </c>
      <c r="E109" s="1">
        <f>Tabela7[[#This Row],[Força (N)]]/$I$5</f>
        <v>815699.42035058304</v>
      </c>
      <c r="F109" s="1">
        <f>Tabela7[[#This Row],[Tensão (Pa)]]/1000000</f>
        <v>0.81569942035058307</v>
      </c>
    </row>
    <row r="110" spans="1:6" x14ac:dyDescent="0.3">
      <c r="A110" s="5">
        <v>9.25</v>
      </c>
      <c r="B110" s="5">
        <v>0.76334999999999997</v>
      </c>
      <c r="C110" s="1">
        <f>Tabela7[[#This Row],[Alongamento (mm/mm)]]/$I$2</f>
        <v>1.5266999999999999E-2</v>
      </c>
      <c r="D110" s="5">
        <v>35.720999999999997</v>
      </c>
      <c r="E110" s="1">
        <f>Tabela7[[#This Row],[Força (N)]]/$I$5</f>
        <v>831552.48271527328</v>
      </c>
      <c r="F110" s="1">
        <f>Tabela7[[#This Row],[Tensão (Pa)]]/1000000</f>
        <v>0.83155248271527327</v>
      </c>
    </row>
    <row r="111" spans="1:6" x14ac:dyDescent="0.3">
      <c r="A111" s="5">
        <v>9.3332999999999995</v>
      </c>
      <c r="B111" s="5">
        <v>0.77032999999999996</v>
      </c>
      <c r="C111" s="1">
        <f>Tabela7[[#This Row],[Alongamento (mm/mm)]]/$I$2</f>
        <v>1.5406599999999999E-2</v>
      </c>
      <c r="D111" s="5">
        <v>36.231000000000002</v>
      </c>
      <c r="E111" s="1">
        <f>Tabela7[[#This Row],[Força (N)]]/$I$5</f>
        <v>843424.82016900624</v>
      </c>
      <c r="F111" s="1">
        <f>Tabela7[[#This Row],[Tensão (Pa)]]/1000000</f>
        <v>0.84342482016900622</v>
      </c>
    </row>
    <row r="112" spans="1:6" x14ac:dyDescent="0.3">
      <c r="A112" s="5">
        <v>9.4167000000000005</v>
      </c>
      <c r="B112" s="5">
        <v>0.77722000000000002</v>
      </c>
      <c r="C112" s="1">
        <f>Tabela7[[#This Row],[Alongamento (mm/mm)]]/$I$2</f>
        <v>1.55444E-2</v>
      </c>
      <c r="D112" s="5">
        <v>36.741</v>
      </c>
      <c r="E112" s="1">
        <f>Tabela7[[#This Row],[Força (N)]]/$I$5</f>
        <v>855297.15762273897</v>
      </c>
      <c r="F112" s="1">
        <f>Tabela7[[#This Row],[Tensão (Pa)]]/1000000</f>
        <v>0.85529715762273895</v>
      </c>
    </row>
    <row r="113" spans="1:6" x14ac:dyDescent="0.3">
      <c r="A113" s="5">
        <v>9.5</v>
      </c>
      <c r="B113" s="5">
        <v>0.78429000000000004</v>
      </c>
      <c r="C113" s="1">
        <f>Tabela7[[#This Row],[Alongamento (mm/mm)]]/$I$2</f>
        <v>1.56858E-2</v>
      </c>
      <c r="D113" s="5">
        <v>37.421999999999997</v>
      </c>
      <c r="E113" s="1">
        <f>Tabela7[[#This Row],[Força (N)]]/$I$5</f>
        <v>871150.21998742921</v>
      </c>
      <c r="F113" s="1">
        <f>Tabela7[[#This Row],[Tensão (Pa)]]/1000000</f>
        <v>0.87115021998742925</v>
      </c>
    </row>
    <row r="114" spans="1:6" x14ac:dyDescent="0.3">
      <c r="A114" s="5">
        <v>9.5832999999999995</v>
      </c>
      <c r="B114" s="5">
        <v>0.79117999999999999</v>
      </c>
      <c r="C114" s="1">
        <f>Tabela7[[#This Row],[Alongamento (mm/mm)]]/$I$2</f>
        <v>1.58236E-2</v>
      </c>
      <c r="D114" s="5">
        <v>37.932000000000002</v>
      </c>
      <c r="E114" s="1">
        <f>Tabela7[[#This Row],[Força (N)]]/$I$5</f>
        <v>883022.55744116206</v>
      </c>
      <c r="F114" s="1">
        <f>Tabela7[[#This Row],[Tensão (Pa)]]/1000000</f>
        <v>0.88302255744116209</v>
      </c>
    </row>
    <row r="115" spans="1:6" x14ac:dyDescent="0.3">
      <c r="A115" s="5">
        <v>9.6667000000000005</v>
      </c>
      <c r="B115" s="5">
        <v>0.79806999999999995</v>
      </c>
      <c r="C115" s="1">
        <f>Tabela7[[#This Row],[Alongamento (mm/mm)]]/$I$2</f>
        <v>1.5961400000000001E-2</v>
      </c>
      <c r="D115" s="5">
        <v>38.442</v>
      </c>
      <c r="E115" s="1">
        <f>Tabela7[[#This Row],[Força (N)]]/$I$5</f>
        <v>894894.89489489479</v>
      </c>
      <c r="F115" s="1">
        <f>Tabela7[[#This Row],[Tensão (Pa)]]/1000000</f>
        <v>0.89489489489489482</v>
      </c>
    </row>
    <row r="116" spans="1:6" x14ac:dyDescent="0.3">
      <c r="A116" s="5">
        <v>9.75</v>
      </c>
      <c r="B116" s="5">
        <v>0.80503999999999998</v>
      </c>
      <c r="C116" s="1">
        <f>Tabela7[[#This Row],[Alongamento (mm/mm)]]/$I$2</f>
        <v>1.6100799999999998E-2</v>
      </c>
      <c r="D116" s="5">
        <v>38.953000000000003</v>
      </c>
      <c r="E116" s="1">
        <f>Tabela7[[#This Row],[Força (N)]]/$I$5</f>
        <v>906790.5114416742</v>
      </c>
      <c r="F116" s="1">
        <f>Tabela7[[#This Row],[Tensão (Pa)]]/1000000</f>
        <v>0.90679051144167422</v>
      </c>
    </row>
    <row r="117" spans="1:6" x14ac:dyDescent="0.3">
      <c r="A117" s="5">
        <v>9.8332999999999995</v>
      </c>
      <c r="B117" s="5">
        <v>0.81201999999999996</v>
      </c>
      <c r="C117" s="1">
        <f>Tabela7[[#This Row],[Alongamento (mm/mm)]]/$I$2</f>
        <v>1.6240399999999999E-2</v>
      </c>
      <c r="D117" s="5">
        <v>39.463000000000001</v>
      </c>
      <c r="E117" s="1">
        <f>Tabela7[[#This Row],[Força (N)]]/$I$5</f>
        <v>918662.84889540705</v>
      </c>
      <c r="F117" s="1">
        <f>Tabela7[[#This Row],[Tensão (Pa)]]/1000000</f>
        <v>0.91866284889540706</v>
      </c>
    </row>
    <row r="118" spans="1:6" x14ac:dyDescent="0.3">
      <c r="A118" s="5">
        <v>9.9167000000000005</v>
      </c>
      <c r="B118" s="5">
        <v>0.81891000000000003</v>
      </c>
      <c r="C118" s="1">
        <f>Tabela7[[#This Row],[Alongamento (mm/mm)]]/$I$2</f>
        <v>1.6378199999999999E-2</v>
      </c>
      <c r="D118" s="5">
        <v>40.143000000000001</v>
      </c>
      <c r="E118" s="1">
        <f>Tabela7[[#This Row],[Força (N)]]/$I$5</f>
        <v>934492.63216705073</v>
      </c>
      <c r="F118" s="1">
        <f>Tabela7[[#This Row],[Tensão (Pa)]]/1000000</f>
        <v>0.9344926321670507</v>
      </c>
    </row>
    <row r="119" spans="1:6" x14ac:dyDescent="0.3">
      <c r="A119" s="5">
        <v>10</v>
      </c>
      <c r="B119" s="5">
        <v>0.82589000000000001</v>
      </c>
      <c r="C119" s="1">
        <f>Tabela7[[#This Row],[Alongamento (mm/mm)]]/$I$2</f>
        <v>1.6517799999999999E-2</v>
      </c>
      <c r="D119" s="5">
        <v>40.484000000000002</v>
      </c>
      <c r="E119" s="1">
        <f>Tabela7[[#This Row],[Força (N)]]/$I$5</f>
        <v>942430.80289591919</v>
      </c>
      <c r="F119" s="1">
        <f>Tabela7[[#This Row],[Tensão (Pa)]]/1000000</f>
        <v>0.94243080289591918</v>
      </c>
    </row>
    <row r="120" spans="1:6" x14ac:dyDescent="0.3">
      <c r="A120" s="5">
        <v>10.083</v>
      </c>
      <c r="B120" s="5">
        <v>0.83287</v>
      </c>
      <c r="C120" s="1">
        <f>Tabela7[[#This Row],[Alongamento (mm/mm)]]/$I$2</f>
        <v>1.6657399999999999E-2</v>
      </c>
      <c r="D120" s="5">
        <v>40.994</v>
      </c>
      <c r="E120" s="1">
        <f>Tabela7[[#This Row],[Força (N)]]/$I$5</f>
        <v>954303.14034965192</v>
      </c>
      <c r="F120" s="1">
        <f>Tabela7[[#This Row],[Tensão (Pa)]]/1000000</f>
        <v>0.95430314034965191</v>
      </c>
    </row>
    <row r="121" spans="1:6" x14ac:dyDescent="0.3">
      <c r="A121" s="5">
        <v>10.167</v>
      </c>
      <c r="B121" s="5">
        <v>0.83975999999999995</v>
      </c>
      <c r="C121" s="1">
        <f>Tabela7[[#This Row],[Alongamento (mm/mm)]]/$I$2</f>
        <v>1.67952E-2</v>
      </c>
      <c r="D121" s="5">
        <v>41.673999999999999</v>
      </c>
      <c r="E121" s="1">
        <f>Tabela7[[#This Row],[Força (N)]]/$I$5</f>
        <v>970132.9236212956</v>
      </c>
      <c r="F121" s="1">
        <f>Tabela7[[#This Row],[Tensão (Pa)]]/1000000</f>
        <v>0.97013292362129555</v>
      </c>
    </row>
    <row r="122" spans="1:6" x14ac:dyDescent="0.3">
      <c r="A122" s="5">
        <v>10.25</v>
      </c>
      <c r="B122" s="5">
        <v>0.84672999999999998</v>
      </c>
      <c r="C122" s="1">
        <f>Tabela7[[#This Row],[Alongamento (mm/mm)]]/$I$2</f>
        <v>1.6934600000000001E-2</v>
      </c>
      <c r="D122" s="5">
        <v>42.185000000000002</v>
      </c>
      <c r="E122" s="1">
        <f>Tabela7[[#This Row],[Força (N)]]/$I$5</f>
        <v>982028.54016807501</v>
      </c>
      <c r="F122" s="1">
        <f>Tabela7[[#This Row],[Tensão (Pa)]]/1000000</f>
        <v>0.98202854016807506</v>
      </c>
    </row>
    <row r="123" spans="1:6" x14ac:dyDescent="0.3">
      <c r="A123" s="5">
        <v>10.333</v>
      </c>
      <c r="B123" s="5">
        <v>0.85362000000000005</v>
      </c>
      <c r="C123" s="1">
        <f>Tabela7[[#This Row],[Alongamento (mm/mm)]]/$I$2</f>
        <v>1.7072400000000001E-2</v>
      </c>
      <c r="D123" s="5">
        <v>42.695</v>
      </c>
      <c r="E123" s="1">
        <f>Tabela7[[#This Row],[Força (N)]]/$I$5</f>
        <v>993900.87762180786</v>
      </c>
      <c r="F123" s="1">
        <f>Tabela7[[#This Row],[Tensão (Pa)]]/1000000</f>
        <v>0.9939008776218079</v>
      </c>
    </row>
    <row r="124" spans="1:6" x14ac:dyDescent="0.3">
      <c r="A124" s="5">
        <v>10.417</v>
      </c>
      <c r="B124" s="5">
        <v>0.86060000000000003</v>
      </c>
      <c r="C124" s="1">
        <f>Tabela7[[#This Row],[Alongamento (mm/mm)]]/$I$2</f>
        <v>1.7212000000000002E-2</v>
      </c>
      <c r="D124" s="5">
        <v>43.204999999999998</v>
      </c>
      <c r="E124" s="1">
        <f>Tabela7[[#This Row],[Força (N)]]/$I$5</f>
        <v>1005773.2150755406</v>
      </c>
      <c r="F124" s="1">
        <f>Tabela7[[#This Row],[Tensão (Pa)]]/1000000</f>
        <v>1.0057732150755405</v>
      </c>
    </row>
    <row r="125" spans="1:6" x14ac:dyDescent="0.3">
      <c r="A125" s="5">
        <v>10.5</v>
      </c>
      <c r="B125" s="5">
        <v>0.86758000000000002</v>
      </c>
      <c r="C125" s="1">
        <f>Tabela7[[#This Row],[Alongamento (mm/mm)]]/$I$2</f>
        <v>1.7351600000000002E-2</v>
      </c>
      <c r="D125" s="5">
        <v>43.884999999999998</v>
      </c>
      <c r="E125" s="1">
        <f>Tabela7[[#This Row],[Força (N)]]/$I$5</f>
        <v>1021602.9983471843</v>
      </c>
      <c r="F125" s="1">
        <f>Tabela7[[#This Row],[Tensão (Pa)]]/1000000</f>
        <v>1.0216029983471844</v>
      </c>
    </row>
    <row r="126" spans="1:6" x14ac:dyDescent="0.3">
      <c r="A126" s="5">
        <v>10.583</v>
      </c>
      <c r="B126" s="5">
        <v>0.87446999999999997</v>
      </c>
      <c r="C126" s="1">
        <f>Tabela7[[#This Row],[Alongamento (mm/mm)]]/$I$2</f>
        <v>1.7489399999999999E-2</v>
      </c>
      <c r="D126" s="5">
        <v>44.566000000000003</v>
      </c>
      <c r="E126" s="1">
        <f>Tabela7[[#This Row],[Força (N)]]/$I$5</f>
        <v>1037456.0607118746</v>
      </c>
      <c r="F126" s="1">
        <f>Tabela7[[#This Row],[Tensão (Pa)]]/1000000</f>
        <v>1.0374560607118746</v>
      </c>
    </row>
    <row r="127" spans="1:6" x14ac:dyDescent="0.3">
      <c r="A127" s="5">
        <v>10.667</v>
      </c>
      <c r="B127" s="5">
        <v>0.88144999999999996</v>
      </c>
      <c r="C127" s="1">
        <f>Tabela7[[#This Row],[Alongamento (mm/mm)]]/$I$2</f>
        <v>1.7628999999999999E-2</v>
      </c>
      <c r="D127" s="5">
        <v>45.076000000000001</v>
      </c>
      <c r="E127" s="1">
        <f>Tabela7[[#This Row],[Força (N)]]/$I$5</f>
        <v>1049328.3981656074</v>
      </c>
      <c r="F127" s="1">
        <f>Tabela7[[#This Row],[Tensão (Pa)]]/1000000</f>
        <v>1.0493283981656074</v>
      </c>
    </row>
    <row r="128" spans="1:6" x14ac:dyDescent="0.3">
      <c r="A128" s="5">
        <v>10.75</v>
      </c>
      <c r="B128" s="5">
        <v>0.88841999999999999</v>
      </c>
      <c r="C128" s="1">
        <f>Tabela7[[#This Row],[Alongamento (mm/mm)]]/$I$2</f>
        <v>1.77684E-2</v>
      </c>
      <c r="D128" s="5">
        <v>45.756999999999998</v>
      </c>
      <c r="E128" s="1">
        <f>Tabela7[[#This Row],[Força (N)]]/$I$5</f>
        <v>1065181.4605302976</v>
      </c>
      <c r="F128" s="1">
        <f>Tabela7[[#This Row],[Tensão (Pa)]]/1000000</f>
        <v>1.0651814605302976</v>
      </c>
    </row>
    <row r="129" spans="1:6" x14ac:dyDescent="0.3">
      <c r="A129" s="5">
        <v>10.817</v>
      </c>
      <c r="B129" s="5">
        <v>0.89392000000000005</v>
      </c>
      <c r="C129" s="1">
        <f>Tabela7[[#This Row],[Alongamento (mm/mm)]]/$I$2</f>
        <v>1.7878400000000003E-2</v>
      </c>
      <c r="D129" s="5">
        <v>46.436999999999998</v>
      </c>
      <c r="E129" s="1">
        <f>Tabela7[[#This Row],[Força (N)]]/$I$5</f>
        <v>1081011.2438019414</v>
      </c>
      <c r="F129" s="1">
        <f>Tabela7[[#This Row],[Tensão (Pa)]]/1000000</f>
        <v>1.0810112438019415</v>
      </c>
    </row>
    <row r="130" spans="1:6" x14ac:dyDescent="0.3">
      <c r="A130" s="5">
        <v>10.9</v>
      </c>
      <c r="B130" s="5">
        <v>0.90080000000000005</v>
      </c>
      <c r="C130" s="1">
        <f>Tabela7[[#This Row],[Alongamento (mm/mm)]]/$I$2</f>
        <v>1.8016000000000001E-2</v>
      </c>
      <c r="D130" s="5">
        <v>47.286999999999999</v>
      </c>
      <c r="E130" s="1">
        <f>Tabela7[[#This Row],[Força (N)]]/$I$5</f>
        <v>1100798.472891496</v>
      </c>
      <c r="F130" s="1">
        <f>Tabela7[[#This Row],[Tensão (Pa)]]/1000000</f>
        <v>1.1007984728914961</v>
      </c>
    </row>
    <row r="131" spans="1:6" x14ac:dyDescent="0.3">
      <c r="A131" s="5">
        <v>10.983000000000001</v>
      </c>
      <c r="B131" s="5">
        <v>0.90786999999999995</v>
      </c>
      <c r="C131" s="1">
        <f>Tabela7[[#This Row],[Alongamento (mm/mm)]]/$I$2</f>
        <v>1.8157400000000001E-2</v>
      </c>
      <c r="D131" s="5">
        <v>47.968000000000004</v>
      </c>
      <c r="E131" s="1">
        <f>Tabela7[[#This Row],[Força (N)]]/$I$5</f>
        <v>1116651.5352561865</v>
      </c>
      <c r="F131" s="1">
        <f>Tabela7[[#This Row],[Tensão (Pa)]]/1000000</f>
        <v>1.1166515352561865</v>
      </c>
    </row>
    <row r="132" spans="1:6" x14ac:dyDescent="0.3">
      <c r="A132" s="5">
        <v>11.05</v>
      </c>
      <c r="B132" s="5">
        <v>0.91335999999999995</v>
      </c>
      <c r="C132" s="1">
        <f>Tabela7[[#This Row],[Alongamento (mm/mm)]]/$I$2</f>
        <v>1.8267199999999997E-2</v>
      </c>
      <c r="D132" s="5">
        <v>48.648000000000003</v>
      </c>
      <c r="E132" s="1">
        <f>Tabela7[[#This Row],[Força (N)]]/$I$5</f>
        <v>1132481.3185278301</v>
      </c>
      <c r="F132" s="1">
        <f>Tabela7[[#This Row],[Tensão (Pa)]]/1000000</f>
        <v>1.13248131852783</v>
      </c>
    </row>
    <row r="133" spans="1:6" x14ac:dyDescent="0.3">
      <c r="A133" s="5">
        <v>11.117000000000001</v>
      </c>
      <c r="B133" s="5">
        <v>0.91895000000000004</v>
      </c>
      <c r="C133" s="1">
        <f>Tabela7[[#This Row],[Alongamento (mm/mm)]]/$I$2</f>
        <v>1.8379E-2</v>
      </c>
      <c r="D133" s="5">
        <v>49.329000000000001</v>
      </c>
      <c r="E133" s="1">
        <f>Tabela7[[#This Row],[Força (N)]]/$I$5</f>
        <v>1148334.3808925203</v>
      </c>
      <c r="F133" s="1">
        <f>Tabela7[[#This Row],[Tensão (Pa)]]/1000000</f>
        <v>1.1483343808925204</v>
      </c>
    </row>
    <row r="134" spans="1:6" x14ac:dyDescent="0.3">
      <c r="A134" s="5">
        <v>11.183</v>
      </c>
      <c r="B134" s="5">
        <v>0.92452999999999996</v>
      </c>
      <c r="C134" s="1">
        <f>Tabela7[[#This Row],[Alongamento (mm/mm)]]/$I$2</f>
        <v>1.8490599999999999E-2</v>
      </c>
      <c r="D134" s="5">
        <v>50.009</v>
      </c>
      <c r="E134" s="1">
        <f>Tabela7[[#This Row],[Força (N)]]/$I$5</f>
        <v>1164164.1641641641</v>
      </c>
      <c r="F134" s="1">
        <f>Tabela7[[#This Row],[Tensão (Pa)]]/1000000</f>
        <v>1.164164164164164</v>
      </c>
    </row>
    <row r="135" spans="1:6" x14ac:dyDescent="0.3">
      <c r="A135" s="5">
        <v>11.25</v>
      </c>
      <c r="B135" s="5">
        <v>0.93010999999999999</v>
      </c>
      <c r="C135" s="1">
        <f>Tabela7[[#This Row],[Alongamento (mm/mm)]]/$I$2</f>
        <v>1.8602199999999999E-2</v>
      </c>
      <c r="D135" s="5">
        <v>50.689</v>
      </c>
      <c r="E135" s="1">
        <f>Tabela7[[#This Row],[Força (N)]]/$I$5</f>
        <v>1179993.9474358079</v>
      </c>
      <c r="F135" s="1">
        <f>Tabela7[[#This Row],[Tensão (Pa)]]/1000000</f>
        <v>1.1799939474358079</v>
      </c>
    </row>
    <row r="136" spans="1:6" x14ac:dyDescent="0.3">
      <c r="A136" s="5">
        <v>11.317</v>
      </c>
      <c r="B136" s="5">
        <v>0.93561000000000005</v>
      </c>
      <c r="C136" s="1">
        <f>Tabela7[[#This Row],[Alongamento (mm/mm)]]/$I$2</f>
        <v>1.8712200000000002E-2</v>
      </c>
      <c r="D136" s="5">
        <v>51.37</v>
      </c>
      <c r="E136" s="1">
        <f>Tabela7[[#This Row],[Força (N)]]/$I$5</f>
        <v>1195847.0098004981</v>
      </c>
      <c r="F136" s="1">
        <f>Tabela7[[#This Row],[Tensão (Pa)]]/1000000</f>
        <v>1.1958470098004981</v>
      </c>
    </row>
    <row r="137" spans="1:6" x14ac:dyDescent="0.3">
      <c r="A137" s="5">
        <v>11.382999999999999</v>
      </c>
      <c r="B137" s="5">
        <v>0.94118999999999997</v>
      </c>
      <c r="C137" s="1">
        <f>Tabela7[[#This Row],[Alongamento (mm/mm)]]/$I$2</f>
        <v>1.8823799999999998E-2</v>
      </c>
      <c r="D137" s="5">
        <v>52.05</v>
      </c>
      <c r="E137" s="1">
        <f>Tabela7[[#This Row],[Força (N)]]/$I$5</f>
        <v>1211676.7930721417</v>
      </c>
      <c r="F137" s="1">
        <f>Tabela7[[#This Row],[Tensão (Pa)]]/1000000</f>
        <v>1.2116767930721417</v>
      </c>
    </row>
    <row r="138" spans="1:6" x14ac:dyDescent="0.3">
      <c r="A138" s="5">
        <v>11.45</v>
      </c>
      <c r="B138" s="5">
        <v>0.94667999999999997</v>
      </c>
      <c r="C138" s="1">
        <f>Tabela7[[#This Row],[Alongamento (mm/mm)]]/$I$2</f>
        <v>1.8933599999999998E-2</v>
      </c>
      <c r="D138" s="5">
        <v>52.731000000000002</v>
      </c>
      <c r="E138" s="1">
        <f>Tabela7[[#This Row],[Força (N)]]/$I$5</f>
        <v>1227529.8554368322</v>
      </c>
      <c r="F138" s="1">
        <f>Tabela7[[#This Row],[Tensão (Pa)]]/1000000</f>
        <v>1.2275298554368321</v>
      </c>
    </row>
    <row r="139" spans="1:6" x14ac:dyDescent="0.3">
      <c r="A139" s="5">
        <v>11.516999999999999</v>
      </c>
      <c r="B139" s="5">
        <v>0.95226</v>
      </c>
      <c r="C139" s="1">
        <f>Tabela7[[#This Row],[Alongamento (mm/mm)]]/$I$2</f>
        <v>1.9045199999999998E-2</v>
      </c>
      <c r="D139" s="5">
        <v>53.411000000000001</v>
      </c>
      <c r="E139" s="1">
        <f>Tabela7[[#This Row],[Força (N)]]/$I$5</f>
        <v>1243359.638708476</v>
      </c>
      <c r="F139" s="1">
        <f>Tabela7[[#This Row],[Tensão (Pa)]]/1000000</f>
        <v>1.243359638708476</v>
      </c>
    </row>
    <row r="140" spans="1:6" x14ac:dyDescent="0.3">
      <c r="A140" s="5">
        <v>11.583</v>
      </c>
      <c r="B140" s="5">
        <v>0.95774999999999999</v>
      </c>
      <c r="C140" s="1">
        <f>Tabela7[[#This Row],[Alongamento (mm/mm)]]/$I$2</f>
        <v>1.9154999999999998E-2</v>
      </c>
      <c r="D140" s="5">
        <v>54.091000000000001</v>
      </c>
      <c r="E140" s="1">
        <f>Tabela7[[#This Row],[Força (N)]]/$I$5</f>
        <v>1259189.4219801195</v>
      </c>
      <c r="F140" s="1">
        <f>Tabela7[[#This Row],[Tensão (Pa)]]/1000000</f>
        <v>1.2591894219801196</v>
      </c>
    </row>
    <row r="141" spans="1:6" x14ac:dyDescent="0.3">
      <c r="A141" s="5">
        <v>11.65</v>
      </c>
      <c r="B141" s="5">
        <v>0.96333999999999997</v>
      </c>
      <c r="C141" s="1">
        <f>Tabela7[[#This Row],[Alongamento (mm/mm)]]/$I$2</f>
        <v>1.9266800000000001E-2</v>
      </c>
      <c r="D141" s="5">
        <v>54.771999999999998</v>
      </c>
      <c r="E141" s="1">
        <f>Tabela7[[#This Row],[Força (N)]]/$I$5</f>
        <v>1275042.4843448098</v>
      </c>
      <c r="F141" s="1">
        <f>Tabela7[[#This Row],[Tensão (Pa)]]/1000000</f>
        <v>1.2750424843448098</v>
      </c>
    </row>
    <row r="142" spans="1:6" x14ac:dyDescent="0.3">
      <c r="A142" s="5">
        <v>11.717000000000001</v>
      </c>
      <c r="B142" s="5">
        <v>0.96892</v>
      </c>
      <c r="C142" s="1">
        <f>Tabela7[[#This Row],[Alongamento (mm/mm)]]/$I$2</f>
        <v>1.93784E-2</v>
      </c>
      <c r="D142" s="5">
        <v>55.451999999999998</v>
      </c>
      <c r="E142" s="1">
        <f>Tabela7[[#This Row],[Força (N)]]/$I$5</f>
        <v>1290872.2676164536</v>
      </c>
      <c r="F142" s="1">
        <f>Tabela7[[#This Row],[Tensão (Pa)]]/1000000</f>
        <v>1.2908722676164537</v>
      </c>
    </row>
    <row r="143" spans="1:6" x14ac:dyDescent="0.3">
      <c r="A143" s="5">
        <v>11.782999999999999</v>
      </c>
      <c r="B143" s="5">
        <v>0.97450000000000003</v>
      </c>
      <c r="C143" s="1">
        <f>Tabela7[[#This Row],[Alongamento (mm/mm)]]/$I$2</f>
        <v>1.949E-2</v>
      </c>
      <c r="D143" s="5">
        <v>56.133000000000003</v>
      </c>
      <c r="E143" s="1">
        <f>Tabela7[[#This Row],[Força (N)]]/$I$5</f>
        <v>1306725.3299811438</v>
      </c>
      <c r="F143" s="1">
        <f>Tabela7[[#This Row],[Tensão (Pa)]]/1000000</f>
        <v>1.3067253299811439</v>
      </c>
    </row>
    <row r="144" spans="1:6" x14ac:dyDescent="0.3">
      <c r="A144" s="5">
        <v>11.85</v>
      </c>
      <c r="B144" s="5">
        <v>0.97999000000000003</v>
      </c>
      <c r="C144" s="1">
        <f>Tabela7[[#This Row],[Alongamento (mm/mm)]]/$I$2</f>
        <v>1.9599800000000001E-2</v>
      </c>
      <c r="D144" s="5">
        <v>56.813000000000002</v>
      </c>
      <c r="E144" s="1">
        <f>Tabela7[[#This Row],[Força (N)]]/$I$5</f>
        <v>1322555.1132527876</v>
      </c>
      <c r="F144" s="1">
        <f>Tabela7[[#This Row],[Tensão (Pa)]]/1000000</f>
        <v>1.3225551132527875</v>
      </c>
    </row>
    <row r="145" spans="1:6" x14ac:dyDescent="0.3">
      <c r="A145" s="5">
        <v>11.917</v>
      </c>
      <c r="B145" s="5">
        <v>0.98567000000000005</v>
      </c>
      <c r="C145" s="1">
        <f>Tabela7[[#This Row],[Alongamento (mm/mm)]]/$I$2</f>
        <v>1.9713400000000002E-2</v>
      </c>
      <c r="D145" s="5">
        <v>57.493000000000002</v>
      </c>
      <c r="E145" s="1">
        <f>Tabela7[[#This Row],[Força (N)]]/$I$5</f>
        <v>1338384.8965244314</v>
      </c>
      <c r="F145" s="1">
        <f>Tabela7[[#This Row],[Tensão (Pa)]]/1000000</f>
        <v>1.3383848965244314</v>
      </c>
    </row>
    <row r="146" spans="1:6" x14ac:dyDescent="0.3">
      <c r="A146" s="5">
        <v>11.983000000000001</v>
      </c>
      <c r="B146" s="5">
        <v>0.99116000000000004</v>
      </c>
      <c r="C146" s="1">
        <f>Tabela7[[#This Row],[Alongamento (mm/mm)]]/$I$2</f>
        <v>1.9823199999999999E-2</v>
      </c>
      <c r="D146" s="5">
        <v>58.173999999999999</v>
      </c>
      <c r="E146" s="1">
        <f>Tabela7[[#This Row],[Força (N)]]/$I$5</f>
        <v>1354237.9588891217</v>
      </c>
      <c r="F146" s="1">
        <f>Tabela7[[#This Row],[Tensão (Pa)]]/1000000</f>
        <v>1.3542379588891216</v>
      </c>
    </row>
    <row r="147" spans="1:6" x14ac:dyDescent="0.3">
      <c r="A147" s="5">
        <v>12.05</v>
      </c>
      <c r="B147" s="5">
        <v>0.99673999999999996</v>
      </c>
      <c r="C147" s="1">
        <f>Tabela7[[#This Row],[Alongamento (mm/mm)]]/$I$2</f>
        <v>1.9934799999999999E-2</v>
      </c>
      <c r="D147" s="5">
        <v>58.853999999999999</v>
      </c>
      <c r="E147" s="1">
        <f>Tabela7[[#This Row],[Força (N)]]/$I$5</f>
        <v>1370067.7421607652</v>
      </c>
      <c r="F147" s="1">
        <f>Tabela7[[#This Row],[Tensão (Pa)]]/1000000</f>
        <v>1.3700677421607652</v>
      </c>
    </row>
    <row r="148" spans="1:6" x14ac:dyDescent="0.3">
      <c r="A148" s="5">
        <v>12.117000000000001</v>
      </c>
      <c r="B148" s="5">
        <v>1.0023</v>
      </c>
      <c r="C148" s="1">
        <f>Tabela7[[#This Row],[Alongamento (mm/mm)]]/$I$2</f>
        <v>2.0045999999999998E-2</v>
      </c>
      <c r="D148" s="5">
        <v>59.534999999999997</v>
      </c>
      <c r="E148" s="1">
        <f>Tabela7[[#This Row],[Força (N)]]/$I$5</f>
        <v>1385920.8045254555</v>
      </c>
      <c r="F148" s="1">
        <f>Tabela7[[#This Row],[Tensão (Pa)]]/1000000</f>
        <v>1.3859208045254554</v>
      </c>
    </row>
    <row r="149" spans="1:6" x14ac:dyDescent="0.3">
      <c r="A149" s="5">
        <v>12.183</v>
      </c>
      <c r="B149" s="5">
        <v>1.0079</v>
      </c>
      <c r="C149" s="1">
        <f>Tabela7[[#This Row],[Alongamento (mm/mm)]]/$I$2</f>
        <v>2.0157999999999999E-2</v>
      </c>
      <c r="D149" s="5">
        <v>60.215000000000003</v>
      </c>
      <c r="E149" s="1">
        <f>Tabela7[[#This Row],[Força (N)]]/$I$5</f>
        <v>1401750.5877970995</v>
      </c>
      <c r="F149" s="1">
        <f>Tabela7[[#This Row],[Tensão (Pa)]]/1000000</f>
        <v>1.4017505877970995</v>
      </c>
    </row>
    <row r="150" spans="1:6" x14ac:dyDescent="0.3">
      <c r="A150" s="5">
        <v>12.25</v>
      </c>
      <c r="B150" s="5">
        <v>1.0135000000000001</v>
      </c>
      <c r="C150" s="1">
        <f>Tabela7[[#This Row],[Alongamento (mm/mm)]]/$I$2</f>
        <v>2.027E-2</v>
      </c>
      <c r="D150" s="5">
        <v>60.895000000000003</v>
      </c>
      <c r="E150" s="1">
        <f>Tabela7[[#This Row],[Força (N)]]/$I$5</f>
        <v>1417580.3710687431</v>
      </c>
      <c r="F150" s="1">
        <f>Tabela7[[#This Row],[Tensão (Pa)]]/1000000</f>
        <v>1.4175803710687431</v>
      </c>
    </row>
    <row r="151" spans="1:6" x14ac:dyDescent="0.3">
      <c r="A151" s="5">
        <v>12.317</v>
      </c>
      <c r="B151" s="5">
        <v>1.0189999999999999</v>
      </c>
      <c r="C151" s="1">
        <f>Tabela7[[#This Row],[Alongamento (mm/mm)]]/$I$2</f>
        <v>2.0379999999999999E-2</v>
      </c>
      <c r="D151" s="5">
        <v>61.576000000000001</v>
      </c>
      <c r="E151" s="1">
        <f>Tabela7[[#This Row],[Força (N)]]/$I$5</f>
        <v>1433433.4334334333</v>
      </c>
      <c r="F151" s="1">
        <f>Tabela7[[#This Row],[Tensão (Pa)]]/1000000</f>
        <v>1.4334334334334333</v>
      </c>
    </row>
    <row r="152" spans="1:6" x14ac:dyDescent="0.3">
      <c r="A152" s="5">
        <v>12.382999999999999</v>
      </c>
      <c r="B152" s="5">
        <v>1.0245</v>
      </c>
      <c r="C152" s="1">
        <f>Tabela7[[#This Row],[Alongamento (mm/mm)]]/$I$2</f>
        <v>2.0489999999999998E-2</v>
      </c>
      <c r="D152" s="5">
        <v>62.256</v>
      </c>
      <c r="E152" s="1">
        <f>Tabela7[[#This Row],[Força (N)]]/$I$5</f>
        <v>1449263.2167050771</v>
      </c>
      <c r="F152" s="1">
        <f>Tabela7[[#This Row],[Tensão (Pa)]]/1000000</f>
        <v>1.4492632167050772</v>
      </c>
    </row>
    <row r="153" spans="1:6" x14ac:dyDescent="0.3">
      <c r="A153" s="5">
        <v>12.45</v>
      </c>
      <c r="B153" s="5">
        <v>1.0301</v>
      </c>
      <c r="C153" s="1">
        <f>Tabela7[[#This Row],[Alongamento (mm/mm)]]/$I$2</f>
        <v>2.0601999999999999E-2</v>
      </c>
      <c r="D153" s="5">
        <v>62.936999999999998</v>
      </c>
      <c r="E153" s="1">
        <f>Tabela7[[#This Row],[Força (N)]]/$I$5</f>
        <v>1465116.2790697673</v>
      </c>
      <c r="F153" s="1">
        <f>Tabela7[[#This Row],[Tensão (Pa)]]/1000000</f>
        <v>1.4651162790697674</v>
      </c>
    </row>
    <row r="154" spans="1:6" x14ac:dyDescent="0.3">
      <c r="A154" s="5">
        <v>12.516999999999999</v>
      </c>
      <c r="B154" s="5">
        <v>1.0355000000000001</v>
      </c>
      <c r="C154" s="1">
        <f>Tabela7[[#This Row],[Alongamento (mm/mm)]]/$I$2</f>
        <v>2.0710000000000003E-2</v>
      </c>
      <c r="D154" s="5">
        <v>63.616999999999997</v>
      </c>
      <c r="E154" s="1">
        <f>Tabela7[[#This Row],[Força (N)]]/$I$5</f>
        <v>1480946.0623414111</v>
      </c>
      <c r="F154" s="1">
        <f>Tabela7[[#This Row],[Tensão (Pa)]]/1000000</f>
        <v>1.4809460623414112</v>
      </c>
    </row>
    <row r="155" spans="1:6" x14ac:dyDescent="0.3">
      <c r="A155" s="5">
        <v>12.583</v>
      </c>
      <c r="B155" s="5">
        <v>1.0410999999999999</v>
      </c>
      <c r="C155" s="1">
        <f>Tabela7[[#This Row],[Alongamento (mm/mm)]]/$I$2</f>
        <v>2.0821999999999997E-2</v>
      </c>
      <c r="D155" s="5">
        <v>64.296999999999997</v>
      </c>
      <c r="E155" s="1">
        <f>Tabela7[[#This Row],[Força (N)]]/$I$5</f>
        <v>1496775.8456130547</v>
      </c>
      <c r="F155" s="1">
        <f>Tabela7[[#This Row],[Tensão (Pa)]]/1000000</f>
        <v>1.4967758456130547</v>
      </c>
    </row>
    <row r="156" spans="1:6" x14ac:dyDescent="0.3">
      <c r="A156" s="5">
        <v>12.65</v>
      </c>
      <c r="B156" s="5">
        <v>1.0467</v>
      </c>
      <c r="C156" s="1">
        <f>Tabela7[[#This Row],[Alongamento (mm/mm)]]/$I$2</f>
        <v>2.0933999999999998E-2</v>
      </c>
      <c r="D156" s="5">
        <v>64.977999999999994</v>
      </c>
      <c r="E156" s="1">
        <f>Tabela7[[#This Row],[Força (N)]]/$I$5</f>
        <v>1512628.9079777449</v>
      </c>
      <c r="F156" s="1">
        <f>Tabela7[[#This Row],[Tensão (Pa)]]/1000000</f>
        <v>1.5126289079777449</v>
      </c>
    </row>
    <row r="157" spans="1:6" x14ac:dyDescent="0.3">
      <c r="A157" s="5">
        <v>12.717000000000001</v>
      </c>
      <c r="B157" s="5">
        <v>1.0522</v>
      </c>
      <c r="C157" s="1">
        <f>Tabela7[[#This Row],[Alongamento (mm/mm)]]/$I$2</f>
        <v>2.1044E-2</v>
      </c>
      <c r="D157" s="5">
        <v>65.658000000000001</v>
      </c>
      <c r="E157" s="1">
        <f>Tabela7[[#This Row],[Força (N)]]/$I$5</f>
        <v>1528458.691249389</v>
      </c>
      <c r="F157" s="1">
        <f>Tabela7[[#This Row],[Tensão (Pa)]]/1000000</f>
        <v>1.5284586912493889</v>
      </c>
    </row>
    <row r="158" spans="1:6" x14ac:dyDescent="0.3">
      <c r="A158" s="5">
        <v>12.766999999999999</v>
      </c>
      <c r="B158" s="5">
        <v>1.0564</v>
      </c>
      <c r="C158" s="1">
        <f>Tabela7[[#This Row],[Alongamento (mm/mm)]]/$I$2</f>
        <v>2.1128000000000001E-2</v>
      </c>
      <c r="D158" s="5">
        <v>66.338999999999999</v>
      </c>
      <c r="E158" s="1">
        <f>Tabela7[[#This Row],[Força (N)]]/$I$5</f>
        <v>1544311.753614079</v>
      </c>
      <c r="F158" s="1">
        <f>Tabela7[[#This Row],[Tensão (Pa)]]/1000000</f>
        <v>1.5443117536140789</v>
      </c>
    </row>
    <row r="159" spans="1:6" x14ac:dyDescent="0.3">
      <c r="A159" s="5">
        <v>12.833</v>
      </c>
      <c r="B159" s="5">
        <v>1.0620000000000001</v>
      </c>
      <c r="C159" s="1">
        <f>Tabela7[[#This Row],[Alongamento (mm/mm)]]/$I$2</f>
        <v>2.1240000000000002E-2</v>
      </c>
      <c r="D159" s="5">
        <v>67.019000000000005</v>
      </c>
      <c r="E159" s="1">
        <f>Tabela7[[#This Row],[Força (N)]]/$I$5</f>
        <v>1560141.536885723</v>
      </c>
      <c r="F159" s="1">
        <f>Tabela7[[#This Row],[Tensão (Pa)]]/1000000</f>
        <v>1.560141536885723</v>
      </c>
    </row>
    <row r="160" spans="1:6" x14ac:dyDescent="0.3">
      <c r="A160" s="5">
        <v>12.9</v>
      </c>
      <c r="B160" s="5">
        <v>1.0676000000000001</v>
      </c>
      <c r="C160" s="1">
        <f>Tabela7[[#This Row],[Alongamento (mm/mm)]]/$I$2</f>
        <v>2.1352000000000003E-2</v>
      </c>
      <c r="D160" s="5">
        <v>67.698999999999998</v>
      </c>
      <c r="E160" s="1">
        <f>Tabela7[[#This Row],[Força (N)]]/$I$5</f>
        <v>1575971.3201573666</v>
      </c>
      <c r="F160" s="1">
        <f>Tabela7[[#This Row],[Tensão (Pa)]]/1000000</f>
        <v>1.5759713201573666</v>
      </c>
    </row>
    <row r="161" spans="1:6" x14ac:dyDescent="0.3">
      <c r="A161" s="5">
        <v>12.95</v>
      </c>
      <c r="B161" s="5">
        <v>1.0717000000000001</v>
      </c>
      <c r="C161" s="1">
        <f>Tabela7[[#This Row],[Alongamento (mm/mm)]]/$I$2</f>
        <v>2.1434000000000002E-2</v>
      </c>
      <c r="D161" s="5">
        <v>68.38</v>
      </c>
      <c r="E161" s="1">
        <f>Tabela7[[#This Row],[Força (N)]]/$I$5</f>
        <v>1591824.3825220568</v>
      </c>
      <c r="F161" s="1">
        <f>Tabela7[[#This Row],[Tensão (Pa)]]/1000000</f>
        <v>1.5918243825220568</v>
      </c>
    </row>
    <row r="162" spans="1:6" x14ac:dyDescent="0.3">
      <c r="A162" s="5">
        <v>13.016999999999999</v>
      </c>
      <c r="B162" s="5">
        <v>1.0771999999999999</v>
      </c>
      <c r="C162" s="1">
        <f>Tabela7[[#This Row],[Alongamento (mm/mm)]]/$I$2</f>
        <v>2.1543999999999997E-2</v>
      </c>
      <c r="D162" s="5">
        <v>69.06</v>
      </c>
      <c r="E162" s="1">
        <f>Tabela7[[#This Row],[Força (N)]]/$I$5</f>
        <v>1607654.1657937006</v>
      </c>
      <c r="F162" s="1">
        <f>Tabela7[[#This Row],[Tensão (Pa)]]/1000000</f>
        <v>1.6076541657937007</v>
      </c>
    </row>
    <row r="163" spans="1:6" x14ac:dyDescent="0.3">
      <c r="A163" s="5">
        <v>13.083</v>
      </c>
      <c r="B163" s="5">
        <v>1.0827</v>
      </c>
      <c r="C163" s="1">
        <f>Tabela7[[#This Row],[Alongamento (mm/mm)]]/$I$2</f>
        <v>2.1654E-2</v>
      </c>
      <c r="D163" s="5">
        <v>69.741</v>
      </c>
      <c r="E163" s="1">
        <f>Tabela7[[#This Row],[Força (N)]]/$I$5</f>
        <v>1623507.2281583908</v>
      </c>
      <c r="F163" s="1">
        <f>Tabela7[[#This Row],[Tensão (Pa)]]/1000000</f>
        <v>1.6235072281583909</v>
      </c>
    </row>
    <row r="164" spans="1:6" x14ac:dyDescent="0.3">
      <c r="A164" s="5">
        <v>13.15</v>
      </c>
      <c r="B164" s="5">
        <v>1.0884</v>
      </c>
      <c r="C164" s="1">
        <f>Tabela7[[#This Row],[Alongamento (mm/mm)]]/$I$2</f>
        <v>2.1767999999999999E-2</v>
      </c>
      <c r="D164" s="5">
        <v>70.421000000000006</v>
      </c>
      <c r="E164" s="1">
        <f>Tabela7[[#This Row],[Força (N)]]/$I$5</f>
        <v>1639337.0114300346</v>
      </c>
      <c r="F164" s="1">
        <f>Tabela7[[#This Row],[Tensão (Pa)]]/1000000</f>
        <v>1.6393370114300347</v>
      </c>
    </row>
    <row r="165" spans="1:6" x14ac:dyDescent="0.3">
      <c r="A165" s="5">
        <v>13.217000000000001</v>
      </c>
      <c r="B165" s="5">
        <v>1.0940000000000001</v>
      </c>
      <c r="C165" s="1">
        <f>Tabela7[[#This Row],[Alongamento (mm/mm)]]/$I$2</f>
        <v>2.188E-2</v>
      </c>
      <c r="D165" s="5">
        <v>71.100999999999999</v>
      </c>
      <c r="E165" s="1">
        <f>Tabela7[[#This Row],[Força (N)]]/$I$5</f>
        <v>1655166.7947016782</v>
      </c>
      <c r="F165" s="1">
        <f>Tabela7[[#This Row],[Tensão (Pa)]]/1000000</f>
        <v>1.6551667947016782</v>
      </c>
    </row>
    <row r="166" spans="1:6" x14ac:dyDescent="0.3">
      <c r="A166" s="5">
        <v>13.282999999999999</v>
      </c>
      <c r="B166" s="5">
        <v>1.0994999999999999</v>
      </c>
      <c r="C166" s="1">
        <f>Tabela7[[#This Row],[Alongamento (mm/mm)]]/$I$2</f>
        <v>2.1989999999999999E-2</v>
      </c>
      <c r="D166" s="5">
        <v>71.781999999999996</v>
      </c>
      <c r="E166" s="1">
        <f>Tabela7[[#This Row],[Força (N)]]/$I$5</f>
        <v>1671019.8570663685</v>
      </c>
      <c r="F166" s="1">
        <f>Tabela7[[#This Row],[Tensão (Pa)]]/1000000</f>
        <v>1.6710198570663684</v>
      </c>
    </row>
    <row r="167" spans="1:6" x14ac:dyDescent="0.3">
      <c r="A167" s="5">
        <v>13.35</v>
      </c>
      <c r="B167" s="5">
        <v>1.1051</v>
      </c>
      <c r="C167" s="1">
        <f>Tabela7[[#This Row],[Alongamento (mm/mm)]]/$I$2</f>
        <v>2.2102E-2</v>
      </c>
      <c r="D167" s="5">
        <v>72.462000000000003</v>
      </c>
      <c r="E167" s="1">
        <f>Tabela7[[#This Row],[Força (N)]]/$I$5</f>
        <v>1686849.6403380125</v>
      </c>
      <c r="F167" s="1">
        <f>Tabela7[[#This Row],[Tensão (Pa)]]/1000000</f>
        <v>1.6868496403380124</v>
      </c>
    </row>
    <row r="168" spans="1:6" x14ac:dyDescent="0.3">
      <c r="A168" s="5">
        <v>13.4</v>
      </c>
      <c r="B168" s="5">
        <v>1.1093</v>
      </c>
      <c r="C168" s="1">
        <f>Tabela7[[#This Row],[Alongamento (mm/mm)]]/$I$2</f>
        <v>2.2185999999999997E-2</v>
      </c>
      <c r="D168" s="5">
        <v>73.141999999999996</v>
      </c>
      <c r="E168" s="1">
        <f>Tabela7[[#This Row],[Força (N)]]/$I$5</f>
        <v>1702679.423609656</v>
      </c>
      <c r="F168" s="1">
        <f>Tabela7[[#This Row],[Tensão (Pa)]]/1000000</f>
        <v>1.7026794236096561</v>
      </c>
    </row>
    <row r="169" spans="1:6" x14ac:dyDescent="0.3">
      <c r="A169" s="5">
        <v>13.467000000000001</v>
      </c>
      <c r="B169" s="5">
        <v>1.1148</v>
      </c>
      <c r="C169" s="1">
        <f>Tabela7[[#This Row],[Alongamento (mm/mm)]]/$I$2</f>
        <v>2.2296E-2</v>
      </c>
      <c r="D169" s="5">
        <v>73.822999999999993</v>
      </c>
      <c r="E169" s="1">
        <f>Tabela7[[#This Row],[Força (N)]]/$I$5</f>
        <v>1718532.4859743463</v>
      </c>
      <c r="F169" s="1">
        <f>Tabela7[[#This Row],[Tensão (Pa)]]/1000000</f>
        <v>1.7185324859743463</v>
      </c>
    </row>
    <row r="170" spans="1:6" x14ac:dyDescent="0.3">
      <c r="A170" s="5">
        <v>13.532999999999999</v>
      </c>
      <c r="B170" s="5">
        <v>1.1203000000000001</v>
      </c>
      <c r="C170" s="1">
        <f>Tabela7[[#This Row],[Alongamento (mm/mm)]]/$I$2</f>
        <v>2.2406000000000002E-2</v>
      </c>
      <c r="D170" s="5">
        <v>74.503</v>
      </c>
      <c r="E170" s="1">
        <f>Tabela7[[#This Row],[Força (N)]]/$I$5</f>
        <v>1734362.2692459901</v>
      </c>
      <c r="F170" s="1">
        <f>Tabela7[[#This Row],[Tensão (Pa)]]/1000000</f>
        <v>1.7343622692459901</v>
      </c>
    </row>
    <row r="171" spans="1:6" x14ac:dyDescent="0.3">
      <c r="A171" s="5">
        <v>13.6</v>
      </c>
      <c r="B171" s="5">
        <v>1.1258999999999999</v>
      </c>
      <c r="C171" s="1">
        <f>Tabela7[[#This Row],[Alongamento (mm/mm)]]/$I$2</f>
        <v>2.2517999999999996E-2</v>
      </c>
      <c r="D171" s="5">
        <v>75.183999999999997</v>
      </c>
      <c r="E171" s="1">
        <f>Tabela7[[#This Row],[Força (N)]]/$I$5</f>
        <v>1750215.3316106803</v>
      </c>
      <c r="F171" s="1">
        <f>Tabela7[[#This Row],[Tensão (Pa)]]/1000000</f>
        <v>1.7502153316106803</v>
      </c>
    </row>
    <row r="172" spans="1:6" x14ac:dyDescent="0.3">
      <c r="A172" s="5">
        <v>13.667</v>
      </c>
      <c r="B172" s="5">
        <v>1.1315</v>
      </c>
      <c r="C172" s="1">
        <f>Tabela7[[#This Row],[Alongamento (mm/mm)]]/$I$2</f>
        <v>2.2629999999999997E-2</v>
      </c>
      <c r="D172" s="5">
        <v>75.864000000000004</v>
      </c>
      <c r="E172" s="1">
        <f>Tabela7[[#This Row],[Força (N)]]/$I$5</f>
        <v>1766045.1148823241</v>
      </c>
      <c r="F172" s="1">
        <f>Tabela7[[#This Row],[Tensão (Pa)]]/1000000</f>
        <v>1.7660451148823242</v>
      </c>
    </row>
    <row r="173" spans="1:6" x14ac:dyDescent="0.3">
      <c r="A173" s="5">
        <v>13.717000000000001</v>
      </c>
      <c r="B173" s="5">
        <v>1.1355999999999999</v>
      </c>
      <c r="C173" s="1">
        <f>Tabela7[[#This Row],[Alongamento (mm/mm)]]/$I$2</f>
        <v>2.2712E-2</v>
      </c>
      <c r="D173" s="5">
        <v>76.543999999999997</v>
      </c>
      <c r="E173" s="1">
        <f>Tabela7[[#This Row],[Força (N)]]/$I$5</f>
        <v>1781874.8981539677</v>
      </c>
      <c r="F173" s="1">
        <f>Tabela7[[#This Row],[Tensão (Pa)]]/1000000</f>
        <v>1.7818748981539676</v>
      </c>
    </row>
    <row r="174" spans="1:6" x14ac:dyDescent="0.3">
      <c r="A174" s="5">
        <v>13.782999999999999</v>
      </c>
      <c r="B174" s="5">
        <v>1.1412</v>
      </c>
      <c r="C174" s="1">
        <f>Tabela7[[#This Row],[Alongamento (mm/mm)]]/$I$2</f>
        <v>2.2824000000000001E-2</v>
      </c>
      <c r="D174" s="5">
        <v>77.224999999999994</v>
      </c>
      <c r="E174" s="1">
        <f>Tabela7[[#This Row],[Força (N)]]/$I$5</f>
        <v>1797727.9605186579</v>
      </c>
      <c r="F174" s="1">
        <f>Tabela7[[#This Row],[Tensão (Pa)]]/1000000</f>
        <v>1.797727960518658</v>
      </c>
    </row>
    <row r="175" spans="1:6" x14ac:dyDescent="0.3">
      <c r="A175" s="5">
        <v>13.85</v>
      </c>
      <c r="B175" s="5">
        <v>1.1468</v>
      </c>
      <c r="C175" s="1">
        <f>Tabela7[[#This Row],[Alongamento (mm/mm)]]/$I$2</f>
        <v>2.2936000000000002E-2</v>
      </c>
      <c r="D175" s="5">
        <v>77.905000000000001</v>
      </c>
      <c r="E175" s="1">
        <f>Tabela7[[#This Row],[Força (N)]]/$I$5</f>
        <v>1813557.743790302</v>
      </c>
      <c r="F175" s="1">
        <f>Tabela7[[#This Row],[Tensão (Pa)]]/1000000</f>
        <v>1.8135577437903019</v>
      </c>
    </row>
    <row r="176" spans="1:6" x14ac:dyDescent="0.3">
      <c r="A176" s="5">
        <v>13.9</v>
      </c>
      <c r="B176" s="5">
        <v>1.1508</v>
      </c>
      <c r="C176" s="1">
        <f>Tabela7[[#This Row],[Alongamento (mm/mm)]]/$I$2</f>
        <v>2.3016000000000002E-2</v>
      </c>
      <c r="D176" s="5">
        <v>78.585999999999999</v>
      </c>
      <c r="E176" s="1">
        <f>Tabela7[[#This Row],[Força (N)]]/$I$5</f>
        <v>1829410.806154992</v>
      </c>
      <c r="F176" s="1">
        <f>Tabela7[[#This Row],[Tensão (Pa)]]/1000000</f>
        <v>1.8294108061549921</v>
      </c>
    </row>
    <row r="177" spans="1:6" x14ac:dyDescent="0.3">
      <c r="A177" s="5">
        <v>13.967000000000001</v>
      </c>
      <c r="B177" s="5">
        <v>1.1565000000000001</v>
      </c>
      <c r="C177" s="1">
        <f>Tabela7[[#This Row],[Alongamento (mm/mm)]]/$I$2</f>
        <v>2.3130000000000001E-2</v>
      </c>
      <c r="D177" s="5">
        <v>79.266000000000005</v>
      </c>
      <c r="E177" s="1">
        <f>Tabela7[[#This Row],[Força (N)]]/$I$5</f>
        <v>1845240.589426636</v>
      </c>
      <c r="F177" s="1">
        <f>Tabela7[[#This Row],[Tensão (Pa)]]/1000000</f>
        <v>1.8452405894266359</v>
      </c>
    </row>
    <row r="178" spans="1:6" x14ac:dyDescent="0.3">
      <c r="A178" s="5">
        <v>14.032999999999999</v>
      </c>
      <c r="B178" s="5">
        <v>1.1619999999999999</v>
      </c>
      <c r="C178" s="1">
        <f>Tabela7[[#This Row],[Alongamento (mm/mm)]]/$I$2</f>
        <v>2.3239999999999997E-2</v>
      </c>
      <c r="D178" s="5">
        <v>79.945999999999998</v>
      </c>
      <c r="E178" s="1">
        <f>Tabela7[[#This Row],[Força (N)]]/$I$5</f>
        <v>1861070.3726982796</v>
      </c>
      <c r="F178" s="1">
        <f>Tabela7[[#This Row],[Tensão (Pa)]]/1000000</f>
        <v>1.8610703726982796</v>
      </c>
    </row>
    <row r="179" spans="1:6" x14ac:dyDescent="0.3">
      <c r="A179" s="5">
        <v>14.083</v>
      </c>
      <c r="B179" s="5">
        <v>1.1661999999999999</v>
      </c>
      <c r="C179" s="1">
        <f>Tabela7[[#This Row],[Alongamento (mm/mm)]]/$I$2</f>
        <v>2.3323999999999998E-2</v>
      </c>
      <c r="D179" s="5">
        <v>80.626999999999995</v>
      </c>
      <c r="E179" s="1">
        <f>Tabela7[[#This Row],[Força (N)]]/$I$5</f>
        <v>1876923.4350629698</v>
      </c>
      <c r="F179" s="1">
        <f>Tabela7[[#This Row],[Tensão (Pa)]]/1000000</f>
        <v>1.8769234350629698</v>
      </c>
    </row>
    <row r="180" spans="1:6" x14ac:dyDescent="0.3">
      <c r="A180" s="5">
        <v>14.15</v>
      </c>
      <c r="B180" s="5">
        <v>1.1717</v>
      </c>
      <c r="C180" s="1">
        <f>Tabela7[[#This Row],[Alongamento (mm/mm)]]/$I$2</f>
        <v>2.3434E-2</v>
      </c>
      <c r="D180" s="5">
        <v>81.307000000000002</v>
      </c>
      <c r="E180" s="1">
        <f>Tabela7[[#This Row],[Força (N)]]/$I$5</f>
        <v>1892753.2183346136</v>
      </c>
      <c r="F180" s="1">
        <f>Tabela7[[#This Row],[Tensão (Pa)]]/1000000</f>
        <v>1.8927532183346136</v>
      </c>
    </row>
    <row r="181" spans="1:6" x14ac:dyDescent="0.3">
      <c r="A181" s="5">
        <v>14.2</v>
      </c>
      <c r="B181" s="5">
        <v>1.1758999999999999</v>
      </c>
      <c r="C181" s="1">
        <f>Tabela7[[#This Row],[Alongamento (mm/mm)]]/$I$2</f>
        <v>2.3517999999999997E-2</v>
      </c>
      <c r="D181" s="5">
        <v>81.988</v>
      </c>
      <c r="E181" s="1">
        <f>Tabela7[[#This Row],[Força (N)]]/$I$5</f>
        <v>1908606.2806993038</v>
      </c>
      <c r="F181" s="1">
        <f>Tabela7[[#This Row],[Tensão (Pa)]]/1000000</f>
        <v>1.9086062806993038</v>
      </c>
    </row>
    <row r="182" spans="1:6" x14ac:dyDescent="0.3">
      <c r="A182" s="5">
        <v>14.266999999999999</v>
      </c>
      <c r="B182" s="5">
        <v>1.1815</v>
      </c>
      <c r="C182" s="1">
        <f>Tabela7[[#This Row],[Alongamento (mm/mm)]]/$I$2</f>
        <v>2.3629999999999998E-2</v>
      </c>
      <c r="D182" s="5">
        <v>82.668000000000006</v>
      </c>
      <c r="E182" s="1">
        <f>Tabela7[[#This Row],[Força (N)]]/$I$5</f>
        <v>1924436.0639709476</v>
      </c>
      <c r="F182" s="1">
        <f>Tabela7[[#This Row],[Tensão (Pa)]]/1000000</f>
        <v>1.9244360639709477</v>
      </c>
    </row>
    <row r="183" spans="1:6" x14ac:dyDescent="0.3">
      <c r="A183" s="5">
        <v>14.317</v>
      </c>
      <c r="B183" s="5">
        <v>1.1856</v>
      </c>
      <c r="C183" s="1">
        <f>Tabela7[[#This Row],[Alongamento (mm/mm)]]/$I$2</f>
        <v>2.3712E-2</v>
      </c>
      <c r="D183" s="5">
        <v>83.347999999999999</v>
      </c>
      <c r="E183" s="1">
        <f>Tabela7[[#This Row],[Força (N)]]/$I$5</f>
        <v>1940265.8472425912</v>
      </c>
      <c r="F183" s="1">
        <f>Tabela7[[#This Row],[Tensão (Pa)]]/1000000</f>
        <v>1.9402658472425911</v>
      </c>
    </row>
    <row r="184" spans="1:6" x14ac:dyDescent="0.3">
      <c r="A184" s="5">
        <v>14.382999999999999</v>
      </c>
      <c r="B184" s="5">
        <v>1.1911</v>
      </c>
      <c r="C184" s="1">
        <f>Tabela7[[#This Row],[Alongamento (mm/mm)]]/$I$2</f>
        <v>2.3821999999999999E-2</v>
      </c>
      <c r="D184" s="5">
        <v>84.028999999999996</v>
      </c>
      <c r="E184" s="1">
        <f>Tabela7[[#This Row],[Força (N)]]/$I$5</f>
        <v>1956118.9096072814</v>
      </c>
      <c r="F184" s="1">
        <f>Tabela7[[#This Row],[Tensão (Pa)]]/1000000</f>
        <v>1.9561189096072815</v>
      </c>
    </row>
    <row r="185" spans="1:6" x14ac:dyDescent="0.3">
      <c r="A185" s="5">
        <v>14.433</v>
      </c>
      <c r="B185" s="5">
        <v>1.1953</v>
      </c>
      <c r="C185" s="1">
        <f>Tabela7[[#This Row],[Alongamento (mm/mm)]]/$I$2</f>
        <v>2.3906E-2</v>
      </c>
      <c r="D185" s="5">
        <v>84.709000000000003</v>
      </c>
      <c r="E185" s="1">
        <f>Tabela7[[#This Row],[Força (N)]]/$I$5</f>
        <v>1971948.6928789255</v>
      </c>
      <c r="F185" s="1">
        <f>Tabela7[[#This Row],[Tensão (Pa)]]/1000000</f>
        <v>1.9719486928789254</v>
      </c>
    </row>
    <row r="186" spans="1:6" x14ac:dyDescent="0.3">
      <c r="A186" s="5">
        <v>14.5</v>
      </c>
      <c r="B186" s="5">
        <v>1.2009000000000001</v>
      </c>
      <c r="C186" s="1">
        <f>Tabela7[[#This Row],[Alongamento (mm/mm)]]/$I$2</f>
        <v>2.4018000000000001E-2</v>
      </c>
      <c r="D186" s="5">
        <v>85.39</v>
      </c>
      <c r="E186" s="1">
        <f>Tabela7[[#This Row],[Força (N)]]/$I$5</f>
        <v>1987801.7552436157</v>
      </c>
      <c r="F186" s="1">
        <f>Tabela7[[#This Row],[Tensão (Pa)]]/1000000</f>
        <v>1.9878017552436158</v>
      </c>
    </row>
    <row r="187" spans="1:6" x14ac:dyDescent="0.3">
      <c r="A187" s="5">
        <v>14.55</v>
      </c>
      <c r="B187" s="5">
        <v>1.2051000000000001</v>
      </c>
      <c r="C187" s="1">
        <f>Tabela7[[#This Row],[Alongamento (mm/mm)]]/$I$2</f>
        <v>2.4102000000000002E-2</v>
      </c>
      <c r="D187" s="5">
        <v>86.07</v>
      </c>
      <c r="E187" s="1">
        <f>Tabela7[[#This Row],[Força (N)]]/$I$5</f>
        <v>2003631.5385152593</v>
      </c>
      <c r="F187" s="1">
        <f>Tabela7[[#This Row],[Tensão (Pa)]]/1000000</f>
        <v>2.0036315385152594</v>
      </c>
    </row>
    <row r="188" spans="1:6" x14ac:dyDescent="0.3">
      <c r="A188" s="5">
        <v>14.617000000000001</v>
      </c>
      <c r="B188" s="5">
        <v>1.2105999999999999</v>
      </c>
      <c r="C188" s="1">
        <f>Tabela7[[#This Row],[Alongamento (mm/mm)]]/$I$2</f>
        <v>2.4211999999999997E-2</v>
      </c>
      <c r="D188" s="5">
        <v>86.75</v>
      </c>
      <c r="E188" s="1">
        <f>Tabela7[[#This Row],[Força (N)]]/$I$5</f>
        <v>2019461.3217869031</v>
      </c>
      <c r="F188" s="1">
        <f>Tabela7[[#This Row],[Tensão (Pa)]]/1000000</f>
        <v>2.0194613217869031</v>
      </c>
    </row>
    <row r="189" spans="1:6" x14ac:dyDescent="0.3">
      <c r="A189" s="5">
        <v>14.683</v>
      </c>
      <c r="B189" s="5">
        <v>1.2161999999999999</v>
      </c>
      <c r="C189" s="1">
        <f>Tabela7[[#This Row],[Alongamento (mm/mm)]]/$I$2</f>
        <v>2.4323999999999998E-2</v>
      </c>
      <c r="D189" s="5">
        <v>87.430999999999997</v>
      </c>
      <c r="E189" s="1">
        <f>Tabela7[[#This Row],[Força (N)]]/$I$5</f>
        <v>2035314.3841515933</v>
      </c>
      <c r="F189" s="1">
        <f>Tabela7[[#This Row],[Tensão (Pa)]]/1000000</f>
        <v>2.0353143841515933</v>
      </c>
    </row>
    <row r="190" spans="1:6" x14ac:dyDescent="0.3">
      <c r="A190" s="5">
        <v>14.733000000000001</v>
      </c>
      <c r="B190" s="5">
        <v>1.2203999999999999</v>
      </c>
      <c r="C190" s="1">
        <f>Tabela7[[#This Row],[Alongamento (mm/mm)]]/$I$2</f>
        <v>2.4407999999999999E-2</v>
      </c>
      <c r="D190" s="5">
        <v>88.111000000000004</v>
      </c>
      <c r="E190" s="1">
        <f>Tabela7[[#This Row],[Força (N)]]/$I$5</f>
        <v>2051144.1674232371</v>
      </c>
      <c r="F190" s="1">
        <f>Tabela7[[#This Row],[Tensão (Pa)]]/1000000</f>
        <v>2.0511441674232369</v>
      </c>
    </row>
    <row r="191" spans="1:6" x14ac:dyDescent="0.3">
      <c r="A191" s="5">
        <v>14.8</v>
      </c>
      <c r="B191" s="5">
        <v>1.2259</v>
      </c>
      <c r="C191" s="1">
        <f>Tabela7[[#This Row],[Alongamento (mm/mm)]]/$I$2</f>
        <v>2.4517999999999998E-2</v>
      </c>
      <c r="D191" s="5">
        <v>88.792000000000002</v>
      </c>
      <c r="E191" s="1">
        <f>Tabela7[[#This Row],[Força (N)]]/$I$5</f>
        <v>2066997.2297879274</v>
      </c>
      <c r="F191" s="1">
        <f>Tabela7[[#This Row],[Tensão (Pa)]]/1000000</f>
        <v>2.0669972297879275</v>
      </c>
    </row>
    <row r="192" spans="1:6" x14ac:dyDescent="0.3">
      <c r="A192" s="5">
        <v>14.85</v>
      </c>
      <c r="B192" s="5">
        <v>1.23</v>
      </c>
      <c r="C192" s="1">
        <f>Tabela7[[#This Row],[Alongamento (mm/mm)]]/$I$2</f>
        <v>2.46E-2</v>
      </c>
      <c r="D192" s="5">
        <v>89.471999999999994</v>
      </c>
      <c r="E192" s="1">
        <f>Tabela7[[#This Row],[Força (N)]]/$I$5</f>
        <v>2082827.0130595709</v>
      </c>
      <c r="F192" s="1">
        <f>Tabela7[[#This Row],[Tensão (Pa)]]/1000000</f>
        <v>2.0828270130595707</v>
      </c>
    </row>
    <row r="193" spans="1:6" x14ac:dyDescent="0.3">
      <c r="A193" s="5">
        <v>14.917</v>
      </c>
      <c r="B193" s="5">
        <v>1.2356</v>
      </c>
      <c r="C193" s="1">
        <f>Tabela7[[#This Row],[Alongamento (mm/mm)]]/$I$2</f>
        <v>2.4712000000000001E-2</v>
      </c>
      <c r="D193" s="5">
        <v>90.152000000000001</v>
      </c>
      <c r="E193" s="1">
        <f>Tabela7[[#This Row],[Força (N)]]/$I$5</f>
        <v>2098656.7963312147</v>
      </c>
      <c r="F193" s="1">
        <f>Tabela7[[#This Row],[Tensão (Pa)]]/1000000</f>
        <v>2.0986567963312148</v>
      </c>
    </row>
    <row r="194" spans="1:6" x14ac:dyDescent="0.3">
      <c r="A194" s="5">
        <v>14.967000000000001</v>
      </c>
      <c r="B194" s="5">
        <v>1.2398</v>
      </c>
      <c r="C194" s="1">
        <f>Tabela7[[#This Row],[Alongamento (mm/mm)]]/$I$2</f>
        <v>2.4795999999999999E-2</v>
      </c>
      <c r="D194" s="5">
        <v>90.832999999999998</v>
      </c>
      <c r="E194" s="1">
        <f>Tabela7[[#This Row],[Força (N)]]/$I$5</f>
        <v>2114509.8586959052</v>
      </c>
      <c r="F194" s="1">
        <f>Tabela7[[#This Row],[Tensão (Pa)]]/1000000</f>
        <v>2.114509858695905</v>
      </c>
    </row>
    <row r="195" spans="1:6" x14ac:dyDescent="0.3">
      <c r="A195" s="5">
        <v>15.032999999999999</v>
      </c>
      <c r="B195" s="5">
        <v>1.2453000000000001</v>
      </c>
      <c r="C195" s="1">
        <f>Tabela7[[#This Row],[Alongamento (mm/mm)]]/$I$2</f>
        <v>2.4906000000000001E-2</v>
      </c>
      <c r="D195" s="5">
        <v>91.683000000000007</v>
      </c>
      <c r="E195" s="1">
        <f>Tabela7[[#This Row],[Força (N)]]/$I$5</f>
        <v>2134297.0877854601</v>
      </c>
      <c r="F195" s="1">
        <f>Tabela7[[#This Row],[Tensão (Pa)]]/1000000</f>
        <v>2.1342970877854599</v>
      </c>
    </row>
    <row r="196" spans="1:6" x14ac:dyDescent="0.3">
      <c r="A196" s="5">
        <v>15.1</v>
      </c>
      <c r="B196" s="5">
        <v>1.2508999999999999</v>
      </c>
      <c r="C196" s="1">
        <f>Tabela7[[#This Row],[Alongamento (mm/mm)]]/$I$2</f>
        <v>2.5017999999999999E-2</v>
      </c>
      <c r="D196" s="5">
        <v>92.364000000000004</v>
      </c>
      <c r="E196" s="1">
        <f>Tabela7[[#This Row],[Força (N)]]/$I$5</f>
        <v>2150150.1501501501</v>
      </c>
      <c r="F196" s="1">
        <f>Tabela7[[#This Row],[Tensão (Pa)]]/1000000</f>
        <v>2.1501501501501501</v>
      </c>
    </row>
    <row r="197" spans="1:6" x14ac:dyDescent="0.3">
      <c r="A197" s="5">
        <v>15.15</v>
      </c>
      <c r="B197" s="5">
        <v>1.2551000000000001</v>
      </c>
      <c r="C197" s="1">
        <f>Tabela7[[#This Row],[Alongamento (mm/mm)]]/$I$2</f>
        <v>2.5102000000000003E-2</v>
      </c>
      <c r="D197" s="5">
        <v>93.043999999999997</v>
      </c>
      <c r="E197" s="1">
        <f>Tabela7[[#This Row],[Força (N)]]/$I$5</f>
        <v>2165979.9334217939</v>
      </c>
      <c r="F197" s="1">
        <f>Tabela7[[#This Row],[Tensão (Pa)]]/1000000</f>
        <v>2.1659799334217937</v>
      </c>
    </row>
    <row r="198" spans="1:6" x14ac:dyDescent="0.3">
      <c r="A198" s="5">
        <v>15.2</v>
      </c>
      <c r="B198" s="5">
        <v>1.2592000000000001</v>
      </c>
      <c r="C198" s="1">
        <f>Tabela7[[#This Row],[Alongamento (mm/mm)]]/$I$2</f>
        <v>2.5184000000000002E-2</v>
      </c>
      <c r="D198" s="5">
        <v>93.724000000000004</v>
      </c>
      <c r="E198" s="1">
        <f>Tabela7[[#This Row],[Força (N)]]/$I$5</f>
        <v>2181809.7166934377</v>
      </c>
      <c r="F198" s="1">
        <f>Tabela7[[#This Row],[Tensão (Pa)]]/1000000</f>
        <v>2.1818097166934378</v>
      </c>
    </row>
    <row r="199" spans="1:6" x14ac:dyDescent="0.3">
      <c r="A199" s="5">
        <v>15.266999999999999</v>
      </c>
      <c r="B199" s="5">
        <v>1.2647999999999999</v>
      </c>
      <c r="C199" s="1">
        <f>Tabela7[[#This Row],[Alongamento (mm/mm)]]/$I$2</f>
        <v>2.5295999999999999E-2</v>
      </c>
      <c r="D199" s="5">
        <v>94.405000000000001</v>
      </c>
      <c r="E199" s="1">
        <f>Tabela7[[#This Row],[Força (N)]]/$I$5</f>
        <v>2197662.7790581277</v>
      </c>
      <c r="F199" s="1">
        <f>Tabela7[[#This Row],[Tensão (Pa)]]/1000000</f>
        <v>2.1976627790581276</v>
      </c>
    </row>
    <row r="200" spans="1:6" x14ac:dyDescent="0.3">
      <c r="A200" s="5">
        <v>15.317</v>
      </c>
      <c r="B200" s="5">
        <v>1.2688999999999999</v>
      </c>
      <c r="C200" s="1">
        <f>Tabela7[[#This Row],[Alongamento (mm/mm)]]/$I$2</f>
        <v>2.5377999999999998E-2</v>
      </c>
      <c r="D200" s="5">
        <v>95.084999999999994</v>
      </c>
      <c r="E200" s="1">
        <f>Tabela7[[#This Row],[Força (N)]]/$I$5</f>
        <v>2213492.5623297715</v>
      </c>
      <c r="F200" s="1">
        <f>Tabela7[[#This Row],[Tensão (Pa)]]/1000000</f>
        <v>2.2134925623297717</v>
      </c>
    </row>
    <row r="201" spans="1:6" x14ac:dyDescent="0.3">
      <c r="A201" s="5">
        <v>15.367000000000001</v>
      </c>
      <c r="B201" s="5">
        <v>1.2729999999999999</v>
      </c>
      <c r="C201" s="1">
        <f>Tabela7[[#This Row],[Alongamento (mm/mm)]]/$I$2</f>
        <v>2.5459999999999997E-2</v>
      </c>
      <c r="D201" s="5">
        <v>95.766000000000005</v>
      </c>
      <c r="E201" s="1">
        <f>Tabela7[[#This Row],[Força (N)]]/$I$5</f>
        <v>2229345.6246944619</v>
      </c>
      <c r="F201" s="1">
        <f>Tabela7[[#This Row],[Tensão (Pa)]]/1000000</f>
        <v>2.2293456246944618</v>
      </c>
    </row>
    <row r="202" spans="1:6" x14ac:dyDescent="0.3">
      <c r="A202" s="5">
        <v>15.433</v>
      </c>
      <c r="B202" s="5">
        <v>1.2786</v>
      </c>
      <c r="C202" s="1">
        <f>Tabela7[[#This Row],[Alongamento (mm/mm)]]/$I$2</f>
        <v>2.5571999999999998E-2</v>
      </c>
      <c r="D202" s="5">
        <v>96.445999999999998</v>
      </c>
      <c r="E202" s="1">
        <f>Tabela7[[#This Row],[Força (N)]]/$I$5</f>
        <v>2245175.4079661053</v>
      </c>
      <c r="F202" s="1">
        <f>Tabela7[[#This Row],[Tensão (Pa)]]/1000000</f>
        <v>2.2451754079661055</v>
      </c>
    </row>
    <row r="203" spans="1:6" x14ac:dyDescent="0.3">
      <c r="A203" s="5">
        <v>15.483000000000001</v>
      </c>
      <c r="B203" s="5">
        <v>1.2827999999999999</v>
      </c>
      <c r="C203" s="1">
        <f>Tabela7[[#This Row],[Alongamento (mm/mm)]]/$I$2</f>
        <v>2.5655999999999998E-2</v>
      </c>
      <c r="D203" s="5">
        <v>97.126000000000005</v>
      </c>
      <c r="E203" s="1">
        <f>Tabela7[[#This Row],[Força (N)]]/$I$5</f>
        <v>2261005.1912377495</v>
      </c>
      <c r="F203" s="1">
        <f>Tabela7[[#This Row],[Tensão (Pa)]]/1000000</f>
        <v>2.2610051912377496</v>
      </c>
    </row>
    <row r="204" spans="1:6" x14ac:dyDescent="0.3">
      <c r="A204" s="5">
        <v>15.532999999999999</v>
      </c>
      <c r="B204" s="5">
        <v>1.2869999999999999</v>
      </c>
      <c r="C204" s="1">
        <f>Tabela7[[#This Row],[Alongamento (mm/mm)]]/$I$2</f>
        <v>2.5739999999999999E-2</v>
      </c>
      <c r="D204" s="5">
        <v>97.807000000000002</v>
      </c>
      <c r="E204" s="1">
        <f>Tabela7[[#This Row],[Força (N)]]/$I$5</f>
        <v>2276858.2536024395</v>
      </c>
      <c r="F204" s="1">
        <f>Tabela7[[#This Row],[Tensão (Pa)]]/1000000</f>
        <v>2.2768582536024393</v>
      </c>
    </row>
    <row r="205" spans="1:6" x14ac:dyDescent="0.3">
      <c r="A205" s="5">
        <v>15.583</v>
      </c>
      <c r="B205" s="5">
        <v>1.2911999999999999</v>
      </c>
      <c r="C205" s="1">
        <f>Tabela7[[#This Row],[Alongamento (mm/mm)]]/$I$2</f>
        <v>2.5824E-2</v>
      </c>
      <c r="D205" s="5">
        <v>98.486999999999995</v>
      </c>
      <c r="E205" s="1">
        <f>Tabela7[[#This Row],[Força (N)]]/$I$5</f>
        <v>2292688.0368740833</v>
      </c>
      <c r="F205" s="1">
        <f>Tabela7[[#This Row],[Tensão (Pa)]]/1000000</f>
        <v>2.2926880368740834</v>
      </c>
    </row>
    <row r="206" spans="1:6" x14ac:dyDescent="0.3">
      <c r="A206" s="5">
        <v>15.65</v>
      </c>
      <c r="B206" s="5">
        <v>1.2968</v>
      </c>
      <c r="C206" s="1">
        <f>Tabela7[[#This Row],[Alongamento (mm/mm)]]/$I$2</f>
        <v>2.5936000000000001E-2</v>
      </c>
      <c r="D206" s="5">
        <v>99.168000000000006</v>
      </c>
      <c r="E206" s="1">
        <f>Tabela7[[#This Row],[Força (N)]]/$I$5</f>
        <v>2308541.0992387738</v>
      </c>
      <c r="F206" s="1">
        <f>Tabela7[[#This Row],[Tensão (Pa)]]/1000000</f>
        <v>2.3085410992387736</v>
      </c>
    </row>
    <row r="207" spans="1:6" x14ac:dyDescent="0.3">
      <c r="A207" s="5">
        <v>15.7</v>
      </c>
      <c r="B207" s="5">
        <v>1.3009999999999999</v>
      </c>
      <c r="C207" s="1">
        <f>Tabela7[[#This Row],[Alongamento (mm/mm)]]/$I$2</f>
        <v>2.6019999999999998E-2</v>
      </c>
      <c r="D207" s="5">
        <v>99.847999999999999</v>
      </c>
      <c r="E207" s="1">
        <f>Tabela7[[#This Row],[Força (N)]]/$I$5</f>
        <v>2324370.8825104171</v>
      </c>
      <c r="F207" s="1">
        <f>Tabela7[[#This Row],[Tensão (Pa)]]/1000000</f>
        <v>2.3243708825104172</v>
      </c>
    </row>
    <row r="208" spans="1:6" x14ac:dyDescent="0.3">
      <c r="A208" s="5">
        <v>15.75</v>
      </c>
      <c r="B208" s="5">
        <v>1.3049999999999999</v>
      </c>
      <c r="C208" s="1">
        <f>Tabela7[[#This Row],[Alongamento (mm/mm)]]/$I$2</f>
        <v>2.6099999999999998E-2</v>
      </c>
      <c r="D208" s="5">
        <v>100.53</v>
      </c>
      <c r="E208" s="1">
        <f>Tabela7[[#This Row],[Força (N)]]/$I$5</f>
        <v>2340247.2239681543</v>
      </c>
      <c r="F208" s="1">
        <f>Tabela7[[#This Row],[Tensão (Pa)]]/1000000</f>
        <v>2.3402472239681544</v>
      </c>
    </row>
    <row r="209" spans="1:6" x14ac:dyDescent="0.3">
      <c r="A209" s="5">
        <v>15.8</v>
      </c>
      <c r="B209" s="5">
        <v>1.3090999999999999</v>
      </c>
      <c r="C209" s="1">
        <f>Tabela7[[#This Row],[Alongamento (mm/mm)]]/$I$2</f>
        <v>2.6181999999999997E-2</v>
      </c>
      <c r="D209" s="5">
        <v>101.21</v>
      </c>
      <c r="E209" s="1">
        <f>Tabela7[[#This Row],[Força (N)]]/$I$5</f>
        <v>2356077.0072397976</v>
      </c>
      <c r="F209" s="1">
        <f>Tabela7[[#This Row],[Tensão (Pa)]]/1000000</f>
        <v>2.3560770072397976</v>
      </c>
    </row>
    <row r="210" spans="1:6" x14ac:dyDescent="0.3">
      <c r="A210" s="5">
        <v>15.85</v>
      </c>
      <c r="B210" s="5">
        <v>1.3133999999999999</v>
      </c>
      <c r="C210" s="1">
        <f>Tabela7[[#This Row],[Alongamento (mm/mm)]]/$I$2</f>
        <v>2.6268E-2</v>
      </c>
      <c r="D210" s="5">
        <v>101.89</v>
      </c>
      <c r="E210" s="1">
        <f>Tabela7[[#This Row],[Força (N)]]/$I$5</f>
        <v>2371906.7905114414</v>
      </c>
      <c r="F210" s="1">
        <f>Tabela7[[#This Row],[Tensão (Pa)]]/1000000</f>
        <v>2.3719067905114413</v>
      </c>
    </row>
    <row r="211" spans="1:6" x14ac:dyDescent="0.3">
      <c r="A211" s="5">
        <v>15.9</v>
      </c>
      <c r="B211" s="5">
        <v>1.3176000000000001</v>
      </c>
      <c r="C211" s="1">
        <f>Tabela7[[#This Row],[Alongamento (mm/mm)]]/$I$2</f>
        <v>2.6352E-2</v>
      </c>
      <c r="D211" s="5">
        <v>102.57</v>
      </c>
      <c r="E211" s="1">
        <f>Tabela7[[#This Row],[Força (N)]]/$I$5</f>
        <v>2387736.5737830852</v>
      </c>
      <c r="F211" s="1">
        <f>Tabela7[[#This Row],[Tensão (Pa)]]/1000000</f>
        <v>2.3877365737830853</v>
      </c>
    </row>
    <row r="212" spans="1:6" x14ac:dyDescent="0.3">
      <c r="A212" s="5">
        <v>15.95</v>
      </c>
      <c r="B212" s="5">
        <v>1.3217000000000001</v>
      </c>
      <c r="C212" s="1">
        <f>Tabela7[[#This Row],[Alongamento (mm/mm)]]/$I$2</f>
        <v>2.6434000000000003E-2</v>
      </c>
      <c r="D212" s="5">
        <v>103.25</v>
      </c>
      <c r="E212" s="1">
        <f>Tabela7[[#This Row],[Força (N)]]/$I$5</f>
        <v>2403566.357054729</v>
      </c>
      <c r="F212" s="1">
        <f>Tabela7[[#This Row],[Tensão (Pa)]]/1000000</f>
        <v>2.403566357054729</v>
      </c>
    </row>
    <row r="213" spans="1:6" x14ac:dyDescent="0.3">
      <c r="A213" s="5">
        <v>16.016999999999999</v>
      </c>
      <c r="B213" s="5">
        <v>1.3272999999999999</v>
      </c>
      <c r="C213" s="1">
        <f>Tabela7[[#This Row],[Alongamento (mm/mm)]]/$I$2</f>
        <v>2.6546E-2</v>
      </c>
      <c r="D213" s="5">
        <v>104.1</v>
      </c>
      <c r="E213" s="1">
        <f>Tabela7[[#This Row],[Força (N)]]/$I$5</f>
        <v>2423353.5861442834</v>
      </c>
      <c r="F213" s="1">
        <f>Tabela7[[#This Row],[Tensão (Pa)]]/1000000</f>
        <v>2.4233535861442834</v>
      </c>
    </row>
    <row r="214" spans="1:6" x14ac:dyDescent="0.3">
      <c r="A214" s="5">
        <v>16.082999999999998</v>
      </c>
      <c r="B214" s="5">
        <v>1.3329</v>
      </c>
      <c r="C214" s="1">
        <f>Tabela7[[#This Row],[Alongamento (mm/mm)]]/$I$2</f>
        <v>2.6658000000000001E-2</v>
      </c>
      <c r="D214" s="5">
        <v>104.95</v>
      </c>
      <c r="E214" s="1">
        <f>Tabela7[[#This Row],[Força (N)]]/$I$5</f>
        <v>2443140.8152338383</v>
      </c>
      <c r="F214" s="1">
        <f>Tabela7[[#This Row],[Tensão (Pa)]]/1000000</f>
        <v>2.4431408152338383</v>
      </c>
    </row>
    <row r="215" spans="1:6" x14ac:dyDescent="0.3">
      <c r="A215" s="5">
        <v>16.132999999999999</v>
      </c>
      <c r="B215" s="5">
        <v>1.337</v>
      </c>
      <c r="C215" s="1">
        <f>Tabela7[[#This Row],[Alongamento (mm/mm)]]/$I$2</f>
        <v>2.674E-2</v>
      </c>
      <c r="D215" s="5">
        <v>105.63</v>
      </c>
      <c r="E215" s="1">
        <f>Tabela7[[#This Row],[Força (N)]]/$I$5</f>
        <v>2458970.5985054821</v>
      </c>
      <c r="F215" s="1">
        <f>Tabela7[[#This Row],[Tensão (Pa)]]/1000000</f>
        <v>2.4589705985054819</v>
      </c>
    </row>
    <row r="216" spans="1:6" x14ac:dyDescent="0.3">
      <c r="A216" s="5">
        <v>16.183</v>
      </c>
      <c r="B216" s="5">
        <v>1.3411999999999999</v>
      </c>
      <c r="C216" s="1">
        <f>Tabela7[[#This Row],[Alongamento (mm/mm)]]/$I$2</f>
        <v>2.6824000000000001E-2</v>
      </c>
      <c r="D216" s="5">
        <v>106.31</v>
      </c>
      <c r="E216" s="1">
        <f>Tabela7[[#This Row],[Força (N)]]/$I$5</f>
        <v>2474800.3817771259</v>
      </c>
      <c r="F216" s="1">
        <f>Tabela7[[#This Row],[Tensão (Pa)]]/1000000</f>
        <v>2.474800381777126</v>
      </c>
    </row>
    <row r="217" spans="1:6" x14ac:dyDescent="0.3">
      <c r="A217" s="5">
        <v>16.233000000000001</v>
      </c>
      <c r="B217" s="5">
        <v>1.3452</v>
      </c>
      <c r="C217" s="1">
        <f>Tabela7[[#This Row],[Alongamento (mm/mm)]]/$I$2</f>
        <v>2.6903999999999997E-2</v>
      </c>
      <c r="D217" s="5">
        <v>106.99</v>
      </c>
      <c r="E217" s="1">
        <f>Tabela7[[#This Row],[Força (N)]]/$I$5</f>
        <v>2490630.1650487697</v>
      </c>
      <c r="F217" s="1">
        <f>Tabela7[[#This Row],[Tensão (Pa)]]/1000000</f>
        <v>2.4906301650487697</v>
      </c>
    </row>
    <row r="218" spans="1:6" x14ac:dyDescent="0.3">
      <c r="A218" s="5">
        <v>16.283000000000001</v>
      </c>
      <c r="B218" s="5">
        <v>1.3494999999999999</v>
      </c>
      <c r="C218" s="1">
        <f>Tabela7[[#This Row],[Alongamento (mm/mm)]]/$I$2</f>
        <v>2.699E-2</v>
      </c>
      <c r="D218" s="5">
        <v>107.67</v>
      </c>
      <c r="E218" s="1">
        <f>Tabela7[[#This Row],[Força (N)]]/$I$5</f>
        <v>2506459.9483204135</v>
      </c>
      <c r="F218" s="1">
        <f>Tabela7[[#This Row],[Tensão (Pa)]]/1000000</f>
        <v>2.5064599483204133</v>
      </c>
    </row>
    <row r="219" spans="1:6" x14ac:dyDescent="0.3">
      <c r="A219" s="5">
        <v>16.332999999999998</v>
      </c>
      <c r="B219" s="5">
        <v>1.3535999999999999</v>
      </c>
      <c r="C219" s="1">
        <f>Tabela7[[#This Row],[Alongamento (mm/mm)]]/$I$2</f>
        <v>2.7071999999999999E-2</v>
      </c>
      <c r="D219" s="5">
        <v>108.35</v>
      </c>
      <c r="E219" s="1">
        <f>Tabela7[[#This Row],[Força (N)]]/$I$5</f>
        <v>2522289.7315920568</v>
      </c>
      <c r="F219" s="1">
        <f>Tabela7[[#This Row],[Tensão (Pa)]]/1000000</f>
        <v>2.5222897315920569</v>
      </c>
    </row>
    <row r="220" spans="1:6" x14ac:dyDescent="0.3">
      <c r="A220" s="5">
        <v>16.382999999999999</v>
      </c>
      <c r="B220" s="5">
        <v>1.3577999999999999</v>
      </c>
      <c r="C220" s="1">
        <f>Tabela7[[#This Row],[Alongamento (mm/mm)]]/$I$2</f>
        <v>2.7156E-2</v>
      </c>
      <c r="D220" s="5">
        <v>109.03</v>
      </c>
      <c r="E220" s="1">
        <f>Tabela7[[#This Row],[Força (N)]]/$I$5</f>
        <v>2538119.5148637006</v>
      </c>
      <c r="F220" s="1">
        <f>Tabela7[[#This Row],[Tensão (Pa)]]/1000000</f>
        <v>2.5381195148637006</v>
      </c>
    </row>
    <row r="221" spans="1:6" x14ac:dyDescent="0.3">
      <c r="A221" s="5">
        <v>16.433</v>
      </c>
      <c r="B221" s="5">
        <v>1.3620000000000001</v>
      </c>
      <c r="C221" s="1">
        <f>Tabela7[[#This Row],[Alongamento (mm/mm)]]/$I$2</f>
        <v>2.724E-2</v>
      </c>
      <c r="D221" s="5">
        <v>109.71</v>
      </c>
      <c r="E221" s="1">
        <f>Tabela7[[#This Row],[Força (N)]]/$I$5</f>
        <v>2553949.2981353444</v>
      </c>
      <c r="F221" s="1">
        <f>Tabela7[[#This Row],[Tensão (Pa)]]/1000000</f>
        <v>2.5539492981353442</v>
      </c>
    </row>
    <row r="222" spans="1:6" x14ac:dyDescent="0.3">
      <c r="A222" s="5">
        <v>16.483000000000001</v>
      </c>
      <c r="B222" s="5">
        <v>1.3661000000000001</v>
      </c>
      <c r="C222" s="1">
        <f>Tabela7[[#This Row],[Alongamento (mm/mm)]]/$I$2</f>
        <v>2.7322000000000003E-2</v>
      </c>
      <c r="D222" s="5">
        <v>110.39</v>
      </c>
      <c r="E222" s="1">
        <f>Tabela7[[#This Row],[Força (N)]]/$I$5</f>
        <v>2569779.0814069882</v>
      </c>
      <c r="F222" s="1">
        <f>Tabela7[[#This Row],[Tensão (Pa)]]/1000000</f>
        <v>2.5697790814069883</v>
      </c>
    </row>
    <row r="223" spans="1:6" x14ac:dyDescent="0.3">
      <c r="A223" s="5">
        <v>16.533000000000001</v>
      </c>
      <c r="B223" s="5">
        <v>1.3704000000000001</v>
      </c>
      <c r="C223" s="1">
        <f>Tabela7[[#This Row],[Alongamento (mm/mm)]]/$I$2</f>
        <v>2.7408000000000002E-2</v>
      </c>
      <c r="D223" s="5">
        <v>111.07</v>
      </c>
      <c r="E223" s="1">
        <f>Tabela7[[#This Row],[Força (N)]]/$I$5</f>
        <v>2585608.864678632</v>
      </c>
      <c r="F223" s="1">
        <f>Tabela7[[#This Row],[Tensão (Pa)]]/1000000</f>
        <v>2.5856088646786319</v>
      </c>
    </row>
    <row r="224" spans="1:6" x14ac:dyDescent="0.3">
      <c r="A224" s="5">
        <v>16.582999999999998</v>
      </c>
      <c r="B224" s="5">
        <v>1.3746</v>
      </c>
      <c r="C224" s="1">
        <f>Tabela7[[#This Row],[Alongamento (mm/mm)]]/$I$2</f>
        <v>2.7492000000000003E-2</v>
      </c>
      <c r="D224" s="5">
        <v>111.75</v>
      </c>
      <c r="E224" s="1">
        <f>Tabela7[[#This Row],[Força (N)]]/$I$5</f>
        <v>2601438.6479502758</v>
      </c>
      <c r="F224" s="1">
        <f>Tabela7[[#This Row],[Tensão (Pa)]]/1000000</f>
        <v>2.601438647950276</v>
      </c>
    </row>
    <row r="225" spans="1:6" x14ac:dyDescent="0.3">
      <c r="A225" s="5">
        <v>16.632999999999999</v>
      </c>
      <c r="B225" s="5">
        <v>1.3787</v>
      </c>
      <c r="C225" s="1">
        <f>Tabela7[[#This Row],[Alongamento (mm/mm)]]/$I$2</f>
        <v>2.7574000000000001E-2</v>
      </c>
      <c r="D225" s="5">
        <v>112.61</v>
      </c>
      <c r="E225" s="1">
        <f>Tabela7[[#This Row],[Força (N)]]/$I$5</f>
        <v>2621458.6679702955</v>
      </c>
      <c r="F225" s="1">
        <f>Tabela7[[#This Row],[Tensão (Pa)]]/1000000</f>
        <v>2.6214586679702956</v>
      </c>
    </row>
    <row r="226" spans="1:6" x14ac:dyDescent="0.3">
      <c r="A226" s="5">
        <v>16.683</v>
      </c>
      <c r="B226" s="5">
        <v>1.3828</v>
      </c>
      <c r="C226" s="1">
        <f>Tabela7[[#This Row],[Alongamento (mm/mm)]]/$I$2</f>
        <v>2.7656E-2</v>
      </c>
      <c r="D226" s="5">
        <v>113.29</v>
      </c>
      <c r="E226" s="1">
        <f>Tabela7[[#This Row],[Força (N)]]/$I$5</f>
        <v>2637288.4512419398</v>
      </c>
      <c r="F226" s="1">
        <f>Tabela7[[#This Row],[Tensão (Pa)]]/1000000</f>
        <v>2.6372884512419397</v>
      </c>
    </row>
    <row r="227" spans="1:6" x14ac:dyDescent="0.3">
      <c r="A227" s="5">
        <v>16.733000000000001</v>
      </c>
      <c r="B227" s="5">
        <v>1.387</v>
      </c>
      <c r="C227" s="1">
        <f>Tabela7[[#This Row],[Alongamento (mm/mm)]]/$I$2</f>
        <v>2.7740000000000001E-2</v>
      </c>
      <c r="D227" s="5">
        <v>113.97</v>
      </c>
      <c r="E227" s="1">
        <f>Tabela7[[#This Row],[Força (N)]]/$I$5</f>
        <v>2653118.2345135831</v>
      </c>
      <c r="F227" s="1">
        <f>Tabela7[[#This Row],[Tensão (Pa)]]/1000000</f>
        <v>2.6531182345135833</v>
      </c>
    </row>
    <row r="228" spans="1:6" x14ac:dyDescent="0.3">
      <c r="A228" s="5">
        <v>16.783000000000001</v>
      </c>
      <c r="B228" s="5">
        <v>1.3912</v>
      </c>
      <c r="C228" s="1">
        <f>Tabela7[[#This Row],[Alongamento (mm/mm)]]/$I$2</f>
        <v>2.7824000000000002E-2</v>
      </c>
      <c r="D228" s="5">
        <v>114.82</v>
      </c>
      <c r="E228" s="1">
        <f>Tabela7[[#This Row],[Força (N)]]/$I$5</f>
        <v>2672905.4636031375</v>
      </c>
      <c r="F228" s="1">
        <f>Tabela7[[#This Row],[Tensão (Pa)]]/1000000</f>
        <v>2.6729054636031377</v>
      </c>
    </row>
    <row r="229" spans="1:6" x14ac:dyDescent="0.3">
      <c r="A229" s="5">
        <v>16.832999999999998</v>
      </c>
      <c r="B229" s="5">
        <v>1.3954</v>
      </c>
      <c r="C229" s="1">
        <f>Tabela7[[#This Row],[Alongamento (mm/mm)]]/$I$2</f>
        <v>2.7907999999999999E-2</v>
      </c>
      <c r="D229" s="5">
        <v>115.5</v>
      </c>
      <c r="E229" s="1">
        <f>Tabela7[[#This Row],[Força (N)]]/$I$5</f>
        <v>2688735.2468747818</v>
      </c>
      <c r="F229" s="1">
        <f>Tabela7[[#This Row],[Tensão (Pa)]]/1000000</f>
        <v>2.6887352468747818</v>
      </c>
    </row>
    <row r="230" spans="1:6" x14ac:dyDescent="0.3">
      <c r="A230" s="5">
        <v>16.882999999999999</v>
      </c>
      <c r="B230" s="5">
        <v>1.3995</v>
      </c>
      <c r="C230" s="1">
        <f>Tabela7[[#This Row],[Alongamento (mm/mm)]]/$I$2</f>
        <v>2.7990000000000001E-2</v>
      </c>
      <c r="D230" s="5">
        <v>116.18</v>
      </c>
      <c r="E230" s="1">
        <f>Tabela7[[#This Row],[Força (N)]]/$I$5</f>
        <v>2704565.0301464256</v>
      </c>
      <c r="F230" s="1">
        <f>Tabela7[[#This Row],[Tensão (Pa)]]/1000000</f>
        <v>2.7045650301464255</v>
      </c>
    </row>
    <row r="231" spans="1:6" x14ac:dyDescent="0.3">
      <c r="A231" s="5">
        <v>16.933</v>
      </c>
      <c r="B231" s="5">
        <v>1.4036999999999999</v>
      </c>
      <c r="C231" s="1">
        <f>Tabela7[[#This Row],[Alongamento (mm/mm)]]/$I$2</f>
        <v>2.8073999999999998E-2</v>
      </c>
      <c r="D231" s="5">
        <v>117.03</v>
      </c>
      <c r="E231" s="1">
        <f>Tabela7[[#This Row],[Força (N)]]/$I$5</f>
        <v>2724352.25923598</v>
      </c>
      <c r="F231" s="1">
        <f>Tabela7[[#This Row],[Tensão (Pa)]]/1000000</f>
        <v>2.7243522592359799</v>
      </c>
    </row>
    <row r="232" spans="1:6" x14ac:dyDescent="0.3">
      <c r="A232" s="5">
        <v>16.983000000000001</v>
      </c>
      <c r="B232" s="5">
        <v>1.4077999999999999</v>
      </c>
      <c r="C232" s="1">
        <f>Tabela7[[#This Row],[Alongamento (mm/mm)]]/$I$2</f>
        <v>2.8156E-2</v>
      </c>
      <c r="D232" s="5">
        <v>117.71</v>
      </c>
      <c r="E232" s="1">
        <f>Tabela7[[#This Row],[Força (N)]]/$I$5</f>
        <v>2740182.0425076238</v>
      </c>
      <c r="F232" s="1">
        <f>Tabela7[[#This Row],[Tensão (Pa)]]/1000000</f>
        <v>2.740182042507624</v>
      </c>
    </row>
    <row r="233" spans="1:6" x14ac:dyDescent="0.3">
      <c r="A233" s="5">
        <v>17.033000000000001</v>
      </c>
      <c r="B233" s="5">
        <v>1.4119999999999999</v>
      </c>
      <c r="C233" s="1">
        <f>Tabela7[[#This Row],[Alongamento (mm/mm)]]/$I$2</f>
        <v>2.8239999999999998E-2</v>
      </c>
      <c r="D233" s="5">
        <v>118.39</v>
      </c>
      <c r="E233" s="1">
        <f>Tabela7[[#This Row],[Força (N)]]/$I$5</f>
        <v>2756011.8257792676</v>
      </c>
      <c r="F233" s="1">
        <f>Tabela7[[#This Row],[Tensão (Pa)]]/1000000</f>
        <v>2.7560118257792676</v>
      </c>
    </row>
    <row r="234" spans="1:6" x14ac:dyDescent="0.3">
      <c r="A234" s="5">
        <v>17.082999999999998</v>
      </c>
      <c r="B234" s="5">
        <v>1.4161999999999999</v>
      </c>
      <c r="C234" s="1">
        <f>Tabela7[[#This Row],[Alongamento (mm/mm)]]/$I$2</f>
        <v>2.8323999999999998E-2</v>
      </c>
      <c r="D234" s="5">
        <v>119.07</v>
      </c>
      <c r="E234" s="1">
        <f>Tabela7[[#This Row],[Força (N)]]/$I$5</f>
        <v>2771841.6090509109</v>
      </c>
      <c r="F234" s="1">
        <f>Tabela7[[#This Row],[Tensão (Pa)]]/1000000</f>
        <v>2.7718416090509108</v>
      </c>
    </row>
    <row r="235" spans="1:6" x14ac:dyDescent="0.3">
      <c r="A235" s="5">
        <v>17.132999999999999</v>
      </c>
      <c r="B235" s="5">
        <v>1.4202999999999999</v>
      </c>
      <c r="C235" s="1">
        <f>Tabela7[[#This Row],[Alongamento (mm/mm)]]/$I$2</f>
        <v>2.8405999999999997E-2</v>
      </c>
      <c r="D235" s="5">
        <v>119.92</v>
      </c>
      <c r="E235" s="1">
        <f>Tabela7[[#This Row],[Força (N)]]/$I$5</f>
        <v>2791628.8381404658</v>
      </c>
      <c r="F235" s="1">
        <f>Tabela7[[#This Row],[Tensão (Pa)]]/1000000</f>
        <v>2.7916288381404657</v>
      </c>
    </row>
    <row r="236" spans="1:6" x14ac:dyDescent="0.3">
      <c r="A236" s="5">
        <v>17.183</v>
      </c>
      <c r="B236" s="5">
        <v>1.4244000000000001</v>
      </c>
      <c r="C236" s="1">
        <f>Tabela7[[#This Row],[Alongamento (mm/mm)]]/$I$2</f>
        <v>2.8488000000000003E-2</v>
      </c>
      <c r="D236" s="5">
        <v>120.6</v>
      </c>
      <c r="E236" s="1">
        <f>Tabela7[[#This Row],[Força (N)]]/$I$5</f>
        <v>2807458.6214121096</v>
      </c>
      <c r="F236" s="1">
        <f>Tabela7[[#This Row],[Tensão (Pa)]]/1000000</f>
        <v>2.8074586214121098</v>
      </c>
    </row>
    <row r="237" spans="1:6" x14ac:dyDescent="0.3">
      <c r="A237" s="5">
        <v>17.233000000000001</v>
      </c>
      <c r="B237" s="5">
        <v>1.4286000000000001</v>
      </c>
      <c r="C237" s="1">
        <f>Tabela7[[#This Row],[Alongamento (mm/mm)]]/$I$2</f>
        <v>2.8572E-2</v>
      </c>
      <c r="D237" s="5">
        <v>121.45</v>
      </c>
      <c r="E237" s="1">
        <f>Tabela7[[#This Row],[Força (N)]]/$I$5</f>
        <v>2827245.8505016644</v>
      </c>
      <c r="F237" s="1">
        <f>Tabela7[[#This Row],[Tensão (Pa)]]/1000000</f>
        <v>2.8272458505016647</v>
      </c>
    </row>
    <row r="238" spans="1:6" x14ac:dyDescent="0.3">
      <c r="A238" s="5">
        <v>17.283000000000001</v>
      </c>
      <c r="B238" s="5">
        <v>1.4328000000000001</v>
      </c>
      <c r="C238" s="1">
        <f>Tabela7[[#This Row],[Alongamento (mm/mm)]]/$I$2</f>
        <v>2.8656000000000001E-2</v>
      </c>
      <c r="D238" s="5">
        <v>122.13</v>
      </c>
      <c r="E238" s="1">
        <f>Tabela7[[#This Row],[Força (N)]]/$I$5</f>
        <v>2843075.6337733078</v>
      </c>
      <c r="F238" s="1">
        <f>Tabela7[[#This Row],[Tensão (Pa)]]/1000000</f>
        <v>2.8430756337733079</v>
      </c>
    </row>
    <row r="239" spans="1:6" x14ac:dyDescent="0.3">
      <c r="A239" s="5">
        <v>17.332999999999998</v>
      </c>
      <c r="B239" s="5">
        <v>1.4370000000000001</v>
      </c>
      <c r="C239" s="1">
        <f>Tabela7[[#This Row],[Alongamento (mm/mm)]]/$I$2</f>
        <v>2.8740000000000002E-2</v>
      </c>
      <c r="D239" s="5">
        <v>122.98</v>
      </c>
      <c r="E239" s="1">
        <f>Tabela7[[#This Row],[Força (N)]]/$I$5</f>
        <v>2862862.8628628626</v>
      </c>
      <c r="F239" s="1">
        <f>Tabela7[[#This Row],[Tensão (Pa)]]/1000000</f>
        <v>2.8628628628628627</v>
      </c>
    </row>
    <row r="240" spans="1:6" x14ac:dyDescent="0.3">
      <c r="A240" s="5">
        <v>17.382999999999999</v>
      </c>
      <c r="B240" s="5">
        <v>1.4412</v>
      </c>
      <c r="C240" s="1">
        <f>Tabela7[[#This Row],[Alongamento (mm/mm)]]/$I$2</f>
        <v>2.8824000000000002E-2</v>
      </c>
      <c r="D240" s="5">
        <v>123.66</v>
      </c>
      <c r="E240" s="1">
        <f>Tabela7[[#This Row],[Força (N)]]/$I$5</f>
        <v>2878692.6461345064</v>
      </c>
      <c r="F240" s="1">
        <f>Tabela7[[#This Row],[Tensão (Pa)]]/1000000</f>
        <v>2.8786926461345064</v>
      </c>
    </row>
    <row r="241" spans="1:6" x14ac:dyDescent="0.3">
      <c r="A241" s="5">
        <v>17.433</v>
      </c>
      <c r="B241" s="5">
        <v>1.4453</v>
      </c>
      <c r="C241" s="1">
        <f>Tabela7[[#This Row],[Alongamento (mm/mm)]]/$I$2</f>
        <v>2.8906000000000001E-2</v>
      </c>
      <c r="D241" s="5">
        <v>124.51</v>
      </c>
      <c r="E241" s="1">
        <f>Tabela7[[#This Row],[Força (N)]]/$I$5</f>
        <v>2898479.8752240613</v>
      </c>
      <c r="F241" s="1">
        <f>Tabela7[[#This Row],[Tensão (Pa)]]/1000000</f>
        <v>2.8984798752240613</v>
      </c>
    </row>
    <row r="242" spans="1:6" x14ac:dyDescent="0.3">
      <c r="A242" s="5">
        <v>17.483000000000001</v>
      </c>
      <c r="B242" s="5">
        <v>1.4495</v>
      </c>
      <c r="C242" s="1">
        <f>Tabela7[[#This Row],[Alongamento (mm/mm)]]/$I$2</f>
        <v>2.8990000000000002E-2</v>
      </c>
      <c r="D242" s="5">
        <v>125.19</v>
      </c>
      <c r="E242" s="1">
        <f>Tabela7[[#This Row],[Força (N)]]/$I$5</f>
        <v>2914309.6584957046</v>
      </c>
      <c r="F242" s="1">
        <f>Tabela7[[#This Row],[Tensão (Pa)]]/1000000</f>
        <v>2.9143096584957044</v>
      </c>
    </row>
    <row r="243" spans="1:6" x14ac:dyDescent="0.3">
      <c r="A243" s="5">
        <v>17.533000000000001</v>
      </c>
      <c r="B243" s="5">
        <v>1.4536</v>
      </c>
      <c r="C243" s="1">
        <f>Tabela7[[#This Row],[Alongamento (mm/mm)]]/$I$2</f>
        <v>2.9072000000000001E-2</v>
      </c>
      <c r="D243" s="5">
        <v>126.04</v>
      </c>
      <c r="E243" s="1">
        <f>Tabela7[[#This Row],[Força (N)]]/$I$5</f>
        <v>2934096.8875852595</v>
      </c>
      <c r="F243" s="1">
        <f>Tabela7[[#This Row],[Tensão (Pa)]]/1000000</f>
        <v>2.9340968875852593</v>
      </c>
    </row>
    <row r="244" spans="1:6" x14ac:dyDescent="0.3">
      <c r="A244" s="5">
        <v>17.582999999999998</v>
      </c>
      <c r="B244" s="5">
        <v>1.4578</v>
      </c>
      <c r="C244" s="1">
        <f>Tabela7[[#This Row],[Alongamento (mm/mm)]]/$I$2</f>
        <v>2.9156000000000001E-2</v>
      </c>
      <c r="D244" s="5">
        <v>126.72</v>
      </c>
      <c r="E244" s="1">
        <f>Tabela7[[#This Row],[Força (N)]]/$I$5</f>
        <v>2949926.6708569033</v>
      </c>
      <c r="F244" s="1">
        <f>Tabela7[[#This Row],[Tensão (Pa)]]/1000000</f>
        <v>2.9499266708569034</v>
      </c>
    </row>
    <row r="245" spans="1:6" x14ac:dyDescent="0.3">
      <c r="A245" s="5">
        <v>17.632999999999999</v>
      </c>
      <c r="B245" s="5">
        <v>1.462</v>
      </c>
      <c r="C245" s="1">
        <f>Tabela7[[#This Row],[Alongamento (mm/mm)]]/$I$2</f>
        <v>2.9239999999999999E-2</v>
      </c>
      <c r="D245" s="5">
        <v>127.4</v>
      </c>
      <c r="E245" s="1">
        <f>Tabela7[[#This Row],[Força (N)]]/$I$5</f>
        <v>2965756.4541285471</v>
      </c>
      <c r="F245" s="1">
        <f>Tabela7[[#This Row],[Tensão (Pa)]]/1000000</f>
        <v>2.965756454128547</v>
      </c>
    </row>
    <row r="246" spans="1:6" x14ac:dyDescent="0.3">
      <c r="A246" s="5">
        <v>17.667000000000002</v>
      </c>
      <c r="B246" s="5">
        <v>1.4646999999999999</v>
      </c>
      <c r="C246" s="1">
        <f>Tabela7[[#This Row],[Alongamento (mm/mm)]]/$I$2</f>
        <v>2.9293999999999997E-2</v>
      </c>
      <c r="D246" s="5">
        <v>128.08000000000001</v>
      </c>
      <c r="E246" s="1">
        <f>Tabela7[[#This Row],[Força (N)]]/$I$5</f>
        <v>2981586.2374001909</v>
      </c>
      <c r="F246" s="1">
        <f>Tabela7[[#This Row],[Tensão (Pa)]]/1000000</f>
        <v>2.9815862374001907</v>
      </c>
    </row>
    <row r="247" spans="1:6" x14ac:dyDescent="0.3">
      <c r="A247" s="5">
        <v>17.716999999999999</v>
      </c>
      <c r="B247" s="5">
        <v>1.4689000000000001</v>
      </c>
      <c r="C247" s="1">
        <f>Tabela7[[#This Row],[Alongamento (mm/mm)]]/$I$2</f>
        <v>2.9378000000000001E-2</v>
      </c>
      <c r="D247" s="5">
        <v>128.76</v>
      </c>
      <c r="E247" s="1">
        <f>Tabela7[[#This Row],[Força (N)]]/$I$5</f>
        <v>2997416.0206718342</v>
      </c>
      <c r="F247" s="1">
        <f>Tabela7[[#This Row],[Tensão (Pa)]]/1000000</f>
        <v>2.9974160206718343</v>
      </c>
    </row>
    <row r="248" spans="1:6" x14ac:dyDescent="0.3">
      <c r="A248" s="5">
        <v>17.766999999999999</v>
      </c>
      <c r="B248" s="5">
        <v>1.4731000000000001</v>
      </c>
      <c r="C248" s="1">
        <f>Tabela7[[#This Row],[Alongamento (mm/mm)]]/$I$2</f>
        <v>2.9462000000000002E-2</v>
      </c>
      <c r="D248" s="5">
        <v>129.44999999999999</v>
      </c>
      <c r="E248" s="1">
        <f>Tabela7[[#This Row],[Força (N)]]/$I$5</f>
        <v>3013478.5948739434</v>
      </c>
      <c r="F248" s="1">
        <f>Tabela7[[#This Row],[Tensão (Pa)]]/1000000</f>
        <v>3.0134785948739435</v>
      </c>
    </row>
    <row r="249" spans="1:6" x14ac:dyDescent="0.3">
      <c r="A249" s="5">
        <v>17.817</v>
      </c>
      <c r="B249" s="5">
        <v>1.4773000000000001</v>
      </c>
      <c r="C249" s="1">
        <f>Tabela7[[#This Row],[Alongamento (mm/mm)]]/$I$2</f>
        <v>2.9546000000000003E-2</v>
      </c>
      <c r="D249" s="5">
        <v>130.30000000000001</v>
      </c>
      <c r="E249" s="1">
        <f>Tabela7[[#This Row],[Força (N)]]/$I$5</f>
        <v>3033265.8239634987</v>
      </c>
      <c r="F249" s="1">
        <f>Tabela7[[#This Row],[Tensão (Pa)]]/1000000</f>
        <v>3.0332658239634989</v>
      </c>
    </row>
    <row r="250" spans="1:6" x14ac:dyDescent="0.3">
      <c r="A250" s="5">
        <v>17.867000000000001</v>
      </c>
      <c r="B250" s="5">
        <v>1.4815</v>
      </c>
      <c r="C250" s="1">
        <f>Tabela7[[#This Row],[Alongamento (mm/mm)]]/$I$2</f>
        <v>2.963E-2</v>
      </c>
      <c r="D250" s="5">
        <v>130.97999999999999</v>
      </c>
      <c r="E250" s="1">
        <f>Tabela7[[#This Row],[Força (N)]]/$I$5</f>
        <v>3049095.6072351416</v>
      </c>
      <c r="F250" s="1">
        <f>Tabela7[[#This Row],[Tensão (Pa)]]/1000000</f>
        <v>3.0490956072351416</v>
      </c>
    </row>
    <row r="251" spans="1:6" x14ac:dyDescent="0.3">
      <c r="A251" s="5">
        <v>17.933</v>
      </c>
      <c r="B251" s="5">
        <v>1.4871000000000001</v>
      </c>
      <c r="C251" s="1">
        <f>Tabela7[[#This Row],[Alongamento (mm/mm)]]/$I$2</f>
        <v>2.9742000000000001E-2</v>
      </c>
      <c r="D251" s="5">
        <v>132</v>
      </c>
      <c r="E251" s="1">
        <f>Tabela7[[#This Row],[Força (N)]]/$I$5</f>
        <v>3072840.2821426075</v>
      </c>
      <c r="F251" s="1">
        <f>Tabela7[[#This Row],[Tensão (Pa)]]/1000000</f>
        <v>3.0728402821426073</v>
      </c>
    </row>
    <row r="252" spans="1:6" x14ac:dyDescent="0.3">
      <c r="A252" s="5">
        <v>18</v>
      </c>
      <c r="B252" s="5">
        <v>1.4925999999999999</v>
      </c>
      <c r="C252" s="1">
        <f>Tabela7[[#This Row],[Alongamento (mm/mm)]]/$I$2</f>
        <v>2.9852E-2</v>
      </c>
      <c r="D252" s="5">
        <v>133.02000000000001</v>
      </c>
      <c r="E252" s="1">
        <f>Tabela7[[#This Row],[Força (N)]]/$I$5</f>
        <v>3096584.9570500734</v>
      </c>
      <c r="F252" s="1">
        <f>Tabela7[[#This Row],[Tensão (Pa)]]/1000000</f>
        <v>3.0965849570500734</v>
      </c>
    </row>
    <row r="253" spans="1:6" x14ac:dyDescent="0.3">
      <c r="A253" s="5">
        <v>18.067</v>
      </c>
      <c r="B253" s="5">
        <v>1.4981</v>
      </c>
      <c r="C253" s="1">
        <f>Tabela7[[#This Row],[Alongamento (mm/mm)]]/$I$2</f>
        <v>2.9961999999999999E-2</v>
      </c>
      <c r="D253" s="5">
        <v>134.04</v>
      </c>
      <c r="E253" s="1">
        <f>Tabela7[[#This Row],[Força (N)]]/$I$5</f>
        <v>3120329.6319575384</v>
      </c>
      <c r="F253" s="1">
        <f>Tabela7[[#This Row],[Tensão (Pa)]]/1000000</f>
        <v>3.1203296319575382</v>
      </c>
    </row>
    <row r="254" spans="1:6" x14ac:dyDescent="0.3">
      <c r="A254" s="5">
        <v>18.132999999999999</v>
      </c>
      <c r="B254" s="5">
        <v>1.5037</v>
      </c>
      <c r="C254" s="1">
        <f>Tabela7[[#This Row],[Alongamento (mm/mm)]]/$I$2</f>
        <v>3.0074E-2</v>
      </c>
      <c r="D254" s="5">
        <v>135.06</v>
      </c>
      <c r="E254" s="1">
        <f>Tabela7[[#This Row],[Força (N)]]/$I$5</f>
        <v>3144074.3068650044</v>
      </c>
      <c r="F254" s="1">
        <f>Tabela7[[#This Row],[Tensão (Pa)]]/1000000</f>
        <v>3.1440743068650043</v>
      </c>
    </row>
    <row r="255" spans="1:6" x14ac:dyDescent="0.3">
      <c r="A255" s="5">
        <v>18.2</v>
      </c>
      <c r="B255" s="5">
        <v>1.5092000000000001</v>
      </c>
      <c r="C255" s="1">
        <f>Tabela7[[#This Row],[Alongamento (mm/mm)]]/$I$2</f>
        <v>3.0184000000000002E-2</v>
      </c>
      <c r="D255" s="5">
        <v>136.08000000000001</v>
      </c>
      <c r="E255" s="1">
        <f>Tabela7[[#This Row],[Força (N)]]/$I$5</f>
        <v>3167818.9817724703</v>
      </c>
      <c r="F255" s="1">
        <f>Tabela7[[#This Row],[Tensão (Pa)]]/1000000</f>
        <v>3.1678189817724705</v>
      </c>
    </row>
    <row r="256" spans="1:6" x14ac:dyDescent="0.3">
      <c r="A256" s="5">
        <v>18.266999999999999</v>
      </c>
      <c r="B256" s="5">
        <v>1.5147999999999999</v>
      </c>
      <c r="C256" s="1">
        <f>Tabela7[[#This Row],[Alongamento (mm/mm)]]/$I$2</f>
        <v>3.0296E-2</v>
      </c>
      <c r="D256" s="5">
        <v>137.1</v>
      </c>
      <c r="E256" s="1">
        <f>Tabela7[[#This Row],[Força (N)]]/$I$5</f>
        <v>3191563.6566799353</v>
      </c>
      <c r="F256" s="1">
        <f>Tabela7[[#This Row],[Tensão (Pa)]]/1000000</f>
        <v>3.1915636566799352</v>
      </c>
    </row>
    <row r="257" spans="1:6" x14ac:dyDescent="0.3">
      <c r="A257" s="5">
        <v>18.332999999999998</v>
      </c>
      <c r="B257" s="5">
        <v>1.5204</v>
      </c>
      <c r="C257" s="1">
        <f>Tabela7[[#This Row],[Alongamento (mm/mm)]]/$I$2</f>
        <v>3.0408000000000001E-2</v>
      </c>
      <c r="D257" s="5">
        <v>138.12</v>
      </c>
      <c r="E257" s="1">
        <f>Tabela7[[#This Row],[Força (N)]]/$I$5</f>
        <v>3215308.3315874012</v>
      </c>
      <c r="F257" s="1">
        <f>Tabela7[[#This Row],[Tensão (Pa)]]/1000000</f>
        <v>3.2153083315874014</v>
      </c>
    </row>
    <row r="258" spans="1:6" x14ac:dyDescent="0.3">
      <c r="A258" s="5">
        <v>18.399999999999999</v>
      </c>
      <c r="B258" s="5">
        <v>1.5259</v>
      </c>
      <c r="C258" s="1">
        <f>Tabela7[[#This Row],[Alongamento (mm/mm)]]/$I$2</f>
        <v>3.0518E-2</v>
      </c>
      <c r="D258" s="5">
        <v>139.31</v>
      </c>
      <c r="E258" s="1">
        <f>Tabela7[[#This Row],[Força (N)]]/$I$5</f>
        <v>3243010.4523127778</v>
      </c>
      <c r="F258" s="1">
        <f>Tabela7[[#This Row],[Tensão (Pa)]]/1000000</f>
        <v>3.2430104523127778</v>
      </c>
    </row>
    <row r="259" spans="1:6" x14ac:dyDescent="0.3">
      <c r="A259" s="5">
        <v>18.466999999999999</v>
      </c>
      <c r="B259" s="5">
        <v>1.5314000000000001</v>
      </c>
      <c r="C259" s="1">
        <f>Tabela7[[#This Row],[Alongamento (mm/mm)]]/$I$2</f>
        <v>3.0628000000000002E-2</v>
      </c>
      <c r="D259" s="5">
        <v>140.33000000000001</v>
      </c>
      <c r="E259" s="1">
        <f>Tabela7[[#This Row],[Força (N)]]/$I$5</f>
        <v>3266755.1272202437</v>
      </c>
      <c r="F259" s="1">
        <f>Tabela7[[#This Row],[Tensão (Pa)]]/1000000</f>
        <v>3.2667551272202435</v>
      </c>
    </row>
    <row r="260" spans="1:6" x14ac:dyDescent="0.3">
      <c r="A260" s="5">
        <v>18.533000000000001</v>
      </c>
      <c r="B260" s="5">
        <v>1.5368999999999999</v>
      </c>
      <c r="C260" s="1">
        <f>Tabela7[[#This Row],[Alongamento (mm/mm)]]/$I$2</f>
        <v>3.0737999999999998E-2</v>
      </c>
      <c r="D260" s="5">
        <v>141.52000000000001</v>
      </c>
      <c r="E260" s="1">
        <f>Tabela7[[#This Row],[Força (N)]]/$I$5</f>
        <v>3294457.2479456202</v>
      </c>
      <c r="F260" s="1">
        <f>Tabela7[[#This Row],[Tensão (Pa)]]/1000000</f>
        <v>3.29445724794562</v>
      </c>
    </row>
    <row r="261" spans="1:6" x14ac:dyDescent="0.3">
      <c r="A261" s="5">
        <v>18.600000000000001</v>
      </c>
      <c r="B261" s="5">
        <v>1.5425</v>
      </c>
      <c r="C261" s="1">
        <f>Tabela7[[#This Row],[Alongamento (mm/mm)]]/$I$2</f>
        <v>3.0849999999999999E-2</v>
      </c>
      <c r="D261" s="5">
        <v>142.71</v>
      </c>
      <c r="E261" s="1">
        <f>Tabela7[[#This Row],[Força (N)]]/$I$5</f>
        <v>3322159.3686709967</v>
      </c>
      <c r="F261" s="1">
        <f>Tabela7[[#This Row],[Tensão (Pa)]]/1000000</f>
        <v>3.3221593686709969</v>
      </c>
    </row>
    <row r="262" spans="1:6" x14ac:dyDescent="0.3">
      <c r="A262" s="5">
        <v>18.667000000000002</v>
      </c>
      <c r="B262" s="5">
        <v>1.5481</v>
      </c>
      <c r="C262" s="1">
        <f>Tabela7[[#This Row],[Alongamento (mm/mm)]]/$I$2</f>
        <v>3.0962E-2</v>
      </c>
      <c r="D262" s="5">
        <v>143.72999999999999</v>
      </c>
      <c r="E262" s="1">
        <f>Tabela7[[#This Row],[Força (N)]]/$I$5</f>
        <v>3345904.0435784617</v>
      </c>
      <c r="F262" s="1">
        <f>Tabela7[[#This Row],[Tensão (Pa)]]/1000000</f>
        <v>3.3459040435784617</v>
      </c>
    </row>
    <row r="263" spans="1:6" x14ac:dyDescent="0.3">
      <c r="A263" s="5">
        <v>18.733000000000001</v>
      </c>
      <c r="B263" s="5">
        <v>1.5537000000000001</v>
      </c>
      <c r="C263" s="1">
        <f>Tabela7[[#This Row],[Alongamento (mm/mm)]]/$I$2</f>
        <v>3.1074000000000001E-2</v>
      </c>
      <c r="D263" s="5">
        <v>144.91999999999999</v>
      </c>
      <c r="E263" s="1">
        <f>Tabela7[[#This Row],[Força (N)]]/$I$5</f>
        <v>3373606.1643038383</v>
      </c>
      <c r="F263" s="1">
        <f>Tabela7[[#This Row],[Tensão (Pa)]]/1000000</f>
        <v>3.3736061643038382</v>
      </c>
    </row>
    <row r="264" spans="1:6" x14ac:dyDescent="0.3">
      <c r="A264" s="5">
        <v>18.8</v>
      </c>
      <c r="B264" s="5">
        <v>1.5592999999999999</v>
      </c>
      <c r="C264" s="1">
        <f>Tabela7[[#This Row],[Alongamento (mm/mm)]]/$I$2</f>
        <v>3.1185999999999998E-2</v>
      </c>
      <c r="D264" s="5">
        <v>146.11000000000001</v>
      </c>
      <c r="E264" s="1">
        <f>Tabela7[[#This Row],[Força (N)]]/$I$5</f>
        <v>3401308.2850292153</v>
      </c>
      <c r="F264" s="1">
        <f>Tabela7[[#This Row],[Tensão (Pa)]]/1000000</f>
        <v>3.4013082850292151</v>
      </c>
    </row>
    <row r="265" spans="1:6" x14ac:dyDescent="0.3">
      <c r="A265" s="5">
        <v>18.867000000000001</v>
      </c>
      <c r="B265" s="5">
        <v>1.5648</v>
      </c>
      <c r="C265" s="1">
        <f>Tabela7[[#This Row],[Alongamento (mm/mm)]]/$I$2</f>
        <v>3.1295999999999997E-2</v>
      </c>
      <c r="D265" s="5">
        <v>147.31</v>
      </c>
      <c r="E265" s="1">
        <f>Tabela7[[#This Row],[Força (N)]]/$I$5</f>
        <v>3429243.1966850571</v>
      </c>
      <c r="F265" s="1">
        <f>Tabela7[[#This Row],[Tensão (Pa)]]/1000000</f>
        <v>3.4292431966850572</v>
      </c>
    </row>
    <row r="266" spans="1:6" x14ac:dyDescent="0.3">
      <c r="A266" s="5">
        <v>18.933</v>
      </c>
      <c r="B266" s="5">
        <v>1.5704</v>
      </c>
      <c r="C266" s="1">
        <f>Tabela7[[#This Row],[Alongamento (mm/mm)]]/$I$2</f>
        <v>3.1407999999999998E-2</v>
      </c>
      <c r="D266" s="5">
        <v>148.5</v>
      </c>
      <c r="E266" s="1">
        <f>Tabela7[[#This Row],[Força (N)]]/$I$5</f>
        <v>3456945.3174104337</v>
      </c>
      <c r="F266" s="1">
        <f>Tabela7[[#This Row],[Tensão (Pa)]]/1000000</f>
        <v>3.4569453174104336</v>
      </c>
    </row>
    <row r="267" spans="1:6" x14ac:dyDescent="0.3">
      <c r="A267" s="5">
        <v>19</v>
      </c>
      <c r="B267" s="5">
        <v>1.5759000000000001</v>
      </c>
      <c r="C267" s="1">
        <f>Tabela7[[#This Row],[Alongamento (mm/mm)]]/$I$2</f>
        <v>3.1518000000000004E-2</v>
      </c>
      <c r="D267" s="5">
        <v>149.69</v>
      </c>
      <c r="E267" s="1">
        <f>Tabela7[[#This Row],[Força (N)]]/$I$5</f>
        <v>3484647.4381358102</v>
      </c>
      <c r="F267" s="1">
        <f>Tabela7[[#This Row],[Tensão (Pa)]]/1000000</f>
        <v>3.4846474381358101</v>
      </c>
    </row>
    <row r="268" spans="1:6" x14ac:dyDescent="0.3">
      <c r="A268" s="5">
        <v>19.067</v>
      </c>
      <c r="B268" s="5">
        <v>1.5814999999999999</v>
      </c>
      <c r="C268" s="1">
        <f>Tabela7[[#This Row],[Alongamento (mm/mm)]]/$I$2</f>
        <v>3.1629999999999998E-2</v>
      </c>
      <c r="D268" s="5">
        <v>150.88</v>
      </c>
      <c r="E268" s="1">
        <f>Tabela7[[#This Row],[Força (N)]]/$I$5</f>
        <v>3512349.5588611863</v>
      </c>
      <c r="F268" s="1">
        <f>Tabela7[[#This Row],[Tensão (Pa)]]/1000000</f>
        <v>3.5123495588611862</v>
      </c>
    </row>
    <row r="269" spans="1:6" x14ac:dyDescent="0.3">
      <c r="A269" s="5">
        <v>19.132999999999999</v>
      </c>
      <c r="B269" s="5">
        <v>1.587</v>
      </c>
      <c r="C269" s="1">
        <f>Tabela7[[#This Row],[Alongamento (mm/mm)]]/$I$2</f>
        <v>3.1739999999999997E-2</v>
      </c>
      <c r="D269" s="5">
        <v>152.07</v>
      </c>
      <c r="E269" s="1">
        <f>Tabela7[[#This Row],[Força (N)]]/$I$5</f>
        <v>3540051.6795865628</v>
      </c>
      <c r="F269" s="1">
        <f>Tabela7[[#This Row],[Tensão (Pa)]]/1000000</f>
        <v>3.5400516795865626</v>
      </c>
    </row>
    <row r="270" spans="1:6" x14ac:dyDescent="0.3">
      <c r="A270" s="5">
        <v>19.2</v>
      </c>
      <c r="B270" s="5">
        <v>1.5926</v>
      </c>
      <c r="C270" s="1">
        <f>Tabela7[[#This Row],[Alongamento (mm/mm)]]/$I$2</f>
        <v>3.1851999999999998E-2</v>
      </c>
      <c r="D270" s="5">
        <v>153.26</v>
      </c>
      <c r="E270" s="1">
        <f>Tabela7[[#This Row],[Força (N)]]/$I$5</f>
        <v>3567753.8003119393</v>
      </c>
      <c r="F270" s="1">
        <f>Tabela7[[#This Row],[Tensão (Pa)]]/1000000</f>
        <v>3.5677538003119391</v>
      </c>
    </row>
    <row r="271" spans="1:6" x14ac:dyDescent="0.3">
      <c r="A271" s="5">
        <v>19.25</v>
      </c>
      <c r="B271" s="5">
        <v>1.5968</v>
      </c>
      <c r="C271" s="1">
        <f>Tabela7[[#This Row],[Alongamento (mm/mm)]]/$I$2</f>
        <v>3.1935999999999999E-2</v>
      </c>
      <c r="D271" s="5">
        <v>154.28</v>
      </c>
      <c r="E271" s="1">
        <f>Tabela7[[#This Row],[Força (N)]]/$I$5</f>
        <v>3591498.4752194053</v>
      </c>
      <c r="F271" s="1">
        <f>Tabela7[[#This Row],[Tensão (Pa)]]/1000000</f>
        <v>3.5914984752194052</v>
      </c>
    </row>
    <row r="272" spans="1:6" x14ac:dyDescent="0.3">
      <c r="A272" s="5">
        <v>19.3</v>
      </c>
      <c r="B272" s="5">
        <v>1.6009</v>
      </c>
      <c r="C272" s="1">
        <f>Tabela7[[#This Row],[Alongamento (mm/mm)]]/$I$2</f>
        <v>3.2017999999999998E-2</v>
      </c>
      <c r="D272" s="5">
        <v>155.30000000000001</v>
      </c>
      <c r="E272" s="1">
        <f>Tabela7[[#This Row],[Força (N)]]/$I$5</f>
        <v>3615243.1501268712</v>
      </c>
      <c r="F272" s="1">
        <f>Tabela7[[#This Row],[Tensão (Pa)]]/1000000</f>
        <v>3.6152431501268714</v>
      </c>
    </row>
    <row r="273" spans="1:6" x14ac:dyDescent="0.3">
      <c r="A273" s="5">
        <v>19.367000000000001</v>
      </c>
      <c r="B273" s="5">
        <v>1.6065</v>
      </c>
      <c r="C273" s="1">
        <f>Tabela7[[#This Row],[Alongamento (mm/mm)]]/$I$2</f>
        <v>3.2129999999999999E-2</v>
      </c>
      <c r="D273" s="5">
        <v>156.49</v>
      </c>
      <c r="E273" s="1">
        <f>Tabela7[[#This Row],[Força (N)]]/$I$5</f>
        <v>3642945.2708522477</v>
      </c>
      <c r="F273" s="1">
        <f>Tabela7[[#This Row],[Tensão (Pa)]]/1000000</f>
        <v>3.6429452708522478</v>
      </c>
    </row>
    <row r="274" spans="1:6" x14ac:dyDescent="0.3">
      <c r="A274" s="5">
        <v>19.417000000000002</v>
      </c>
      <c r="B274" s="5">
        <v>1.6106</v>
      </c>
      <c r="C274" s="1">
        <f>Tabela7[[#This Row],[Alongamento (mm/mm)]]/$I$2</f>
        <v>3.2211999999999998E-2</v>
      </c>
      <c r="D274" s="5">
        <v>157.51</v>
      </c>
      <c r="E274" s="1">
        <f>Tabela7[[#This Row],[Força (N)]]/$I$5</f>
        <v>3666689.9457597127</v>
      </c>
      <c r="F274" s="1">
        <f>Tabela7[[#This Row],[Tensão (Pa)]]/1000000</f>
        <v>3.6666899457597126</v>
      </c>
    </row>
    <row r="275" spans="1:6" x14ac:dyDescent="0.3">
      <c r="A275" s="5">
        <v>19.466999999999999</v>
      </c>
      <c r="B275" s="5">
        <v>1.6147</v>
      </c>
      <c r="C275" s="1">
        <f>Tabela7[[#This Row],[Alongamento (mm/mm)]]/$I$2</f>
        <v>3.2294000000000003E-2</v>
      </c>
      <c r="D275" s="5">
        <v>158.53</v>
      </c>
      <c r="E275" s="1">
        <f>Tabela7[[#This Row],[Força (N)]]/$I$5</f>
        <v>3690434.6206671786</v>
      </c>
      <c r="F275" s="1">
        <f>Tabela7[[#This Row],[Tensão (Pa)]]/1000000</f>
        <v>3.6904346206671788</v>
      </c>
    </row>
    <row r="276" spans="1:6" x14ac:dyDescent="0.3">
      <c r="A276" s="5">
        <v>19.533000000000001</v>
      </c>
      <c r="B276" s="5">
        <v>1.6203000000000001</v>
      </c>
      <c r="C276" s="1">
        <f>Tabela7[[#This Row],[Alongamento (mm/mm)]]/$I$2</f>
        <v>3.2406000000000004E-2</v>
      </c>
      <c r="D276" s="5">
        <v>159.88999999999999</v>
      </c>
      <c r="E276" s="1">
        <f>Tabela7[[#This Row],[Força (N)]]/$I$5</f>
        <v>3722094.1872104658</v>
      </c>
      <c r="F276" s="1">
        <f>Tabela7[[#This Row],[Tensão (Pa)]]/1000000</f>
        <v>3.7220941872104656</v>
      </c>
    </row>
    <row r="277" spans="1:6" x14ac:dyDescent="0.3">
      <c r="A277" s="5">
        <v>19.582999999999998</v>
      </c>
      <c r="B277" s="5">
        <v>1.6244000000000001</v>
      </c>
      <c r="C277" s="1">
        <f>Tabela7[[#This Row],[Alongamento (mm/mm)]]/$I$2</f>
        <v>3.2488000000000003E-2</v>
      </c>
      <c r="D277" s="5">
        <v>160.91</v>
      </c>
      <c r="E277" s="1">
        <f>Tabela7[[#This Row],[Força (N)]]/$I$5</f>
        <v>3745838.8621179317</v>
      </c>
      <c r="F277" s="1">
        <f>Tabela7[[#This Row],[Tensão (Pa)]]/1000000</f>
        <v>3.7458388621179317</v>
      </c>
    </row>
    <row r="278" spans="1:6" x14ac:dyDescent="0.3">
      <c r="A278" s="5">
        <v>19.649999999999999</v>
      </c>
      <c r="B278" s="5">
        <v>1.63</v>
      </c>
      <c r="C278" s="1">
        <f>Tabela7[[#This Row],[Alongamento (mm/mm)]]/$I$2</f>
        <v>3.2599999999999997E-2</v>
      </c>
      <c r="D278" s="5">
        <v>162.1</v>
      </c>
      <c r="E278" s="1">
        <f>Tabela7[[#This Row],[Força (N)]]/$I$5</f>
        <v>3773540.9828433082</v>
      </c>
      <c r="F278" s="1">
        <f>Tabela7[[#This Row],[Tensão (Pa)]]/1000000</f>
        <v>3.7735409828433082</v>
      </c>
    </row>
    <row r="279" spans="1:6" x14ac:dyDescent="0.3">
      <c r="A279" s="5">
        <v>19.7</v>
      </c>
      <c r="B279" s="5">
        <v>1.6342000000000001</v>
      </c>
      <c r="C279" s="1">
        <f>Tabela7[[#This Row],[Alongamento (mm/mm)]]/$I$2</f>
        <v>3.2684000000000005E-2</v>
      </c>
      <c r="D279" s="5">
        <v>163.12</v>
      </c>
      <c r="E279" s="1">
        <f>Tabela7[[#This Row],[Força (N)]]/$I$5</f>
        <v>3797285.6577507737</v>
      </c>
      <c r="F279" s="1">
        <f>Tabela7[[#This Row],[Tensão (Pa)]]/1000000</f>
        <v>3.7972856577507739</v>
      </c>
    </row>
    <row r="280" spans="1:6" x14ac:dyDescent="0.3">
      <c r="A280" s="5">
        <v>19.75</v>
      </c>
      <c r="B280" s="5">
        <v>1.6384000000000001</v>
      </c>
      <c r="C280" s="1">
        <f>Tabela7[[#This Row],[Alongamento (mm/mm)]]/$I$2</f>
        <v>3.2767999999999999E-2</v>
      </c>
      <c r="D280" s="5">
        <v>164.15</v>
      </c>
      <c r="E280" s="1">
        <f>Tabela7[[#This Row],[Força (N)]]/$I$5</f>
        <v>3821263.123588705</v>
      </c>
      <c r="F280" s="1">
        <f>Tabela7[[#This Row],[Tensão (Pa)]]/1000000</f>
        <v>3.8212631235887051</v>
      </c>
    </row>
    <row r="281" spans="1:6" x14ac:dyDescent="0.3">
      <c r="A281" s="5">
        <v>19.8</v>
      </c>
      <c r="B281" s="5">
        <v>1.6426000000000001</v>
      </c>
      <c r="C281" s="1">
        <f>Tabela7[[#This Row],[Alongamento (mm/mm)]]/$I$2</f>
        <v>3.2851999999999999E-2</v>
      </c>
      <c r="D281" s="5">
        <v>165.17</v>
      </c>
      <c r="E281" s="1">
        <f>Tabela7[[#This Row],[Força (N)]]/$I$5</f>
        <v>3845007.79849617</v>
      </c>
      <c r="F281" s="1">
        <f>Tabela7[[#This Row],[Tensão (Pa)]]/1000000</f>
        <v>3.8450077984961699</v>
      </c>
    </row>
    <row r="282" spans="1:6" x14ac:dyDescent="0.3">
      <c r="A282" s="5">
        <v>19.850000000000001</v>
      </c>
      <c r="B282" s="5">
        <v>1.6467000000000001</v>
      </c>
      <c r="C282" s="1">
        <f>Tabela7[[#This Row],[Alongamento (mm/mm)]]/$I$2</f>
        <v>3.2933999999999998E-2</v>
      </c>
      <c r="D282" s="5">
        <v>166.19</v>
      </c>
      <c r="E282" s="1">
        <f>Tabela7[[#This Row],[Força (N)]]/$I$5</f>
        <v>3868752.4734036359</v>
      </c>
      <c r="F282" s="1">
        <f>Tabela7[[#This Row],[Tensão (Pa)]]/1000000</f>
        <v>3.868752473403636</v>
      </c>
    </row>
    <row r="283" spans="1:6" x14ac:dyDescent="0.3">
      <c r="A283" s="5">
        <v>19.899999999999999</v>
      </c>
      <c r="B283" s="5">
        <v>1.6508</v>
      </c>
      <c r="C283" s="1">
        <f>Tabela7[[#This Row],[Alongamento (mm/mm)]]/$I$2</f>
        <v>3.3016000000000004E-2</v>
      </c>
      <c r="D283" s="5">
        <v>167.38</v>
      </c>
      <c r="E283" s="1">
        <f>Tabela7[[#This Row],[Força (N)]]/$I$5</f>
        <v>3896454.5941290124</v>
      </c>
      <c r="F283" s="1">
        <f>Tabela7[[#This Row],[Tensão (Pa)]]/1000000</f>
        <v>3.8964545941290125</v>
      </c>
    </row>
    <row r="284" spans="1:6" x14ac:dyDescent="0.3">
      <c r="A284" s="5">
        <v>19.966999999999999</v>
      </c>
      <c r="B284" s="5">
        <v>1.6563000000000001</v>
      </c>
      <c r="C284" s="1">
        <f>Tabela7[[#This Row],[Alongamento (mm/mm)]]/$I$2</f>
        <v>3.3126000000000003E-2</v>
      </c>
      <c r="D284" s="5">
        <v>168.57</v>
      </c>
      <c r="E284" s="1">
        <f>Tabela7[[#This Row],[Força (N)]]/$I$5</f>
        <v>3924156.714854389</v>
      </c>
      <c r="F284" s="1">
        <f>Tabela7[[#This Row],[Tensão (Pa)]]/1000000</f>
        <v>3.924156714854389</v>
      </c>
    </row>
    <row r="285" spans="1:6" x14ac:dyDescent="0.3">
      <c r="A285" s="5">
        <v>20.016999999999999</v>
      </c>
      <c r="B285" s="5">
        <v>1.6606000000000001</v>
      </c>
      <c r="C285" s="1">
        <f>Tabela7[[#This Row],[Alongamento (mm/mm)]]/$I$2</f>
        <v>3.3211999999999998E-2</v>
      </c>
      <c r="D285" s="5">
        <v>169.59</v>
      </c>
      <c r="E285" s="1">
        <f>Tabela7[[#This Row],[Força (N)]]/$I$5</f>
        <v>3947901.3897618549</v>
      </c>
      <c r="F285" s="1">
        <f>Tabela7[[#This Row],[Tensão (Pa)]]/1000000</f>
        <v>3.9479013897618547</v>
      </c>
    </row>
    <row r="286" spans="1:6" x14ac:dyDescent="0.3">
      <c r="A286" s="5">
        <v>20.067</v>
      </c>
      <c r="B286" s="5">
        <v>1.6648000000000001</v>
      </c>
      <c r="C286" s="1">
        <f>Tabela7[[#This Row],[Alongamento (mm/mm)]]/$I$2</f>
        <v>3.3295999999999999E-2</v>
      </c>
      <c r="D286" s="5">
        <v>170.78</v>
      </c>
      <c r="E286" s="1">
        <f>Tabela7[[#This Row],[Força (N)]]/$I$5</f>
        <v>3975603.5104872314</v>
      </c>
      <c r="F286" s="1">
        <f>Tabela7[[#This Row],[Tensão (Pa)]]/1000000</f>
        <v>3.9756035104872316</v>
      </c>
    </row>
    <row r="287" spans="1:6" x14ac:dyDescent="0.3">
      <c r="A287" s="5">
        <v>20.117000000000001</v>
      </c>
      <c r="B287" s="5">
        <v>1.669</v>
      </c>
      <c r="C287" s="1">
        <f>Tabela7[[#This Row],[Alongamento (mm/mm)]]/$I$2</f>
        <v>3.338E-2</v>
      </c>
      <c r="D287" s="5">
        <v>171.8</v>
      </c>
      <c r="E287" s="1">
        <f>Tabela7[[#This Row],[Força (N)]]/$I$5</f>
        <v>3999348.1853946969</v>
      </c>
      <c r="F287" s="1">
        <f>Tabela7[[#This Row],[Tensão (Pa)]]/1000000</f>
        <v>3.9993481853946968</v>
      </c>
    </row>
    <row r="288" spans="1:6" x14ac:dyDescent="0.3">
      <c r="A288" s="5">
        <v>20.167000000000002</v>
      </c>
      <c r="B288" s="5">
        <v>1.6732</v>
      </c>
      <c r="C288" s="1">
        <f>Tabela7[[#This Row],[Alongamento (mm/mm)]]/$I$2</f>
        <v>3.3464000000000001E-2</v>
      </c>
      <c r="D288" s="5">
        <v>172.82</v>
      </c>
      <c r="E288" s="1">
        <f>Tabela7[[#This Row],[Força (N)]]/$I$5</f>
        <v>4023092.8603021624</v>
      </c>
      <c r="F288" s="1">
        <f>Tabela7[[#This Row],[Tensão (Pa)]]/1000000</f>
        <v>4.0230928603021621</v>
      </c>
    </row>
    <row r="289" spans="1:6" x14ac:dyDescent="0.3">
      <c r="A289" s="5">
        <v>20.216999999999999</v>
      </c>
      <c r="B289" s="5">
        <v>1.6773</v>
      </c>
      <c r="C289" s="1">
        <f>Tabela7[[#This Row],[Alongamento (mm/mm)]]/$I$2</f>
        <v>3.3545999999999999E-2</v>
      </c>
      <c r="D289" s="5">
        <v>173.84</v>
      </c>
      <c r="E289" s="1">
        <f>Tabela7[[#This Row],[Força (N)]]/$I$5</f>
        <v>4046837.5352096283</v>
      </c>
      <c r="F289" s="1">
        <f>Tabela7[[#This Row],[Tensão (Pa)]]/1000000</f>
        <v>4.0468375352096286</v>
      </c>
    </row>
    <row r="290" spans="1:6" x14ac:dyDescent="0.3">
      <c r="A290" s="5">
        <v>20.266999999999999</v>
      </c>
      <c r="B290" s="5">
        <v>1.6814</v>
      </c>
      <c r="C290" s="1">
        <f>Tabela7[[#This Row],[Alongamento (mm/mm)]]/$I$2</f>
        <v>3.3627999999999998E-2</v>
      </c>
      <c r="D290" s="5">
        <v>175.03</v>
      </c>
      <c r="E290" s="1">
        <f>Tabela7[[#This Row],[Força (N)]]/$I$5</f>
        <v>4074539.6559350048</v>
      </c>
      <c r="F290" s="1">
        <f>Tabela7[[#This Row],[Tensão (Pa)]]/1000000</f>
        <v>4.0745396559350047</v>
      </c>
    </row>
    <row r="291" spans="1:6" x14ac:dyDescent="0.3">
      <c r="A291" s="5">
        <v>20.332999999999998</v>
      </c>
      <c r="B291" s="5">
        <v>1.6870000000000001</v>
      </c>
      <c r="C291" s="1">
        <f>Tabela7[[#This Row],[Alongamento (mm/mm)]]/$I$2</f>
        <v>3.3739999999999999E-2</v>
      </c>
      <c r="D291" s="5">
        <v>176.39</v>
      </c>
      <c r="E291" s="1">
        <f>Tabela7[[#This Row],[Força (N)]]/$I$5</f>
        <v>4106199.2224782915</v>
      </c>
      <c r="F291" s="1">
        <f>Tabela7[[#This Row],[Tensão (Pa)]]/1000000</f>
        <v>4.1061992224782911</v>
      </c>
    </row>
    <row r="292" spans="1:6" x14ac:dyDescent="0.3">
      <c r="A292" s="5">
        <v>20.399999999999999</v>
      </c>
      <c r="B292" s="5">
        <v>1.6924999999999999</v>
      </c>
      <c r="C292" s="1">
        <f>Tabela7[[#This Row],[Alongamento (mm/mm)]]/$I$2</f>
        <v>3.3849999999999998E-2</v>
      </c>
      <c r="D292" s="5">
        <v>177.75</v>
      </c>
      <c r="E292" s="1">
        <f>Tabela7[[#This Row],[Força (N)]]/$I$5</f>
        <v>4137858.7890215795</v>
      </c>
      <c r="F292" s="1">
        <f>Tabela7[[#This Row],[Tensão (Pa)]]/1000000</f>
        <v>4.1378587890215792</v>
      </c>
    </row>
    <row r="293" spans="1:6" x14ac:dyDescent="0.3">
      <c r="A293" s="5">
        <v>20.466999999999999</v>
      </c>
      <c r="B293" s="5">
        <v>1.6980999999999999</v>
      </c>
      <c r="C293" s="1">
        <f>Tabela7[[#This Row],[Alongamento (mm/mm)]]/$I$2</f>
        <v>3.3961999999999999E-2</v>
      </c>
      <c r="D293" s="5">
        <v>179.28</v>
      </c>
      <c r="E293" s="1">
        <f>Tabela7[[#This Row],[Força (N)]]/$I$5</f>
        <v>4173475.8013827777</v>
      </c>
      <c r="F293" s="1">
        <f>Tabela7[[#This Row],[Tensão (Pa)]]/1000000</f>
        <v>4.1734758013827777</v>
      </c>
    </row>
    <row r="294" spans="1:6" x14ac:dyDescent="0.3">
      <c r="A294" s="5">
        <v>20.533000000000001</v>
      </c>
      <c r="B294" s="5">
        <v>1.7036</v>
      </c>
      <c r="C294" s="1">
        <f>Tabela7[[#This Row],[Alongamento (mm/mm)]]/$I$2</f>
        <v>3.4071999999999998E-2</v>
      </c>
      <c r="D294" s="5">
        <v>180.64</v>
      </c>
      <c r="E294" s="1">
        <f>Tabela7[[#This Row],[Força (N)]]/$I$5</f>
        <v>4205135.3679260649</v>
      </c>
      <c r="F294" s="1">
        <f>Tabela7[[#This Row],[Tensão (Pa)]]/1000000</f>
        <v>4.205135367926065</v>
      </c>
    </row>
    <row r="295" spans="1:6" x14ac:dyDescent="0.3">
      <c r="A295" s="5">
        <v>20.6</v>
      </c>
      <c r="B295" s="5">
        <v>1.7092000000000001</v>
      </c>
      <c r="C295" s="1">
        <f>Tabela7[[#This Row],[Alongamento (mm/mm)]]/$I$2</f>
        <v>3.4183999999999999E-2</v>
      </c>
      <c r="D295" s="5">
        <v>182.18</v>
      </c>
      <c r="E295" s="1">
        <f>Tabela7[[#This Row],[Força (N)]]/$I$5</f>
        <v>4240985.1712177293</v>
      </c>
      <c r="F295" s="1">
        <f>Tabela7[[#This Row],[Tensão (Pa)]]/1000000</f>
        <v>4.2409851712177291</v>
      </c>
    </row>
    <row r="296" spans="1:6" x14ac:dyDescent="0.3">
      <c r="A296" s="5">
        <v>20.667000000000002</v>
      </c>
      <c r="B296" s="5">
        <v>1.7149000000000001</v>
      </c>
      <c r="C296" s="1">
        <f>Tabela7[[#This Row],[Alongamento (mm/mm)]]/$I$2</f>
        <v>3.4298000000000002E-2</v>
      </c>
      <c r="D296" s="5">
        <v>183.71</v>
      </c>
      <c r="E296" s="1">
        <f>Tabela7[[#This Row],[Força (N)]]/$I$5</f>
        <v>4276602.183578928</v>
      </c>
      <c r="F296" s="1">
        <f>Tabela7[[#This Row],[Tensão (Pa)]]/1000000</f>
        <v>4.2766021835789276</v>
      </c>
    </row>
    <row r="297" spans="1:6" x14ac:dyDescent="0.3">
      <c r="A297" s="5">
        <v>20.733000000000001</v>
      </c>
      <c r="B297" s="5">
        <v>1.7203999999999999</v>
      </c>
      <c r="C297" s="1">
        <f>Tabela7[[#This Row],[Alongamento (mm/mm)]]/$I$2</f>
        <v>3.4408000000000001E-2</v>
      </c>
      <c r="D297" s="5">
        <v>185.24</v>
      </c>
      <c r="E297" s="1">
        <f>Tabela7[[#This Row],[Força (N)]]/$I$5</f>
        <v>4312219.1959401257</v>
      </c>
      <c r="F297" s="1">
        <f>Tabela7[[#This Row],[Tensão (Pa)]]/1000000</f>
        <v>4.3122191959401261</v>
      </c>
    </row>
    <row r="298" spans="1:6" x14ac:dyDescent="0.3">
      <c r="A298" s="5">
        <v>20.8</v>
      </c>
      <c r="B298" s="5">
        <v>1.7259</v>
      </c>
      <c r="C298" s="1">
        <f>Tabela7[[#This Row],[Alongamento (mm/mm)]]/$I$2</f>
        <v>3.4518E-2</v>
      </c>
      <c r="D298" s="5">
        <v>186.6</v>
      </c>
      <c r="E298" s="1">
        <f>Tabela7[[#This Row],[Força (N)]]/$I$5</f>
        <v>4343878.7624834133</v>
      </c>
      <c r="F298" s="1">
        <f>Tabela7[[#This Row],[Tensão (Pa)]]/1000000</f>
        <v>4.3438787624834134</v>
      </c>
    </row>
    <row r="299" spans="1:6" x14ac:dyDescent="0.3">
      <c r="A299" s="5">
        <v>20.867000000000001</v>
      </c>
      <c r="B299" s="5">
        <v>1.7314000000000001</v>
      </c>
      <c r="C299" s="1">
        <f>Tabela7[[#This Row],[Alongamento (mm/mm)]]/$I$2</f>
        <v>3.4627999999999999E-2</v>
      </c>
      <c r="D299" s="5">
        <v>188.13</v>
      </c>
      <c r="E299" s="1">
        <f>Tabela7[[#This Row],[Força (N)]]/$I$5</f>
        <v>4379495.774844612</v>
      </c>
      <c r="F299" s="1">
        <f>Tabela7[[#This Row],[Tensão (Pa)]]/1000000</f>
        <v>4.3794957748446119</v>
      </c>
    </row>
    <row r="300" spans="1:6" x14ac:dyDescent="0.3">
      <c r="A300" s="5">
        <v>20.933</v>
      </c>
      <c r="B300" s="5">
        <v>1.7370000000000001</v>
      </c>
      <c r="C300" s="1">
        <f>Tabela7[[#This Row],[Alongamento (mm/mm)]]/$I$2</f>
        <v>3.474E-2</v>
      </c>
      <c r="D300" s="5">
        <v>189.66</v>
      </c>
      <c r="E300" s="1">
        <f>Tabela7[[#This Row],[Força (N)]]/$I$5</f>
        <v>4415112.7872058097</v>
      </c>
      <c r="F300" s="1">
        <f>Tabela7[[#This Row],[Tensão (Pa)]]/1000000</f>
        <v>4.4151127872058096</v>
      </c>
    </row>
    <row r="301" spans="1:6" x14ac:dyDescent="0.3">
      <c r="A301" s="5">
        <v>21</v>
      </c>
      <c r="B301" s="5">
        <v>1.7425999999999999</v>
      </c>
      <c r="C301" s="1">
        <f>Tabela7[[#This Row],[Alongamento (mm/mm)]]/$I$2</f>
        <v>3.4852000000000001E-2</v>
      </c>
      <c r="D301" s="5">
        <v>191.19</v>
      </c>
      <c r="E301" s="1">
        <f>Tabela7[[#This Row],[Força (N)]]/$I$5</f>
        <v>4450729.7995670084</v>
      </c>
      <c r="F301" s="1">
        <f>Tabela7[[#This Row],[Tensão (Pa)]]/1000000</f>
        <v>4.4507297995670081</v>
      </c>
    </row>
    <row r="302" spans="1:6" x14ac:dyDescent="0.3">
      <c r="A302" s="5">
        <v>21.067</v>
      </c>
      <c r="B302" s="5">
        <v>1.7481</v>
      </c>
      <c r="C302" s="1">
        <f>Tabela7[[#This Row],[Alongamento (mm/mm)]]/$I$2</f>
        <v>3.4962E-2</v>
      </c>
      <c r="D302" s="5">
        <v>192.89</v>
      </c>
      <c r="E302" s="1">
        <f>Tabela7[[#This Row],[Força (N)]]/$I$5</f>
        <v>4490304.2577461181</v>
      </c>
      <c r="F302" s="1">
        <f>Tabela7[[#This Row],[Tensão (Pa)]]/1000000</f>
        <v>4.4903042577461179</v>
      </c>
    </row>
    <row r="303" spans="1:6" x14ac:dyDescent="0.3">
      <c r="A303" s="5">
        <v>21.132999999999999</v>
      </c>
      <c r="B303" s="5">
        <v>1.7537</v>
      </c>
      <c r="C303" s="1">
        <f>Tabela7[[#This Row],[Alongamento (mm/mm)]]/$I$2</f>
        <v>3.5074000000000001E-2</v>
      </c>
      <c r="D303" s="5">
        <v>194.42</v>
      </c>
      <c r="E303" s="1">
        <f>Tabela7[[#This Row],[Força (N)]]/$I$5</f>
        <v>4525921.2701073159</v>
      </c>
      <c r="F303" s="1">
        <f>Tabela7[[#This Row],[Tensão (Pa)]]/1000000</f>
        <v>4.5259212701073155</v>
      </c>
    </row>
    <row r="304" spans="1:6" x14ac:dyDescent="0.3">
      <c r="A304" s="5">
        <v>21.2</v>
      </c>
      <c r="B304" s="5">
        <v>1.7593000000000001</v>
      </c>
      <c r="C304" s="1">
        <f>Tabela7[[#This Row],[Alongamento (mm/mm)]]/$I$2</f>
        <v>3.5186000000000002E-2</v>
      </c>
      <c r="D304" s="5">
        <v>195.95</v>
      </c>
      <c r="E304" s="1">
        <f>Tabela7[[#This Row],[Força (N)]]/$I$5</f>
        <v>4561538.2824685145</v>
      </c>
      <c r="F304" s="1">
        <f>Tabela7[[#This Row],[Tensão (Pa)]]/1000000</f>
        <v>4.5615382824685149</v>
      </c>
    </row>
    <row r="305" spans="1:6" x14ac:dyDescent="0.3">
      <c r="A305" s="5">
        <v>21.266999999999999</v>
      </c>
      <c r="B305" s="5">
        <v>1.7647999999999999</v>
      </c>
      <c r="C305" s="1">
        <f>Tabela7[[#This Row],[Alongamento (mm/mm)]]/$I$2</f>
        <v>3.5296000000000001E-2</v>
      </c>
      <c r="D305" s="5">
        <v>197.48</v>
      </c>
      <c r="E305" s="1">
        <f>Tabela7[[#This Row],[Força (N)]]/$I$5</f>
        <v>4597155.2948297132</v>
      </c>
      <c r="F305" s="1">
        <f>Tabela7[[#This Row],[Tensão (Pa)]]/1000000</f>
        <v>4.5971552948297134</v>
      </c>
    </row>
    <row r="306" spans="1:6" x14ac:dyDescent="0.3">
      <c r="A306" s="5">
        <v>21.332999999999998</v>
      </c>
      <c r="B306" s="5">
        <v>1.7703</v>
      </c>
      <c r="C306" s="1">
        <f>Tabela7[[#This Row],[Alongamento (mm/mm)]]/$I$2</f>
        <v>3.5406E-2</v>
      </c>
      <c r="D306" s="5">
        <v>199.02</v>
      </c>
      <c r="E306" s="1">
        <f>Tabela7[[#This Row],[Força (N)]]/$I$5</f>
        <v>4633005.0981213776</v>
      </c>
      <c r="F306" s="1">
        <f>Tabela7[[#This Row],[Tensão (Pa)]]/1000000</f>
        <v>4.6330050981213775</v>
      </c>
    </row>
    <row r="307" spans="1:6" x14ac:dyDescent="0.3">
      <c r="A307" s="5">
        <v>21.4</v>
      </c>
      <c r="B307" s="5">
        <v>1.7759</v>
      </c>
      <c r="C307" s="1">
        <f>Tabela7[[#This Row],[Alongamento (mm/mm)]]/$I$2</f>
        <v>3.5518000000000001E-2</v>
      </c>
      <c r="D307" s="5">
        <v>200.55</v>
      </c>
      <c r="E307" s="1">
        <f>Tabela7[[#This Row],[Força (N)]]/$I$5</f>
        <v>4668622.1104825754</v>
      </c>
      <c r="F307" s="1">
        <f>Tabela7[[#This Row],[Tensão (Pa)]]/1000000</f>
        <v>4.6686221104825751</v>
      </c>
    </row>
    <row r="308" spans="1:6" x14ac:dyDescent="0.3">
      <c r="A308" s="5">
        <v>21.45</v>
      </c>
      <c r="B308" s="5">
        <v>1.78</v>
      </c>
      <c r="C308" s="1">
        <f>Tabela7[[#This Row],[Alongamento (mm/mm)]]/$I$2</f>
        <v>3.56E-2</v>
      </c>
      <c r="D308" s="5">
        <v>201.91</v>
      </c>
      <c r="E308" s="1">
        <f>Tabela7[[#This Row],[Força (N)]]/$I$5</f>
        <v>4700281.677025863</v>
      </c>
      <c r="F308" s="1">
        <f>Tabela7[[#This Row],[Tensão (Pa)]]/1000000</f>
        <v>4.7002816770258633</v>
      </c>
    </row>
    <row r="309" spans="1:6" x14ac:dyDescent="0.3">
      <c r="A309" s="5">
        <v>21.516999999999999</v>
      </c>
      <c r="B309" s="5">
        <v>1.7856000000000001</v>
      </c>
      <c r="C309" s="1">
        <f>Tabela7[[#This Row],[Alongamento (mm/mm)]]/$I$2</f>
        <v>3.5712000000000001E-2</v>
      </c>
      <c r="D309" s="5">
        <v>203.44</v>
      </c>
      <c r="E309" s="1">
        <f>Tabela7[[#This Row],[Força (N)]]/$I$5</f>
        <v>4735898.6893870616</v>
      </c>
      <c r="F309" s="1">
        <f>Tabela7[[#This Row],[Tensão (Pa)]]/1000000</f>
        <v>4.7358986893870618</v>
      </c>
    </row>
    <row r="310" spans="1:6" x14ac:dyDescent="0.3">
      <c r="A310" s="5">
        <v>21.567</v>
      </c>
      <c r="B310" s="5">
        <v>1.7898000000000001</v>
      </c>
      <c r="C310" s="1">
        <f>Tabela7[[#This Row],[Alongamento (mm/mm)]]/$I$2</f>
        <v>3.5796000000000001E-2</v>
      </c>
      <c r="D310" s="5">
        <v>204.8</v>
      </c>
      <c r="E310" s="1">
        <f>Tabela7[[#This Row],[Força (N)]]/$I$5</f>
        <v>4767558.2559303492</v>
      </c>
      <c r="F310" s="1">
        <f>Tabela7[[#This Row],[Tensão (Pa)]]/1000000</f>
        <v>4.7675582559303491</v>
      </c>
    </row>
    <row r="311" spans="1:6" x14ac:dyDescent="0.3">
      <c r="A311" s="5">
        <v>21.632999999999999</v>
      </c>
      <c r="B311" s="5">
        <v>1.7952999999999999</v>
      </c>
      <c r="C311" s="1">
        <f>Tabela7[[#This Row],[Alongamento (mm/mm)]]/$I$2</f>
        <v>3.5906E-2</v>
      </c>
      <c r="D311" s="5">
        <v>206.33</v>
      </c>
      <c r="E311" s="1">
        <f>Tabela7[[#This Row],[Força (N)]]/$I$5</f>
        <v>4803175.268291547</v>
      </c>
      <c r="F311" s="1">
        <f>Tabela7[[#This Row],[Tensão (Pa)]]/1000000</f>
        <v>4.8031752682915467</v>
      </c>
    </row>
    <row r="312" spans="1:6" x14ac:dyDescent="0.3">
      <c r="A312" s="5">
        <v>21.7</v>
      </c>
      <c r="B312" s="5">
        <v>1.8008999999999999</v>
      </c>
      <c r="C312" s="1">
        <f>Tabela7[[#This Row],[Alongamento (mm/mm)]]/$I$2</f>
        <v>3.6018000000000001E-2</v>
      </c>
      <c r="D312" s="5">
        <v>208.03</v>
      </c>
      <c r="E312" s="1">
        <f>Tabela7[[#This Row],[Força (N)]]/$I$5</f>
        <v>4842749.7264706567</v>
      </c>
      <c r="F312" s="1">
        <f>Tabela7[[#This Row],[Tensão (Pa)]]/1000000</f>
        <v>4.8427497264706565</v>
      </c>
    </row>
    <row r="313" spans="1:6" x14ac:dyDescent="0.3">
      <c r="A313" s="5">
        <v>21.766999999999999</v>
      </c>
      <c r="B313" s="5">
        <v>1.8064</v>
      </c>
      <c r="C313" s="1">
        <f>Tabela7[[#This Row],[Alongamento (mm/mm)]]/$I$2</f>
        <v>3.6128E-2</v>
      </c>
      <c r="D313" s="5">
        <v>209.73</v>
      </c>
      <c r="E313" s="1">
        <f>Tabela7[[#This Row],[Força (N)]]/$I$5</f>
        <v>4882324.1846497655</v>
      </c>
      <c r="F313" s="1">
        <f>Tabela7[[#This Row],[Tensão (Pa)]]/1000000</f>
        <v>4.8823241846497654</v>
      </c>
    </row>
    <row r="314" spans="1:6" x14ac:dyDescent="0.3">
      <c r="A314" s="5">
        <v>21.832999999999998</v>
      </c>
      <c r="B314" s="5">
        <v>1.8120000000000001</v>
      </c>
      <c r="C314" s="1">
        <f>Tabela7[[#This Row],[Alongamento (mm/mm)]]/$I$2</f>
        <v>3.6240000000000001E-2</v>
      </c>
      <c r="D314" s="5">
        <v>211.43</v>
      </c>
      <c r="E314" s="1">
        <f>Tabela7[[#This Row],[Força (N)]]/$I$5</f>
        <v>4921898.6428288752</v>
      </c>
      <c r="F314" s="1">
        <f>Tabela7[[#This Row],[Tensão (Pa)]]/1000000</f>
        <v>4.9218986428288751</v>
      </c>
    </row>
    <row r="315" spans="1:6" x14ac:dyDescent="0.3">
      <c r="A315" s="5">
        <v>21.9</v>
      </c>
      <c r="B315" s="5">
        <v>1.8174999999999999</v>
      </c>
      <c r="C315" s="1">
        <f>Tabela7[[#This Row],[Alongamento (mm/mm)]]/$I$2</f>
        <v>3.635E-2</v>
      </c>
      <c r="D315" s="5">
        <v>212.96</v>
      </c>
      <c r="E315" s="1">
        <f>Tabela7[[#This Row],[Força (N)]]/$I$5</f>
        <v>4957515.6551900739</v>
      </c>
      <c r="F315" s="1">
        <f>Tabela7[[#This Row],[Tensão (Pa)]]/1000000</f>
        <v>4.9575156551900736</v>
      </c>
    </row>
    <row r="316" spans="1:6" x14ac:dyDescent="0.3">
      <c r="A316" s="5">
        <v>21.95</v>
      </c>
      <c r="B316" s="5">
        <v>1.8217000000000001</v>
      </c>
      <c r="C316" s="1">
        <f>Tabela7[[#This Row],[Alongamento (mm/mm)]]/$I$2</f>
        <v>3.6434000000000001E-2</v>
      </c>
      <c r="D316" s="5">
        <v>214.32</v>
      </c>
      <c r="E316" s="1">
        <f>Tabela7[[#This Row],[Força (N)]]/$I$5</f>
        <v>4989175.2217333606</v>
      </c>
      <c r="F316" s="1">
        <f>Tabela7[[#This Row],[Tensão (Pa)]]/1000000</f>
        <v>4.9891752217333609</v>
      </c>
    </row>
    <row r="317" spans="1:6" x14ac:dyDescent="0.3">
      <c r="A317" s="5">
        <v>22</v>
      </c>
      <c r="B317" s="5">
        <v>1.8258000000000001</v>
      </c>
      <c r="C317" s="1">
        <f>Tabela7[[#This Row],[Alongamento (mm/mm)]]/$I$2</f>
        <v>3.6516E-2</v>
      </c>
      <c r="D317" s="5">
        <v>215.69</v>
      </c>
      <c r="E317" s="1">
        <f>Tabela7[[#This Row],[Força (N)]]/$I$5</f>
        <v>5021067.5792071139</v>
      </c>
      <c r="F317" s="1">
        <f>Tabela7[[#This Row],[Tensão (Pa)]]/1000000</f>
        <v>5.0210675792071138</v>
      </c>
    </row>
    <row r="318" spans="1:6" x14ac:dyDescent="0.3">
      <c r="A318" s="5">
        <v>22.067</v>
      </c>
      <c r="B318" s="5">
        <v>1.8313999999999999</v>
      </c>
      <c r="C318" s="1">
        <f>Tabela7[[#This Row],[Alongamento (mm/mm)]]/$I$2</f>
        <v>3.6628000000000001E-2</v>
      </c>
      <c r="D318" s="5">
        <v>217.39</v>
      </c>
      <c r="E318" s="1">
        <f>Tabela7[[#This Row],[Força (N)]]/$I$5</f>
        <v>5060642.0373862227</v>
      </c>
      <c r="F318" s="1">
        <f>Tabela7[[#This Row],[Tensão (Pa)]]/1000000</f>
        <v>5.0606420373862226</v>
      </c>
    </row>
    <row r="319" spans="1:6" x14ac:dyDescent="0.3">
      <c r="A319" s="5">
        <v>22.117000000000001</v>
      </c>
      <c r="B319" s="5">
        <v>1.8357000000000001</v>
      </c>
      <c r="C319" s="1">
        <f>Tabela7[[#This Row],[Alongamento (mm/mm)]]/$I$2</f>
        <v>3.6714000000000004E-2</v>
      </c>
      <c r="D319" s="5">
        <v>218.75</v>
      </c>
      <c r="E319" s="1">
        <f>Tabela7[[#This Row],[Força (N)]]/$I$5</f>
        <v>5092301.6039295103</v>
      </c>
      <c r="F319" s="1">
        <f>Tabela7[[#This Row],[Tensão (Pa)]]/1000000</f>
        <v>5.0923016039295099</v>
      </c>
    </row>
    <row r="320" spans="1:6" x14ac:dyDescent="0.3">
      <c r="A320" s="5">
        <v>22.183</v>
      </c>
      <c r="B320" s="5">
        <v>1.8411999999999999</v>
      </c>
      <c r="C320" s="1">
        <f>Tabela7[[#This Row],[Alongamento (mm/mm)]]/$I$2</f>
        <v>3.6823999999999996E-2</v>
      </c>
      <c r="D320" s="5">
        <v>220.45</v>
      </c>
      <c r="E320" s="1">
        <f>Tabela7[[#This Row],[Força (N)]]/$I$5</f>
        <v>5131876.0621086201</v>
      </c>
      <c r="F320" s="1">
        <f>Tabela7[[#This Row],[Tensão (Pa)]]/1000000</f>
        <v>5.1318760621086197</v>
      </c>
    </row>
    <row r="321" spans="1:6" x14ac:dyDescent="0.3">
      <c r="A321" s="5">
        <v>22.25</v>
      </c>
      <c r="B321" s="5">
        <v>1.8466</v>
      </c>
      <c r="C321" s="1">
        <f>Tabela7[[#This Row],[Alongamento (mm/mm)]]/$I$2</f>
        <v>3.6932E-2</v>
      </c>
      <c r="D321" s="5">
        <v>222.15</v>
      </c>
      <c r="E321" s="1">
        <f>Tabela7[[#This Row],[Força (N)]]/$I$5</f>
        <v>5171450.5202877298</v>
      </c>
      <c r="F321" s="1">
        <f>Tabela7[[#This Row],[Tensão (Pa)]]/1000000</f>
        <v>5.1714505202877294</v>
      </c>
    </row>
    <row r="322" spans="1:6" x14ac:dyDescent="0.3">
      <c r="A322" s="5">
        <v>22.317</v>
      </c>
      <c r="B322" s="5">
        <v>1.8522000000000001</v>
      </c>
      <c r="C322" s="1">
        <f>Tabela7[[#This Row],[Alongamento (mm/mm)]]/$I$2</f>
        <v>3.7044000000000001E-2</v>
      </c>
      <c r="D322" s="5">
        <v>223.85</v>
      </c>
      <c r="E322" s="1">
        <f>Tabela7[[#This Row],[Força (N)]]/$I$5</f>
        <v>5211024.9784668386</v>
      </c>
      <c r="F322" s="1">
        <f>Tabela7[[#This Row],[Tensão (Pa)]]/1000000</f>
        <v>5.2110249784668383</v>
      </c>
    </row>
    <row r="323" spans="1:6" x14ac:dyDescent="0.3">
      <c r="A323" s="5">
        <v>22.382999999999999</v>
      </c>
      <c r="B323" s="5">
        <v>1.8577999999999999</v>
      </c>
      <c r="C323" s="1">
        <f>Tabela7[[#This Row],[Alongamento (mm/mm)]]/$I$2</f>
        <v>3.7155999999999995E-2</v>
      </c>
      <c r="D323" s="5">
        <v>225.72</v>
      </c>
      <c r="E323" s="1">
        <f>Tabela7[[#This Row],[Força (N)]]/$I$5</f>
        <v>5254556.8824638585</v>
      </c>
      <c r="F323" s="1">
        <f>Tabela7[[#This Row],[Tensão (Pa)]]/1000000</f>
        <v>5.2545568824638584</v>
      </c>
    </row>
    <row r="324" spans="1:6" x14ac:dyDescent="0.3">
      <c r="A324" s="5">
        <v>22.45</v>
      </c>
      <c r="B324" s="5">
        <v>1.8633999999999999</v>
      </c>
      <c r="C324" s="1">
        <f>Tabela7[[#This Row],[Alongamento (mm/mm)]]/$I$2</f>
        <v>3.7267999999999996E-2</v>
      </c>
      <c r="D324" s="5">
        <v>227.42</v>
      </c>
      <c r="E324" s="1">
        <f>Tabela7[[#This Row],[Força (N)]]/$I$5</f>
        <v>5294131.3406429682</v>
      </c>
      <c r="F324" s="1">
        <f>Tabela7[[#This Row],[Tensão (Pa)]]/1000000</f>
        <v>5.2941313406429682</v>
      </c>
    </row>
    <row r="325" spans="1:6" x14ac:dyDescent="0.3">
      <c r="A325" s="5">
        <v>22.516999999999999</v>
      </c>
      <c r="B325" s="5">
        <v>1.869</v>
      </c>
      <c r="C325" s="1">
        <f>Tabela7[[#This Row],[Alongamento (mm/mm)]]/$I$2</f>
        <v>3.7379999999999997E-2</v>
      </c>
      <c r="D325" s="5">
        <v>229.29</v>
      </c>
      <c r="E325" s="1">
        <f>Tabela7[[#This Row],[Força (N)]]/$I$5</f>
        <v>5337663.2446399881</v>
      </c>
      <c r="F325" s="1">
        <f>Tabela7[[#This Row],[Tensão (Pa)]]/1000000</f>
        <v>5.3376632446399883</v>
      </c>
    </row>
    <row r="326" spans="1:6" x14ac:dyDescent="0.3">
      <c r="A326" s="5">
        <v>22.582999999999998</v>
      </c>
      <c r="B326" s="5">
        <v>1.8745000000000001</v>
      </c>
      <c r="C326" s="1">
        <f>Tabela7[[#This Row],[Alongamento (mm/mm)]]/$I$2</f>
        <v>3.7490000000000002E-2</v>
      </c>
      <c r="D326" s="5">
        <v>230.99</v>
      </c>
      <c r="E326" s="1">
        <f>Tabela7[[#This Row],[Força (N)]]/$I$5</f>
        <v>5377237.7028190978</v>
      </c>
      <c r="F326" s="1">
        <f>Tabela7[[#This Row],[Tensão (Pa)]]/1000000</f>
        <v>5.3772377028190981</v>
      </c>
    </row>
    <row r="327" spans="1:6" x14ac:dyDescent="0.3">
      <c r="A327" s="5">
        <v>22.65</v>
      </c>
      <c r="B327" s="5">
        <v>1.8801000000000001</v>
      </c>
      <c r="C327" s="1">
        <f>Tabela7[[#This Row],[Alongamento (mm/mm)]]/$I$2</f>
        <v>3.7602000000000003E-2</v>
      </c>
      <c r="D327" s="5">
        <v>232.87</v>
      </c>
      <c r="E327" s="1">
        <f>Tabela7[[#This Row],[Força (N)]]/$I$5</f>
        <v>5421002.3977465834</v>
      </c>
      <c r="F327" s="1">
        <f>Tabela7[[#This Row],[Tensão (Pa)]]/1000000</f>
        <v>5.4210023977465838</v>
      </c>
    </row>
    <row r="328" spans="1:6" x14ac:dyDescent="0.3">
      <c r="A328" s="5">
        <v>22.716999999999999</v>
      </c>
      <c r="B328" s="5">
        <v>1.8855999999999999</v>
      </c>
      <c r="C328" s="1">
        <f>Tabela7[[#This Row],[Alongamento (mm/mm)]]/$I$2</f>
        <v>3.7711999999999996E-2</v>
      </c>
      <c r="D328" s="5">
        <v>234.57</v>
      </c>
      <c r="E328" s="1">
        <f>Tabela7[[#This Row],[Força (N)]]/$I$5</f>
        <v>5460576.8559256922</v>
      </c>
      <c r="F328" s="1">
        <f>Tabela7[[#This Row],[Tensão (Pa)]]/1000000</f>
        <v>5.4605768559256926</v>
      </c>
    </row>
    <row r="329" spans="1:6" x14ac:dyDescent="0.3">
      <c r="A329" s="5">
        <v>22.783000000000001</v>
      </c>
      <c r="B329" s="5">
        <v>1.8912</v>
      </c>
      <c r="C329" s="1">
        <f>Tabela7[[#This Row],[Alongamento (mm/mm)]]/$I$2</f>
        <v>3.7823999999999997E-2</v>
      </c>
      <c r="D329" s="5">
        <v>236.44</v>
      </c>
      <c r="E329" s="1">
        <f>Tabela7[[#This Row],[Força (N)]]/$I$5</f>
        <v>5504108.759922713</v>
      </c>
      <c r="F329" s="1">
        <f>Tabela7[[#This Row],[Tensão (Pa)]]/1000000</f>
        <v>5.5041087599227128</v>
      </c>
    </row>
    <row r="330" spans="1:6" x14ac:dyDescent="0.3">
      <c r="A330" s="5">
        <v>22.85</v>
      </c>
      <c r="B330" s="5">
        <v>1.8967000000000001</v>
      </c>
      <c r="C330" s="1">
        <f>Tabela7[[#This Row],[Alongamento (mm/mm)]]/$I$2</f>
        <v>3.7934000000000002E-2</v>
      </c>
      <c r="D330" s="5">
        <v>238.31</v>
      </c>
      <c r="E330" s="1">
        <f>Tabela7[[#This Row],[Força (N)]]/$I$5</f>
        <v>5547640.6639197338</v>
      </c>
      <c r="F330" s="1">
        <f>Tabela7[[#This Row],[Tensão (Pa)]]/1000000</f>
        <v>5.5476406639197338</v>
      </c>
    </row>
    <row r="331" spans="1:6" x14ac:dyDescent="0.3">
      <c r="A331" s="5">
        <v>22.917000000000002</v>
      </c>
      <c r="B331" s="5">
        <v>1.9023000000000001</v>
      </c>
      <c r="C331" s="1">
        <f>Tabela7[[#This Row],[Alongamento (mm/mm)]]/$I$2</f>
        <v>3.8046000000000003E-2</v>
      </c>
      <c r="D331" s="5">
        <v>240.18</v>
      </c>
      <c r="E331" s="1">
        <f>Tabela7[[#This Row],[Força (N)]]/$I$5</f>
        <v>5591172.5679167537</v>
      </c>
      <c r="F331" s="1">
        <f>Tabela7[[#This Row],[Tensão (Pa)]]/1000000</f>
        <v>5.5911725679167539</v>
      </c>
    </row>
    <row r="332" spans="1:6" x14ac:dyDescent="0.3">
      <c r="A332" s="5">
        <v>22.983000000000001</v>
      </c>
      <c r="B332" s="5">
        <v>1.9078999999999999</v>
      </c>
      <c r="C332" s="1">
        <f>Tabela7[[#This Row],[Alongamento (mm/mm)]]/$I$2</f>
        <v>3.8157999999999997E-2</v>
      </c>
      <c r="D332" s="5">
        <v>242.05</v>
      </c>
      <c r="E332" s="1">
        <f>Tabela7[[#This Row],[Força (N)]]/$I$5</f>
        <v>5634704.4719137745</v>
      </c>
      <c r="F332" s="1">
        <f>Tabela7[[#This Row],[Tensão (Pa)]]/1000000</f>
        <v>5.6347044719137749</v>
      </c>
    </row>
    <row r="333" spans="1:6" x14ac:dyDescent="0.3">
      <c r="A333" s="5">
        <v>23.05</v>
      </c>
      <c r="B333" s="5">
        <v>1.9134</v>
      </c>
      <c r="C333" s="1">
        <f>Tabela7[[#This Row],[Alongamento (mm/mm)]]/$I$2</f>
        <v>3.8267999999999996E-2</v>
      </c>
      <c r="D333" s="5">
        <v>243.92</v>
      </c>
      <c r="E333" s="1">
        <f>Tabela7[[#This Row],[Força (N)]]/$I$5</f>
        <v>5678236.3759107944</v>
      </c>
      <c r="F333" s="1">
        <f>Tabela7[[#This Row],[Tensão (Pa)]]/1000000</f>
        <v>5.6782363759107941</v>
      </c>
    </row>
    <row r="334" spans="1:6" x14ac:dyDescent="0.3">
      <c r="A334" s="5">
        <v>23.117000000000001</v>
      </c>
      <c r="B334" s="5">
        <v>1.9189000000000001</v>
      </c>
      <c r="C334" s="1">
        <f>Tabela7[[#This Row],[Alongamento (mm/mm)]]/$I$2</f>
        <v>3.8378000000000002E-2</v>
      </c>
      <c r="D334" s="5">
        <v>245.62</v>
      </c>
      <c r="E334" s="1">
        <f>Tabela7[[#This Row],[Força (N)]]/$I$5</f>
        <v>5717810.8340899041</v>
      </c>
      <c r="F334" s="1">
        <f>Tabela7[[#This Row],[Tensão (Pa)]]/1000000</f>
        <v>5.7178108340899039</v>
      </c>
    </row>
    <row r="335" spans="1:6" x14ac:dyDescent="0.3">
      <c r="A335" s="5">
        <v>23.183</v>
      </c>
      <c r="B335" s="5">
        <v>1.9244000000000001</v>
      </c>
      <c r="C335" s="1">
        <f>Tabela7[[#This Row],[Alongamento (mm/mm)]]/$I$2</f>
        <v>3.8488000000000001E-2</v>
      </c>
      <c r="D335" s="5">
        <v>247.49</v>
      </c>
      <c r="E335" s="1">
        <f>Tabela7[[#This Row],[Força (N)]]/$I$5</f>
        <v>5761342.738086924</v>
      </c>
      <c r="F335" s="1">
        <f>Tabela7[[#This Row],[Tensão (Pa)]]/1000000</f>
        <v>5.761342738086924</v>
      </c>
    </row>
    <row r="336" spans="1:6" x14ac:dyDescent="0.3">
      <c r="A336" s="5">
        <v>23.25</v>
      </c>
      <c r="B336" s="5">
        <v>1.93</v>
      </c>
      <c r="C336" s="1">
        <f>Tabela7[[#This Row],[Alongamento (mm/mm)]]/$I$2</f>
        <v>3.8599999999999995E-2</v>
      </c>
      <c r="D336" s="5">
        <v>249.36</v>
      </c>
      <c r="E336" s="1">
        <f>Tabela7[[#This Row],[Força (N)]]/$I$5</f>
        <v>5804874.6420839448</v>
      </c>
      <c r="F336" s="1">
        <f>Tabela7[[#This Row],[Tensão (Pa)]]/1000000</f>
        <v>5.804874642083945</v>
      </c>
    </row>
    <row r="337" spans="1:6" x14ac:dyDescent="0.3">
      <c r="A337" s="5">
        <v>23.317</v>
      </c>
      <c r="B337" s="5">
        <v>1.9356</v>
      </c>
      <c r="C337" s="1">
        <f>Tabela7[[#This Row],[Alongamento (mm/mm)]]/$I$2</f>
        <v>3.8711999999999996E-2</v>
      </c>
      <c r="D337" s="5">
        <v>251.24</v>
      </c>
      <c r="E337" s="1">
        <f>Tabela7[[#This Row],[Força (N)]]/$I$5</f>
        <v>5848639.3370114295</v>
      </c>
      <c r="F337" s="1">
        <f>Tabela7[[#This Row],[Tensão (Pa)]]/1000000</f>
        <v>5.8486393370114298</v>
      </c>
    </row>
    <row r="338" spans="1:6" x14ac:dyDescent="0.3">
      <c r="A338" s="5">
        <v>23.382999999999999</v>
      </c>
      <c r="B338" s="5">
        <v>1.9412</v>
      </c>
      <c r="C338" s="1">
        <f>Tabela7[[#This Row],[Alongamento (mm/mm)]]/$I$2</f>
        <v>3.8823999999999997E-2</v>
      </c>
      <c r="D338" s="5">
        <v>253.11</v>
      </c>
      <c r="E338" s="1">
        <f>Tabela7[[#This Row],[Força (N)]]/$I$5</f>
        <v>5892171.2410084503</v>
      </c>
      <c r="F338" s="1">
        <f>Tabela7[[#This Row],[Tensão (Pa)]]/1000000</f>
        <v>5.8921712410084499</v>
      </c>
    </row>
    <row r="339" spans="1:6" x14ac:dyDescent="0.3">
      <c r="A339" s="5">
        <v>23.45</v>
      </c>
      <c r="B339" s="5">
        <v>1.9468000000000001</v>
      </c>
      <c r="C339" s="1">
        <f>Tabela7[[#This Row],[Alongamento (mm/mm)]]/$I$2</f>
        <v>3.8935999999999998E-2</v>
      </c>
      <c r="D339" s="5">
        <v>255.15</v>
      </c>
      <c r="E339" s="1">
        <f>Tabela7[[#This Row],[Força (N)]]/$I$5</f>
        <v>5939660.5908233812</v>
      </c>
      <c r="F339" s="1">
        <f>Tabela7[[#This Row],[Tensão (Pa)]]/1000000</f>
        <v>5.9396605908233813</v>
      </c>
    </row>
    <row r="340" spans="1:6" x14ac:dyDescent="0.3">
      <c r="A340" s="5">
        <v>23.516999999999999</v>
      </c>
      <c r="B340" s="5">
        <v>1.9523999999999999</v>
      </c>
      <c r="C340" s="1">
        <f>Tabela7[[#This Row],[Alongamento (mm/mm)]]/$I$2</f>
        <v>3.9047999999999999E-2</v>
      </c>
      <c r="D340" s="5">
        <v>257.02</v>
      </c>
      <c r="E340" s="1">
        <f>Tabela7[[#This Row],[Força (N)]]/$I$5</f>
        <v>5983192.4948204011</v>
      </c>
      <c r="F340" s="1">
        <f>Tabela7[[#This Row],[Tensão (Pa)]]/1000000</f>
        <v>5.9831924948204014</v>
      </c>
    </row>
    <row r="341" spans="1:6" x14ac:dyDescent="0.3">
      <c r="A341" s="5">
        <v>23.582999999999998</v>
      </c>
      <c r="B341" s="5">
        <v>1.9578</v>
      </c>
      <c r="C341" s="1">
        <f>Tabela7[[#This Row],[Alongamento (mm/mm)]]/$I$2</f>
        <v>3.9155999999999996E-2</v>
      </c>
      <c r="D341" s="5">
        <v>259.06</v>
      </c>
      <c r="E341" s="1">
        <f>Tabela7[[#This Row],[Força (N)]]/$I$5</f>
        <v>6030681.8446353329</v>
      </c>
      <c r="F341" s="1">
        <f>Tabela7[[#This Row],[Tensão (Pa)]]/1000000</f>
        <v>6.0306818446353327</v>
      </c>
    </row>
    <row r="342" spans="1:6" x14ac:dyDescent="0.3">
      <c r="A342" s="5">
        <v>23.65</v>
      </c>
      <c r="B342" s="5">
        <v>1.9634</v>
      </c>
      <c r="C342" s="1">
        <f>Tabela7[[#This Row],[Alongamento (mm/mm)]]/$I$2</f>
        <v>3.9267999999999997E-2</v>
      </c>
      <c r="D342" s="5">
        <v>260.93</v>
      </c>
      <c r="E342" s="1">
        <f>Tabela7[[#This Row],[Força (N)]]/$I$5</f>
        <v>6074213.7486323528</v>
      </c>
      <c r="F342" s="1">
        <f>Tabela7[[#This Row],[Tensão (Pa)]]/1000000</f>
        <v>6.0742137486323529</v>
      </c>
    </row>
    <row r="343" spans="1:6" x14ac:dyDescent="0.3">
      <c r="A343" s="5">
        <v>23.716999999999999</v>
      </c>
      <c r="B343" s="5">
        <v>1.9690000000000001</v>
      </c>
      <c r="C343" s="1">
        <f>Tabela7[[#This Row],[Alongamento (mm/mm)]]/$I$2</f>
        <v>3.9379999999999998E-2</v>
      </c>
      <c r="D343" s="5">
        <v>262.8</v>
      </c>
      <c r="E343" s="1">
        <f>Tabela7[[#This Row],[Força (N)]]/$I$5</f>
        <v>6117745.6526293736</v>
      </c>
      <c r="F343" s="1">
        <f>Tabela7[[#This Row],[Tensão (Pa)]]/1000000</f>
        <v>6.1177456526293739</v>
      </c>
    </row>
    <row r="344" spans="1:6" x14ac:dyDescent="0.3">
      <c r="A344" s="5">
        <v>23.783000000000001</v>
      </c>
      <c r="B344" s="5">
        <v>1.9744999999999999</v>
      </c>
      <c r="C344" s="1">
        <f>Tabela7[[#This Row],[Alongamento (mm/mm)]]/$I$2</f>
        <v>3.9489999999999997E-2</v>
      </c>
      <c r="D344" s="5">
        <v>264.83999999999997</v>
      </c>
      <c r="E344" s="1">
        <f>Tabela7[[#This Row],[Força (N)]]/$I$5</f>
        <v>6165235.0024443036</v>
      </c>
      <c r="F344" s="1">
        <f>Tabela7[[#This Row],[Tensão (Pa)]]/1000000</f>
        <v>6.1652350024443034</v>
      </c>
    </row>
    <row r="345" spans="1:6" x14ac:dyDescent="0.3">
      <c r="A345" s="5">
        <v>23.85</v>
      </c>
      <c r="B345" s="5">
        <v>1.9801</v>
      </c>
      <c r="C345" s="1">
        <f>Tabela7[[#This Row],[Alongamento (mm/mm)]]/$I$2</f>
        <v>3.9601999999999998E-2</v>
      </c>
      <c r="D345" s="5">
        <v>266.89</v>
      </c>
      <c r="E345" s="1">
        <f>Tabela7[[#This Row],[Força (N)]]/$I$5</f>
        <v>6212957.1431897003</v>
      </c>
      <c r="F345" s="1">
        <f>Tabela7[[#This Row],[Tensão (Pa)]]/1000000</f>
        <v>6.2129571431897004</v>
      </c>
    </row>
    <row r="346" spans="1:6" x14ac:dyDescent="0.3">
      <c r="A346" s="5">
        <v>23.933</v>
      </c>
      <c r="B346" s="5">
        <v>1.9870000000000001</v>
      </c>
      <c r="C346" s="1">
        <f>Tabela7[[#This Row],[Alongamento (mm/mm)]]/$I$2</f>
        <v>3.9740000000000004E-2</v>
      </c>
      <c r="D346" s="5">
        <v>269.27</v>
      </c>
      <c r="E346" s="1">
        <f>Tabela7[[#This Row],[Força (N)]]/$I$5</f>
        <v>6268361.3846404534</v>
      </c>
      <c r="F346" s="1">
        <f>Tabela7[[#This Row],[Tensão (Pa)]]/1000000</f>
        <v>6.2683613846404533</v>
      </c>
    </row>
    <row r="347" spans="1:6" x14ac:dyDescent="0.3">
      <c r="A347" s="5">
        <v>24</v>
      </c>
      <c r="B347" s="5">
        <v>1.9925999999999999</v>
      </c>
      <c r="C347" s="1">
        <f>Tabela7[[#This Row],[Alongamento (mm/mm)]]/$I$2</f>
        <v>3.9851999999999999E-2</v>
      </c>
      <c r="D347" s="5">
        <v>271.31</v>
      </c>
      <c r="E347" s="1">
        <f>Tabela7[[#This Row],[Força (N)]]/$I$5</f>
        <v>6315850.7344553852</v>
      </c>
      <c r="F347" s="1">
        <f>Tabela7[[#This Row],[Tensão (Pa)]]/1000000</f>
        <v>6.3158507344553856</v>
      </c>
    </row>
    <row r="348" spans="1:6" x14ac:dyDescent="0.3">
      <c r="A348" s="5">
        <v>24.067</v>
      </c>
      <c r="B348" s="5">
        <v>1.9981</v>
      </c>
      <c r="C348" s="1">
        <f>Tabela7[[#This Row],[Alongamento (mm/mm)]]/$I$2</f>
        <v>3.9961999999999998E-2</v>
      </c>
      <c r="D348" s="5">
        <v>273.35000000000002</v>
      </c>
      <c r="E348" s="1">
        <f>Tabela7[[#This Row],[Força (N)]]/$I$5</f>
        <v>6363340.0842703171</v>
      </c>
      <c r="F348" s="1">
        <f>Tabela7[[#This Row],[Tensão (Pa)]]/1000000</f>
        <v>6.3633400842703169</v>
      </c>
    </row>
    <row r="349" spans="1:6" x14ac:dyDescent="0.3">
      <c r="A349" s="5">
        <v>24.132999999999999</v>
      </c>
      <c r="B349" s="5">
        <v>2.0036</v>
      </c>
      <c r="C349" s="1">
        <f>Tabela7[[#This Row],[Alongamento (mm/mm)]]/$I$2</f>
        <v>4.0072000000000003E-2</v>
      </c>
      <c r="D349" s="5">
        <v>275.39</v>
      </c>
      <c r="E349" s="1">
        <f>Tabela7[[#This Row],[Força (N)]]/$I$5</f>
        <v>6410829.4340852471</v>
      </c>
      <c r="F349" s="1">
        <f>Tabela7[[#This Row],[Tensão (Pa)]]/1000000</f>
        <v>6.4108294340852474</v>
      </c>
    </row>
    <row r="350" spans="1:6" x14ac:dyDescent="0.3">
      <c r="A350" s="5">
        <v>24.2</v>
      </c>
      <c r="B350" s="5">
        <v>2.0091999999999999</v>
      </c>
      <c r="C350" s="1">
        <f>Tabela7[[#This Row],[Alongamento (mm/mm)]]/$I$2</f>
        <v>4.0183999999999997E-2</v>
      </c>
      <c r="D350" s="5">
        <v>277.43</v>
      </c>
      <c r="E350" s="1">
        <f>Tabela7[[#This Row],[Força (N)]]/$I$5</f>
        <v>6458318.783900179</v>
      </c>
      <c r="F350" s="1">
        <f>Tabela7[[#This Row],[Tensão (Pa)]]/1000000</f>
        <v>6.4583187839001788</v>
      </c>
    </row>
    <row r="351" spans="1:6" x14ac:dyDescent="0.3">
      <c r="A351" s="5">
        <v>24.283000000000001</v>
      </c>
      <c r="B351" s="5">
        <v>2.0162</v>
      </c>
      <c r="C351" s="1">
        <f>Tabela7[[#This Row],[Alongamento (mm/mm)]]/$I$2</f>
        <v>4.0323999999999999E-2</v>
      </c>
      <c r="D351" s="5">
        <v>279.81</v>
      </c>
      <c r="E351" s="1">
        <f>Tabela7[[#This Row],[Força (N)]]/$I$5</f>
        <v>6513723.025350932</v>
      </c>
      <c r="F351" s="1">
        <f>Tabela7[[#This Row],[Tensão (Pa)]]/1000000</f>
        <v>6.5137230253509317</v>
      </c>
    </row>
    <row r="352" spans="1:6" x14ac:dyDescent="0.3">
      <c r="A352" s="5">
        <v>24.35</v>
      </c>
      <c r="B352" s="5">
        <v>2.0217000000000001</v>
      </c>
      <c r="C352" s="1">
        <f>Tabela7[[#This Row],[Alongamento (mm/mm)]]/$I$2</f>
        <v>4.0433999999999998E-2</v>
      </c>
      <c r="D352" s="5">
        <v>281.85000000000002</v>
      </c>
      <c r="E352" s="1">
        <f>Tabela7[[#This Row],[Força (N)]]/$I$5</f>
        <v>6561212.3751658639</v>
      </c>
      <c r="F352" s="1">
        <f>Tabela7[[#This Row],[Tensão (Pa)]]/1000000</f>
        <v>6.561212375165864</v>
      </c>
    </row>
    <row r="353" spans="1:6" x14ac:dyDescent="0.3">
      <c r="A353" s="5">
        <v>24.417000000000002</v>
      </c>
      <c r="B353" s="5">
        <v>2.0272999999999999</v>
      </c>
      <c r="C353" s="1">
        <f>Tabela7[[#This Row],[Alongamento (mm/mm)]]/$I$2</f>
        <v>4.0545999999999999E-2</v>
      </c>
      <c r="D353" s="5">
        <v>283.89</v>
      </c>
      <c r="E353" s="1">
        <f>Tabela7[[#This Row],[Força (N)]]/$I$5</f>
        <v>6608701.7249807939</v>
      </c>
      <c r="F353" s="1">
        <f>Tabela7[[#This Row],[Tensão (Pa)]]/1000000</f>
        <v>6.6087017249807936</v>
      </c>
    </row>
    <row r="354" spans="1:6" x14ac:dyDescent="0.3">
      <c r="A354" s="5">
        <v>24.483000000000001</v>
      </c>
      <c r="B354" s="5">
        <v>2.0327999999999999</v>
      </c>
      <c r="C354" s="1">
        <f>Tabela7[[#This Row],[Alongamento (mm/mm)]]/$I$2</f>
        <v>4.0655999999999998E-2</v>
      </c>
      <c r="D354" s="5">
        <v>285.94</v>
      </c>
      <c r="E354" s="1">
        <f>Tabela7[[#This Row],[Força (N)]]/$I$5</f>
        <v>6656423.8657261906</v>
      </c>
      <c r="F354" s="1">
        <f>Tabela7[[#This Row],[Tensão (Pa)]]/1000000</f>
        <v>6.6564238657261905</v>
      </c>
    </row>
    <row r="355" spans="1:6" x14ac:dyDescent="0.3">
      <c r="A355" s="5">
        <v>24.567</v>
      </c>
      <c r="B355" s="5">
        <v>2.0398000000000001</v>
      </c>
      <c r="C355" s="1">
        <f>Tabela7[[#This Row],[Alongamento (mm/mm)]]/$I$2</f>
        <v>4.0795999999999999E-2</v>
      </c>
      <c r="D355" s="5">
        <v>288.49</v>
      </c>
      <c r="E355" s="1">
        <f>Tabela7[[#This Row],[Força (N)]]/$I$5</f>
        <v>6715785.5529948547</v>
      </c>
      <c r="F355" s="1">
        <f>Tabela7[[#This Row],[Tensão (Pa)]]/1000000</f>
        <v>6.7157855529948547</v>
      </c>
    </row>
    <row r="356" spans="1:6" x14ac:dyDescent="0.3">
      <c r="A356" s="5">
        <v>24.65</v>
      </c>
      <c r="B356" s="5">
        <v>2.0467</v>
      </c>
      <c r="C356" s="1">
        <f>Tabela7[[#This Row],[Alongamento (mm/mm)]]/$I$2</f>
        <v>4.0933999999999998E-2</v>
      </c>
      <c r="D356" s="5">
        <v>290.87</v>
      </c>
      <c r="E356" s="1">
        <f>Tabela7[[#This Row],[Força (N)]]/$I$5</f>
        <v>6771189.7944456078</v>
      </c>
      <c r="F356" s="1">
        <f>Tabela7[[#This Row],[Tensão (Pa)]]/1000000</f>
        <v>6.7711897944456076</v>
      </c>
    </row>
    <row r="357" spans="1:6" x14ac:dyDescent="0.3">
      <c r="A357" s="5">
        <v>24.716999999999999</v>
      </c>
      <c r="B357" s="5">
        <v>2.0522999999999998</v>
      </c>
      <c r="C357" s="1">
        <f>Tabela7[[#This Row],[Alongamento (mm/mm)]]/$I$2</f>
        <v>4.1045999999999999E-2</v>
      </c>
      <c r="D357" s="5">
        <v>292.91000000000003</v>
      </c>
      <c r="E357" s="1">
        <f>Tabela7[[#This Row],[Força (N)]]/$I$5</f>
        <v>6818679.1442605397</v>
      </c>
      <c r="F357" s="1">
        <f>Tabela7[[#This Row],[Tensão (Pa)]]/1000000</f>
        <v>6.8186791442605399</v>
      </c>
    </row>
    <row r="358" spans="1:6" x14ac:dyDescent="0.3">
      <c r="A358" s="5">
        <v>24.783000000000001</v>
      </c>
      <c r="B358" s="5">
        <v>2.0577999999999999</v>
      </c>
      <c r="C358" s="1">
        <f>Tabela7[[#This Row],[Alongamento (mm/mm)]]/$I$2</f>
        <v>4.1155999999999998E-2</v>
      </c>
      <c r="D358" s="5">
        <v>294.95</v>
      </c>
      <c r="E358" s="1">
        <f>Tabela7[[#This Row],[Força (N)]]/$I$5</f>
        <v>6866168.4940754706</v>
      </c>
      <c r="F358" s="1">
        <f>Tabela7[[#This Row],[Tensão (Pa)]]/1000000</f>
        <v>6.8661684940754704</v>
      </c>
    </row>
    <row r="359" spans="1:6" x14ac:dyDescent="0.3">
      <c r="A359" s="5">
        <v>24.85</v>
      </c>
      <c r="B359" s="5">
        <v>2.0634000000000001</v>
      </c>
      <c r="C359" s="1">
        <f>Tabela7[[#This Row],[Alongamento (mm/mm)]]/$I$2</f>
        <v>4.1267999999999999E-2</v>
      </c>
      <c r="D359" s="5">
        <v>296.99</v>
      </c>
      <c r="E359" s="1">
        <f>Tabela7[[#This Row],[Força (N)]]/$I$5</f>
        <v>6913657.8438904015</v>
      </c>
      <c r="F359" s="1">
        <f>Tabela7[[#This Row],[Tensão (Pa)]]/1000000</f>
        <v>6.9136578438904017</v>
      </c>
    </row>
    <row r="360" spans="1:6" x14ac:dyDescent="0.3">
      <c r="A360" s="5">
        <v>24.917000000000002</v>
      </c>
      <c r="B360" s="5">
        <v>2.069</v>
      </c>
      <c r="C360" s="1">
        <f>Tabela7[[#This Row],[Alongamento (mm/mm)]]/$I$2</f>
        <v>4.138E-2</v>
      </c>
      <c r="D360" s="5">
        <v>299.02999999999997</v>
      </c>
      <c r="E360" s="1">
        <f>Tabela7[[#This Row],[Força (N)]]/$I$5</f>
        <v>6961147.1937053325</v>
      </c>
      <c r="F360" s="1">
        <f>Tabela7[[#This Row],[Tensão (Pa)]]/1000000</f>
        <v>6.9611471937053322</v>
      </c>
    </row>
    <row r="361" spans="1:6" x14ac:dyDescent="0.3">
      <c r="A361" s="5">
        <v>24.983000000000001</v>
      </c>
      <c r="B361" s="5">
        <v>2.0743999999999998</v>
      </c>
      <c r="C361" s="1">
        <f>Tabela7[[#This Row],[Alongamento (mm/mm)]]/$I$2</f>
        <v>4.1487999999999997E-2</v>
      </c>
      <c r="D361" s="5">
        <v>301.07</v>
      </c>
      <c r="E361" s="1">
        <f>Tabela7[[#This Row],[Força (N)]]/$I$5</f>
        <v>7008636.5435202643</v>
      </c>
      <c r="F361" s="1">
        <f>Tabela7[[#This Row],[Tensão (Pa)]]/1000000</f>
        <v>7.0086365435202644</v>
      </c>
    </row>
    <row r="362" spans="1:6" x14ac:dyDescent="0.3">
      <c r="A362" s="5">
        <v>25.05</v>
      </c>
      <c r="B362" s="5">
        <v>2.08</v>
      </c>
      <c r="C362" s="1">
        <f>Tabela7[[#This Row],[Alongamento (mm/mm)]]/$I$2</f>
        <v>4.1599999999999998E-2</v>
      </c>
      <c r="D362" s="5">
        <v>303.12</v>
      </c>
      <c r="E362" s="1">
        <f>Tabela7[[#This Row],[Força (N)]]/$I$5</f>
        <v>7056358.6842656611</v>
      </c>
      <c r="F362" s="1">
        <f>Tabela7[[#This Row],[Tensão (Pa)]]/1000000</f>
        <v>7.0563586842656614</v>
      </c>
    </row>
    <row r="363" spans="1:6" x14ac:dyDescent="0.3">
      <c r="A363" s="5">
        <v>25.117000000000001</v>
      </c>
      <c r="B363" s="5">
        <v>2.0855999999999999</v>
      </c>
      <c r="C363" s="1">
        <f>Tabela7[[#This Row],[Alongamento (mm/mm)]]/$I$2</f>
        <v>4.1711999999999999E-2</v>
      </c>
      <c r="D363" s="5">
        <v>305.16000000000003</v>
      </c>
      <c r="E363" s="1">
        <f>Tabela7[[#This Row],[Força (N)]]/$I$5</f>
        <v>7103848.034080592</v>
      </c>
      <c r="F363" s="1">
        <f>Tabela7[[#This Row],[Tensão (Pa)]]/1000000</f>
        <v>7.1038480340805918</v>
      </c>
    </row>
    <row r="364" spans="1:6" x14ac:dyDescent="0.3">
      <c r="A364" s="5">
        <v>25.2</v>
      </c>
      <c r="B364" s="5">
        <v>2.0926</v>
      </c>
      <c r="C364" s="1">
        <f>Tabela7[[#This Row],[Alongamento (mm/mm)]]/$I$2</f>
        <v>4.1852E-2</v>
      </c>
      <c r="D364" s="5">
        <v>307.70999999999998</v>
      </c>
      <c r="E364" s="1">
        <f>Tabela7[[#This Row],[Força (N)]]/$I$5</f>
        <v>7163209.7213492552</v>
      </c>
      <c r="F364" s="1">
        <f>Tabela7[[#This Row],[Tensão (Pa)]]/1000000</f>
        <v>7.1632097213492552</v>
      </c>
    </row>
    <row r="365" spans="1:6" x14ac:dyDescent="0.3">
      <c r="A365" s="5">
        <v>25.283000000000001</v>
      </c>
      <c r="B365" s="5">
        <v>2.0994999999999999</v>
      </c>
      <c r="C365" s="1">
        <f>Tabela7[[#This Row],[Alongamento (mm/mm)]]/$I$2</f>
        <v>4.199E-2</v>
      </c>
      <c r="D365" s="5">
        <v>310.43</v>
      </c>
      <c r="E365" s="1">
        <f>Tabela7[[#This Row],[Força (N)]]/$I$5</f>
        <v>7226528.8544358313</v>
      </c>
      <c r="F365" s="1">
        <f>Tabela7[[#This Row],[Tensão (Pa)]]/1000000</f>
        <v>7.2265288544358315</v>
      </c>
    </row>
    <row r="366" spans="1:6" x14ac:dyDescent="0.3">
      <c r="A366" s="5">
        <v>25.367000000000001</v>
      </c>
      <c r="B366" s="5">
        <v>2.1063999999999998</v>
      </c>
      <c r="C366" s="1">
        <f>Tabela7[[#This Row],[Alongamento (mm/mm)]]/$I$2</f>
        <v>4.2127999999999999E-2</v>
      </c>
      <c r="D366" s="5">
        <v>312.98</v>
      </c>
      <c r="E366" s="1">
        <f>Tabela7[[#This Row],[Força (N)]]/$I$5</f>
        <v>7285890.5417044954</v>
      </c>
      <c r="F366" s="1">
        <f>Tabela7[[#This Row],[Tensão (Pa)]]/1000000</f>
        <v>7.2858905417044957</v>
      </c>
    </row>
    <row r="367" spans="1:6" x14ac:dyDescent="0.3">
      <c r="A367" s="5">
        <v>25.45</v>
      </c>
      <c r="B367" s="5">
        <v>2.1133000000000002</v>
      </c>
      <c r="C367" s="1">
        <f>Tabela7[[#This Row],[Alongamento (mm/mm)]]/$I$2</f>
        <v>4.2266000000000005E-2</v>
      </c>
      <c r="D367" s="5">
        <v>315.52999999999997</v>
      </c>
      <c r="E367" s="1">
        <f>Tabela7[[#This Row],[Força (N)]]/$I$5</f>
        <v>7345252.2289731586</v>
      </c>
      <c r="F367" s="1">
        <f>Tabela7[[#This Row],[Tensão (Pa)]]/1000000</f>
        <v>7.345252228973159</v>
      </c>
    </row>
    <row r="368" spans="1:6" x14ac:dyDescent="0.3">
      <c r="A368" s="5">
        <v>25.533000000000001</v>
      </c>
      <c r="B368" s="5">
        <v>2.1202000000000001</v>
      </c>
      <c r="C368" s="1">
        <f>Tabela7[[#This Row],[Alongamento (mm/mm)]]/$I$2</f>
        <v>4.2404000000000004E-2</v>
      </c>
      <c r="D368" s="5">
        <v>318.08</v>
      </c>
      <c r="E368" s="1">
        <f>Tabela7[[#This Row],[Força (N)]]/$I$5</f>
        <v>7404613.9162418228</v>
      </c>
      <c r="F368" s="1">
        <f>Tabela7[[#This Row],[Tensão (Pa)]]/1000000</f>
        <v>7.4046139162418232</v>
      </c>
    </row>
    <row r="369" spans="1:6" x14ac:dyDescent="0.3">
      <c r="A369" s="5">
        <v>25.617000000000001</v>
      </c>
      <c r="B369" s="5">
        <v>2.1273</v>
      </c>
      <c r="C369" s="1">
        <f>Tabela7[[#This Row],[Alongamento (mm/mm)]]/$I$2</f>
        <v>4.2546E-2</v>
      </c>
      <c r="D369" s="5">
        <v>320.64</v>
      </c>
      <c r="E369" s="1">
        <f>Tabela7[[#This Row],[Força (N)]]/$I$5</f>
        <v>7464208.3944409518</v>
      </c>
      <c r="F369" s="1">
        <f>Tabela7[[#This Row],[Tensão (Pa)]]/1000000</f>
        <v>7.4642083944409521</v>
      </c>
    </row>
    <row r="370" spans="1:6" x14ac:dyDescent="0.3">
      <c r="A370" s="5">
        <v>25.7</v>
      </c>
      <c r="B370" s="5">
        <v>2.1343000000000001</v>
      </c>
      <c r="C370" s="1">
        <f>Tabela7[[#This Row],[Alongamento (mm/mm)]]/$I$2</f>
        <v>4.2686000000000002E-2</v>
      </c>
      <c r="D370" s="5">
        <v>323.19</v>
      </c>
      <c r="E370" s="1">
        <f>Tabela7[[#This Row],[Força (N)]]/$I$5</f>
        <v>7523570.0817096159</v>
      </c>
      <c r="F370" s="1">
        <f>Tabela7[[#This Row],[Tensão (Pa)]]/1000000</f>
        <v>7.5235700817096163</v>
      </c>
    </row>
    <row r="371" spans="1:6" x14ac:dyDescent="0.3">
      <c r="A371" s="5">
        <v>25.783000000000001</v>
      </c>
      <c r="B371" s="5">
        <v>2.1412</v>
      </c>
      <c r="C371" s="1">
        <f>Tabela7[[#This Row],[Alongamento (mm/mm)]]/$I$2</f>
        <v>4.2824000000000001E-2</v>
      </c>
      <c r="D371" s="5">
        <v>325.74</v>
      </c>
      <c r="E371" s="1">
        <f>Tabela7[[#This Row],[Força (N)]]/$I$5</f>
        <v>7582931.76897828</v>
      </c>
      <c r="F371" s="1">
        <f>Tabela7[[#This Row],[Tensão (Pa)]]/1000000</f>
        <v>7.5829317689782796</v>
      </c>
    </row>
    <row r="372" spans="1:6" x14ac:dyDescent="0.3">
      <c r="A372" s="5">
        <v>25.867000000000001</v>
      </c>
      <c r="B372" s="5">
        <v>2.1482000000000001</v>
      </c>
      <c r="C372" s="1">
        <f>Tabela7[[#This Row],[Alongamento (mm/mm)]]/$I$2</f>
        <v>4.2964000000000002E-2</v>
      </c>
      <c r="D372" s="5">
        <v>328.29</v>
      </c>
      <c r="E372" s="1">
        <f>Tabela7[[#This Row],[Força (N)]]/$I$5</f>
        <v>7642293.4562469451</v>
      </c>
      <c r="F372" s="1">
        <f>Tabela7[[#This Row],[Tensão (Pa)]]/1000000</f>
        <v>7.6422934562469447</v>
      </c>
    </row>
    <row r="373" spans="1:6" x14ac:dyDescent="0.3">
      <c r="A373" s="5">
        <v>25.95</v>
      </c>
      <c r="B373" s="5">
        <v>2.1551</v>
      </c>
      <c r="C373" s="1">
        <f>Tabela7[[#This Row],[Alongamento (mm/mm)]]/$I$2</f>
        <v>4.3102000000000001E-2</v>
      </c>
      <c r="D373" s="5">
        <v>330.84</v>
      </c>
      <c r="E373" s="1">
        <f>Tabela7[[#This Row],[Força (N)]]/$I$5</f>
        <v>7701655.1435156073</v>
      </c>
      <c r="F373" s="1">
        <f>Tabela7[[#This Row],[Tensão (Pa)]]/1000000</f>
        <v>7.7016551435156071</v>
      </c>
    </row>
    <row r="374" spans="1:6" x14ac:dyDescent="0.3">
      <c r="A374" s="5">
        <v>26.033000000000001</v>
      </c>
      <c r="B374" s="5">
        <v>2.1619999999999999</v>
      </c>
      <c r="C374" s="1">
        <f>Tabela7[[#This Row],[Alongamento (mm/mm)]]/$I$2</f>
        <v>4.3240000000000001E-2</v>
      </c>
      <c r="D374" s="5">
        <v>333.39</v>
      </c>
      <c r="E374" s="1">
        <f>Tabela7[[#This Row],[Força (N)]]/$I$5</f>
        <v>7761016.8307842715</v>
      </c>
      <c r="F374" s="1">
        <f>Tabela7[[#This Row],[Tensão (Pa)]]/1000000</f>
        <v>7.7610168307842713</v>
      </c>
    </row>
    <row r="375" spans="1:6" x14ac:dyDescent="0.3">
      <c r="A375" s="5">
        <v>26.117000000000001</v>
      </c>
      <c r="B375" s="5">
        <v>2.1688999999999998</v>
      </c>
      <c r="C375" s="1">
        <f>Tabela7[[#This Row],[Alongamento (mm/mm)]]/$I$2</f>
        <v>4.3378E-2</v>
      </c>
      <c r="D375" s="5">
        <v>335.95</v>
      </c>
      <c r="E375" s="1">
        <f>Tabela7[[#This Row],[Força (N)]]/$I$5</f>
        <v>7820611.3089834014</v>
      </c>
      <c r="F375" s="1">
        <f>Tabela7[[#This Row],[Tensão (Pa)]]/1000000</f>
        <v>7.8206113089834011</v>
      </c>
    </row>
    <row r="376" spans="1:6" x14ac:dyDescent="0.3">
      <c r="A376" s="5">
        <v>26.2</v>
      </c>
      <c r="B376" s="5">
        <v>2.1758999999999999</v>
      </c>
      <c r="C376" s="1">
        <f>Tabela7[[#This Row],[Alongamento (mm/mm)]]/$I$2</f>
        <v>4.3518000000000001E-2</v>
      </c>
      <c r="D376" s="5">
        <v>338.67</v>
      </c>
      <c r="E376" s="1">
        <f>Tabela7[[#This Row],[Força (N)]]/$I$5</f>
        <v>7883930.4420699766</v>
      </c>
      <c r="F376" s="1">
        <f>Tabela7[[#This Row],[Tensão (Pa)]]/1000000</f>
        <v>7.8839304420699765</v>
      </c>
    </row>
    <row r="377" spans="1:6" x14ac:dyDescent="0.3">
      <c r="A377" s="5">
        <v>26.283000000000001</v>
      </c>
      <c r="B377" s="5">
        <v>2.1827999999999999</v>
      </c>
      <c r="C377" s="1">
        <f>Tabela7[[#This Row],[Alongamento (mm/mm)]]/$I$2</f>
        <v>4.3656E-2</v>
      </c>
      <c r="D377" s="5">
        <v>341.39</v>
      </c>
      <c r="E377" s="1">
        <f>Tabela7[[#This Row],[Força (N)]]/$I$5</f>
        <v>7947249.5751565509</v>
      </c>
      <c r="F377" s="1">
        <f>Tabela7[[#This Row],[Tensão (Pa)]]/1000000</f>
        <v>7.9472495751565511</v>
      </c>
    </row>
    <row r="378" spans="1:6" x14ac:dyDescent="0.3">
      <c r="A378" s="5">
        <v>26.367000000000001</v>
      </c>
      <c r="B378" s="5">
        <v>2.1897000000000002</v>
      </c>
      <c r="C378" s="1">
        <f>Tabela7[[#This Row],[Alongamento (mm/mm)]]/$I$2</f>
        <v>4.3794000000000007E-2</v>
      </c>
      <c r="D378" s="5">
        <v>344.11</v>
      </c>
      <c r="E378" s="1">
        <f>Tabela7[[#This Row],[Força (N)]]/$I$5</f>
        <v>8010568.708243127</v>
      </c>
      <c r="F378" s="1">
        <f>Tabela7[[#This Row],[Tensão (Pa)]]/1000000</f>
        <v>8.0105687082431274</v>
      </c>
    </row>
    <row r="379" spans="1:6" x14ac:dyDescent="0.3">
      <c r="A379" s="5">
        <v>26.45</v>
      </c>
      <c r="B379" s="5">
        <v>2.1966999999999999</v>
      </c>
      <c r="C379" s="1">
        <f>Tabela7[[#This Row],[Alongamento (mm/mm)]]/$I$2</f>
        <v>4.3934000000000001E-2</v>
      </c>
      <c r="D379" s="5">
        <v>346.66</v>
      </c>
      <c r="E379" s="1">
        <f>Tabela7[[#This Row],[Força (N)]]/$I$5</f>
        <v>8069930.3955117911</v>
      </c>
      <c r="F379" s="1">
        <f>Tabela7[[#This Row],[Tensão (Pa)]]/1000000</f>
        <v>8.0699303955117916</v>
      </c>
    </row>
    <row r="380" spans="1:6" x14ac:dyDescent="0.3">
      <c r="A380" s="5">
        <v>26.533000000000001</v>
      </c>
      <c r="B380" s="5">
        <v>2.2035999999999998</v>
      </c>
      <c r="C380" s="1">
        <f>Tabela7[[#This Row],[Alongamento (mm/mm)]]/$I$2</f>
        <v>4.4071999999999993E-2</v>
      </c>
      <c r="D380" s="5">
        <v>349.21</v>
      </c>
      <c r="E380" s="1">
        <f>Tabela7[[#This Row],[Força (N)]]/$I$5</f>
        <v>8129292.0827804543</v>
      </c>
      <c r="F380" s="1">
        <f>Tabela7[[#This Row],[Tensão (Pa)]]/1000000</f>
        <v>8.129292082780454</v>
      </c>
    </row>
    <row r="381" spans="1:6" x14ac:dyDescent="0.3">
      <c r="A381" s="5">
        <v>26.65</v>
      </c>
      <c r="B381" s="5">
        <v>2.2134</v>
      </c>
      <c r="C381" s="1">
        <f>Tabela7[[#This Row],[Alongamento (mm/mm)]]/$I$2</f>
        <v>4.4268000000000002E-2</v>
      </c>
      <c r="D381" s="5">
        <v>351.93</v>
      </c>
      <c r="E381" s="1">
        <f>Tabela7[[#This Row],[Força (N)]]/$I$5</f>
        <v>8192611.2158670295</v>
      </c>
      <c r="F381" s="1">
        <f>Tabela7[[#This Row],[Tensão (Pa)]]/1000000</f>
        <v>8.1926112158670303</v>
      </c>
    </row>
    <row r="382" spans="1:6" x14ac:dyDescent="0.3">
      <c r="A382" s="5">
        <v>26.75</v>
      </c>
      <c r="B382" s="5">
        <v>2.2218</v>
      </c>
      <c r="C382" s="1">
        <f>Tabela7[[#This Row],[Alongamento (mm/mm)]]/$I$2</f>
        <v>4.4436000000000003E-2</v>
      </c>
      <c r="D382" s="5">
        <v>354.83</v>
      </c>
      <c r="E382" s="1">
        <f>Tabela7[[#This Row],[Força (N)]]/$I$5</f>
        <v>8260120.5857019806</v>
      </c>
      <c r="F382" s="1">
        <f>Tabela7[[#This Row],[Tensão (Pa)]]/1000000</f>
        <v>8.2601205857019799</v>
      </c>
    </row>
    <row r="383" spans="1:6" x14ac:dyDescent="0.3">
      <c r="A383" s="5">
        <v>26.85</v>
      </c>
      <c r="B383" s="5">
        <v>2.23</v>
      </c>
      <c r="C383" s="1">
        <f>Tabela7[[#This Row],[Alongamento (mm/mm)]]/$I$2</f>
        <v>4.4600000000000001E-2</v>
      </c>
      <c r="D383" s="5">
        <v>357.89</v>
      </c>
      <c r="E383" s="1">
        <f>Tabela7[[#This Row],[Força (N)]]/$I$5</f>
        <v>8331354.610424377</v>
      </c>
      <c r="F383" s="1">
        <f>Tabela7[[#This Row],[Tensão (Pa)]]/1000000</f>
        <v>8.331354610424377</v>
      </c>
    </row>
    <row r="384" spans="1:6" x14ac:dyDescent="0.3">
      <c r="A384" s="5">
        <v>26.933</v>
      </c>
      <c r="B384" s="5">
        <v>2.2370000000000001</v>
      </c>
      <c r="C384" s="1">
        <f>Tabela7[[#This Row],[Alongamento (mm/mm)]]/$I$2</f>
        <v>4.4740000000000002E-2</v>
      </c>
      <c r="D384" s="5">
        <v>360.61</v>
      </c>
      <c r="E384" s="1">
        <f>Tabela7[[#This Row],[Força (N)]]/$I$5</f>
        <v>8394673.7435109522</v>
      </c>
      <c r="F384" s="1">
        <f>Tabela7[[#This Row],[Tensão (Pa)]]/1000000</f>
        <v>8.3946737435109515</v>
      </c>
    </row>
    <row r="385" spans="1:6" x14ac:dyDescent="0.3">
      <c r="A385" s="5">
        <v>27.016999999999999</v>
      </c>
      <c r="B385" s="5">
        <v>2.2439</v>
      </c>
      <c r="C385" s="1">
        <f>Tabela7[[#This Row],[Alongamento (mm/mm)]]/$I$2</f>
        <v>4.4878000000000001E-2</v>
      </c>
      <c r="D385" s="5">
        <v>363.33</v>
      </c>
      <c r="E385" s="1">
        <f>Tabela7[[#This Row],[Força (N)]]/$I$5</f>
        <v>8457992.8765975274</v>
      </c>
      <c r="F385" s="1">
        <f>Tabela7[[#This Row],[Tensão (Pa)]]/1000000</f>
        <v>8.4579928765975279</v>
      </c>
    </row>
    <row r="386" spans="1:6" x14ac:dyDescent="0.3">
      <c r="A386" s="5">
        <v>27.1</v>
      </c>
      <c r="B386" s="5">
        <v>2.2509000000000001</v>
      </c>
      <c r="C386" s="1">
        <f>Tabela7[[#This Row],[Alongamento (mm/mm)]]/$I$2</f>
        <v>4.5018000000000002E-2</v>
      </c>
      <c r="D386" s="5">
        <v>366.05</v>
      </c>
      <c r="E386" s="1">
        <f>Tabela7[[#This Row],[Força (N)]]/$I$5</f>
        <v>8521312.0096841026</v>
      </c>
      <c r="F386" s="1">
        <f>Tabela7[[#This Row],[Tensão (Pa)]]/1000000</f>
        <v>8.5213120096841024</v>
      </c>
    </row>
    <row r="387" spans="1:6" x14ac:dyDescent="0.3">
      <c r="A387" s="5">
        <v>27.183</v>
      </c>
      <c r="B387" s="5">
        <v>2.2578999999999998</v>
      </c>
      <c r="C387" s="1">
        <f>Tabela7[[#This Row],[Alongamento (mm/mm)]]/$I$2</f>
        <v>4.5157999999999997E-2</v>
      </c>
      <c r="D387" s="5">
        <v>368.77</v>
      </c>
      <c r="E387" s="1">
        <f>Tabela7[[#This Row],[Força (N)]]/$I$5</f>
        <v>8584631.1427706759</v>
      </c>
      <c r="F387" s="1">
        <f>Tabela7[[#This Row],[Tensão (Pa)]]/1000000</f>
        <v>8.5846311427706752</v>
      </c>
    </row>
    <row r="388" spans="1:6" x14ac:dyDescent="0.3">
      <c r="A388" s="5">
        <v>27.266999999999999</v>
      </c>
      <c r="B388" s="5">
        <v>2.2648000000000001</v>
      </c>
      <c r="C388" s="1">
        <f>Tabela7[[#This Row],[Alongamento (mm/mm)]]/$I$2</f>
        <v>4.5296000000000003E-2</v>
      </c>
      <c r="D388" s="5">
        <v>371.5</v>
      </c>
      <c r="E388" s="1">
        <f>Tabela7[[#This Row],[Força (N)]]/$I$5</f>
        <v>8648183.0667877179</v>
      </c>
      <c r="F388" s="1">
        <f>Tabela7[[#This Row],[Tensão (Pa)]]/1000000</f>
        <v>8.648183066787718</v>
      </c>
    </row>
    <row r="389" spans="1:6" x14ac:dyDescent="0.3">
      <c r="A389" s="5">
        <v>27.35</v>
      </c>
      <c r="B389" s="5">
        <v>2.2717000000000001</v>
      </c>
      <c r="C389" s="1">
        <f>Tabela7[[#This Row],[Alongamento (mm/mm)]]/$I$2</f>
        <v>4.5434000000000002E-2</v>
      </c>
      <c r="D389" s="5">
        <v>374.22</v>
      </c>
      <c r="E389" s="1">
        <f>Tabela7[[#This Row],[Força (N)]]/$I$5</f>
        <v>8711502.1998742931</v>
      </c>
      <c r="F389" s="1">
        <f>Tabela7[[#This Row],[Tensão (Pa)]]/1000000</f>
        <v>8.7115021998742925</v>
      </c>
    </row>
    <row r="390" spans="1:6" x14ac:dyDescent="0.3">
      <c r="A390" s="5">
        <v>27.433</v>
      </c>
      <c r="B390" s="5">
        <v>2.2787000000000002</v>
      </c>
      <c r="C390" s="1">
        <f>Tabela7[[#This Row],[Alongamento (mm/mm)]]/$I$2</f>
        <v>4.5574000000000003E-2</v>
      </c>
      <c r="D390" s="5">
        <v>377.11</v>
      </c>
      <c r="E390" s="1">
        <f>Tabela7[[#This Row],[Força (N)]]/$I$5</f>
        <v>8778778.7787787784</v>
      </c>
      <c r="F390" s="1">
        <f>Tabela7[[#This Row],[Tensão (Pa)]]/1000000</f>
        <v>8.7787787787787792</v>
      </c>
    </row>
    <row r="391" spans="1:6" x14ac:dyDescent="0.3">
      <c r="A391" s="5">
        <v>27.516999999999999</v>
      </c>
      <c r="B391" s="5">
        <v>2.2856000000000001</v>
      </c>
      <c r="C391" s="1">
        <f>Tabela7[[#This Row],[Alongamento (mm/mm)]]/$I$2</f>
        <v>4.5712000000000003E-2</v>
      </c>
      <c r="D391" s="5">
        <v>379.83</v>
      </c>
      <c r="E391" s="1">
        <f>Tabela7[[#This Row],[Força (N)]]/$I$5</f>
        <v>8842097.9118653536</v>
      </c>
      <c r="F391" s="1">
        <f>Tabela7[[#This Row],[Tensão (Pa)]]/1000000</f>
        <v>8.8420979118653538</v>
      </c>
    </row>
    <row r="392" spans="1:6" x14ac:dyDescent="0.3">
      <c r="A392" s="5">
        <v>27.6</v>
      </c>
      <c r="B392" s="5">
        <v>2.2925</v>
      </c>
      <c r="C392" s="1">
        <f>Tabela7[[#This Row],[Alongamento (mm/mm)]]/$I$2</f>
        <v>4.5850000000000002E-2</v>
      </c>
      <c r="D392" s="5">
        <v>382.55</v>
      </c>
      <c r="E392" s="1">
        <f>Tabela7[[#This Row],[Força (N)]]/$I$5</f>
        <v>8905417.0449519288</v>
      </c>
      <c r="F392" s="1">
        <f>Tabela7[[#This Row],[Tensão (Pa)]]/1000000</f>
        <v>8.9054170449519283</v>
      </c>
    </row>
    <row r="393" spans="1:6" x14ac:dyDescent="0.3">
      <c r="A393" s="5">
        <v>27.683</v>
      </c>
      <c r="B393" s="5">
        <v>2.2995000000000001</v>
      </c>
      <c r="C393" s="1">
        <f>Tabela7[[#This Row],[Alongamento (mm/mm)]]/$I$2</f>
        <v>4.5990000000000003E-2</v>
      </c>
      <c r="D393" s="5">
        <v>385.27</v>
      </c>
      <c r="E393" s="1">
        <f>Tabela7[[#This Row],[Força (N)]]/$I$5</f>
        <v>8968736.1780385021</v>
      </c>
      <c r="F393" s="1">
        <f>Tabela7[[#This Row],[Tensão (Pa)]]/1000000</f>
        <v>8.9687361780385029</v>
      </c>
    </row>
    <row r="394" spans="1:6" x14ac:dyDescent="0.3">
      <c r="A394" s="5">
        <v>27.766999999999999</v>
      </c>
      <c r="B394" s="5">
        <v>2.3062999999999998</v>
      </c>
      <c r="C394" s="1">
        <f>Tabela7[[#This Row],[Alongamento (mm/mm)]]/$I$2</f>
        <v>4.6125999999999993E-2</v>
      </c>
      <c r="D394" s="5">
        <v>388</v>
      </c>
      <c r="E394" s="1">
        <f>Tabela7[[#This Row],[Força (N)]]/$I$5</f>
        <v>9032288.102055544</v>
      </c>
      <c r="F394" s="1">
        <f>Tabela7[[#This Row],[Tensão (Pa)]]/1000000</f>
        <v>9.0322881020555439</v>
      </c>
    </row>
    <row r="395" spans="1:6" x14ac:dyDescent="0.3">
      <c r="A395" s="5">
        <v>27.85</v>
      </c>
      <c r="B395" s="5">
        <v>2.3134000000000001</v>
      </c>
      <c r="C395" s="1">
        <f>Tabela7[[#This Row],[Alongamento (mm/mm)]]/$I$2</f>
        <v>4.6268000000000004E-2</v>
      </c>
      <c r="D395" s="5">
        <v>390.72</v>
      </c>
      <c r="E395" s="1">
        <f>Tabela7[[#This Row],[Força (N)]]/$I$5</f>
        <v>9095607.2351421192</v>
      </c>
      <c r="F395" s="1">
        <f>Tabela7[[#This Row],[Tensão (Pa)]]/1000000</f>
        <v>9.0956072351421184</v>
      </c>
    </row>
    <row r="396" spans="1:6" x14ac:dyDescent="0.3">
      <c r="A396" s="5">
        <v>27.933</v>
      </c>
      <c r="B396" s="5">
        <v>2.3203999999999998</v>
      </c>
      <c r="C396" s="1">
        <f>Tabela7[[#This Row],[Alongamento (mm/mm)]]/$I$2</f>
        <v>4.6407999999999998E-2</v>
      </c>
      <c r="D396" s="5">
        <v>393.44</v>
      </c>
      <c r="E396" s="1">
        <f>Tabela7[[#This Row],[Força (N)]]/$I$5</f>
        <v>9158926.3682286926</v>
      </c>
      <c r="F396" s="1">
        <f>Tabela7[[#This Row],[Tensão (Pa)]]/1000000</f>
        <v>9.158926368228693</v>
      </c>
    </row>
    <row r="397" spans="1:6" x14ac:dyDescent="0.3">
      <c r="A397" s="5">
        <v>28.033000000000001</v>
      </c>
      <c r="B397" s="5">
        <v>2.3287</v>
      </c>
      <c r="C397" s="1">
        <f>Tabela7[[#This Row],[Alongamento (mm/mm)]]/$I$2</f>
        <v>4.6573999999999997E-2</v>
      </c>
      <c r="D397" s="5">
        <v>396.67</v>
      </c>
      <c r="E397" s="1">
        <f>Tabela7[[#This Row],[Força (N)]]/$I$5</f>
        <v>9234117.8387690019</v>
      </c>
      <c r="F397" s="1">
        <f>Tabela7[[#This Row],[Tensão (Pa)]]/1000000</f>
        <v>9.2341178387690022</v>
      </c>
    </row>
    <row r="398" spans="1:6" x14ac:dyDescent="0.3">
      <c r="A398" s="5">
        <v>28.132999999999999</v>
      </c>
      <c r="B398" s="5">
        <v>2.3370000000000002</v>
      </c>
      <c r="C398" s="1">
        <f>Tabela7[[#This Row],[Alongamento (mm/mm)]]/$I$2</f>
        <v>4.6740000000000004E-2</v>
      </c>
      <c r="D398" s="5">
        <v>399.9</v>
      </c>
      <c r="E398" s="1">
        <f>Tabela7[[#This Row],[Força (N)]]/$I$5</f>
        <v>9309309.3093093075</v>
      </c>
      <c r="F398" s="1">
        <f>Tabela7[[#This Row],[Tensão (Pa)]]/1000000</f>
        <v>9.3093093093093078</v>
      </c>
    </row>
    <row r="399" spans="1:6" x14ac:dyDescent="0.3">
      <c r="A399" s="5">
        <v>28.233000000000001</v>
      </c>
      <c r="B399" s="5">
        <v>2.3452999999999999</v>
      </c>
      <c r="C399" s="1">
        <f>Tabela7[[#This Row],[Alongamento (mm/mm)]]/$I$2</f>
        <v>4.6905999999999996E-2</v>
      </c>
      <c r="D399" s="5">
        <v>403.13</v>
      </c>
      <c r="E399" s="1">
        <f>Tabela7[[#This Row],[Força (N)]]/$I$5</f>
        <v>9384500.7798496168</v>
      </c>
      <c r="F399" s="1">
        <f>Tabela7[[#This Row],[Tensão (Pa)]]/1000000</f>
        <v>9.3845007798496169</v>
      </c>
    </row>
    <row r="400" spans="1:6" x14ac:dyDescent="0.3">
      <c r="A400" s="5">
        <v>28.332999999999998</v>
      </c>
      <c r="B400" s="5">
        <v>2.3534999999999999</v>
      </c>
      <c r="C400" s="1">
        <f>Tabela7[[#This Row],[Alongamento (mm/mm)]]/$I$2</f>
        <v>4.7070000000000001E-2</v>
      </c>
      <c r="D400" s="5">
        <v>406.54</v>
      </c>
      <c r="E400" s="1">
        <f>Tabela7[[#This Row],[Força (N)]]/$I$5</f>
        <v>9463882.4871383011</v>
      </c>
      <c r="F400" s="1">
        <f>Tabela7[[#This Row],[Tensão (Pa)]]/1000000</f>
        <v>9.4638824871383012</v>
      </c>
    </row>
    <row r="401" spans="1:6" x14ac:dyDescent="0.3">
      <c r="A401" s="5">
        <v>28.433</v>
      </c>
      <c r="B401" s="5">
        <v>2.3620000000000001</v>
      </c>
      <c r="C401" s="1">
        <f>Tabela7[[#This Row],[Alongamento (mm/mm)]]/$I$2</f>
        <v>4.7240000000000004E-2</v>
      </c>
      <c r="D401" s="5">
        <v>409.77</v>
      </c>
      <c r="E401" s="1">
        <f>Tabela7[[#This Row],[Força (N)]]/$I$5</f>
        <v>9539073.9576786086</v>
      </c>
      <c r="F401" s="1">
        <f>Tabela7[[#This Row],[Tensão (Pa)]]/1000000</f>
        <v>9.5390739576786086</v>
      </c>
    </row>
    <row r="402" spans="1:6" x14ac:dyDescent="0.3">
      <c r="A402" s="5">
        <v>28.533000000000001</v>
      </c>
      <c r="B402" s="5">
        <v>2.3702999999999999</v>
      </c>
      <c r="C402" s="1">
        <f>Tabela7[[#This Row],[Alongamento (mm/mm)]]/$I$2</f>
        <v>4.7405999999999997E-2</v>
      </c>
      <c r="D402" s="5">
        <v>413.17</v>
      </c>
      <c r="E402" s="1">
        <f>Tabela7[[#This Row],[Força (N)]]/$I$5</f>
        <v>9618222.8740368281</v>
      </c>
      <c r="F402" s="1">
        <f>Tabela7[[#This Row],[Tensão (Pa)]]/1000000</f>
        <v>9.6182228740368281</v>
      </c>
    </row>
    <row r="403" spans="1:6" x14ac:dyDescent="0.3">
      <c r="A403" s="5">
        <v>28.632999999999999</v>
      </c>
      <c r="B403" s="5">
        <v>2.3786999999999998</v>
      </c>
      <c r="C403" s="1">
        <f>Tabela7[[#This Row],[Alongamento (mm/mm)]]/$I$2</f>
        <v>4.7573999999999998E-2</v>
      </c>
      <c r="D403" s="5">
        <v>416.4</v>
      </c>
      <c r="E403" s="1">
        <f>Tabela7[[#This Row],[Força (N)]]/$I$5</f>
        <v>9693414.3445771337</v>
      </c>
      <c r="F403" s="1">
        <f>Tabela7[[#This Row],[Tensão (Pa)]]/1000000</f>
        <v>9.6934143445771337</v>
      </c>
    </row>
    <row r="404" spans="1:6" x14ac:dyDescent="0.3">
      <c r="A404" s="5">
        <v>28.733000000000001</v>
      </c>
      <c r="B404" s="5">
        <v>2.387</v>
      </c>
      <c r="C404" s="1">
        <f>Tabela7[[#This Row],[Alongamento (mm/mm)]]/$I$2</f>
        <v>4.7739999999999998E-2</v>
      </c>
      <c r="D404" s="5">
        <v>419.8</v>
      </c>
      <c r="E404" s="1">
        <f>Tabela7[[#This Row],[Força (N)]]/$I$5</f>
        <v>9772563.2609353531</v>
      </c>
      <c r="F404" s="1">
        <f>Tabela7[[#This Row],[Tensão (Pa)]]/1000000</f>
        <v>9.7725632609353532</v>
      </c>
    </row>
    <row r="405" spans="1:6" x14ac:dyDescent="0.3">
      <c r="A405" s="5">
        <v>28.832999999999998</v>
      </c>
      <c r="B405" s="5">
        <v>2.3953000000000002</v>
      </c>
      <c r="C405" s="1">
        <f>Tabela7[[#This Row],[Alongamento (mm/mm)]]/$I$2</f>
        <v>4.7906000000000004E-2</v>
      </c>
      <c r="D405" s="5">
        <v>423.04</v>
      </c>
      <c r="E405" s="1">
        <f>Tabela7[[#This Row],[Força (N)]]/$I$5</f>
        <v>9847987.5224061273</v>
      </c>
      <c r="F405" s="1">
        <f>Tabela7[[#This Row],[Tensão (Pa)]]/1000000</f>
        <v>9.8479875224061271</v>
      </c>
    </row>
    <row r="406" spans="1:6" x14ac:dyDescent="0.3">
      <c r="A406" s="5">
        <v>28.933</v>
      </c>
      <c r="B406" s="5">
        <v>2.4037000000000002</v>
      </c>
      <c r="C406" s="1">
        <f>Tabela7[[#This Row],[Alongamento (mm/mm)]]/$I$2</f>
        <v>4.8074000000000006E-2</v>
      </c>
      <c r="D406" s="5">
        <v>426.27</v>
      </c>
      <c r="E406" s="1">
        <f>Tabela7[[#This Row],[Força (N)]]/$I$5</f>
        <v>9923178.9929464348</v>
      </c>
      <c r="F406" s="1">
        <f>Tabela7[[#This Row],[Tensão (Pa)]]/1000000</f>
        <v>9.9231789929464345</v>
      </c>
    </row>
    <row r="407" spans="1:6" x14ac:dyDescent="0.3">
      <c r="A407" s="5">
        <v>29.033000000000001</v>
      </c>
      <c r="B407" s="5">
        <v>2.4121000000000001</v>
      </c>
      <c r="C407" s="1">
        <f>Tabela7[[#This Row],[Alongamento (mm/mm)]]/$I$2</f>
        <v>4.8242E-2</v>
      </c>
      <c r="D407" s="5">
        <v>429.67</v>
      </c>
      <c r="E407" s="1">
        <f>Tabela7[[#This Row],[Força (N)]]/$I$5</f>
        <v>10002327.909304654</v>
      </c>
      <c r="F407" s="1">
        <f>Tabela7[[#This Row],[Tensão (Pa)]]/1000000</f>
        <v>10.002327909304654</v>
      </c>
    </row>
    <row r="408" spans="1:6" x14ac:dyDescent="0.3">
      <c r="A408" s="5">
        <v>29.132999999999999</v>
      </c>
      <c r="B408" s="5">
        <v>2.4203000000000001</v>
      </c>
      <c r="C408" s="1">
        <f>Tabela7[[#This Row],[Alongamento (mm/mm)]]/$I$2</f>
        <v>4.8406000000000005E-2</v>
      </c>
      <c r="D408" s="5">
        <v>433.07</v>
      </c>
      <c r="E408" s="1">
        <f>Tabela7[[#This Row],[Força (N)]]/$I$5</f>
        <v>10081476.825662872</v>
      </c>
      <c r="F408" s="1">
        <f>Tabela7[[#This Row],[Tensão (Pa)]]/1000000</f>
        <v>10.081476825662872</v>
      </c>
    </row>
    <row r="409" spans="1:6" x14ac:dyDescent="0.3">
      <c r="A409" s="5">
        <v>29.216999999999999</v>
      </c>
      <c r="B409" s="5">
        <v>2.4272999999999998</v>
      </c>
      <c r="C409" s="1">
        <f>Tabela7[[#This Row],[Alongamento (mm/mm)]]/$I$2</f>
        <v>4.8545999999999999E-2</v>
      </c>
      <c r="D409" s="5">
        <v>436.3</v>
      </c>
      <c r="E409" s="1">
        <f>Tabela7[[#This Row],[Força (N)]]/$I$5</f>
        <v>10156668.296203179</v>
      </c>
      <c r="F409" s="1">
        <f>Tabela7[[#This Row],[Tensão (Pa)]]/1000000</f>
        <v>10.156668296203179</v>
      </c>
    </row>
    <row r="410" spans="1:6" x14ac:dyDescent="0.3">
      <c r="A410" s="5">
        <v>29.317</v>
      </c>
      <c r="B410" s="5">
        <v>2.4356</v>
      </c>
      <c r="C410" s="1">
        <f>Tabela7[[#This Row],[Alongamento (mm/mm)]]/$I$2</f>
        <v>4.8711999999999998E-2</v>
      </c>
      <c r="D410" s="5">
        <v>439.88</v>
      </c>
      <c r="E410" s="1">
        <f>Tabela7[[#This Row],[Força (N)]]/$I$5</f>
        <v>10240007.449309774</v>
      </c>
      <c r="F410" s="1">
        <f>Tabela7[[#This Row],[Tensão (Pa)]]/1000000</f>
        <v>10.240007449309774</v>
      </c>
    </row>
    <row r="411" spans="1:6" x14ac:dyDescent="0.3">
      <c r="A411" s="5">
        <v>29.417000000000002</v>
      </c>
      <c r="B411" s="5">
        <v>2.444</v>
      </c>
      <c r="C411" s="1">
        <f>Tabela7[[#This Row],[Alongamento (mm/mm)]]/$I$2</f>
        <v>4.888E-2</v>
      </c>
      <c r="D411" s="5">
        <v>443.45</v>
      </c>
      <c r="E411" s="1">
        <f>Tabela7[[#This Row],[Força (N)]]/$I$5</f>
        <v>10323113.811485903</v>
      </c>
      <c r="F411" s="1">
        <f>Tabela7[[#This Row],[Tensão (Pa)]]/1000000</f>
        <v>10.323113811485904</v>
      </c>
    </row>
    <row r="412" spans="1:6" x14ac:dyDescent="0.3">
      <c r="A412" s="5">
        <v>29.516999999999999</v>
      </c>
      <c r="B412" s="5">
        <v>2.4523000000000001</v>
      </c>
      <c r="C412" s="1">
        <f>Tabela7[[#This Row],[Alongamento (mm/mm)]]/$I$2</f>
        <v>4.9046000000000006E-2</v>
      </c>
      <c r="D412" s="5">
        <v>446.85</v>
      </c>
      <c r="E412" s="1">
        <f>Tabela7[[#This Row],[Força (N)]]/$I$5</f>
        <v>10402262.727844123</v>
      </c>
      <c r="F412" s="1">
        <f>Tabela7[[#This Row],[Tensão (Pa)]]/1000000</f>
        <v>10.402262727844123</v>
      </c>
    </row>
    <row r="413" spans="1:6" x14ac:dyDescent="0.3">
      <c r="A413" s="5">
        <v>29.617000000000001</v>
      </c>
      <c r="B413" s="5">
        <v>2.4605999999999999</v>
      </c>
      <c r="C413" s="1">
        <f>Tabela7[[#This Row],[Alongamento (mm/mm)]]/$I$2</f>
        <v>4.9211999999999999E-2</v>
      </c>
      <c r="D413" s="5">
        <v>450.42</v>
      </c>
      <c r="E413" s="1">
        <f>Tabela7[[#This Row],[Força (N)]]/$I$5</f>
        <v>10485369.090020252</v>
      </c>
      <c r="F413" s="1">
        <f>Tabela7[[#This Row],[Tensão (Pa)]]/1000000</f>
        <v>10.485369090020253</v>
      </c>
    </row>
    <row r="414" spans="1:6" x14ac:dyDescent="0.3">
      <c r="A414" s="5">
        <v>29.716999999999999</v>
      </c>
      <c r="B414" s="5">
        <v>2.4689000000000001</v>
      </c>
      <c r="C414" s="1">
        <f>Tabela7[[#This Row],[Alongamento (mm/mm)]]/$I$2</f>
        <v>4.9378000000000005E-2</v>
      </c>
      <c r="D414" s="5">
        <v>453.99</v>
      </c>
      <c r="E414" s="1">
        <f>Tabela7[[#This Row],[Força (N)]]/$I$5</f>
        <v>10568475.452196382</v>
      </c>
      <c r="F414" s="1">
        <f>Tabela7[[#This Row],[Tensão (Pa)]]/1000000</f>
        <v>10.568475452196383</v>
      </c>
    </row>
    <row r="415" spans="1:6" x14ac:dyDescent="0.3">
      <c r="A415" s="5">
        <v>29.817</v>
      </c>
      <c r="B415" s="5">
        <v>2.4771999999999998</v>
      </c>
      <c r="C415" s="1">
        <f>Tabela7[[#This Row],[Alongamento (mm/mm)]]/$I$2</f>
        <v>4.9543999999999998E-2</v>
      </c>
      <c r="D415" s="5">
        <v>457.57</v>
      </c>
      <c r="E415" s="1">
        <f>Tabela7[[#This Row],[Força (N)]]/$I$5</f>
        <v>10651814.605302976</v>
      </c>
      <c r="F415" s="1">
        <f>Tabela7[[#This Row],[Tensão (Pa)]]/1000000</f>
        <v>10.651814605302976</v>
      </c>
    </row>
    <row r="416" spans="1:6" x14ac:dyDescent="0.3">
      <c r="A416" s="5">
        <v>29.917000000000002</v>
      </c>
      <c r="B416" s="5">
        <v>2.4855999999999998</v>
      </c>
      <c r="C416" s="1">
        <f>Tabela7[[#This Row],[Alongamento (mm/mm)]]/$I$2</f>
        <v>4.9711999999999999E-2</v>
      </c>
      <c r="D416" s="5">
        <v>461.14</v>
      </c>
      <c r="E416" s="1">
        <f>Tabela7[[#This Row],[Força (N)]]/$I$5</f>
        <v>10734920.967479106</v>
      </c>
      <c r="F416" s="1">
        <f>Tabela7[[#This Row],[Tensão (Pa)]]/1000000</f>
        <v>10.734920967479106</v>
      </c>
    </row>
    <row r="417" spans="1:6" x14ac:dyDescent="0.3">
      <c r="A417" s="5">
        <v>30.016999999999999</v>
      </c>
      <c r="B417" s="5">
        <v>2.4939</v>
      </c>
      <c r="C417" s="1">
        <f>Tabela7[[#This Row],[Alongamento (mm/mm)]]/$I$2</f>
        <v>4.9877999999999999E-2</v>
      </c>
      <c r="D417" s="5">
        <v>464.71</v>
      </c>
      <c r="E417" s="1">
        <f>Tabela7[[#This Row],[Força (N)]]/$I$5</f>
        <v>10818027.329655236</v>
      </c>
      <c r="F417" s="1">
        <f>Tabela7[[#This Row],[Tensão (Pa)]]/1000000</f>
        <v>10.818027329655235</v>
      </c>
    </row>
    <row r="418" spans="1:6" x14ac:dyDescent="0.3">
      <c r="A418" s="5">
        <v>30.117000000000001</v>
      </c>
      <c r="B418" s="5">
        <v>2.5023</v>
      </c>
      <c r="C418" s="1">
        <f>Tabela7[[#This Row],[Alongamento (mm/mm)]]/$I$2</f>
        <v>5.0046E-2</v>
      </c>
      <c r="D418" s="5">
        <v>468.28</v>
      </c>
      <c r="E418" s="1">
        <f>Tabela7[[#This Row],[Força (N)]]/$I$5</f>
        <v>10901133.691831365</v>
      </c>
      <c r="F418" s="1">
        <f>Tabela7[[#This Row],[Tensão (Pa)]]/1000000</f>
        <v>10.901133691831365</v>
      </c>
    </row>
    <row r="419" spans="1:6" x14ac:dyDescent="0.3">
      <c r="A419" s="5">
        <v>30.216999999999999</v>
      </c>
      <c r="B419" s="5">
        <v>2.5106000000000002</v>
      </c>
      <c r="C419" s="1">
        <f>Tabela7[[#This Row],[Alongamento (mm/mm)]]/$I$2</f>
        <v>5.0212000000000007E-2</v>
      </c>
      <c r="D419" s="5">
        <v>471.85</v>
      </c>
      <c r="E419" s="1">
        <f>Tabela7[[#This Row],[Força (N)]]/$I$5</f>
        <v>10984240.054007497</v>
      </c>
      <c r="F419" s="1">
        <f>Tabela7[[#This Row],[Tensão (Pa)]]/1000000</f>
        <v>10.984240054007497</v>
      </c>
    </row>
    <row r="420" spans="1:6" x14ac:dyDescent="0.3">
      <c r="A420" s="5">
        <v>30.317</v>
      </c>
      <c r="B420" s="5">
        <v>2.5188999999999999</v>
      </c>
      <c r="C420" s="1">
        <f>Tabela7[[#This Row],[Alongamento (mm/mm)]]/$I$2</f>
        <v>5.0377999999999999E-2</v>
      </c>
      <c r="D420" s="5">
        <v>475.26</v>
      </c>
      <c r="E420" s="1">
        <f>Tabela7[[#This Row],[Força (N)]]/$I$5</f>
        <v>11063621.761296179</v>
      </c>
      <c r="F420" s="1">
        <f>Tabela7[[#This Row],[Tensão (Pa)]]/1000000</f>
        <v>11.063621761296179</v>
      </c>
    </row>
    <row r="421" spans="1:6" x14ac:dyDescent="0.3">
      <c r="A421" s="5">
        <v>30.417000000000002</v>
      </c>
      <c r="B421" s="5">
        <v>2.5272999999999999</v>
      </c>
      <c r="C421" s="1">
        <f>Tabela7[[#This Row],[Alongamento (mm/mm)]]/$I$2</f>
        <v>5.0546000000000001E-2</v>
      </c>
      <c r="D421" s="5">
        <v>478.83</v>
      </c>
      <c r="E421" s="1">
        <f>Tabela7[[#This Row],[Força (N)]]/$I$5</f>
        <v>11146728.123472309</v>
      </c>
      <c r="F421" s="1">
        <f>Tabela7[[#This Row],[Tensão (Pa)]]/1000000</f>
        <v>11.146728123472309</v>
      </c>
    </row>
    <row r="422" spans="1:6" x14ac:dyDescent="0.3">
      <c r="A422" s="5">
        <v>30.516999999999999</v>
      </c>
      <c r="B422" s="5">
        <v>2.5356000000000001</v>
      </c>
      <c r="C422" s="1">
        <f>Tabela7[[#This Row],[Alongamento (mm/mm)]]/$I$2</f>
        <v>5.0712E-2</v>
      </c>
      <c r="D422" s="5">
        <v>482.4</v>
      </c>
      <c r="E422" s="1">
        <f>Tabela7[[#This Row],[Força (N)]]/$I$5</f>
        <v>11229834.485648438</v>
      </c>
      <c r="F422" s="1">
        <f>Tabela7[[#This Row],[Tensão (Pa)]]/1000000</f>
        <v>11.229834485648439</v>
      </c>
    </row>
    <row r="423" spans="1:6" x14ac:dyDescent="0.3">
      <c r="A423" s="5">
        <v>30.632999999999999</v>
      </c>
      <c r="B423" s="5">
        <v>2.5453000000000001</v>
      </c>
      <c r="C423" s="1">
        <f>Tabela7[[#This Row],[Alongamento (mm/mm)]]/$I$2</f>
        <v>5.0906E-2</v>
      </c>
      <c r="D423" s="5">
        <v>486.65</v>
      </c>
      <c r="E423" s="1">
        <f>Tabela7[[#This Row],[Força (N)]]/$I$5</f>
        <v>11328770.631096212</v>
      </c>
      <c r="F423" s="1">
        <f>Tabela7[[#This Row],[Tensão (Pa)]]/1000000</f>
        <v>11.328770631096212</v>
      </c>
    </row>
    <row r="424" spans="1:6" x14ac:dyDescent="0.3">
      <c r="A424" s="5">
        <v>30.75</v>
      </c>
      <c r="B424" s="5">
        <v>2.5550000000000002</v>
      </c>
      <c r="C424" s="1">
        <f>Tabela7[[#This Row],[Alongamento (mm/mm)]]/$I$2</f>
        <v>5.1100000000000007E-2</v>
      </c>
      <c r="D424" s="5">
        <v>490.91</v>
      </c>
      <c r="E424" s="1">
        <f>Tabela7[[#This Row],[Força (N)]]/$I$5</f>
        <v>11427939.567474451</v>
      </c>
      <c r="F424" s="1">
        <f>Tabela7[[#This Row],[Tensão (Pa)]]/1000000</f>
        <v>11.427939567474452</v>
      </c>
    </row>
    <row r="425" spans="1:6" x14ac:dyDescent="0.3">
      <c r="A425" s="5">
        <v>30.867000000000001</v>
      </c>
      <c r="B425" s="5">
        <v>2.5648</v>
      </c>
      <c r="C425" s="1">
        <f>Tabela7[[#This Row],[Alongamento (mm/mm)]]/$I$2</f>
        <v>5.1296000000000001E-2</v>
      </c>
      <c r="D425" s="5">
        <v>495.16</v>
      </c>
      <c r="E425" s="1">
        <f>Tabela7[[#This Row],[Força (N)]]/$I$5</f>
        <v>11526875.712922225</v>
      </c>
      <c r="F425" s="1">
        <f>Tabela7[[#This Row],[Tensão (Pa)]]/1000000</f>
        <v>11.526875712922225</v>
      </c>
    </row>
    <row r="426" spans="1:6" x14ac:dyDescent="0.3">
      <c r="A426" s="5">
        <v>30.983000000000001</v>
      </c>
      <c r="B426" s="5">
        <v>2.5745</v>
      </c>
      <c r="C426" s="1">
        <f>Tabela7[[#This Row],[Alongamento (mm/mm)]]/$I$2</f>
        <v>5.1490000000000001E-2</v>
      </c>
      <c r="D426" s="5">
        <v>499.41</v>
      </c>
      <c r="E426" s="1">
        <f>Tabela7[[#This Row],[Força (N)]]/$I$5</f>
        <v>11625811.858369999</v>
      </c>
      <c r="F426" s="1">
        <f>Tabela7[[#This Row],[Tensão (Pa)]]/1000000</f>
        <v>11.625811858369998</v>
      </c>
    </row>
    <row r="427" spans="1:6" x14ac:dyDescent="0.3">
      <c r="A427" s="5">
        <v>31.1</v>
      </c>
      <c r="B427" s="5">
        <v>2.5842000000000001</v>
      </c>
      <c r="C427" s="1">
        <f>Tabela7[[#This Row],[Alongamento (mm/mm)]]/$I$2</f>
        <v>5.1684000000000001E-2</v>
      </c>
      <c r="D427" s="5">
        <v>503.49</v>
      </c>
      <c r="E427" s="1">
        <f>Tabela7[[#This Row],[Força (N)]]/$I$5</f>
        <v>11720790.55799986</v>
      </c>
      <c r="F427" s="1">
        <f>Tabela7[[#This Row],[Tensão (Pa)]]/1000000</f>
        <v>11.720790557999861</v>
      </c>
    </row>
    <row r="428" spans="1:6" x14ac:dyDescent="0.3">
      <c r="A428" s="5">
        <v>31.2</v>
      </c>
      <c r="B428" s="5">
        <v>2.5924999999999998</v>
      </c>
      <c r="C428" s="1">
        <f>Tabela7[[#This Row],[Alongamento (mm/mm)]]/$I$2</f>
        <v>5.1849999999999993E-2</v>
      </c>
      <c r="D428" s="5">
        <v>507.23</v>
      </c>
      <c r="E428" s="1">
        <f>Tabela7[[#This Row],[Força (N)]]/$I$5</f>
        <v>11807854.3659939</v>
      </c>
      <c r="F428" s="1">
        <f>Tabela7[[#This Row],[Tensão (Pa)]]/1000000</f>
        <v>11.807854365993901</v>
      </c>
    </row>
    <row r="429" spans="1:6" x14ac:dyDescent="0.3">
      <c r="A429" s="5">
        <v>31.317</v>
      </c>
      <c r="B429" s="5">
        <v>2.6021999999999998</v>
      </c>
      <c r="C429" s="1">
        <f>Tabela7[[#This Row],[Alongamento (mm/mm)]]/$I$2</f>
        <v>5.2044E-2</v>
      </c>
      <c r="D429" s="5">
        <v>511.32</v>
      </c>
      <c r="E429" s="1">
        <f>Tabela7[[#This Row],[Força (N)]]/$I$5</f>
        <v>11903065.856554227</v>
      </c>
      <c r="F429" s="1">
        <f>Tabela7[[#This Row],[Tensão (Pa)]]/1000000</f>
        <v>11.903065856554226</v>
      </c>
    </row>
    <row r="430" spans="1:6" x14ac:dyDescent="0.3">
      <c r="A430" s="5">
        <v>31.433</v>
      </c>
      <c r="B430" s="5">
        <v>2.6120000000000001</v>
      </c>
      <c r="C430" s="1">
        <f>Tabela7[[#This Row],[Alongamento (mm/mm)]]/$I$2</f>
        <v>5.2240000000000002E-2</v>
      </c>
      <c r="D430" s="5">
        <v>515.57000000000005</v>
      </c>
      <c r="E430" s="1">
        <f>Tabela7[[#This Row],[Força (N)]]/$I$5</f>
        <v>12002002.002002003</v>
      </c>
      <c r="F430" s="1">
        <f>Tabela7[[#This Row],[Tensão (Pa)]]/1000000</f>
        <v>12.002002002002003</v>
      </c>
    </row>
    <row r="431" spans="1:6" x14ac:dyDescent="0.3">
      <c r="A431" s="5">
        <v>31.55</v>
      </c>
      <c r="B431" s="5">
        <v>2.6217000000000001</v>
      </c>
      <c r="C431" s="1">
        <f>Tabela7[[#This Row],[Alongamento (mm/mm)]]/$I$2</f>
        <v>5.2434000000000001E-2</v>
      </c>
      <c r="D431" s="5">
        <v>519.82000000000005</v>
      </c>
      <c r="E431" s="1">
        <f>Tabela7[[#This Row],[Força (N)]]/$I$5</f>
        <v>12100938.147449777</v>
      </c>
      <c r="F431" s="1">
        <f>Tabela7[[#This Row],[Tensão (Pa)]]/1000000</f>
        <v>12.100938147449776</v>
      </c>
    </row>
    <row r="432" spans="1:6" x14ac:dyDescent="0.3">
      <c r="A432" s="5">
        <v>31.667000000000002</v>
      </c>
      <c r="B432" s="5">
        <v>2.6314000000000002</v>
      </c>
      <c r="C432" s="1">
        <f>Tabela7[[#This Row],[Alongamento (mm/mm)]]/$I$2</f>
        <v>5.2628000000000001E-2</v>
      </c>
      <c r="D432" s="5">
        <v>523.9</v>
      </c>
      <c r="E432" s="1">
        <f>Tabela7[[#This Row],[Força (N)]]/$I$5</f>
        <v>12195916.847079637</v>
      </c>
      <c r="F432" s="1">
        <f>Tabela7[[#This Row],[Tensão (Pa)]]/1000000</f>
        <v>12.195916847079637</v>
      </c>
    </row>
    <row r="433" spans="1:6" x14ac:dyDescent="0.3">
      <c r="A433" s="5">
        <v>31.783000000000001</v>
      </c>
      <c r="B433" s="5">
        <v>2.6412</v>
      </c>
      <c r="C433" s="1">
        <f>Tabela7[[#This Row],[Alongamento (mm/mm)]]/$I$2</f>
        <v>5.2824000000000003E-2</v>
      </c>
      <c r="D433" s="5">
        <v>528.16</v>
      </c>
      <c r="E433" s="1">
        <f>Tabela7[[#This Row],[Força (N)]]/$I$5</f>
        <v>12295085.783457875</v>
      </c>
      <c r="F433" s="1">
        <f>Tabela7[[#This Row],[Tensão (Pa)]]/1000000</f>
        <v>12.295085783457875</v>
      </c>
    </row>
    <row r="434" spans="1:6" x14ac:dyDescent="0.3">
      <c r="A434" s="5">
        <v>31.9</v>
      </c>
      <c r="B434" s="5">
        <v>2.6509</v>
      </c>
      <c r="C434" s="1">
        <f>Tabela7[[#This Row],[Alongamento (mm/mm)]]/$I$2</f>
        <v>5.3018000000000003E-2</v>
      </c>
      <c r="D434" s="5">
        <v>532.41</v>
      </c>
      <c r="E434" s="1">
        <f>Tabela7[[#This Row],[Força (N)]]/$I$5</f>
        <v>12394021.928905649</v>
      </c>
      <c r="F434" s="1">
        <f>Tabela7[[#This Row],[Tensão (Pa)]]/1000000</f>
        <v>12.39402192890565</v>
      </c>
    </row>
    <row r="435" spans="1:6" x14ac:dyDescent="0.3">
      <c r="A435" s="5">
        <v>32.017000000000003</v>
      </c>
      <c r="B435" s="5">
        <v>2.6606000000000001</v>
      </c>
      <c r="C435" s="1">
        <f>Tabela7[[#This Row],[Alongamento (mm/mm)]]/$I$2</f>
        <v>5.3212000000000002E-2</v>
      </c>
      <c r="D435" s="5">
        <v>536.66</v>
      </c>
      <c r="E435" s="1">
        <f>Tabela7[[#This Row],[Força (N)]]/$I$5</f>
        <v>12492958.074353421</v>
      </c>
      <c r="F435" s="1">
        <f>Tabela7[[#This Row],[Tensão (Pa)]]/1000000</f>
        <v>12.492958074353421</v>
      </c>
    </row>
    <row r="436" spans="1:6" x14ac:dyDescent="0.3">
      <c r="A436" s="5">
        <v>32.133000000000003</v>
      </c>
      <c r="B436" s="5">
        <v>2.6703000000000001</v>
      </c>
      <c r="C436" s="1">
        <f>Tabela7[[#This Row],[Alongamento (mm/mm)]]/$I$2</f>
        <v>5.3406000000000002E-2</v>
      </c>
      <c r="D436" s="5">
        <v>540.91</v>
      </c>
      <c r="E436" s="1">
        <f>Tabela7[[#This Row],[Força (N)]]/$I$5</f>
        <v>12591894.219801195</v>
      </c>
      <c r="F436" s="1">
        <f>Tabela7[[#This Row],[Tensão (Pa)]]/1000000</f>
        <v>12.591894219801196</v>
      </c>
    </row>
    <row r="437" spans="1:6" x14ac:dyDescent="0.3">
      <c r="A437" s="5">
        <v>32.25</v>
      </c>
      <c r="B437" s="5">
        <v>2.68</v>
      </c>
      <c r="C437" s="1">
        <f>Tabela7[[#This Row],[Alongamento (mm/mm)]]/$I$2</f>
        <v>5.3600000000000002E-2</v>
      </c>
      <c r="D437" s="5">
        <v>545.16999999999996</v>
      </c>
      <c r="E437" s="1">
        <f>Tabela7[[#This Row],[Força (N)]]/$I$5</f>
        <v>12691063.156179434</v>
      </c>
      <c r="F437" s="1">
        <f>Tabela7[[#This Row],[Tensão (Pa)]]/1000000</f>
        <v>12.691063156179434</v>
      </c>
    </row>
    <row r="438" spans="1:6" x14ac:dyDescent="0.3">
      <c r="A438" s="5">
        <v>32.366999999999997</v>
      </c>
      <c r="B438" s="5">
        <v>2.6898</v>
      </c>
      <c r="C438" s="1">
        <f>Tabela7[[#This Row],[Alongamento (mm/mm)]]/$I$2</f>
        <v>5.3795999999999997E-2</v>
      </c>
      <c r="D438" s="5">
        <v>549.25</v>
      </c>
      <c r="E438" s="1">
        <f>Tabela7[[#This Row],[Força (N)]]/$I$5</f>
        <v>12786041.855809297</v>
      </c>
      <c r="F438" s="1">
        <f>Tabela7[[#This Row],[Tensão (Pa)]]/1000000</f>
        <v>12.786041855809298</v>
      </c>
    </row>
    <row r="439" spans="1:6" x14ac:dyDescent="0.3">
      <c r="A439" s="5">
        <v>32.482999999999997</v>
      </c>
      <c r="B439" s="5">
        <v>2.6995</v>
      </c>
      <c r="C439" s="1">
        <f>Tabela7[[#This Row],[Alongamento (mm/mm)]]/$I$2</f>
        <v>5.3990000000000003E-2</v>
      </c>
      <c r="D439" s="5">
        <v>553.5</v>
      </c>
      <c r="E439" s="1">
        <f>Tabela7[[#This Row],[Força (N)]]/$I$5</f>
        <v>12884978.001257071</v>
      </c>
      <c r="F439" s="1">
        <f>Tabela7[[#This Row],[Tensão (Pa)]]/1000000</f>
        <v>12.884978001257071</v>
      </c>
    </row>
    <row r="440" spans="1:6" x14ac:dyDescent="0.3">
      <c r="A440" s="5">
        <v>32.6</v>
      </c>
      <c r="B440" s="5">
        <v>2.7092000000000001</v>
      </c>
      <c r="C440" s="1">
        <f>Tabela7[[#This Row],[Alongamento (mm/mm)]]/$I$2</f>
        <v>5.4184000000000003E-2</v>
      </c>
      <c r="D440" s="5">
        <v>557.75</v>
      </c>
      <c r="E440" s="1">
        <f>Tabela7[[#This Row],[Força (N)]]/$I$5</f>
        <v>12983914.146704843</v>
      </c>
      <c r="F440" s="1">
        <f>Tabela7[[#This Row],[Tensão (Pa)]]/1000000</f>
        <v>12.983914146704842</v>
      </c>
    </row>
    <row r="441" spans="1:6" x14ac:dyDescent="0.3">
      <c r="A441" s="5">
        <v>32.716999999999999</v>
      </c>
      <c r="B441" s="5">
        <v>2.7189999999999999</v>
      </c>
      <c r="C441" s="1">
        <f>Tabela7[[#This Row],[Alongamento (mm/mm)]]/$I$2</f>
        <v>5.4379999999999998E-2</v>
      </c>
      <c r="D441" s="5">
        <v>562.01</v>
      </c>
      <c r="E441" s="1">
        <f>Tabela7[[#This Row],[Força (N)]]/$I$5</f>
        <v>13083083.083083082</v>
      </c>
      <c r="F441" s="1">
        <f>Tabela7[[#This Row],[Tensão (Pa)]]/1000000</f>
        <v>13.083083083083082</v>
      </c>
    </row>
    <row r="442" spans="1:6" x14ac:dyDescent="0.3">
      <c r="A442" s="5">
        <v>32.832999999999998</v>
      </c>
      <c r="B442" s="5">
        <v>2.7286000000000001</v>
      </c>
      <c r="C442" s="1">
        <f>Tabela7[[#This Row],[Alongamento (mm/mm)]]/$I$2</f>
        <v>5.4572000000000002E-2</v>
      </c>
      <c r="D442" s="5">
        <v>566.26</v>
      </c>
      <c r="E442" s="1">
        <f>Tabela7[[#This Row],[Força (N)]]/$I$5</f>
        <v>13182019.228530856</v>
      </c>
      <c r="F442" s="1">
        <f>Tabela7[[#This Row],[Tensão (Pa)]]/1000000</f>
        <v>13.182019228530855</v>
      </c>
    </row>
    <row r="443" spans="1:6" x14ac:dyDescent="0.3">
      <c r="A443" s="5">
        <v>32.950000000000003</v>
      </c>
      <c r="B443" s="5">
        <v>2.7383999999999999</v>
      </c>
      <c r="C443" s="1">
        <f>Tabela7[[#This Row],[Alongamento (mm/mm)]]/$I$2</f>
        <v>5.4767999999999997E-2</v>
      </c>
      <c r="D443" s="5">
        <v>570.67999999999995</v>
      </c>
      <c r="E443" s="1">
        <f>Tabela7[[#This Row],[Força (N)]]/$I$5</f>
        <v>13284912.819796538</v>
      </c>
      <c r="F443" s="1">
        <f>Tabela7[[#This Row],[Tensão (Pa)]]/1000000</f>
        <v>13.284912819796538</v>
      </c>
    </row>
    <row r="444" spans="1:6" x14ac:dyDescent="0.3">
      <c r="A444" s="5">
        <v>33.082999999999998</v>
      </c>
      <c r="B444" s="5">
        <v>2.7494999999999998</v>
      </c>
      <c r="C444" s="1">
        <f>Tabela7[[#This Row],[Alongamento (mm/mm)]]/$I$2</f>
        <v>5.4989999999999997E-2</v>
      </c>
      <c r="D444" s="5">
        <v>575.61</v>
      </c>
      <c r="E444" s="1">
        <f>Tabela7[[#This Row],[Força (N)]]/$I$5</f>
        <v>13399678.748515958</v>
      </c>
      <c r="F444" s="1">
        <f>Tabela7[[#This Row],[Tensão (Pa)]]/1000000</f>
        <v>13.399678748515958</v>
      </c>
    </row>
    <row r="445" spans="1:6" x14ac:dyDescent="0.3">
      <c r="A445" s="5">
        <v>33.216999999999999</v>
      </c>
      <c r="B445" s="5">
        <v>2.7606999999999999</v>
      </c>
      <c r="C445" s="1">
        <f>Tabela7[[#This Row],[Alongamento (mm/mm)]]/$I$2</f>
        <v>5.5213999999999999E-2</v>
      </c>
      <c r="D445" s="5">
        <v>580.54999999999995</v>
      </c>
      <c r="E445" s="1">
        <f>Tabela7[[#This Row],[Força (N)]]/$I$5</f>
        <v>13514677.468165839</v>
      </c>
      <c r="F445" s="1">
        <f>Tabela7[[#This Row],[Tensão (Pa)]]/1000000</f>
        <v>13.514677468165839</v>
      </c>
    </row>
    <row r="446" spans="1:6" x14ac:dyDescent="0.3">
      <c r="A446" s="5">
        <v>33.332999999999998</v>
      </c>
      <c r="B446" s="5">
        <v>2.7703000000000002</v>
      </c>
      <c r="C446" s="1">
        <f>Tabela7[[#This Row],[Alongamento (mm/mm)]]/$I$2</f>
        <v>5.5406000000000004E-2</v>
      </c>
      <c r="D446" s="5">
        <v>584.97</v>
      </c>
      <c r="E446" s="1">
        <f>Tabela7[[#This Row],[Força (N)]]/$I$5</f>
        <v>13617571.059431525</v>
      </c>
      <c r="F446" s="1">
        <f>Tabela7[[#This Row],[Tensão (Pa)]]/1000000</f>
        <v>13.617571059431524</v>
      </c>
    </row>
    <row r="447" spans="1:6" x14ac:dyDescent="0.3">
      <c r="A447" s="5">
        <v>33.466999999999999</v>
      </c>
      <c r="B447" s="5">
        <v>2.7814999999999999</v>
      </c>
      <c r="C447" s="1">
        <f>Tabela7[[#This Row],[Alongamento (mm/mm)]]/$I$2</f>
        <v>5.5629999999999999E-2</v>
      </c>
      <c r="D447" s="5">
        <v>589.9</v>
      </c>
      <c r="E447" s="1">
        <f>Tabela7[[#This Row],[Força (N)]]/$I$5</f>
        <v>13732336.988150941</v>
      </c>
      <c r="F447" s="1">
        <f>Tabela7[[#This Row],[Tensão (Pa)]]/1000000</f>
        <v>13.732336988150941</v>
      </c>
    </row>
    <row r="448" spans="1:6" x14ac:dyDescent="0.3">
      <c r="A448" s="5">
        <v>33.582999999999998</v>
      </c>
      <c r="B448" s="5">
        <v>2.7911999999999999</v>
      </c>
      <c r="C448" s="1">
        <f>Tabela7[[#This Row],[Alongamento (mm/mm)]]/$I$2</f>
        <v>5.5823999999999999E-2</v>
      </c>
      <c r="D448" s="5">
        <v>594.33000000000004</v>
      </c>
      <c r="E448" s="1">
        <f>Tabela7[[#This Row],[Força (N)]]/$I$5</f>
        <v>13835463.370347092</v>
      </c>
      <c r="F448" s="1">
        <f>Tabela7[[#This Row],[Tensão (Pa)]]/1000000</f>
        <v>13.835463370347092</v>
      </c>
    </row>
    <row r="449" spans="1:6" x14ac:dyDescent="0.3">
      <c r="A449" s="5">
        <v>33.700000000000003</v>
      </c>
      <c r="B449" s="5">
        <v>2.8008999999999999</v>
      </c>
      <c r="C449" s="1">
        <f>Tabela7[[#This Row],[Alongamento (mm/mm)]]/$I$2</f>
        <v>5.6017999999999998E-2</v>
      </c>
      <c r="D449" s="5">
        <v>598.75</v>
      </c>
      <c r="E449" s="1">
        <f>Tabela7[[#This Row],[Força (N)]]/$I$5</f>
        <v>13938356.961612774</v>
      </c>
      <c r="F449" s="1">
        <f>Tabela7[[#This Row],[Tensão (Pa)]]/1000000</f>
        <v>13.938356961612774</v>
      </c>
    </row>
    <row r="450" spans="1:6" x14ac:dyDescent="0.3">
      <c r="A450" s="5">
        <v>33.817</v>
      </c>
      <c r="B450" s="5">
        <v>2.8106</v>
      </c>
      <c r="C450" s="1">
        <f>Tabela7[[#This Row],[Alongamento (mm/mm)]]/$I$2</f>
        <v>5.6211999999999998E-2</v>
      </c>
      <c r="D450" s="5">
        <v>603.16999999999996</v>
      </c>
      <c r="E450" s="1">
        <f>Tabela7[[#This Row],[Força (N)]]/$I$5</f>
        <v>14041250.552878458</v>
      </c>
      <c r="F450" s="1">
        <f>Tabela7[[#This Row],[Tensão (Pa)]]/1000000</f>
        <v>14.041250552878457</v>
      </c>
    </row>
    <row r="451" spans="1:6" x14ac:dyDescent="0.3">
      <c r="A451" s="5">
        <v>33.933</v>
      </c>
      <c r="B451" s="5">
        <v>2.8203</v>
      </c>
      <c r="C451" s="1">
        <f>Tabela7[[#This Row],[Alongamento (mm/mm)]]/$I$2</f>
        <v>5.6405999999999998E-2</v>
      </c>
      <c r="D451" s="5">
        <v>607.59</v>
      </c>
      <c r="E451" s="1">
        <f>Tabela7[[#This Row],[Força (N)]]/$I$5</f>
        <v>14144144.144144144</v>
      </c>
      <c r="F451" s="1">
        <f>Tabela7[[#This Row],[Tensão (Pa)]]/1000000</f>
        <v>14.144144144144144</v>
      </c>
    </row>
    <row r="452" spans="1:6" x14ac:dyDescent="0.3">
      <c r="A452" s="5">
        <v>34.049999999999997</v>
      </c>
      <c r="B452" s="5">
        <v>2.8300999999999998</v>
      </c>
      <c r="C452" s="1">
        <f>Tabela7[[#This Row],[Alongamento (mm/mm)]]/$I$2</f>
        <v>5.6602E-2</v>
      </c>
      <c r="D452" s="5">
        <v>612.02</v>
      </c>
      <c r="E452" s="1">
        <f>Tabela7[[#This Row],[Força (N)]]/$I$5</f>
        <v>14247270.526340293</v>
      </c>
      <c r="F452" s="1">
        <f>Tabela7[[#This Row],[Tensão (Pa)]]/1000000</f>
        <v>14.247270526340293</v>
      </c>
    </row>
    <row r="453" spans="1:6" x14ac:dyDescent="0.3">
      <c r="A453" s="5">
        <v>34.183</v>
      </c>
      <c r="B453" s="5">
        <v>2.8412000000000002</v>
      </c>
      <c r="C453" s="1">
        <f>Tabela7[[#This Row],[Alongamento (mm/mm)]]/$I$2</f>
        <v>5.6824000000000006E-2</v>
      </c>
      <c r="D453" s="5">
        <v>617.12</v>
      </c>
      <c r="E453" s="1">
        <f>Tabela7[[#This Row],[Força (N)]]/$I$5</f>
        <v>14365993.900877621</v>
      </c>
      <c r="F453" s="1">
        <f>Tabela7[[#This Row],[Tensão (Pa)]]/1000000</f>
        <v>14.365993900877621</v>
      </c>
    </row>
    <row r="454" spans="1:6" x14ac:dyDescent="0.3">
      <c r="A454" s="5">
        <v>34.317</v>
      </c>
      <c r="B454" s="5">
        <v>2.8523000000000001</v>
      </c>
      <c r="C454" s="1">
        <f>Tabela7[[#This Row],[Alongamento (mm/mm)]]/$I$2</f>
        <v>5.7045999999999999E-2</v>
      </c>
      <c r="D454" s="5">
        <v>622.22</v>
      </c>
      <c r="E454" s="1">
        <f>Tabela7[[#This Row],[Força (N)]]/$I$5</f>
        <v>14484717.275414949</v>
      </c>
      <c r="F454" s="1">
        <f>Tabela7[[#This Row],[Tensão (Pa)]]/1000000</f>
        <v>14.484717275414949</v>
      </c>
    </row>
    <row r="455" spans="1:6" x14ac:dyDescent="0.3">
      <c r="A455" s="5">
        <v>34.450000000000003</v>
      </c>
      <c r="B455" s="5">
        <v>2.8633999999999999</v>
      </c>
      <c r="C455" s="1">
        <f>Tabela7[[#This Row],[Alongamento (mm/mm)]]/$I$2</f>
        <v>5.7267999999999999E-2</v>
      </c>
      <c r="D455" s="5">
        <v>627.32000000000005</v>
      </c>
      <c r="E455" s="1">
        <f>Tabela7[[#This Row],[Força (N)]]/$I$5</f>
        <v>14603440.649952278</v>
      </c>
      <c r="F455" s="1">
        <f>Tabela7[[#This Row],[Tensão (Pa)]]/1000000</f>
        <v>14.603440649952278</v>
      </c>
    </row>
    <row r="456" spans="1:6" x14ac:dyDescent="0.3">
      <c r="A456" s="5">
        <v>34.582999999999998</v>
      </c>
      <c r="B456" s="5">
        <v>2.8746</v>
      </c>
      <c r="C456" s="1">
        <f>Tabela7[[#This Row],[Alongamento (mm/mm)]]/$I$2</f>
        <v>5.7492000000000001E-2</v>
      </c>
      <c r="D456" s="5">
        <v>632.42999999999995</v>
      </c>
      <c r="E456" s="1">
        <f>Tabela7[[#This Row],[Força (N)]]/$I$5</f>
        <v>14722396.815420069</v>
      </c>
      <c r="F456" s="1">
        <f>Tabela7[[#This Row],[Tensão (Pa)]]/1000000</f>
        <v>14.722396815420069</v>
      </c>
    </row>
    <row r="457" spans="1:6" x14ac:dyDescent="0.3">
      <c r="A457" s="5">
        <v>34.716999999999999</v>
      </c>
      <c r="B457" s="5">
        <v>2.8856000000000002</v>
      </c>
      <c r="C457" s="1">
        <f>Tabela7[[#This Row],[Alongamento (mm/mm)]]/$I$2</f>
        <v>5.7712000000000006E-2</v>
      </c>
      <c r="D457" s="5">
        <v>637.53</v>
      </c>
      <c r="E457" s="1">
        <f>Tabela7[[#This Row],[Força (N)]]/$I$5</f>
        <v>14841120.189957397</v>
      </c>
      <c r="F457" s="1">
        <f>Tabela7[[#This Row],[Tensão (Pa)]]/1000000</f>
        <v>14.841120189957397</v>
      </c>
    </row>
    <row r="458" spans="1:6" x14ac:dyDescent="0.3">
      <c r="A458" s="5">
        <v>34.85</v>
      </c>
      <c r="B458" s="5">
        <v>2.8965999999999998</v>
      </c>
      <c r="C458" s="1">
        <f>Tabela7[[#This Row],[Alongamento (mm/mm)]]/$I$2</f>
        <v>5.7931999999999997E-2</v>
      </c>
      <c r="D458" s="5">
        <v>642.63</v>
      </c>
      <c r="E458" s="1">
        <f>Tabela7[[#This Row],[Força (N)]]/$I$5</f>
        <v>14959843.564494727</v>
      </c>
      <c r="F458" s="1">
        <f>Tabela7[[#This Row],[Tensão (Pa)]]/1000000</f>
        <v>14.959843564494728</v>
      </c>
    </row>
    <row r="459" spans="1:6" x14ac:dyDescent="0.3">
      <c r="A459" s="5">
        <v>34.982999999999997</v>
      </c>
      <c r="B459" s="5">
        <v>2.9077999999999999</v>
      </c>
      <c r="C459" s="1">
        <f>Tabela7[[#This Row],[Alongamento (mm/mm)]]/$I$2</f>
        <v>5.8155999999999999E-2</v>
      </c>
      <c r="D459" s="5">
        <v>647.91</v>
      </c>
      <c r="E459" s="1">
        <f>Tabela7[[#This Row],[Força (N)]]/$I$5</f>
        <v>15082757.17578043</v>
      </c>
      <c r="F459" s="1">
        <f>Tabela7[[#This Row],[Tensão (Pa)]]/1000000</f>
        <v>15.082757175780431</v>
      </c>
    </row>
    <row r="460" spans="1:6" x14ac:dyDescent="0.3">
      <c r="A460" s="5">
        <v>35.116999999999997</v>
      </c>
      <c r="B460" s="5">
        <v>2.919</v>
      </c>
      <c r="C460" s="1">
        <f>Tabela7[[#This Row],[Alongamento (mm/mm)]]/$I$2</f>
        <v>5.8380000000000001E-2</v>
      </c>
      <c r="D460" s="5">
        <v>653.17999999999995</v>
      </c>
      <c r="E460" s="1">
        <f>Tabela7[[#This Row],[Força (N)]]/$I$5</f>
        <v>15205437.996135669</v>
      </c>
      <c r="F460" s="1">
        <f>Tabela7[[#This Row],[Tensão (Pa)]]/1000000</f>
        <v>15.205437996135668</v>
      </c>
    </row>
    <row r="461" spans="1:6" x14ac:dyDescent="0.3">
      <c r="A461" s="5">
        <v>35.25</v>
      </c>
      <c r="B461" s="5">
        <v>2.9300999999999999</v>
      </c>
      <c r="C461" s="1">
        <f>Tabela7[[#This Row],[Alongamento (mm/mm)]]/$I$2</f>
        <v>5.8602000000000001E-2</v>
      </c>
      <c r="D461" s="5">
        <v>658.45</v>
      </c>
      <c r="E461" s="1">
        <f>Tabela7[[#This Row],[Força (N)]]/$I$5</f>
        <v>15328118.816490909</v>
      </c>
      <c r="F461" s="1">
        <f>Tabela7[[#This Row],[Tensão (Pa)]]/1000000</f>
        <v>15.328118816490909</v>
      </c>
    </row>
    <row r="462" spans="1:6" x14ac:dyDescent="0.3">
      <c r="A462" s="5">
        <v>35.383000000000003</v>
      </c>
      <c r="B462" s="5">
        <v>2.9411999999999998</v>
      </c>
      <c r="C462" s="1">
        <f>Tabela7[[#This Row],[Alongamento (mm/mm)]]/$I$2</f>
        <v>5.8823999999999994E-2</v>
      </c>
      <c r="D462" s="5">
        <v>663.73</v>
      </c>
      <c r="E462" s="1">
        <f>Tabela7[[#This Row],[Força (N)]]/$I$5</f>
        <v>15451032.427776614</v>
      </c>
      <c r="F462" s="1">
        <f>Tabela7[[#This Row],[Tensão (Pa)]]/1000000</f>
        <v>15.451032427776614</v>
      </c>
    </row>
    <row r="463" spans="1:6" x14ac:dyDescent="0.3">
      <c r="A463" s="5">
        <v>35.517000000000003</v>
      </c>
      <c r="B463" s="5">
        <v>2.9523000000000001</v>
      </c>
      <c r="C463" s="1">
        <f>Tabela7[[#This Row],[Alongamento (mm/mm)]]/$I$2</f>
        <v>5.9046000000000001E-2</v>
      </c>
      <c r="D463" s="5">
        <v>669.17</v>
      </c>
      <c r="E463" s="1">
        <f>Tabela7[[#This Row],[Força (N)]]/$I$5</f>
        <v>15577670.693949763</v>
      </c>
      <c r="F463" s="1">
        <f>Tabela7[[#This Row],[Tensão (Pa)]]/1000000</f>
        <v>15.577670693949763</v>
      </c>
    </row>
    <row r="464" spans="1:6" x14ac:dyDescent="0.3">
      <c r="A464" s="5">
        <v>35.65</v>
      </c>
      <c r="B464" s="5">
        <v>2.9632999999999998</v>
      </c>
      <c r="C464" s="1">
        <f>Tabela7[[#This Row],[Alongamento (mm/mm)]]/$I$2</f>
        <v>5.9265999999999999E-2</v>
      </c>
      <c r="D464" s="5">
        <v>674.44</v>
      </c>
      <c r="E464" s="1">
        <f>Tabela7[[#This Row],[Força (N)]]/$I$5</f>
        <v>15700351.514305003</v>
      </c>
      <c r="F464" s="1">
        <f>Tabela7[[#This Row],[Tensão (Pa)]]/1000000</f>
        <v>15.700351514305003</v>
      </c>
    </row>
    <row r="465" spans="1:6" x14ac:dyDescent="0.3">
      <c r="A465" s="5">
        <v>35.783000000000001</v>
      </c>
      <c r="B465" s="5">
        <v>2.9744000000000002</v>
      </c>
      <c r="C465" s="1">
        <f>Tabela7[[#This Row],[Alongamento (mm/mm)]]/$I$2</f>
        <v>5.9488000000000006E-2</v>
      </c>
      <c r="D465" s="5">
        <v>679.88</v>
      </c>
      <c r="E465" s="1">
        <f>Tabela7[[#This Row],[Força (N)]]/$I$5</f>
        <v>15826989.780478152</v>
      </c>
      <c r="F465" s="1">
        <f>Tabela7[[#This Row],[Tensão (Pa)]]/1000000</f>
        <v>15.826989780478151</v>
      </c>
    </row>
    <row r="466" spans="1:6" x14ac:dyDescent="0.3">
      <c r="A466" s="5">
        <v>35.917000000000002</v>
      </c>
      <c r="B466" s="5">
        <v>2.9855999999999998</v>
      </c>
      <c r="C466" s="1">
        <f>Tabela7[[#This Row],[Alongamento (mm/mm)]]/$I$2</f>
        <v>5.9711999999999994E-2</v>
      </c>
      <c r="D466" s="5">
        <v>685.33</v>
      </c>
      <c r="E466" s="1">
        <f>Tabela7[[#This Row],[Força (N)]]/$I$5</f>
        <v>15953860.837581769</v>
      </c>
      <c r="F466" s="1">
        <f>Tabela7[[#This Row],[Tensão (Pa)]]/1000000</f>
        <v>15.953860837581768</v>
      </c>
    </row>
    <row r="467" spans="1:6" x14ac:dyDescent="0.3">
      <c r="A467" s="5">
        <v>36.049999999999997</v>
      </c>
      <c r="B467" s="5">
        <v>2.9967000000000001</v>
      </c>
      <c r="C467" s="1">
        <f>Tabela7[[#This Row],[Alongamento (mm/mm)]]/$I$2</f>
        <v>5.9934000000000001E-2</v>
      </c>
      <c r="D467" s="5">
        <v>690.6</v>
      </c>
      <c r="E467" s="1">
        <f>Tabela7[[#This Row],[Força (N)]]/$I$5</f>
        <v>16076541.657937007</v>
      </c>
      <c r="F467" s="1">
        <f>Tabela7[[#This Row],[Tensão (Pa)]]/1000000</f>
        <v>16.076541657937007</v>
      </c>
    </row>
    <row r="468" spans="1:6" x14ac:dyDescent="0.3">
      <c r="A468" s="5">
        <v>36.183</v>
      </c>
      <c r="B468" s="5">
        <v>3.0078</v>
      </c>
      <c r="C468" s="1">
        <f>Tabela7[[#This Row],[Alongamento (mm/mm)]]/$I$2</f>
        <v>6.0156000000000001E-2</v>
      </c>
      <c r="D468" s="5">
        <v>696.21</v>
      </c>
      <c r="E468" s="1">
        <f>Tabela7[[#This Row],[Força (N)]]/$I$5</f>
        <v>16207137.369928068</v>
      </c>
      <c r="F468" s="1">
        <f>Tabela7[[#This Row],[Tensão (Pa)]]/1000000</f>
        <v>16.207137369928066</v>
      </c>
    </row>
    <row r="469" spans="1:6" x14ac:dyDescent="0.3">
      <c r="A469" s="5">
        <v>36.317</v>
      </c>
      <c r="B469" s="5">
        <v>3.0190000000000001</v>
      </c>
      <c r="C469" s="1">
        <f>Tabela7[[#This Row],[Alongamento (mm/mm)]]/$I$2</f>
        <v>6.0380000000000003E-2</v>
      </c>
      <c r="D469" s="5">
        <v>701.66</v>
      </c>
      <c r="E469" s="1">
        <f>Tabela7[[#This Row],[Força (N)]]/$I$5</f>
        <v>16334008.427031681</v>
      </c>
      <c r="F469" s="1">
        <f>Tabela7[[#This Row],[Tensão (Pa)]]/1000000</f>
        <v>16.33400842703168</v>
      </c>
    </row>
    <row r="470" spans="1:6" x14ac:dyDescent="0.3">
      <c r="A470" s="5">
        <v>36.450000000000003</v>
      </c>
      <c r="B470" s="5">
        <v>3.0301</v>
      </c>
      <c r="C470" s="1">
        <f>Tabela7[[#This Row],[Alongamento (mm/mm)]]/$I$2</f>
        <v>6.0602000000000003E-2</v>
      </c>
      <c r="D470" s="5">
        <v>707.1</v>
      </c>
      <c r="E470" s="1">
        <f>Tabela7[[#This Row],[Força (N)]]/$I$5</f>
        <v>16460646.693204833</v>
      </c>
      <c r="F470" s="1">
        <f>Tabela7[[#This Row],[Tensão (Pa)]]/1000000</f>
        <v>16.460646693204833</v>
      </c>
    </row>
    <row r="471" spans="1:6" x14ac:dyDescent="0.3">
      <c r="A471" s="5">
        <v>36.582999999999998</v>
      </c>
      <c r="B471" s="5">
        <v>3.0411000000000001</v>
      </c>
      <c r="C471" s="1">
        <f>Tabela7[[#This Row],[Alongamento (mm/mm)]]/$I$2</f>
        <v>6.0822000000000001E-2</v>
      </c>
      <c r="D471" s="5">
        <v>712.71</v>
      </c>
      <c r="E471" s="1">
        <f>Tabela7[[#This Row],[Força (N)]]/$I$5</f>
        <v>16591242.405195894</v>
      </c>
      <c r="F471" s="1">
        <f>Tabela7[[#This Row],[Tensão (Pa)]]/1000000</f>
        <v>16.591242405195892</v>
      </c>
    </row>
    <row r="472" spans="1:6" x14ac:dyDescent="0.3">
      <c r="A472" s="5">
        <v>36.716999999999999</v>
      </c>
      <c r="B472" s="5">
        <v>3.0522</v>
      </c>
      <c r="C472" s="1">
        <f>Tabela7[[#This Row],[Alongamento (mm/mm)]]/$I$2</f>
        <v>6.1044000000000001E-2</v>
      </c>
      <c r="D472" s="5">
        <v>718.16</v>
      </c>
      <c r="E472" s="1">
        <f>Tabela7[[#This Row],[Força (N)]]/$I$5</f>
        <v>16718113.462299507</v>
      </c>
      <c r="F472" s="1">
        <f>Tabela7[[#This Row],[Tensão (Pa)]]/1000000</f>
        <v>16.718113462299506</v>
      </c>
    </row>
    <row r="473" spans="1:6" x14ac:dyDescent="0.3">
      <c r="A473" s="5">
        <v>36.85</v>
      </c>
      <c r="B473" s="5">
        <v>3.0634999999999999</v>
      </c>
      <c r="C473" s="1">
        <f>Tabela7[[#This Row],[Alongamento (mm/mm)]]/$I$2</f>
        <v>6.1269999999999998E-2</v>
      </c>
      <c r="D473" s="5">
        <v>723.77</v>
      </c>
      <c r="E473" s="1">
        <f>Tabela7[[#This Row],[Força (N)]]/$I$5</f>
        <v>16848709.174290568</v>
      </c>
      <c r="F473" s="1">
        <f>Tabela7[[#This Row],[Tensão (Pa)]]/1000000</f>
        <v>16.848709174290569</v>
      </c>
    </row>
    <row r="474" spans="1:6" x14ac:dyDescent="0.3">
      <c r="A474" s="5">
        <v>36.982999999999997</v>
      </c>
      <c r="B474" s="5">
        <v>3.0745</v>
      </c>
      <c r="C474" s="1">
        <f>Tabela7[[#This Row],[Alongamento (mm/mm)]]/$I$2</f>
        <v>6.1490000000000003E-2</v>
      </c>
      <c r="D474" s="5">
        <v>729.21</v>
      </c>
      <c r="E474" s="1">
        <f>Tabela7[[#This Row],[Força (N)]]/$I$5</f>
        <v>16975347.440463718</v>
      </c>
      <c r="F474" s="1">
        <f>Tabela7[[#This Row],[Tensão (Pa)]]/1000000</f>
        <v>16.975347440463718</v>
      </c>
    </row>
    <row r="475" spans="1:6" x14ac:dyDescent="0.3">
      <c r="A475" s="5">
        <v>37.116999999999997</v>
      </c>
      <c r="B475" s="5">
        <v>3.0855999999999999</v>
      </c>
      <c r="C475" s="1">
        <f>Tabela7[[#This Row],[Alongamento (mm/mm)]]/$I$2</f>
        <v>6.1711999999999996E-2</v>
      </c>
      <c r="D475" s="5">
        <v>734.66</v>
      </c>
      <c r="E475" s="1">
        <f>Tabela7[[#This Row],[Força (N)]]/$I$5</f>
        <v>17102218.497567333</v>
      </c>
      <c r="F475" s="1">
        <f>Tabela7[[#This Row],[Tensão (Pa)]]/1000000</f>
        <v>17.102218497567332</v>
      </c>
    </row>
    <row r="476" spans="1:6" x14ac:dyDescent="0.3">
      <c r="A476" s="5">
        <v>37.25</v>
      </c>
      <c r="B476" s="5">
        <v>3.0966999999999998</v>
      </c>
      <c r="C476" s="1">
        <f>Tabela7[[#This Row],[Alongamento (mm/mm)]]/$I$2</f>
        <v>6.1933999999999996E-2</v>
      </c>
      <c r="D476" s="5">
        <v>740.1</v>
      </c>
      <c r="E476" s="1">
        <f>Tabela7[[#This Row],[Força (N)]]/$I$5</f>
        <v>17228856.763740484</v>
      </c>
      <c r="F476" s="1">
        <f>Tabela7[[#This Row],[Tensão (Pa)]]/1000000</f>
        <v>17.228856763740485</v>
      </c>
    </row>
    <row r="477" spans="1:6" x14ac:dyDescent="0.3">
      <c r="A477" s="5">
        <v>37.383000000000003</v>
      </c>
      <c r="B477" s="5">
        <v>3.1078999999999999</v>
      </c>
      <c r="C477" s="1">
        <f>Tabela7[[#This Row],[Alongamento (mm/mm)]]/$I$2</f>
        <v>6.2157999999999998E-2</v>
      </c>
      <c r="D477" s="5">
        <v>745.54</v>
      </c>
      <c r="E477" s="1">
        <f>Tabela7[[#This Row],[Força (N)]]/$I$5</f>
        <v>17355495.029913634</v>
      </c>
      <c r="F477" s="1">
        <f>Tabela7[[#This Row],[Tensão (Pa)]]/1000000</f>
        <v>17.355495029913634</v>
      </c>
    </row>
    <row r="478" spans="1:6" x14ac:dyDescent="0.3">
      <c r="A478" s="5">
        <v>37.533000000000001</v>
      </c>
      <c r="B478" s="5">
        <v>3.1202999999999999</v>
      </c>
      <c r="C478" s="1">
        <f>Tabela7[[#This Row],[Alongamento (mm/mm)]]/$I$2</f>
        <v>6.2405999999999996E-2</v>
      </c>
      <c r="D478" s="5">
        <v>751.84</v>
      </c>
      <c r="E478" s="1">
        <f>Tabela7[[#This Row],[Força (N)]]/$I$5</f>
        <v>17502153.316106804</v>
      </c>
      <c r="F478" s="1">
        <f>Tabela7[[#This Row],[Tensão (Pa)]]/1000000</f>
        <v>17.502153316106803</v>
      </c>
    </row>
    <row r="479" spans="1:6" x14ac:dyDescent="0.3">
      <c r="A479" s="5">
        <v>37.683</v>
      </c>
      <c r="B479" s="5">
        <v>3.1328999999999998</v>
      </c>
      <c r="C479" s="1">
        <f>Tabela7[[#This Row],[Alongamento (mm/mm)]]/$I$2</f>
        <v>6.2657999999999991E-2</v>
      </c>
      <c r="D479" s="5">
        <v>757.96</v>
      </c>
      <c r="E479" s="1">
        <f>Tabela7[[#This Row],[Força (N)]]/$I$5</f>
        <v>17644621.365551598</v>
      </c>
      <c r="F479" s="1">
        <f>Tabela7[[#This Row],[Tensão (Pa)]]/1000000</f>
        <v>17.644621365551597</v>
      </c>
    </row>
    <row r="480" spans="1:6" x14ac:dyDescent="0.3">
      <c r="A480" s="5">
        <v>37.832999999999998</v>
      </c>
      <c r="B480" s="5">
        <v>3.1453000000000002</v>
      </c>
      <c r="C480" s="1">
        <f>Tabela7[[#This Row],[Alongamento (mm/mm)]]/$I$2</f>
        <v>6.2906000000000004E-2</v>
      </c>
      <c r="D480" s="5">
        <v>764.08</v>
      </c>
      <c r="E480" s="1">
        <f>Tabela7[[#This Row],[Força (N)]]/$I$5</f>
        <v>17787089.414996393</v>
      </c>
      <c r="F480" s="1">
        <f>Tabela7[[#This Row],[Tensão (Pa)]]/1000000</f>
        <v>17.787089414996395</v>
      </c>
    </row>
    <row r="481" spans="1:6" x14ac:dyDescent="0.3">
      <c r="A481" s="5">
        <v>37.982999999999997</v>
      </c>
      <c r="B481" s="5">
        <v>3.1577999999999999</v>
      </c>
      <c r="C481" s="1">
        <f>Tabela7[[#This Row],[Alongamento (mm/mm)]]/$I$2</f>
        <v>6.3156000000000004E-2</v>
      </c>
      <c r="D481" s="5">
        <v>770.21</v>
      </c>
      <c r="E481" s="1">
        <f>Tabela7[[#This Row],[Força (N)]]/$I$5</f>
        <v>17929790.255371649</v>
      </c>
      <c r="F481" s="1">
        <f>Tabela7[[#This Row],[Tensão (Pa)]]/1000000</f>
        <v>17.92979025537165</v>
      </c>
    </row>
    <row r="482" spans="1:6" x14ac:dyDescent="0.3">
      <c r="A482" s="5">
        <v>38.133000000000003</v>
      </c>
      <c r="B482" s="5">
        <v>3.1703000000000001</v>
      </c>
      <c r="C482" s="1">
        <f>Tabela7[[#This Row],[Alongamento (mm/mm)]]/$I$2</f>
        <v>6.3406000000000004E-2</v>
      </c>
      <c r="D482" s="5">
        <v>776.16</v>
      </c>
      <c r="E482" s="1">
        <f>Tabela7[[#This Row],[Força (N)]]/$I$5</f>
        <v>18068300.858998533</v>
      </c>
      <c r="F482" s="1">
        <f>Tabela7[[#This Row],[Tensão (Pa)]]/1000000</f>
        <v>18.068300858998533</v>
      </c>
    </row>
    <row r="483" spans="1:6" x14ac:dyDescent="0.3">
      <c r="A483" s="5">
        <v>38.283000000000001</v>
      </c>
      <c r="B483" s="5">
        <v>3.1829000000000001</v>
      </c>
      <c r="C483" s="1">
        <f>Tabela7[[#This Row],[Alongamento (mm/mm)]]/$I$2</f>
        <v>6.3658000000000006E-2</v>
      </c>
      <c r="D483" s="5">
        <v>781.94</v>
      </c>
      <c r="E483" s="1">
        <f>Tabela7[[#This Row],[Força (N)]]/$I$5</f>
        <v>18202854.016807504</v>
      </c>
      <c r="F483" s="1">
        <f>Tabela7[[#This Row],[Tensão (Pa)]]/1000000</f>
        <v>18.202854016807503</v>
      </c>
    </row>
    <row r="484" spans="1:6" x14ac:dyDescent="0.3">
      <c r="A484" s="5">
        <v>38.433</v>
      </c>
      <c r="B484" s="5">
        <v>3.1953</v>
      </c>
      <c r="C484" s="1">
        <f>Tabela7[[#This Row],[Alongamento (mm/mm)]]/$I$2</f>
        <v>6.3906000000000004E-2</v>
      </c>
      <c r="D484" s="5">
        <v>787.9</v>
      </c>
      <c r="E484" s="1">
        <f>Tabela7[[#This Row],[Força (N)]]/$I$5</f>
        <v>18341597.411364853</v>
      </c>
      <c r="F484" s="1">
        <f>Tabela7[[#This Row],[Tensão (Pa)]]/1000000</f>
        <v>18.341597411364852</v>
      </c>
    </row>
    <row r="485" spans="1:6" x14ac:dyDescent="0.3">
      <c r="A485" s="5">
        <v>38.582999999999998</v>
      </c>
      <c r="B485" s="5">
        <v>3.2078000000000002</v>
      </c>
      <c r="C485" s="1">
        <f>Tabela7[[#This Row],[Alongamento (mm/mm)]]/$I$2</f>
        <v>6.4156000000000005E-2</v>
      </c>
      <c r="D485" s="5">
        <v>794.02</v>
      </c>
      <c r="E485" s="1">
        <f>Tabela7[[#This Row],[Força (N)]]/$I$5</f>
        <v>18484065.460809644</v>
      </c>
      <c r="F485" s="1">
        <f>Tabela7[[#This Row],[Tensão (Pa)]]/1000000</f>
        <v>18.484065460809646</v>
      </c>
    </row>
    <row r="486" spans="1:6" x14ac:dyDescent="0.3">
      <c r="A486" s="5">
        <v>38.732999999999997</v>
      </c>
      <c r="B486" s="5">
        <v>3.2204000000000002</v>
      </c>
      <c r="C486" s="1">
        <f>Tabela7[[#This Row],[Alongamento (mm/mm)]]/$I$2</f>
        <v>6.4408000000000007E-2</v>
      </c>
      <c r="D486" s="5">
        <v>800.14</v>
      </c>
      <c r="E486" s="1">
        <f>Tabela7[[#This Row],[Força (N)]]/$I$5</f>
        <v>18626533.510254439</v>
      </c>
      <c r="F486" s="1">
        <f>Tabela7[[#This Row],[Tensão (Pa)]]/1000000</f>
        <v>18.62653351025444</v>
      </c>
    </row>
    <row r="487" spans="1:6" x14ac:dyDescent="0.3">
      <c r="A487" s="5">
        <v>38.883000000000003</v>
      </c>
      <c r="B487" s="5">
        <v>3.2328000000000001</v>
      </c>
      <c r="C487" s="1">
        <f>Tabela7[[#This Row],[Alongamento (mm/mm)]]/$I$2</f>
        <v>6.4656000000000005E-2</v>
      </c>
      <c r="D487" s="5">
        <v>806.27</v>
      </c>
      <c r="E487" s="1">
        <f>Tabela7[[#This Row],[Força (N)]]/$I$5</f>
        <v>18769234.350629698</v>
      </c>
      <c r="F487" s="1">
        <f>Tabela7[[#This Row],[Tensão (Pa)]]/1000000</f>
        <v>18.769234350629699</v>
      </c>
    </row>
    <row r="488" spans="1:6" x14ac:dyDescent="0.3">
      <c r="A488" s="5">
        <v>39.033000000000001</v>
      </c>
      <c r="B488" s="5">
        <v>3.2454000000000001</v>
      </c>
      <c r="C488" s="1">
        <f>Tabela7[[#This Row],[Alongamento (mm/mm)]]/$I$2</f>
        <v>6.4908000000000007E-2</v>
      </c>
      <c r="D488" s="5">
        <v>812.56</v>
      </c>
      <c r="E488" s="1">
        <f>Tabela7[[#This Row],[Força (N)]]/$I$5</f>
        <v>18915659.845892403</v>
      </c>
      <c r="F488" s="1">
        <f>Tabela7[[#This Row],[Tensão (Pa)]]/1000000</f>
        <v>18.915659845892403</v>
      </c>
    </row>
    <row r="489" spans="1:6" x14ac:dyDescent="0.3">
      <c r="A489" s="5">
        <v>39.200000000000003</v>
      </c>
      <c r="B489" s="5">
        <v>3.2591999999999999</v>
      </c>
      <c r="C489" s="1">
        <f>Tabela7[[#This Row],[Alongamento (mm/mm)]]/$I$2</f>
        <v>6.5183999999999992E-2</v>
      </c>
      <c r="D489" s="5">
        <v>819.2</v>
      </c>
      <c r="E489" s="1">
        <f>Tabela7[[#This Row],[Força (N)]]/$I$5</f>
        <v>19070233.023721397</v>
      </c>
      <c r="F489" s="1">
        <f>Tabela7[[#This Row],[Tensão (Pa)]]/1000000</f>
        <v>19.070233023721396</v>
      </c>
    </row>
    <row r="490" spans="1:6" x14ac:dyDescent="0.3">
      <c r="A490" s="5">
        <v>39.35</v>
      </c>
      <c r="B490" s="5">
        <v>3.2717000000000001</v>
      </c>
      <c r="C490" s="1">
        <f>Tabela7[[#This Row],[Alongamento (mm/mm)]]/$I$2</f>
        <v>6.5434000000000006E-2</v>
      </c>
      <c r="D490" s="5">
        <v>825.32</v>
      </c>
      <c r="E490" s="1">
        <f>Tabela7[[#This Row],[Força (N)]]/$I$5</f>
        <v>19212701.073166188</v>
      </c>
      <c r="F490" s="1">
        <f>Tabela7[[#This Row],[Tensão (Pa)]]/1000000</f>
        <v>19.212701073166187</v>
      </c>
    </row>
    <row r="491" spans="1:6" x14ac:dyDescent="0.3">
      <c r="A491" s="5">
        <v>39.5</v>
      </c>
      <c r="B491" s="5">
        <v>3.2841</v>
      </c>
      <c r="C491" s="1">
        <f>Tabela7[[#This Row],[Alongamento (mm/mm)]]/$I$2</f>
        <v>6.5682000000000004E-2</v>
      </c>
      <c r="D491" s="5">
        <v>831.61</v>
      </c>
      <c r="E491" s="1">
        <f>Tabela7[[#This Row],[Força (N)]]/$I$5</f>
        <v>19359126.568428893</v>
      </c>
      <c r="F491" s="1">
        <f>Tabela7[[#This Row],[Tensão (Pa)]]/1000000</f>
        <v>19.359126568428891</v>
      </c>
    </row>
    <row r="492" spans="1:6" x14ac:dyDescent="0.3">
      <c r="A492" s="5">
        <v>39.667000000000002</v>
      </c>
      <c r="B492" s="5">
        <v>3.2982</v>
      </c>
      <c r="C492" s="1">
        <f>Tabela7[[#This Row],[Alongamento (mm/mm)]]/$I$2</f>
        <v>6.5963999999999995E-2</v>
      </c>
      <c r="D492" s="5">
        <v>838.42</v>
      </c>
      <c r="E492" s="1">
        <f>Tabela7[[#This Row],[Força (N)]]/$I$5</f>
        <v>19517657.192075796</v>
      </c>
      <c r="F492" s="1">
        <f>Tabela7[[#This Row],[Tensão (Pa)]]/1000000</f>
        <v>19.517657192075795</v>
      </c>
    </row>
    <row r="493" spans="1:6" x14ac:dyDescent="0.3">
      <c r="A493" s="5">
        <v>39.832999999999998</v>
      </c>
      <c r="B493" s="5">
        <v>3.3119999999999998</v>
      </c>
      <c r="C493" s="1">
        <f>Tabela7[[#This Row],[Alongamento (mm/mm)]]/$I$2</f>
        <v>6.6239999999999993E-2</v>
      </c>
      <c r="D493" s="5">
        <v>845.22</v>
      </c>
      <c r="E493" s="1">
        <f>Tabela7[[#This Row],[Força (N)]]/$I$5</f>
        <v>19675955.024792235</v>
      </c>
      <c r="F493" s="1">
        <f>Tabela7[[#This Row],[Tensão (Pa)]]/1000000</f>
        <v>19.675955024792234</v>
      </c>
    </row>
    <row r="494" spans="1:6" x14ac:dyDescent="0.3">
      <c r="A494" s="5">
        <v>40</v>
      </c>
      <c r="B494" s="5">
        <v>3.3258999999999999</v>
      </c>
      <c r="C494" s="1">
        <f>Tabela7[[#This Row],[Alongamento (mm/mm)]]/$I$2</f>
        <v>6.6517999999999994E-2</v>
      </c>
      <c r="D494" s="5">
        <v>852.2</v>
      </c>
      <c r="E494" s="1">
        <f>Tabela7[[#This Row],[Força (N)]]/$I$5</f>
        <v>19838443.094257049</v>
      </c>
      <c r="F494" s="1">
        <f>Tabela7[[#This Row],[Tensão (Pa)]]/1000000</f>
        <v>19.838443094257048</v>
      </c>
    </row>
    <row r="495" spans="1:6" x14ac:dyDescent="0.3">
      <c r="A495" s="5">
        <v>40.167000000000002</v>
      </c>
      <c r="B495" s="5">
        <v>3.3397999999999999</v>
      </c>
      <c r="C495" s="1">
        <f>Tabela7[[#This Row],[Alongamento (mm/mm)]]/$I$2</f>
        <v>6.6795999999999994E-2</v>
      </c>
      <c r="D495" s="5">
        <v>859</v>
      </c>
      <c r="E495" s="1">
        <f>Tabela7[[#This Row],[Força (N)]]/$I$5</f>
        <v>19996740.926973484</v>
      </c>
      <c r="F495" s="1">
        <f>Tabela7[[#This Row],[Tensão (Pa)]]/1000000</f>
        <v>19.996740926973484</v>
      </c>
    </row>
    <row r="496" spans="1:6" x14ac:dyDescent="0.3">
      <c r="A496" s="5">
        <v>40.332999999999998</v>
      </c>
      <c r="B496" s="5">
        <v>3.3536000000000001</v>
      </c>
      <c r="C496" s="1">
        <f>Tabela7[[#This Row],[Alongamento (mm/mm)]]/$I$2</f>
        <v>6.7072000000000007E-2</v>
      </c>
      <c r="D496" s="5">
        <v>865.97</v>
      </c>
      <c r="E496" s="1">
        <f>Tabela7[[#This Row],[Força (N)]]/$I$5</f>
        <v>20158996.205507834</v>
      </c>
      <c r="F496" s="1">
        <f>Tabela7[[#This Row],[Tensão (Pa)]]/1000000</f>
        <v>20.158996205507833</v>
      </c>
    </row>
    <row r="497" spans="1:6" x14ac:dyDescent="0.3">
      <c r="A497" s="5">
        <v>40.482999999999997</v>
      </c>
      <c r="B497" s="5">
        <v>3.3662000000000001</v>
      </c>
      <c r="C497" s="1">
        <f>Tabela7[[#This Row],[Alongamento (mm/mm)]]/$I$2</f>
        <v>6.7323999999999995E-2</v>
      </c>
      <c r="D497" s="5">
        <v>872.44</v>
      </c>
      <c r="E497" s="1">
        <f>Tabela7[[#This Row],[Força (N)]]/$I$5</f>
        <v>20309611.937518913</v>
      </c>
      <c r="F497" s="1">
        <f>Tabela7[[#This Row],[Tensão (Pa)]]/1000000</f>
        <v>20.309611937518913</v>
      </c>
    </row>
    <row r="498" spans="1:6" x14ac:dyDescent="0.3">
      <c r="A498" s="5">
        <v>40.65</v>
      </c>
      <c r="B498" s="5">
        <v>3.3801000000000001</v>
      </c>
      <c r="C498" s="1">
        <f>Tabela7[[#This Row],[Alongamento (mm/mm)]]/$I$2</f>
        <v>6.7601999999999995E-2</v>
      </c>
      <c r="D498" s="5">
        <v>879.41</v>
      </c>
      <c r="E498" s="1">
        <f>Tabela7[[#This Row],[Força (N)]]/$I$5</f>
        <v>20471867.216053262</v>
      </c>
      <c r="F498" s="1">
        <f>Tabela7[[#This Row],[Tensão (Pa)]]/1000000</f>
        <v>20.471867216053262</v>
      </c>
    </row>
    <row r="499" spans="1:6" x14ac:dyDescent="0.3">
      <c r="A499" s="5">
        <v>40.817</v>
      </c>
      <c r="B499" s="5">
        <v>3.3938999999999999</v>
      </c>
      <c r="C499" s="1">
        <f>Tabela7[[#This Row],[Alongamento (mm/mm)]]/$I$2</f>
        <v>6.7877999999999994E-2</v>
      </c>
      <c r="D499" s="5">
        <v>886.38</v>
      </c>
      <c r="E499" s="1">
        <f>Tabela7[[#This Row],[Força (N)]]/$I$5</f>
        <v>20634122.494587611</v>
      </c>
      <c r="F499" s="1">
        <f>Tabela7[[#This Row],[Tensão (Pa)]]/1000000</f>
        <v>20.634122494587611</v>
      </c>
    </row>
    <row r="500" spans="1:6" x14ac:dyDescent="0.3">
      <c r="A500" s="5">
        <v>40.982999999999997</v>
      </c>
      <c r="B500" s="5">
        <v>3.4077999999999999</v>
      </c>
      <c r="C500" s="1">
        <f>Tabela7[[#This Row],[Alongamento (mm/mm)]]/$I$2</f>
        <v>6.8155999999999994E-2</v>
      </c>
      <c r="D500" s="5">
        <v>893.36</v>
      </c>
      <c r="E500" s="1">
        <f>Tabela7[[#This Row],[Força (N)]]/$I$5</f>
        <v>20796610.564052425</v>
      </c>
      <c r="F500" s="1">
        <f>Tabela7[[#This Row],[Tensão (Pa)]]/1000000</f>
        <v>20.796610564052425</v>
      </c>
    </row>
    <row r="501" spans="1:6" x14ac:dyDescent="0.3">
      <c r="A501" s="5">
        <v>41.15</v>
      </c>
      <c r="B501" s="5">
        <v>3.4217</v>
      </c>
      <c r="C501" s="1">
        <f>Tabela7[[#This Row],[Alongamento (mm/mm)]]/$I$2</f>
        <v>6.8433999999999995E-2</v>
      </c>
      <c r="D501" s="5">
        <v>900.33</v>
      </c>
      <c r="E501" s="1">
        <f>Tabela7[[#This Row],[Força (N)]]/$I$5</f>
        <v>20958865.842586774</v>
      </c>
      <c r="F501" s="1">
        <f>Tabela7[[#This Row],[Tensão (Pa)]]/1000000</f>
        <v>20.958865842586775</v>
      </c>
    </row>
    <row r="502" spans="1:6" x14ac:dyDescent="0.3">
      <c r="A502" s="5">
        <v>41.317</v>
      </c>
      <c r="B502" s="5">
        <v>3.4357000000000002</v>
      </c>
      <c r="C502" s="1">
        <f>Tabela7[[#This Row],[Alongamento (mm/mm)]]/$I$2</f>
        <v>6.8713999999999997E-2</v>
      </c>
      <c r="D502" s="5">
        <v>907.48</v>
      </c>
      <c r="E502" s="1">
        <f>Tabela7[[#This Row],[Força (N)]]/$I$5</f>
        <v>21125311.357869498</v>
      </c>
      <c r="F502" s="1">
        <f>Tabela7[[#This Row],[Tensão (Pa)]]/1000000</f>
        <v>21.125311357869499</v>
      </c>
    </row>
    <row r="503" spans="1:6" x14ac:dyDescent="0.3">
      <c r="A503" s="5">
        <v>41.482999999999997</v>
      </c>
      <c r="B503" s="5">
        <v>3.4495</v>
      </c>
      <c r="C503" s="1">
        <f>Tabela7[[#This Row],[Alongamento (mm/mm)]]/$I$2</f>
        <v>6.8989999999999996E-2</v>
      </c>
      <c r="D503" s="5">
        <v>914.62</v>
      </c>
      <c r="E503" s="1">
        <f>Tabela7[[#This Row],[Força (N)]]/$I$5</f>
        <v>21291524.082221754</v>
      </c>
      <c r="F503" s="1">
        <f>Tabela7[[#This Row],[Tensão (Pa)]]/1000000</f>
        <v>21.291524082221756</v>
      </c>
    </row>
    <row r="504" spans="1:6" x14ac:dyDescent="0.3">
      <c r="A504" s="5">
        <v>41.65</v>
      </c>
      <c r="B504" s="5">
        <v>3.4634</v>
      </c>
      <c r="C504" s="1">
        <f>Tabela7[[#This Row],[Alongamento (mm/mm)]]/$I$2</f>
        <v>6.9267999999999996E-2</v>
      </c>
      <c r="D504" s="5">
        <v>921.77</v>
      </c>
      <c r="E504" s="1">
        <f>Tabela7[[#This Row],[Força (N)]]/$I$5</f>
        <v>21457969.597504478</v>
      </c>
      <c r="F504" s="1">
        <f>Tabela7[[#This Row],[Tensão (Pa)]]/1000000</f>
        <v>21.457969597504476</v>
      </c>
    </row>
    <row r="505" spans="1:6" x14ac:dyDescent="0.3">
      <c r="A505" s="5">
        <v>41.817</v>
      </c>
      <c r="B505" s="5">
        <v>3.4773000000000001</v>
      </c>
      <c r="C505" s="1">
        <f>Tabela7[[#This Row],[Alongamento (mm/mm)]]/$I$2</f>
        <v>6.9545999999999997E-2</v>
      </c>
      <c r="D505" s="5">
        <v>929.08</v>
      </c>
      <c r="E505" s="1">
        <f>Tabela7[[#This Row],[Força (N)]]/$I$5</f>
        <v>21628139.767674651</v>
      </c>
      <c r="F505" s="1">
        <f>Tabela7[[#This Row],[Tensão (Pa)]]/1000000</f>
        <v>21.62813976767465</v>
      </c>
    </row>
    <row r="506" spans="1:6" x14ac:dyDescent="0.3">
      <c r="A506" s="5">
        <v>41.982999999999997</v>
      </c>
      <c r="B506" s="5">
        <v>3.4912000000000001</v>
      </c>
      <c r="C506" s="1">
        <f>Tabela7[[#This Row],[Alongamento (mm/mm)]]/$I$2</f>
        <v>6.9823999999999997E-2</v>
      </c>
      <c r="D506" s="5">
        <v>936.39</v>
      </c>
      <c r="E506" s="1">
        <f>Tabela7[[#This Row],[Força (N)]]/$I$5</f>
        <v>21798309.93784482</v>
      </c>
      <c r="F506" s="1">
        <f>Tabela7[[#This Row],[Tensão (Pa)]]/1000000</f>
        <v>21.79830993784482</v>
      </c>
    </row>
    <row r="507" spans="1:6" x14ac:dyDescent="0.3">
      <c r="A507" s="5">
        <v>42.15</v>
      </c>
      <c r="B507" s="5">
        <v>3.5051000000000001</v>
      </c>
      <c r="C507" s="1">
        <f>Tabela7[[#This Row],[Alongamento (mm/mm)]]/$I$2</f>
        <v>7.0101999999999998E-2</v>
      </c>
      <c r="D507" s="5">
        <v>943.71</v>
      </c>
      <c r="E507" s="1">
        <f>Tabela7[[#This Row],[Força (N)]]/$I$5</f>
        <v>21968712.898945458</v>
      </c>
      <c r="F507" s="1">
        <f>Tabela7[[#This Row],[Tensão (Pa)]]/1000000</f>
        <v>21.968712898945459</v>
      </c>
    </row>
    <row r="508" spans="1:6" x14ac:dyDescent="0.3">
      <c r="A508" s="5">
        <v>42.317</v>
      </c>
      <c r="B508" s="5">
        <v>3.5188999999999999</v>
      </c>
      <c r="C508" s="1">
        <f>Tabela7[[#This Row],[Alongamento (mm/mm)]]/$I$2</f>
        <v>7.0377999999999996E-2</v>
      </c>
      <c r="D508" s="5">
        <v>950.85</v>
      </c>
      <c r="E508" s="1">
        <f>Tabela7[[#This Row],[Força (N)]]/$I$5</f>
        <v>22134925.623297717</v>
      </c>
      <c r="F508" s="1">
        <f>Tabela7[[#This Row],[Tensão (Pa)]]/1000000</f>
        <v>22.134925623297718</v>
      </c>
    </row>
    <row r="509" spans="1:6" x14ac:dyDescent="0.3">
      <c r="A509" s="5">
        <v>42.482999999999997</v>
      </c>
      <c r="B509" s="5">
        <v>3.5327999999999999</v>
      </c>
      <c r="C509" s="1">
        <f>Tabela7[[#This Row],[Alongamento (mm/mm)]]/$I$2</f>
        <v>7.0655999999999997E-2</v>
      </c>
      <c r="D509" s="5">
        <v>958</v>
      </c>
      <c r="E509" s="1">
        <f>Tabela7[[#This Row],[Força (N)]]/$I$5</f>
        <v>22301371.138580441</v>
      </c>
      <c r="F509" s="1">
        <f>Tabela7[[#This Row],[Tensão (Pa)]]/1000000</f>
        <v>22.301371138580443</v>
      </c>
    </row>
    <row r="510" spans="1:6" x14ac:dyDescent="0.3">
      <c r="A510" s="5">
        <v>42.667000000000002</v>
      </c>
      <c r="B510" s="5">
        <v>3.548</v>
      </c>
      <c r="C510" s="1">
        <f>Tabela7[[#This Row],[Alongamento (mm/mm)]]/$I$2</f>
        <v>7.0959999999999995E-2</v>
      </c>
      <c r="D510" s="5">
        <v>965.99</v>
      </c>
      <c r="E510" s="1">
        <f>Tabela7[[#This Row],[Força (N)]]/$I$5</f>
        <v>22487371.092022255</v>
      </c>
      <c r="F510" s="1">
        <f>Tabela7[[#This Row],[Tensão (Pa)]]/1000000</f>
        <v>22.487371092022254</v>
      </c>
    </row>
    <row r="511" spans="1:6" x14ac:dyDescent="0.3">
      <c r="A511" s="5">
        <v>42.85</v>
      </c>
      <c r="B511" s="5">
        <v>3.5632999999999999</v>
      </c>
      <c r="C511" s="1">
        <f>Tabela7[[#This Row],[Alongamento (mm/mm)]]/$I$2</f>
        <v>7.1265999999999996E-2</v>
      </c>
      <c r="D511" s="5">
        <v>973.99</v>
      </c>
      <c r="E511" s="1">
        <f>Tabela7[[#This Row],[Força (N)]]/$I$5</f>
        <v>22673603.836394534</v>
      </c>
      <c r="F511" s="1">
        <f>Tabela7[[#This Row],[Tensão (Pa)]]/1000000</f>
        <v>22.673603836394534</v>
      </c>
    </row>
    <row r="512" spans="1:6" x14ac:dyDescent="0.3">
      <c r="A512" s="5">
        <v>43.033000000000001</v>
      </c>
      <c r="B512" s="5">
        <v>3.5785999999999998</v>
      </c>
      <c r="C512" s="1">
        <f>Tabela7[[#This Row],[Alongamento (mm/mm)]]/$I$2</f>
        <v>7.1571999999999997E-2</v>
      </c>
      <c r="D512" s="5">
        <v>981.98</v>
      </c>
      <c r="E512" s="1">
        <f>Tabela7[[#This Row],[Força (N)]]/$I$5</f>
        <v>22859603.789836347</v>
      </c>
      <c r="F512" s="1">
        <f>Tabela7[[#This Row],[Tensão (Pa)]]/1000000</f>
        <v>22.859603789836346</v>
      </c>
    </row>
    <row r="513" spans="1:6" x14ac:dyDescent="0.3">
      <c r="A513" s="5">
        <v>43.216999999999999</v>
      </c>
      <c r="B513" s="5">
        <v>3.5939000000000001</v>
      </c>
      <c r="C513" s="1">
        <f>Tabela7[[#This Row],[Alongamento (mm/mm)]]/$I$2</f>
        <v>7.1877999999999997E-2</v>
      </c>
      <c r="D513" s="5">
        <v>990.15</v>
      </c>
      <c r="E513" s="1">
        <f>Tabela7[[#This Row],[Força (N)]]/$I$5</f>
        <v>23049793.980026536</v>
      </c>
      <c r="F513" s="1">
        <f>Tabela7[[#This Row],[Tensão (Pa)]]/1000000</f>
        <v>23.049793980026536</v>
      </c>
    </row>
    <row r="514" spans="1:6" x14ac:dyDescent="0.3">
      <c r="A514" s="5">
        <v>43.4</v>
      </c>
      <c r="B514" s="5">
        <v>3.6092</v>
      </c>
      <c r="C514" s="1">
        <f>Tabela7[[#This Row],[Alongamento (mm/mm)]]/$I$2</f>
        <v>7.2183999999999998E-2</v>
      </c>
      <c r="D514" s="5">
        <v>998.14</v>
      </c>
      <c r="E514" s="1">
        <f>Tabela7[[#This Row],[Força (N)]]/$I$5</f>
        <v>23235793.933468349</v>
      </c>
      <c r="F514" s="1">
        <f>Tabela7[[#This Row],[Tensão (Pa)]]/1000000</f>
        <v>23.235793933468351</v>
      </c>
    </row>
    <row r="515" spans="1:6" x14ac:dyDescent="0.3">
      <c r="A515" s="5">
        <v>43.582999999999998</v>
      </c>
      <c r="B515" s="5">
        <v>3.6244999999999998</v>
      </c>
      <c r="C515" s="1">
        <f>Tabela7[[#This Row],[Alongamento (mm/mm)]]/$I$2</f>
        <v>7.2489999999999999E-2</v>
      </c>
      <c r="D515" s="5">
        <v>1006.1</v>
      </c>
      <c r="E515" s="1">
        <f>Tabela7[[#This Row],[Força (N)]]/$I$5</f>
        <v>23421095.514118768</v>
      </c>
      <c r="F515" s="1">
        <f>Tabela7[[#This Row],[Tensão (Pa)]]/1000000</f>
        <v>23.421095514118768</v>
      </c>
    </row>
    <row r="516" spans="1:6" x14ac:dyDescent="0.3">
      <c r="A516" s="5">
        <v>43.767000000000003</v>
      </c>
      <c r="B516" s="5">
        <v>3.6398000000000001</v>
      </c>
      <c r="C516" s="1">
        <f>Tabela7[[#This Row],[Alongamento (mm/mm)]]/$I$2</f>
        <v>7.2796E-2</v>
      </c>
      <c r="D516" s="5">
        <v>1014.1</v>
      </c>
      <c r="E516" s="1">
        <f>Tabela7[[#This Row],[Força (N)]]/$I$5</f>
        <v>23607328.258491047</v>
      </c>
      <c r="F516" s="1">
        <f>Tabela7[[#This Row],[Tensão (Pa)]]/1000000</f>
        <v>23.607328258491048</v>
      </c>
    </row>
    <row r="517" spans="1:6" x14ac:dyDescent="0.3">
      <c r="A517" s="5">
        <v>43.95</v>
      </c>
      <c r="B517" s="5">
        <v>3.6549999999999998</v>
      </c>
      <c r="C517" s="1">
        <f>Tabela7[[#This Row],[Alongamento (mm/mm)]]/$I$2</f>
        <v>7.3099999999999998E-2</v>
      </c>
      <c r="D517" s="5">
        <v>1022.1</v>
      </c>
      <c r="E517" s="1">
        <f>Tabela7[[#This Row],[Força (N)]]/$I$5</f>
        <v>23793561.002863329</v>
      </c>
      <c r="F517" s="1">
        <f>Tabela7[[#This Row],[Tensão (Pa)]]/1000000</f>
        <v>23.793561002863328</v>
      </c>
    </row>
    <row r="518" spans="1:6" x14ac:dyDescent="0.3">
      <c r="A518" s="5">
        <v>44.133000000000003</v>
      </c>
      <c r="B518" s="5">
        <v>3.6703999999999999</v>
      </c>
      <c r="C518" s="1">
        <f>Tabela7[[#This Row],[Alongamento (mm/mm)]]/$I$2</f>
        <v>7.3408000000000001E-2</v>
      </c>
      <c r="D518" s="5">
        <v>1030.0999999999999</v>
      </c>
      <c r="E518" s="1">
        <f>Tabela7[[#This Row],[Força (N)]]/$I$5</f>
        <v>23979793.747235604</v>
      </c>
      <c r="F518" s="1">
        <f>Tabela7[[#This Row],[Tensão (Pa)]]/1000000</f>
        <v>23.979793747235604</v>
      </c>
    </row>
    <row r="519" spans="1:6" x14ac:dyDescent="0.3">
      <c r="A519" s="5">
        <v>44.317</v>
      </c>
      <c r="B519" s="5">
        <v>3.6857000000000002</v>
      </c>
      <c r="C519" s="1">
        <f>Tabela7[[#This Row],[Alongamento (mm/mm)]]/$I$2</f>
        <v>7.3714000000000002E-2</v>
      </c>
      <c r="D519" s="5">
        <v>1038.0999999999999</v>
      </c>
      <c r="E519" s="1">
        <f>Tabela7[[#This Row],[Força (N)]]/$I$5</f>
        <v>24166026.491607882</v>
      </c>
      <c r="F519" s="1">
        <f>Tabela7[[#This Row],[Tensão (Pa)]]/1000000</f>
        <v>24.166026491607884</v>
      </c>
    </row>
    <row r="520" spans="1:6" x14ac:dyDescent="0.3">
      <c r="A520" s="5">
        <v>44.5</v>
      </c>
      <c r="B520" s="5">
        <v>3.7008999999999999</v>
      </c>
      <c r="C520" s="1">
        <f>Tabela7[[#This Row],[Alongamento (mm/mm)]]/$I$2</f>
        <v>7.4018E-2</v>
      </c>
      <c r="D520" s="5">
        <v>1046.3</v>
      </c>
      <c r="E520" s="1">
        <f>Tabela7[[#This Row],[Força (N)]]/$I$5</f>
        <v>24356915.054589473</v>
      </c>
      <c r="F520" s="1">
        <f>Tabela7[[#This Row],[Tensão (Pa)]]/1000000</f>
        <v>24.356915054589471</v>
      </c>
    </row>
    <row r="521" spans="1:6" x14ac:dyDescent="0.3">
      <c r="A521" s="5">
        <v>44.683</v>
      </c>
      <c r="B521" s="5">
        <v>3.7162000000000002</v>
      </c>
      <c r="C521" s="1">
        <f>Tabela7[[#This Row],[Alongamento (mm/mm)]]/$I$2</f>
        <v>7.4324000000000001E-2</v>
      </c>
      <c r="D521" s="5">
        <v>1054.4000000000001</v>
      </c>
      <c r="E521" s="1">
        <f>Tabela7[[#This Row],[Força (N)]]/$I$5</f>
        <v>24545475.708266407</v>
      </c>
      <c r="F521" s="1">
        <f>Tabela7[[#This Row],[Tensão (Pa)]]/1000000</f>
        <v>24.545475708266409</v>
      </c>
    </row>
    <row r="522" spans="1:6" x14ac:dyDescent="0.3">
      <c r="A522" s="5">
        <v>44.866999999999997</v>
      </c>
      <c r="B522" s="5">
        <v>3.7313999999999998</v>
      </c>
      <c r="C522" s="1">
        <f>Tabela7[[#This Row],[Alongamento (mm/mm)]]/$I$2</f>
        <v>7.4628E-2</v>
      </c>
      <c r="D522" s="5">
        <v>1062.5999999999999</v>
      </c>
      <c r="E522" s="1">
        <f>Tabela7[[#This Row],[Força (N)]]/$I$5</f>
        <v>24736364.27124799</v>
      </c>
      <c r="F522" s="1">
        <f>Tabela7[[#This Row],[Tensão (Pa)]]/1000000</f>
        <v>24.736364271247989</v>
      </c>
    </row>
    <row r="523" spans="1:6" x14ac:dyDescent="0.3">
      <c r="A523" s="5">
        <v>45.067</v>
      </c>
      <c r="B523" s="5">
        <v>3.7481</v>
      </c>
      <c r="C523" s="1">
        <f>Tabela7[[#This Row],[Alongamento (mm/mm)]]/$I$2</f>
        <v>7.4962000000000001E-2</v>
      </c>
      <c r="D523" s="5">
        <v>1071.3</v>
      </c>
      <c r="E523" s="1">
        <f>Tabela7[[#This Row],[Força (N)]]/$I$5</f>
        <v>24938892.380752843</v>
      </c>
      <c r="F523" s="1">
        <f>Tabela7[[#This Row],[Tensão (Pa)]]/1000000</f>
        <v>24.938892380752844</v>
      </c>
    </row>
    <row r="524" spans="1:6" x14ac:dyDescent="0.3">
      <c r="A524" s="5">
        <v>45.25</v>
      </c>
      <c r="B524" s="5">
        <v>3.7635000000000001</v>
      </c>
      <c r="C524" s="1">
        <f>Tabela7[[#This Row],[Alongamento (mm/mm)]]/$I$2</f>
        <v>7.5270000000000004E-2</v>
      </c>
      <c r="D524" s="5">
        <v>1079.4000000000001</v>
      </c>
      <c r="E524" s="1">
        <f>Tabela7[[#This Row],[Força (N)]]/$I$5</f>
        <v>25127453.034429781</v>
      </c>
      <c r="F524" s="1">
        <f>Tabela7[[#This Row],[Tensão (Pa)]]/1000000</f>
        <v>25.127453034429781</v>
      </c>
    </row>
    <row r="525" spans="1:6" x14ac:dyDescent="0.3">
      <c r="A525" s="5">
        <v>45.433</v>
      </c>
      <c r="B525" s="5">
        <v>3.7787000000000002</v>
      </c>
      <c r="C525" s="1">
        <f>Tabela7[[#This Row],[Alongamento (mm/mm)]]/$I$2</f>
        <v>7.5574000000000002E-2</v>
      </c>
      <c r="D525" s="5">
        <v>1087.5999999999999</v>
      </c>
      <c r="E525" s="1">
        <f>Tabela7[[#This Row],[Força (N)]]/$I$5</f>
        <v>25318341.597411361</v>
      </c>
      <c r="F525" s="1">
        <f>Tabela7[[#This Row],[Tensão (Pa)]]/1000000</f>
        <v>25.318341597411361</v>
      </c>
    </row>
    <row r="526" spans="1:6" x14ac:dyDescent="0.3">
      <c r="A526" s="5">
        <v>45.633000000000003</v>
      </c>
      <c r="B526" s="5">
        <v>3.7953000000000001</v>
      </c>
      <c r="C526" s="1">
        <f>Tabela7[[#This Row],[Alongamento (mm/mm)]]/$I$2</f>
        <v>7.5906000000000001E-2</v>
      </c>
      <c r="D526" s="5">
        <v>1096.3</v>
      </c>
      <c r="E526" s="1">
        <f>Tabela7[[#This Row],[Força (N)]]/$I$5</f>
        <v>25520869.706916217</v>
      </c>
      <c r="F526" s="1">
        <f>Tabela7[[#This Row],[Tensão (Pa)]]/1000000</f>
        <v>25.520869706916216</v>
      </c>
    </row>
    <row r="527" spans="1:6" x14ac:dyDescent="0.3">
      <c r="A527" s="5">
        <v>45.832999999999998</v>
      </c>
      <c r="B527" s="5">
        <v>3.8119000000000001</v>
      </c>
      <c r="C527" s="1">
        <f>Tabela7[[#This Row],[Alongamento (mm/mm)]]/$I$2</f>
        <v>7.6238E-2</v>
      </c>
      <c r="D527" s="5">
        <v>1105</v>
      </c>
      <c r="E527" s="1">
        <f>Tabela7[[#This Row],[Força (N)]]/$I$5</f>
        <v>25723397.816421069</v>
      </c>
      <c r="F527" s="1">
        <f>Tabela7[[#This Row],[Tensão (Pa)]]/1000000</f>
        <v>25.72339781642107</v>
      </c>
    </row>
    <row r="528" spans="1:6" x14ac:dyDescent="0.3">
      <c r="A528" s="5">
        <v>46.033000000000001</v>
      </c>
      <c r="B528" s="5">
        <v>3.8287</v>
      </c>
      <c r="C528" s="1">
        <f>Tabela7[[#This Row],[Alongamento (mm/mm)]]/$I$2</f>
        <v>7.6574000000000003E-2</v>
      </c>
      <c r="D528" s="5">
        <v>1113.5999999999999</v>
      </c>
      <c r="E528" s="1">
        <f>Tabela7[[#This Row],[Força (N)]]/$I$5</f>
        <v>25923598.016621269</v>
      </c>
      <c r="F528" s="1">
        <f>Tabela7[[#This Row],[Tensão (Pa)]]/1000000</f>
        <v>25.92359801662127</v>
      </c>
    </row>
    <row r="529" spans="1:6" x14ac:dyDescent="0.3">
      <c r="A529" s="5">
        <v>46.232999999999997</v>
      </c>
      <c r="B529" s="5">
        <v>3.8452999999999999</v>
      </c>
      <c r="C529" s="1">
        <f>Tabela7[[#This Row],[Alongamento (mm/mm)]]/$I$2</f>
        <v>7.6906000000000002E-2</v>
      </c>
      <c r="D529" s="5">
        <v>1122.3</v>
      </c>
      <c r="E529" s="1">
        <f>Tabela7[[#This Row],[Força (N)]]/$I$5</f>
        <v>26126126.126126125</v>
      </c>
      <c r="F529" s="1">
        <f>Tabela7[[#This Row],[Tensão (Pa)]]/1000000</f>
        <v>26.126126126126124</v>
      </c>
    </row>
    <row r="530" spans="1:6" x14ac:dyDescent="0.3">
      <c r="A530" s="5">
        <v>46.433</v>
      </c>
      <c r="B530" s="5">
        <v>3.8620000000000001</v>
      </c>
      <c r="C530" s="1">
        <f>Tabela7[[#This Row],[Alongamento (mm/mm)]]/$I$2</f>
        <v>7.7240000000000003E-2</v>
      </c>
      <c r="D530" s="5">
        <v>1131.2</v>
      </c>
      <c r="E530" s="1">
        <f>Tabela7[[#This Row],[Força (N)]]/$I$5</f>
        <v>26333310.054240286</v>
      </c>
      <c r="F530" s="1">
        <f>Tabela7[[#This Row],[Tensão (Pa)]]/1000000</f>
        <v>26.333310054240286</v>
      </c>
    </row>
    <row r="531" spans="1:6" x14ac:dyDescent="0.3">
      <c r="A531" s="5">
        <v>46.633000000000003</v>
      </c>
      <c r="B531" s="5">
        <v>3.8786999999999998</v>
      </c>
      <c r="C531" s="1">
        <f>Tabela7[[#This Row],[Alongamento (mm/mm)]]/$I$2</f>
        <v>7.757399999999999E-2</v>
      </c>
      <c r="D531" s="5">
        <v>1140</v>
      </c>
      <c r="E531" s="1">
        <f>Tabela7[[#This Row],[Força (N)]]/$I$5</f>
        <v>26538166.073049791</v>
      </c>
      <c r="F531" s="1">
        <f>Tabela7[[#This Row],[Tensão (Pa)]]/1000000</f>
        <v>26.538166073049791</v>
      </c>
    </row>
    <row r="532" spans="1:6" x14ac:dyDescent="0.3">
      <c r="A532" s="5">
        <v>46.832999999999998</v>
      </c>
      <c r="B532" s="5">
        <v>3.8953000000000002</v>
      </c>
      <c r="C532" s="1">
        <f>Tabela7[[#This Row],[Alongamento (mm/mm)]]/$I$2</f>
        <v>7.7906000000000003E-2</v>
      </c>
      <c r="D532" s="5">
        <v>1148.8</v>
      </c>
      <c r="E532" s="1">
        <f>Tabela7[[#This Row],[Força (N)]]/$I$5</f>
        <v>26743022.0918593</v>
      </c>
      <c r="F532" s="1">
        <f>Tabela7[[#This Row],[Tensão (Pa)]]/1000000</f>
        <v>26.743022091859299</v>
      </c>
    </row>
    <row r="533" spans="1:6" x14ac:dyDescent="0.3">
      <c r="A533" s="5">
        <v>47.033000000000001</v>
      </c>
      <c r="B533" s="5">
        <v>3.9119999999999999</v>
      </c>
      <c r="C533" s="1">
        <f>Tabela7[[#This Row],[Alongamento (mm/mm)]]/$I$2</f>
        <v>7.8240000000000004E-2</v>
      </c>
      <c r="D533" s="5">
        <v>1157.7</v>
      </c>
      <c r="E533" s="1">
        <f>Tabela7[[#This Row],[Força (N)]]/$I$5</f>
        <v>26950206.019973461</v>
      </c>
      <c r="F533" s="1">
        <f>Tabela7[[#This Row],[Tensão (Pa)]]/1000000</f>
        <v>26.950206019973461</v>
      </c>
    </row>
    <row r="534" spans="1:6" x14ac:dyDescent="0.3">
      <c r="A534" s="5">
        <v>47.232999999999997</v>
      </c>
      <c r="B534" s="5">
        <v>3.9287000000000001</v>
      </c>
      <c r="C534" s="1">
        <f>Tabela7[[#This Row],[Alongamento (mm/mm)]]/$I$2</f>
        <v>7.8574000000000005E-2</v>
      </c>
      <c r="D534" s="5">
        <v>1166.7</v>
      </c>
      <c r="E534" s="1">
        <f>Tabela7[[#This Row],[Força (N)]]/$I$5</f>
        <v>27159717.857392274</v>
      </c>
      <c r="F534" s="1">
        <f>Tabela7[[#This Row],[Tensão (Pa)]]/1000000</f>
        <v>27.159717857392273</v>
      </c>
    </row>
    <row r="535" spans="1:6" x14ac:dyDescent="0.3">
      <c r="A535" s="5">
        <v>47.433</v>
      </c>
      <c r="B535" s="5">
        <v>3.9453999999999998</v>
      </c>
      <c r="C535" s="1">
        <f>Tabela7[[#This Row],[Alongamento (mm/mm)]]/$I$2</f>
        <v>7.8907999999999992E-2</v>
      </c>
      <c r="D535" s="5">
        <v>1175.7</v>
      </c>
      <c r="E535" s="1">
        <f>Tabela7[[#This Row],[Força (N)]]/$I$5</f>
        <v>27369229.694811091</v>
      </c>
      <c r="F535" s="1">
        <f>Tabela7[[#This Row],[Tensão (Pa)]]/1000000</f>
        <v>27.369229694811089</v>
      </c>
    </row>
    <row r="536" spans="1:6" x14ac:dyDescent="0.3">
      <c r="A536" s="5">
        <v>47.65</v>
      </c>
      <c r="B536" s="5">
        <v>3.9634</v>
      </c>
      <c r="C536" s="1">
        <f>Tabela7[[#This Row],[Alongamento (mm/mm)]]/$I$2</f>
        <v>7.9268000000000005E-2</v>
      </c>
      <c r="D536" s="5">
        <v>1185.4000000000001</v>
      </c>
      <c r="E536" s="1">
        <f>Tabela7[[#This Row],[Força (N)]]/$I$5</f>
        <v>27595036.897362478</v>
      </c>
      <c r="F536" s="1">
        <f>Tabela7[[#This Row],[Tensão (Pa)]]/1000000</f>
        <v>27.59503689736248</v>
      </c>
    </row>
    <row r="537" spans="1:6" x14ac:dyDescent="0.3">
      <c r="A537" s="5">
        <v>47.866999999999997</v>
      </c>
      <c r="B537" s="5">
        <v>3.9813999999999998</v>
      </c>
      <c r="C537" s="1">
        <f>Tabela7[[#This Row],[Alongamento (mm/mm)]]/$I$2</f>
        <v>7.962799999999999E-2</v>
      </c>
      <c r="D537" s="5">
        <v>1195.3</v>
      </c>
      <c r="E537" s="1">
        <f>Tabela7[[#This Row],[Força (N)]]/$I$5</f>
        <v>27825499.91852317</v>
      </c>
      <c r="F537" s="1">
        <f>Tabela7[[#This Row],[Tensão (Pa)]]/1000000</f>
        <v>27.825499918523171</v>
      </c>
    </row>
    <row r="538" spans="1:6" x14ac:dyDescent="0.3">
      <c r="A538" s="5">
        <v>48.082999999999998</v>
      </c>
      <c r="B538" s="5">
        <v>3.9994999999999998</v>
      </c>
      <c r="C538" s="1">
        <f>Tabela7[[#This Row],[Alongamento (mm/mm)]]/$I$2</f>
        <v>7.9989999999999992E-2</v>
      </c>
      <c r="D538" s="5">
        <v>1205</v>
      </c>
      <c r="E538" s="1">
        <f>Tabela7[[#This Row],[Força (N)]]/$I$5</f>
        <v>28051307.121074561</v>
      </c>
      <c r="F538" s="1">
        <f>Tabela7[[#This Row],[Tensão (Pa)]]/1000000</f>
        <v>28.051307121074561</v>
      </c>
    </row>
    <row r="539" spans="1:6" x14ac:dyDescent="0.3">
      <c r="A539" s="5">
        <v>48.283000000000001</v>
      </c>
      <c r="B539" s="5">
        <v>4.0162000000000004</v>
      </c>
      <c r="C539" s="1">
        <f>Tabela7[[#This Row],[Alongamento (mm/mm)]]/$I$2</f>
        <v>8.0324000000000007E-2</v>
      </c>
      <c r="D539" s="5">
        <v>1214.2</v>
      </c>
      <c r="E539" s="1">
        <f>Tabela7[[#This Row],[Força (N)]]/$I$5</f>
        <v>28265474.777102683</v>
      </c>
      <c r="F539" s="1">
        <f>Tabela7[[#This Row],[Tensão (Pa)]]/1000000</f>
        <v>28.265474777102682</v>
      </c>
    </row>
    <row r="540" spans="1:6" x14ac:dyDescent="0.3">
      <c r="A540" s="5">
        <v>48.482999999999997</v>
      </c>
      <c r="B540" s="5">
        <v>4.0328999999999997</v>
      </c>
      <c r="C540" s="1">
        <f>Tabela7[[#This Row],[Alongamento (mm/mm)]]/$I$2</f>
        <v>8.0657999999999994E-2</v>
      </c>
      <c r="D540" s="5">
        <v>1223.4000000000001</v>
      </c>
      <c r="E540" s="1">
        <f>Tabela7[[#This Row],[Força (N)]]/$I$5</f>
        <v>28479642.433130804</v>
      </c>
      <c r="F540" s="1">
        <f>Tabela7[[#This Row],[Tensão (Pa)]]/1000000</f>
        <v>28.479642433130806</v>
      </c>
    </row>
    <row r="541" spans="1:6" x14ac:dyDescent="0.3">
      <c r="A541" s="5">
        <v>48.7</v>
      </c>
      <c r="B541" s="5">
        <v>4.0509000000000004</v>
      </c>
      <c r="C541" s="1">
        <f>Tabela7[[#This Row],[Alongamento (mm/mm)]]/$I$2</f>
        <v>8.1018000000000007E-2</v>
      </c>
      <c r="D541" s="5">
        <v>1233.2</v>
      </c>
      <c r="E541" s="1">
        <f>Tabela7[[#This Row],[Força (N)]]/$I$5</f>
        <v>28707777.544986848</v>
      </c>
      <c r="F541" s="1">
        <f>Tabela7[[#This Row],[Tensão (Pa)]]/1000000</f>
        <v>28.707777544986847</v>
      </c>
    </row>
    <row r="542" spans="1:6" x14ac:dyDescent="0.3">
      <c r="A542" s="5">
        <v>48.917000000000002</v>
      </c>
      <c r="B542" s="5">
        <v>4.069</v>
      </c>
      <c r="C542" s="1">
        <f>Tabela7[[#This Row],[Alongamento (mm/mm)]]/$I$2</f>
        <v>8.1379999999999994E-2</v>
      </c>
      <c r="D542" s="5">
        <v>1243.3</v>
      </c>
      <c r="E542" s="1">
        <f>Tabela7[[#This Row],[Força (N)]]/$I$5</f>
        <v>28942896.384756848</v>
      </c>
      <c r="F542" s="1">
        <f>Tabela7[[#This Row],[Tensão (Pa)]]/1000000</f>
        <v>28.94289638475685</v>
      </c>
    </row>
    <row r="543" spans="1:6" x14ac:dyDescent="0.3">
      <c r="A543" s="5">
        <v>49.133000000000003</v>
      </c>
      <c r="B543" s="5">
        <v>4.0869999999999997</v>
      </c>
      <c r="C543" s="1">
        <f>Tabela7[[#This Row],[Alongamento (mm/mm)]]/$I$2</f>
        <v>8.1739999999999993E-2</v>
      </c>
      <c r="D543" s="5">
        <v>1253.0999999999999</v>
      </c>
      <c r="E543" s="1">
        <f>Tabela7[[#This Row],[Força (N)]]/$I$5</f>
        <v>29171031.496612888</v>
      </c>
      <c r="F543" s="1">
        <f>Tabela7[[#This Row],[Tensão (Pa)]]/1000000</f>
        <v>29.171031496612887</v>
      </c>
    </row>
    <row r="544" spans="1:6" x14ac:dyDescent="0.3">
      <c r="A544" s="5">
        <v>49.35</v>
      </c>
      <c r="B544" s="5">
        <v>4.1051000000000002</v>
      </c>
      <c r="C544" s="1">
        <f>Tabela7[[#This Row],[Alongamento (mm/mm)]]/$I$2</f>
        <v>8.2102000000000008E-2</v>
      </c>
      <c r="D544" s="5">
        <v>1263</v>
      </c>
      <c r="E544" s="1">
        <f>Tabela7[[#This Row],[Força (N)]]/$I$5</f>
        <v>29401494.517773587</v>
      </c>
      <c r="F544" s="1">
        <f>Tabela7[[#This Row],[Tensão (Pa)]]/1000000</f>
        <v>29.401494517773589</v>
      </c>
    </row>
    <row r="545" spans="1:6" x14ac:dyDescent="0.3">
      <c r="A545" s="5">
        <v>49.567</v>
      </c>
      <c r="B545" s="5">
        <v>4.1230000000000002</v>
      </c>
      <c r="C545" s="1">
        <f>Tabela7[[#This Row],[Alongamento (mm/mm)]]/$I$2</f>
        <v>8.2460000000000006E-2</v>
      </c>
      <c r="D545" s="5">
        <v>1272.8</v>
      </c>
      <c r="E545" s="1">
        <f>Tabela7[[#This Row],[Força (N)]]/$I$5</f>
        <v>29629629.629629627</v>
      </c>
      <c r="F545" s="1">
        <f>Tabela7[[#This Row],[Tensão (Pa)]]/1000000</f>
        <v>29.629629629629626</v>
      </c>
    </row>
    <row r="546" spans="1:6" x14ac:dyDescent="0.3">
      <c r="A546" s="5">
        <v>49.8</v>
      </c>
      <c r="B546" s="5">
        <v>4.1425000000000001</v>
      </c>
      <c r="C546" s="1">
        <f>Tabela7[[#This Row],[Alongamento (mm/mm)]]/$I$2</f>
        <v>8.2850000000000007E-2</v>
      </c>
      <c r="D546" s="5">
        <v>1283.2</v>
      </c>
      <c r="E546" s="1">
        <f>Tabela7[[#This Row],[Força (N)]]/$I$5</f>
        <v>29871732.197313592</v>
      </c>
      <c r="F546" s="1">
        <f>Tabela7[[#This Row],[Tensão (Pa)]]/1000000</f>
        <v>29.871732197313591</v>
      </c>
    </row>
    <row r="547" spans="1:6" x14ac:dyDescent="0.3">
      <c r="A547" s="5">
        <v>50.017000000000003</v>
      </c>
      <c r="B547" s="5">
        <v>4.1605999999999996</v>
      </c>
      <c r="C547" s="1">
        <f>Tabela7[[#This Row],[Alongamento (mm/mm)]]/$I$2</f>
        <v>8.3211999999999994E-2</v>
      </c>
      <c r="D547" s="5">
        <v>1293.0999999999999</v>
      </c>
      <c r="E547" s="1">
        <f>Tabela7[[#This Row],[Força (N)]]/$I$5</f>
        <v>30102195.218474284</v>
      </c>
      <c r="F547" s="1">
        <f>Tabela7[[#This Row],[Tensão (Pa)]]/1000000</f>
        <v>30.102195218474282</v>
      </c>
    </row>
    <row r="548" spans="1:6" x14ac:dyDescent="0.3">
      <c r="A548" s="5">
        <v>50.25</v>
      </c>
      <c r="B548" s="5">
        <v>4.1801000000000004</v>
      </c>
      <c r="C548" s="1">
        <f>Tabela7[[#This Row],[Alongamento (mm/mm)]]/$I$2</f>
        <v>8.360200000000001E-2</v>
      </c>
      <c r="D548" s="5">
        <v>1303.5</v>
      </c>
      <c r="E548" s="1">
        <f>Tabela7[[#This Row],[Força (N)]]/$I$5</f>
        <v>30344297.786158249</v>
      </c>
      <c r="F548" s="1">
        <f>Tabela7[[#This Row],[Tensão (Pa)]]/1000000</f>
        <v>30.344297786158247</v>
      </c>
    </row>
    <row r="549" spans="1:6" x14ac:dyDescent="0.3">
      <c r="A549" s="5">
        <v>50.5</v>
      </c>
      <c r="B549" s="5">
        <v>4.2008000000000001</v>
      </c>
      <c r="C549" s="1">
        <f>Tabela7[[#This Row],[Alongamento (mm/mm)]]/$I$2</f>
        <v>8.4016000000000007E-2</v>
      </c>
      <c r="D549" s="5">
        <v>1313.8</v>
      </c>
      <c r="E549" s="1">
        <f>Tabela7[[#This Row],[Força (N)]]/$I$5</f>
        <v>30584072.444537558</v>
      </c>
      <c r="F549" s="1">
        <f>Tabela7[[#This Row],[Tensão (Pa)]]/1000000</f>
        <v>30.584072444537558</v>
      </c>
    </row>
    <row r="550" spans="1:6" x14ac:dyDescent="0.3">
      <c r="A550" s="5">
        <v>50.732999999999997</v>
      </c>
      <c r="B550" s="5">
        <v>4.2202999999999999</v>
      </c>
      <c r="C550" s="1">
        <f>Tabela7[[#This Row],[Alongamento (mm/mm)]]/$I$2</f>
        <v>8.4405999999999995E-2</v>
      </c>
      <c r="D550" s="5">
        <v>1324.4</v>
      </c>
      <c r="E550" s="1">
        <f>Tabela7[[#This Row],[Força (N)]]/$I$5</f>
        <v>30830830.830830831</v>
      </c>
      <c r="F550" s="1">
        <f>Tabela7[[#This Row],[Tensão (Pa)]]/1000000</f>
        <v>30.830830830830831</v>
      </c>
    </row>
    <row r="551" spans="1:6" x14ac:dyDescent="0.3">
      <c r="A551" s="5">
        <v>50.966999999999999</v>
      </c>
      <c r="B551" s="5">
        <v>4.2397</v>
      </c>
      <c r="C551" s="1">
        <f>Tabela7[[#This Row],[Alongamento (mm/mm)]]/$I$2</f>
        <v>8.4793999999999994E-2</v>
      </c>
      <c r="D551" s="5">
        <v>1334.8</v>
      </c>
      <c r="E551" s="1">
        <f>Tabela7[[#This Row],[Força (N)]]/$I$5</f>
        <v>31072933.398514792</v>
      </c>
      <c r="F551" s="1">
        <f>Tabela7[[#This Row],[Tensão (Pa)]]/1000000</f>
        <v>31.072933398514792</v>
      </c>
    </row>
    <row r="552" spans="1:6" x14ac:dyDescent="0.3">
      <c r="A552" s="5">
        <v>51.2</v>
      </c>
      <c r="B552" s="5">
        <v>4.2592999999999996</v>
      </c>
      <c r="C552" s="1">
        <f>Tabela7[[#This Row],[Alongamento (mm/mm)]]/$I$2</f>
        <v>8.5185999999999998E-2</v>
      </c>
      <c r="D552" s="5">
        <v>1345</v>
      </c>
      <c r="E552" s="1">
        <f>Tabela7[[#This Row],[Força (N)]]/$I$5</f>
        <v>31310380.147589449</v>
      </c>
      <c r="F552" s="1">
        <f>Tabela7[[#This Row],[Tensão (Pa)]]/1000000</f>
        <v>31.310380147589449</v>
      </c>
    </row>
    <row r="553" spans="1:6" x14ac:dyDescent="0.3">
      <c r="A553" s="5">
        <v>51.433</v>
      </c>
      <c r="B553" s="5">
        <v>4.2786999999999997</v>
      </c>
      <c r="C553" s="1">
        <f>Tabela7[[#This Row],[Alongamento (mm/mm)]]/$I$2</f>
        <v>8.5573999999999997E-2</v>
      </c>
      <c r="D553" s="5">
        <v>1355.3</v>
      </c>
      <c r="E553" s="1">
        <f>Tabela7[[#This Row],[Força (N)]]/$I$5</f>
        <v>31550154.805968758</v>
      </c>
      <c r="F553" s="1">
        <f>Tabela7[[#This Row],[Tensão (Pa)]]/1000000</f>
        <v>31.550154805968759</v>
      </c>
    </row>
    <row r="554" spans="1:6" x14ac:dyDescent="0.3">
      <c r="A554" s="5">
        <v>51.683</v>
      </c>
      <c r="B554" s="5">
        <v>4.2995000000000001</v>
      </c>
      <c r="C554" s="1">
        <f>Tabela7[[#This Row],[Alongamento (mm/mm)]]/$I$2</f>
        <v>8.5989999999999997E-2</v>
      </c>
      <c r="D554" s="5">
        <v>1366.4</v>
      </c>
      <c r="E554" s="1">
        <f>Tabela7[[#This Row],[Força (N)]]/$I$5</f>
        <v>31808552.738785297</v>
      </c>
      <c r="F554" s="1">
        <f>Tabela7[[#This Row],[Tensão (Pa)]]/1000000</f>
        <v>31.808552738785298</v>
      </c>
    </row>
    <row r="555" spans="1:6" x14ac:dyDescent="0.3">
      <c r="A555" s="5">
        <v>51.933</v>
      </c>
      <c r="B555" s="5">
        <v>4.3204000000000002</v>
      </c>
      <c r="C555" s="1">
        <f>Tabela7[[#This Row],[Alongamento (mm/mm)]]/$I$2</f>
        <v>8.6407999999999999E-2</v>
      </c>
      <c r="D555" s="5">
        <v>1377.5</v>
      </c>
      <c r="E555" s="1">
        <f>Tabela7[[#This Row],[Força (N)]]/$I$5</f>
        <v>32066950.671601832</v>
      </c>
      <c r="F555" s="1">
        <f>Tabela7[[#This Row],[Tensão (Pa)]]/1000000</f>
        <v>32.06695067160183</v>
      </c>
    </row>
    <row r="556" spans="1:6" x14ac:dyDescent="0.3">
      <c r="A556" s="5">
        <v>52.183</v>
      </c>
      <c r="B556" s="5">
        <v>4.3411999999999997</v>
      </c>
      <c r="C556" s="1">
        <f>Tabela7[[#This Row],[Alongamento (mm/mm)]]/$I$2</f>
        <v>8.6823999999999998E-2</v>
      </c>
      <c r="D556" s="5">
        <v>1388.5</v>
      </c>
      <c r="E556" s="1">
        <f>Tabela7[[#This Row],[Força (N)]]/$I$5</f>
        <v>32323020.695113719</v>
      </c>
      <c r="F556" s="1">
        <f>Tabela7[[#This Row],[Tensão (Pa)]]/1000000</f>
        <v>32.323020695113719</v>
      </c>
    </row>
    <row r="557" spans="1:6" x14ac:dyDescent="0.3">
      <c r="A557" s="5">
        <v>52.433</v>
      </c>
      <c r="B557" s="5">
        <v>4.3620999999999999</v>
      </c>
      <c r="C557" s="1">
        <f>Tabela7[[#This Row],[Alongamento (mm/mm)]]/$I$2</f>
        <v>8.7242E-2</v>
      </c>
      <c r="D557" s="5">
        <v>1399.7</v>
      </c>
      <c r="E557" s="1">
        <f>Tabela7[[#This Row],[Força (N)]]/$I$5</f>
        <v>32583746.53723491</v>
      </c>
      <c r="F557" s="1">
        <f>Tabela7[[#This Row],[Tensão (Pa)]]/1000000</f>
        <v>32.583746537234909</v>
      </c>
    </row>
    <row r="558" spans="1:6" x14ac:dyDescent="0.3">
      <c r="A558" s="5">
        <v>52.683</v>
      </c>
      <c r="B558" s="5">
        <v>4.3827999999999996</v>
      </c>
      <c r="C558" s="1">
        <f>Tabela7[[#This Row],[Alongamento (mm/mm)]]/$I$2</f>
        <v>8.7655999999999998E-2</v>
      </c>
      <c r="D558" s="5">
        <v>1411</v>
      </c>
      <c r="E558" s="1">
        <f>Tabela7[[#This Row],[Força (N)]]/$I$5</f>
        <v>32846800.288660754</v>
      </c>
      <c r="F558" s="1">
        <f>Tabela7[[#This Row],[Tensão (Pa)]]/1000000</f>
        <v>32.846800288660752</v>
      </c>
    </row>
    <row r="559" spans="1:6" x14ac:dyDescent="0.3">
      <c r="A559" s="5">
        <v>52.933</v>
      </c>
      <c r="B559" s="5">
        <v>4.4036999999999997</v>
      </c>
      <c r="C559" s="1">
        <f>Tabela7[[#This Row],[Alongamento (mm/mm)]]/$I$2</f>
        <v>8.8074E-2</v>
      </c>
      <c r="D559" s="5">
        <v>1422.4</v>
      </c>
      <c r="E559" s="1">
        <f>Tabela7[[#This Row],[Força (N)]]/$I$5</f>
        <v>33112181.949391253</v>
      </c>
      <c r="F559" s="1">
        <f>Tabela7[[#This Row],[Tensão (Pa)]]/1000000</f>
        <v>33.112181949391257</v>
      </c>
    </row>
    <row r="560" spans="1:6" x14ac:dyDescent="0.3">
      <c r="A560" s="5">
        <v>53.183</v>
      </c>
      <c r="B560" s="5">
        <v>4.4244000000000003</v>
      </c>
      <c r="C560" s="1">
        <f>Tabela7[[#This Row],[Alongamento (mm/mm)]]/$I$2</f>
        <v>8.8488000000000011E-2</v>
      </c>
      <c r="D560" s="5">
        <v>1433.4</v>
      </c>
      <c r="E560" s="1">
        <f>Tabela7[[#This Row],[Força (N)]]/$I$5</f>
        <v>33368251.972903136</v>
      </c>
      <c r="F560" s="1">
        <f>Tabela7[[#This Row],[Tensão (Pa)]]/1000000</f>
        <v>33.368251972903138</v>
      </c>
    </row>
    <row r="561" spans="1:6" x14ac:dyDescent="0.3">
      <c r="A561" s="5">
        <v>53.433</v>
      </c>
      <c r="B561" s="5">
        <v>4.4454000000000002</v>
      </c>
      <c r="C561" s="1">
        <f>Tabela7[[#This Row],[Alongamento (mm/mm)]]/$I$2</f>
        <v>8.8908000000000001E-2</v>
      </c>
      <c r="D561" s="5">
        <v>1444.8</v>
      </c>
      <c r="E561" s="1">
        <f>Tabela7[[#This Row],[Força (N)]]/$I$5</f>
        <v>33633633.633633628</v>
      </c>
      <c r="F561" s="1">
        <f>Tabela7[[#This Row],[Tensão (Pa)]]/1000000</f>
        <v>33.633633633633629</v>
      </c>
    </row>
    <row r="562" spans="1:6" x14ac:dyDescent="0.3">
      <c r="A562" s="5">
        <v>53.683</v>
      </c>
      <c r="B562" s="5">
        <v>4.4661999999999997</v>
      </c>
      <c r="C562" s="1">
        <f>Tabela7[[#This Row],[Alongamento (mm/mm)]]/$I$2</f>
        <v>8.9324000000000001E-2</v>
      </c>
      <c r="D562" s="5">
        <v>1456.4</v>
      </c>
      <c r="E562" s="1">
        <f>Tabela7[[#This Row],[Força (N)]]/$I$5</f>
        <v>33903671.112973437</v>
      </c>
      <c r="F562" s="1">
        <f>Tabela7[[#This Row],[Tensão (Pa)]]/1000000</f>
        <v>33.903671112973434</v>
      </c>
    </row>
    <row r="563" spans="1:6" x14ac:dyDescent="0.3">
      <c r="A563" s="5">
        <v>53.933</v>
      </c>
      <c r="B563" s="5">
        <v>4.4870000000000001</v>
      </c>
      <c r="C563" s="1">
        <f>Tabela7[[#This Row],[Alongamento (mm/mm)]]/$I$2</f>
        <v>8.974E-2</v>
      </c>
      <c r="D563" s="5">
        <v>1467.8</v>
      </c>
      <c r="E563" s="1">
        <f>Tabela7[[#This Row],[Força (N)]]/$I$5</f>
        <v>34169052.773703933</v>
      </c>
      <c r="F563" s="1">
        <f>Tabela7[[#This Row],[Tensão (Pa)]]/1000000</f>
        <v>34.169052773703932</v>
      </c>
    </row>
    <row r="564" spans="1:6" x14ac:dyDescent="0.3">
      <c r="A564" s="5">
        <v>54.183</v>
      </c>
      <c r="B564" s="5">
        <v>4.5077999999999996</v>
      </c>
      <c r="C564" s="1">
        <f>Tabela7[[#This Row],[Alongamento (mm/mm)]]/$I$2</f>
        <v>9.0155999999999986E-2</v>
      </c>
      <c r="D564" s="5">
        <v>1479.2</v>
      </c>
      <c r="E564" s="1">
        <f>Tabela7[[#This Row],[Força (N)]]/$I$5</f>
        <v>34434434.434434436</v>
      </c>
      <c r="F564" s="1">
        <f>Tabela7[[#This Row],[Tensão (Pa)]]/1000000</f>
        <v>34.434434434434436</v>
      </c>
    </row>
    <row r="565" spans="1:6" x14ac:dyDescent="0.3">
      <c r="A565" s="5">
        <v>54.433</v>
      </c>
      <c r="B565" s="5">
        <v>4.5286999999999997</v>
      </c>
      <c r="C565" s="1">
        <f>Tabela7[[#This Row],[Alongamento (mm/mm)]]/$I$2</f>
        <v>9.0573999999999988E-2</v>
      </c>
      <c r="D565" s="5">
        <v>1490.7</v>
      </c>
      <c r="E565" s="1">
        <f>Tabela7[[#This Row],[Força (N)]]/$I$5</f>
        <v>34702144.004469588</v>
      </c>
      <c r="F565" s="1">
        <f>Tabela7[[#This Row],[Tensão (Pa)]]/1000000</f>
        <v>34.702144004469588</v>
      </c>
    </row>
    <row r="566" spans="1:6" x14ac:dyDescent="0.3">
      <c r="A566" s="5">
        <v>54.683</v>
      </c>
      <c r="B566" s="5">
        <v>4.5495000000000001</v>
      </c>
      <c r="C566" s="1">
        <f>Tabela7[[#This Row],[Alongamento (mm/mm)]]/$I$2</f>
        <v>9.0990000000000001E-2</v>
      </c>
      <c r="D566" s="5">
        <v>1502.3</v>
      </c>
      <c r="E566" s="1">
        <f>Tabela7[[#This Row],[Força (N)]]/$I$5</f>
        <v>34972181.483809389</v>
      </c>
      <c r="F566" s="1">
        <f>Tabela7[[#This Row],[Tensão (Pa)]]/1000000</f>
        <v>34.972181483809386</v>
      </c>
    </row>
    <row r="567" spans="1:6" x14ac:dyDescent="0.3">
      <c r="A567" s="5">
        <v>54.95</v>
      </c>
      <c r="B567" s="5">
        <v>4.5716999999999999</v>
      </c>
      <c r="C567" s="1">
        <f>Tabela7[[#This Row],[Alongamento (mm/mm)]]/$I$2</f>
        <v>9.1434000000000001E-2</v>
      </c>
      <c r="D567" s="5">
        <v>1514.6</v>
      </c>
      <c r="E567" s="1">
        <f>Tabela7[[#This Row],[Força (N)]]/$I$5</f>
        <v>35258514.328281768</v>
      </c>
      <c r="F567" s="1">
        <f>Tabela7[[#This Row],[Tensão (Pa)]]/1000000</f>
        <v>35.25851432828177</v>
      </c>
    </row>
    <row r="568" spans="1:6" x14ac:dyDescent="0.3">
      <c r="A568" s="5">
        <v>55.2</v>
      </c>
      <c r="B568" s="5">
        <v>4.5925000000000002</v>
      </c>
      <c r="C568" s="1">
        <f>Tabela7[[#This Row],[Alongamento (mm/mm)]]/$I$2</f>
        <v>9.1850000000000001E-2</v>
      </c>
      <c r="D568" s="5">
        <v>1526.1</v>
      </c>
      <c r="E568" s="1">
        <f>Tabela7[[#This Row],[Força (N)]]/$I$5</f>
        <v>35526223.89831692</v>
      </c>
      <c r="F568" s="1">
        <f>Tabela7[[#This Row],[Tensão (Pa)]]/1000000</f>
        <v>35.526223898316921</v>
      </c>
    </row>
    <row r="569" spans="1:6" x14ac:dyDescent="0.3">
      <c r="A569" s="5">
        <v>55.466999999999999</v>
      </c>
      <c r="B569" s="5">
        <v>4.6147</v>
      </c>
      <c r="C569" s="1">
        <f>Tabela7[[#This Row],[Alongamento (mm/mm)]]/$I$2</f>
        <v>9.2294000000000001E-2</v>
      </c>
      <c r="D569" s="5">
        <v>1538.2</v>
      </c>
      <c r="E569" s="1">
        <f>Tabela7[[#This Row],[Força (N)]]/$I$5</f>
        <v>35807900.924179994</v>
      </c>
      <c r="F569" s="1">
        <f>Tabela7[[#This Row],[Tensão (Pa)]]/1000000</f>
        <v>35.807900924179997</v>
      </c>
    </row>
    <row r="570" spans="1:6" x14ac:dyDescent="0.3">
      <c r="A570" s="5">
        <v>55.732999999999997</v>
      </c>
      <c r="B570" s="5">
        <v>4.6369999999999996</v>
      </c>
      <c r="C570" s="1">
        <f>Tabela7[[#This Row],[Alongamento (mm/mm)]]/$I$2</f>
        <v>9.2739999999999989E-2</v>
      </c>
      <c r="D570" s="5">
        <v>1550.3</v>
      </c>
      <c r="E570" s="1">
        <f>Tabela7[[#This Row],[Força (N)]]/$I$5</f>
        <v>36089577.95004306</v>
      </c>
      <c r="F570" s="1">
        <f>Tabela7[[#This Row],[Tensão (Pa)]]/1000000</f>
        <v>36.089577950043058</v>
      </c>
    </row>
    <row r="571" spans="1:6" x14ac:dyDescent="0.3">
      <c r="A571" s="5">
        <v>56</v>
      </c>
      <c r="B571" s="5">
        <v>4.6592000000000002</v>
      </c>
      <c r="C571" s="1">
        <f>Tabela7[[#This Row],[Alongamento (mm/mm)]]/$I$2</f>
        <v>9.3184000000000003E-2</v>
      </c>
      <c r="D571" s="5">
        <v>1562.4</v>
      </c>
      <c r="E571" s="1">
        <f>Tabela7[[#This Row],[Força (N)]]/$I$5</f>
        <v>36371254.975906141</v>
      </c>
      <c r="F571" s="1">
        <f>Tabela7[[#This Row],[Tensão (Pa)]]/1000000</f>
        <v>36.37125497590614</v>
      </c>
    </row>
    <row r="572" spans="1:6" x14ac:dyDescent="0.3">
      <c r="A572" s="5">
        <v>56.267000000000003</v>
      </c>
      <c r="B572" s="5">
        <v>4.6814</v>
      </c>
      <c r="C572" s="1">
        <f>Tabela7[[#This Row],[Alongamento (mm/mm)]]/$I$2</f>
        <v>9.3628000000000003E-2</v>
      </c>
      <c r="D572" s="5">
        <v>1574.3</v>
      </c>
      <c r="E572" s="1">
        <f>Tabela7[[#This Row],[Força (N)]]/$I$5</f>
        <v>36648276.183159903</v>
      </c>
      <c r="F572" s="1">
        <f>Tabela7[[#This Row],[Tensão (Pa)]]/1000000</f>
        <v>36.648276183159901</v>
      </c>
    </row>
    <row r="573" spans="1:6" x14ac:dyDescent="0.3">
      <c r="A573" s="5">
        <v>56.55</v>
      </c>
      <c r="B573" s="5">
        <v>4.7050000000000001</v>
      </c>
      <c r="C573" s="1">
        <f>Tabela7[[#This Row],[Alongamento (mm/mm)]]/$I$2</f>
        <v>9.4100000000000003E-2</v>
      </c>
      <c r="D573" s="5">
        <v>1587</v>
      </c>
      <c r="E573" s="1">
        <f>Tabela7[[#This Row],[Força (N)]]/$I$5</f>
        <v>36943920.664850898</v>
      </c>
      <c r="F573" s="1">
        <f>Tabela7[[#This Row],[Tensão (Pa)]]/1000000</f>
        <v>36.9439206648509</v>
      </c>
    </row>
    <row r="574" spans="1:6" x14ac:dyDescent="0.3">
      <c r="A574" s="5">
        <v>56.832999999999998</v>
      </c>
      <c r="B574" s="5">
        <v>4.7286000000000001</v>
      </c>
      <c r="C574" s="1">
        <f>Tabela7[[#This Row],[Alongamento (mm/mm)]]/$I$2</f>
        <v>9.4572000000000003E-2</v>
      </c>
      <c r="D574" s="5">
        <v>1599.9</v>
      </c>
      <c r="E574" s="1">
        <f>Tabela7[[#This Row],[Força (N)]]/$I$5</f>
        <v>37244220.965151198</v>
      </c>
      <c r="F574" s="1">
        <f>Tabela7[[#This Row],[Tensão (Pa)]]/1000000</f>
        <v>37.2442209651512</v>
      </c>
    </row>
    <row r="575" spans="1:6" x14ac:dyDescent="0.3">
      <c r="A575" s="5">
        <v>57.116999999999997</v>
      </c>
      <c r="B575" s="5">
        <v>4.7522000000000002</v>
      </c>
      <c r="C575" s="1">
        <f>Tabela7[[#This Row],[Alongamento (mm/mm)]]/$I$2</f>
        <v>9.5044000000000003E-2</v>
      </c>
      <c r="D575" s="5">
        <v>1612.5</v>
      </c>
      <c r="E575" s="1">
        <f>Tabela7[[#This Row],[Força (N)]]/$I$5</f>
        <v>37537537.537537538</v>
      </c>
      <c r="F575" s="1">
        <f>Tabela7[[#This Row],[Tensão (Pa)]]/1000000</f>
        <v>37.537537537537538</v>
      </c>
    </row>
    <row r="576" spans="1:6" x14ac:dyDescent="0.3">
      <c r="A576" s="5">
        <v>57.4</v>
      </c>
      <c r="B576" s="5">
        <v>4.7759</v>
      </c>
      <c r="C576" s="1">
        <f>Tabela7[[#This Row],[Alongamento (mm/mm)]]/$I$2</f>
        <v>9.5518000000000006E-2</v>
      </c>
      <c r="D576" s="5">
        <v>1625.1</v>
      </c>
      <c r="E576" s="1">
        <f>Tabela7[[#This Row],[Força (N)]]/$I$5</f>
        <v>37830854.109923877</v>
      </c>
      <c r="F576" s="1">
        <f>Tabela7[[#This Row],[Tensão (Pa)]]/1000000</f>
        <v>37.830854109923877</v>
      </c>
    </row>
    <row r="577" spans="1:6" x14ac:dyDescent="0.3">
      <c r="A577" s="5">
        <v>57.683</v>
      </c>
      <c r="B577" s="5">
        <v>4.7995000000000001</v>
      </c>
      <c r="C577" s="1">
        <f>Tabela7[[#This Row],[Alongamento (mm/mm)]]/$I$2</f>
        <v>9.5990000000000006E-2</v>
      </c>
      <c r="D577" s="5">
        <v>1637.9</v>
      </c>
      <c r="E577" s="1">
        <f>Tabela7[[#This Row],[Força (N)]]/$I$5</f>
        <v>38128826.500919521</v>
      </c>
      <c r="F577" s="1">
        <f>Tabela7[[#This Row],[Tensão (Pa)]]/1000000</f>
        <v>38.128826500919523</v>
      </c>
    </row>
    <row r="578" spans="1:6" x14ac:dyDescent="0.3">
      <c r="A578" s="5">
        <v>57.966999999999999</v>
      </c>
      <c r="B578" s="5">
        <v>4.8231000000000002</v>
      </c>
      <c r="C578" s="1">
        <f>Tabela7[[#This Row],[Alongamento (mm/mm)]]/$I$2</f>
        <v>9.6462000000000006E-2</v>
      </c>
      <c r="D578" s="5">
        <v>1650.5</v>
      </c>
      <c r="E578" s="1">
        <f>Tabela7[[#This Row],[Força (N)]]/$I$5</f>
        <v>38422143.07330586</v>
      </c>
      <c r="F578" s="1">
        <f>Tabela7[[#This Row],[Tensão (Pa)]]/1000000</f>
        <v>38.422143073305861</v>
      </c>
    </row>
    <row r="579" spans="1:6" x14ac:dyDescent="0.3">
      <c r="A579" s="5">
        <v>58.25</v>
      </c>
      <c r="B579" s="5">
        <v>4.8467000000000002</v>
      </c>
      <c r="C579" s="1">
        <f>Tabela7[[#This Row],[Alongamento (mm/mm)]]/$I$2</f>
        <v>9.6934000000000006E-2</v>
      </c>
      <c r="D579" s="5">
        <v>1663.1</v>
      </c>
      <c r="E579" s="1">
        <f>Tabela7[[#This Row],[Força (N)]]/$I$5</f>
        <v>38715459.645692199</v>
      </c>
      <c r="F579" s="1">
        <f>Tabela7[[#This Row],[Tensão (Pa)]]/1000000</f>
        <v>38.715459645692199</v>
      </c>
    </row>
    <row r="580" spans="1:6" x14ac:dyDescent="0.3">
      <c r="A580" s="5">
        <v>58.55</v>
      </c>
      <c r="B580" s="5">
        <v>4.8716999999999997</v>
      </c>
      <c r="C580" s="1">
        <f>Tabela7[[#This Row],[Alongamento (mm/mm)]]/$I$2</f>
        <v>9.7433999999999993E-2</v>
      </c>
      <c r="D580" s="5">
        <v>1676.3</v>
      </c>
      <c r="E580" s="1">
        <f>Tabela7[[#This Row],[Força (N)]]/$I$5</f>
        <v>39022743.67390646</v>
      </c>
      <c r="F580" s="1">
        <f>Tabela7[[#This Row],[Tensão (Pa)]]/1000000</f>
        <v>39.022743673906461</v>
      </c>
    </row>
    <row r="581" spans="1:6" x14ac:dyDescent="0.3">
      <c r="A581" s="5">
        <v>58.85</v>
      </c>
      <c r="B581" s="5">
        <v>4.8966000000000003</v>
      </c>
      <c r="C581" s="1">
        <f>Tabela7[[#This Row],[Alongamento (mm/mm)]]/$I$2</f>
        <v>9.7932000000000005E-2</v>
      </c>
      <c r="D581" s="5">
        <v>1689.6</v>
      </c>
      <c r="E581" s="1">
        <f>Tabela7[[#This Row],[Força (N)]]/$I$5</f>
        <v>39332355.611425377</v>
      </c>
      <c r="F581" s="1">
        <f>Tabela7[[#This Row],[Tensão (Pa)]]/1000000</f>
        <v>39.332355611425378</v>
      </c>
    </row>
    <row r="582" spans="1:6" x14ac:dyDescent="0.3">
      <c r="A582" s="5">
        <v>59.15</v>
      </c>
      <c r="B582" s="5">
        <v>4.9217000000000004</v>
      </c>
      <c r="C582" s="1">
        <f>Tabela7[[#This Row],[Alongamento (mm/mm)]]/$I$2</f>
        <v>9.8434000000000008E-2</v>
      </c>
      <c r="D582" s="5">
        <v>1702.9</v>
      </c>
      <c r="E582" s="1">
        <f>Tabela7[[#This Row],[Força (N)]]/$I$5</f>
        <v>39641967.548944294</v>
      </c>
      <c r="F582" s="1">
        <f>Tabela7[[#This Row],[Tensão (Pa)]]/1000000</f>
        <v>39.641967548944294</v>
      </c>
    </row>
    <row r="583" spans="1:6" x14ac:dyDescent="0.3">
      <c r="A583" s="5">
        <v>59.45</v>
      </c>
      <c r="B583" s="5">
        <v>4.9467999999999996</v>
      </c>
      <c r="C583" s="1">
        <f>Tabela7[[#This Row],[Alongamento (mm/mm)]]/$I$2</f>
        <v>9.8935999999999996E-2</v>
      </c>
      <c r="D583" s="5">
        <v>1716.1</v>
      </c>
      <c r="E583" s="1">
        <f>Tabela7[[#This Row],[Força (N)]]/$I$5</f>
        <v>39949251.577158548</v>
      </c>
      <c r="F583" s="1">
        <f>Tabela7[[#This Row],[Tensão (Pa)]]/1000000</f>
        <v>39.949251577158549</v>
      </c>
    </row>
    <row r="584" spans="1:6" x14ac:dyDescent="0.3">
      <c r="A584" s="5">
        <v>59.75</v>
      </c>
      <c r="B584" s="5">
        <v>4.9718</v>
      </c>
      <c r="C584" s="1">
        <f>Tabela7[[#This Row],[Alongamento (mm/mm)]]/$I$2</f>
        <v>9.9435999999999997E-2</v>
      </c>
      <c r="D584" s="5">
        <v>1729.6</v>
      </c>
      <c r="E584" s="1">
        <f>Tabela7[[#This Row],[Força (N)]]/$I$5</f>
        <v>40263519.33328677</v>
      </c>
      <c r="F584" s="1">
        <f>Tabela7[[#This Row],[Tensão (Pa)]]/1000000</f>
        <v>40.263519333286773</v>
      </c>
    </row>
    <row r="585" spans="1:6" x14ac:dyDescent="0.3">
      <c r="A585" s="5">
        <v>60.05</v>
      </c>
      <c r="B585" s="5">
        <v>4.9966999999999997</v>
      </c>
      <c r="C585" s="1">
        <f>Tabela7[[#This Row],[Alongamento (mm/mm)]]/$I$2</f>
        <v>9.9933999999999995E-2</v>
      </c>
      <c r="D585" s="5">
        <v>1743.2</v>
      </c>
      <c r="E585" s="1">
        <f>Tabela7[[#This Row],[Força (N)]]/$I$5</f>
        <v>40580114.998719648</v>
      </c>
      <c r="F585" s="1">
        <f>Tabela7[[#This Row],[Tensão (Pa)]]/1000000</f>
        <v>40.580114998719651</v>
      </c>
    </row>
    <row r="586" spans="1:6" x14ac:dyDescent="0.3">
      <c r="A586" s="5">
        <v>60.35</v>
      </c>
      <c r="B586" s="5">
        <v>5.0217000000000001</v>
      </c>
      <c r="C586" s="1">
        <f>Tabela7[[#This Row],[Alongamento (mm/mm)]]/$I$2</f>
        <v>0.100434</v>
      </c>
      <c r="D586" s="5">
        <v>1756.8</v>
      </c>
      <c r="E586" s="1">
        <f>Tabela7[[#This Row],[Força (N)]]/$I$5</f>
        <v>40896710.664152518</v>
      </c>
      <c r="F586" s="1">
        <f>Tabela7[[#This Row],[Tensão (Pa)]]/1000000</f>
        <v>40.896710664152515</v>
      </c>
    </row>
    <row r="587" spans="1:6" x14ac:dyDescent="0.3">
      <c r="A587" s="5">
        <v>60.667000000000002</v>
      </c>
      <c r="B587" s="5">
        <v>5.0480999999999998</v>
      </c>
      <c r="C587" s="1">
        <f>Tabela7[[#This Row],[Alongamento (mm/mm)]]/$I$2</f>
        <v>0.100962</v>
      </c>
      <c r="D587" s="5">
        <v>1770.9</v>
      </c>
      <c r="E587" s="1">
        <f>Tabela7[[#This Row],[Força (N)]]/$I$5</f>
        <v>41224945.876108669</v>
      </c>
      <c r="F587" s="1">
        <f>Tabela7[[#This Row],[Tensão (Pa)]]/1000000</f>
        <v>41.22494587610867</v>
      </c>
    </row>
    <row r="588" spans="1:6" x14ac:dyDescent="0.3">
      <c r="A588" s="5">
        <v>60.982999999999997</v>
      </c>
      <c r="B588" s="5">
        <v>5.0744999999999996</v>
      </c>
      <c r="C588" s="1">
        <f>Tabela7[[#This Row],[Alongamento (mm/mm)]]/$I$2</f>
        <v>0.10149</v>
      </c>
      <c r="D588" s="5">
        <v>1785</v>
      </c>
      <c r="E588" s="1">
        <f>Tabela7[[#This Row],[Força (N)]]/$I$5</f>
        <v>41553181.088064805</v>
      </c>
      <c r="F588" s="1">
        <f>Tabela7[[#This Row],[Tensão (Pa)]]/1000000</f>
        <v>41.553181088064804</v>
      </c>
    </row>
    <row r="589" spans="1:6" x14ac:dyDescent="0.3">
      <c r="A589" s="5">
        <v>61.3</v>
      </c>
      <c r="B589" s="5">
        <v>5.1009000000000002</v>
      </c>
      <c r="C589" s="1">
        <f>Tabela7[[#This Row],[Alongamento (mm/mm)]]/$I$2</f>
        <v>0.102018</v>
      </c>
      <c r="D589" s="5">
        <v>1799</v>
      </c>
      <c r="E589" s="1">
        <f>Tabela7[[#This Row],[Força (N)]]/$I$5</f>
        <v>41879088.390716292</v>
      </c>
      <c r="F589" s="1">
        <f>Tabela7[[#This Row],[Tensão (Pa)]]/1000000</f>
        <v>41.879088390716291</v>
      </c>
    </row>
    <row r="590" spans="1:6" x14ac:dyDescent="0.3">
      <c r="A590" s="5">
        <v>61.633000000000003</v>
      </c>
      <c r="B590" s="5">
        <v>5.1287000000000003</v>
      </c>
      <c r="C590" s="1">
        <f>Tabela7[[#This Row],[Alongamento (mm/mm)]]/$I$2</f>
        <v>0.102574</v>
      </c>
      <c r="D590" s="5">
        <v>1813.3</v>
      </c>
      <c r="E590" s="1">
        <f>Tabela7[[#This Row],[Força (N)]]/$I$5</f>
        <v>42211979.42128174</v>
      </c>
      <c r="F590" s="1">
        <f>Tabela7[[#This Row],[Tensão (Pa)]]/1000000</f>
        <v>42.21197942128174</v>
      </c>
    </row>
    <row r="591" spans="1:6" x14ac:dyDescent="0.3">
      <c r="A591" s="5">
        <v>61.966999999999999</v>
      </c>
      <c r="B591" s="5">
        <v>5.1563999999999997</v>
      </c>
      <c r="C591" s="1">
        <f>Tabela7[[#This Row],[Alongamento (mm/mm)]]/$I$2</f>
        <v>0.103128</v>
      </c>
      <c r="D591" s="5">
        <v>1827.5</v>
      </c>
      <c r="E591" s="1">
        <f>Tabela7[[#This Row],[Força (N)]]/$I$5</f>
        <v>42542542.54254254</v>
      </c>
      <c r="F591" s="1">
        <f>Tabela7[[#This Row],[Tensão (Pa)]]/1000000</f>
        <v>42.542542542542542</v>
      </c>
    </row>
    <row r="592" spans="1:6" x14ac:dyDescent="0.3">
      <c r="A592" s="5">
        <v>62.317</v>
      </c>
      <c r="B592" s="5">
        <v>5.1856999999999998</v>
      </c>
      <c r="C592" s="1">
        <f>Tabela7[[#This Row],[Alongamento (mm/mm)]]/$I$2</f>
        <v>0.103714</v>
      </c>
      <c r="D592" s="5">
        <v>1842</v>
      </c>
      <c r="E592" s="1">
        <f>Tabela7[[#This Row],[Força (N)]]/$I$5</f>
        <v>42880089.3917173</v>
      </c>
      <c r="F592" s="1">
        <f>Tabela7[[#This Row],[Tensão (Pa)]]/1000000</f>
        <v>42.880089391717298</v>
      </c>
    </row>
    <row r="593" spans="1:6" x14ac:dyDescent="0.3">
      <c r="A593" s="5">
        <v>62.667000000000002</v>
      </c>
      <c r="B593" s="5">
        <v>5.2148000000000003</v>
      </c>
      <c r="C593" s="1">
        <f>Tabela7[[#This Row],[Alongamento (mm/mm)]]/$I$2</f>
        <v>0.104296</v>
      </c>
      <c r="D593" s="5">
        <v>1856.5</v>
      </c>
      <c r="E593" s="1">
        <f>Tabela7[[#This Row],[Força (N)]]/$I$5</f>
        <v>43217636.240892053</v>
      </c>
      <c r="F593" s="1">
        <f>Tabela7[[#This Row],[Tensão (Pa)]]/1000000</f>
        <v>43.217636240892055</v>
      </c>
    </row>
    <row r="594" spans="1:6" x14ac:dyDescent="0.3">
      <c r="A594" s="5">
        <v>63.033000000000001</v>
      </c>
      <c r="B594" s="5">
        <v>5.2453000000000003</v>
      </c>
      <c r="C594" s="1">
        <f>Tabela7[[#This Row],[Alongamento (mm/mm)]]/$I$2</f>
        <v>0.104906</v>
      </c>
      <c r="D594" s="5">
        <v>1870.7</v>
      </c>
      <c r="E594" s="1">
        <f>Tabela7[[#This Row],[Força (N)]]/$I$5</f>
        <v>43548199.362152852</v>
      </c>
      <c r="F594" s="1">
        <f>Tabela7[[#This Row],[Tensão (Pa)]]/1000000</f>
        <v>43.54819936215285</v>
      </c>
    </row>
    <row r="595" spans="1:6" x14ac:dyDescent="0.3">
      <c r="A595" s="5">
        <v>63.5</v>
      </c>
      <c r="B595" s="5">
        <v>5.2842000000000002</v>
      </c>
      <c r="C595" s="1">
        <f>Tabela7[[#This Row],[Alongamento (mm/mm)]]/$I$2</f>
        <v>0.105684</v>
      </c>
      <c r="D595" s="5">
        <v>1885.2</v>
      </c>
      <c r="E595" s="1">
        <f>Tabela7[[#This Row],[Força (N)]]/$I$5</f>
        <v>43885746.211327605</v>
      </c>
      <c r="F595" s="1">
        <f>Tabela7[[#This Row],[Tensão (Pa)]]/1000000</f>
        <v>43.885746211327607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B88B-F6BC-4C39-B4DD-1B0BD7AE10C1}">
  <dimension ref="A1:K596"/>
  <sheetViews>
    <sheetView tabSelected="1" workbookViewId="0">
      <selection sqref="A1:K1048576"/>
    </sheetView>
  </sheetViews>
  <sheetFormatPr defaultRowHeight="14.4" x14ac:dyDescent="0.3"/>
  <cols>
    <col min="1" max="1" width="11.88671875" bestFit="1" customWidth="1"/>
    <col min="2" max="2" width="25.5546875" bestFit="1" customWidth="1"/>
    <col min="3" max="3" width="24.44140625" bestFit="1" customWidth="1"/>
    <col min="4" max="4" width="11.44140625" bestFit="1" customWidth="1"/>
    <col min="5" max="5" width="13.5546875" bestFit="1" customWidth="1"/>
    <col min="6" max="6" width="15.5546875" bestFit="1" customWidth="1"/>
    <col min="8" max="8" width="11" bestFit="1" customWidth="1"/>
    <col min="9" max="9" width="15.88671875" bestFit="1" customWidth="1"/>
    <col min="10" max="10" width="10.109375" bestFit="1" customWidth="1"/>
    <col min="11" max="11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5">
        <v>1.6667000000000001E-2</v>
      </c>
      <c r="B2" s="5">
        <v>0</v>
      </c>
      <c r="C2" s="1">
        <f>Tabela9[[#This Row],[Alongamento (mm/mm)]]/$I$2</f>
        <v>0</v>
      </c>
      <c r="D2" s="5">
        <v>0</v>
      </c>
      <c r="E2" s="1">
        <f>Tabela9[[#This Row],[Força (N)]]/$I$5</f>
        <v>0</v>
      </c>
      <c r="F2" s="1">
        <f>Tabela9[[#This Row],[Tensão (Pa)]]/1000000</f>
        <v>0</v>
      </c>
      <c r="H2" t="s">
        <v>10</v>
      </c>
      <c r="I2">
        <v>50</v>
      </c>
      <c r="J2">
        <v>12.92</v>
      </c>
      <c r="K2">
        <v>3.28</v>
      </c>
    </row>
    <row r="3" spans="1:11" x14ac:dyDescent="0.3">
      <c r="A3" s="5">
        <v>3.2833000000000001</v>
      </c>
      <c r="B3" s="5">
        <v>0.26568000000000003</v>
      </c>
      <c r="C3" s="1">
        <f>Tabela9[[#This Row],[Alongamento (mm/mm)]]/$I$2</f>
        <v>5.3136000000000008E-3</v>
      </c>
      <c r="D3" s="5">
        <v>0.6804</v>
      </c>
      <c r="E3" s="1">
        <f>Tabela9[[#This Row],[Força (N)]]/$I$5</f>
        <v>16055.652042588537</v>
      </c>
      <c r="F3" s="1">
        <f>Tabela9[[#This Row],[Tensão (Pa)]]/1000000</f>
        <v>1.6055652042588537E-2</v>
      </c>
      <c r="H3" t="s">
        <v>11</v>
      </c>
      <c r="I3">
        <f>I2/1000</f>
        <v>0.05</v>
      </c>
      <c r="J3">
        <f t="shared" ref="J3:K3" si="0">J2/1000</f>
        <v>1.2919999999999999E-2</v>
      </c>
      <c r="K3">
        <f t="shared" si="0"/>
        <v>3.2799999999999999E-3</v>
      </c>
    </row>
    <row r="4" spans="1:11" x14ac:dyDescent="0.3">
      <c r="A4" s="5">
        <v>3.3167</v>
      </c>
      <c r="B4" s="5">
        <v>0.26846999999999999</v>
      </c>
      <c r="C4" s="1">
        <f>Tabela9[[#This Row],[Alongamento (mm/mm)]]/$I$2</f>
        <v>5.3693999999999999E-3</v>
      </c>
      <c r="D4" s="5">
        <v>0.6804</v>
      </c>
      <c r="E4" s="1">
        <f>Tabela9[[#This Row],[Força (N)]]/$I$5</f>
        <v>16055.652042588537</v>
      </c>
      <c r="F4" s="1">
        <f>Tabela9[[#This Row],[Tensão (Pa)]]/1000000</f>
        <v>1.6055652042588537E-2</v>
      </c>
    </row>
    <row r="5" spans="1:11" x14ac:dyDescent="0.3">
      <c r="A5" s="5">
        <v>3.35</v>
      </c>
      <c r="B5" s="5">
        <v>0.27117000000000002</v>
      </c>
      <c r="C5" s="1">
        <f>Tabela9[[#This Row],[Alongamento (mm/mm)]]/$I$2</f>
        <v>5.4234000000000001E-3</v>
      </c>
      <c r="D5" s="5">
        <v>0.6804</v>
      </c>
      <c r="E5" s="1">
        <f>Tabela9[[#This Row],[Força (N)]]/$I$5</f>
        <v>16055.652042588537</v>
      </c>
      <c r="F5" s="1">
        <f>Tabela9[[#This Row],[Tensão (Pa)]]/1000000</f>
        <v>1.6055652042588537E-2</v>
      </c>
      <c r="H5" t="s">
        <v>12</v>
      </c>
      <c r="I5">
        <f>J3*K3</f>
        <v>4.2377599999999999E-5</v>
      </c>
    </row>
    <row r="6" spans="1:11" x14ac:dyDescent="0.3">
      <c r="A6" s="5">
        <v>3.3833000000000002</v>
      </c>
      <c r="B6" s="5">
        <v>0.27395999999999998</v>
      </c>
      <c r="C6" s="1">
        <f>Tabela9[[#This Row],[Alongamento (mm/mm)]]/$I$2</f>
        <v>5.4792E-3</v>
      </c>
      <c r="D6" s="5">
        <v>0.85048999999999997</v>
      </c>
      <c r="E6" s="1">
        <f>Tabela9[[#This Row],[Força (N)]]/$I$5</f>
        <v>20069.329079513704</v>
      </c>
      <c r="F6" s="1">
        <f>Tabela9[[#This Row],[Tensão (Pa)]]/1000000</f>
        <v>2.0069329079513705E-2</v>
      </c>
    </row>
    <row r="7" spans="1:11" x14ac:dyDescent="0.3">
      <c r="A7" s="5">
        <v>3.4167000000000001</v>
      </c>
      <c r="B7" s="5">
        <v>0.27675</v>
      </c>
      <c r="C7" s="1">
        <f>Tabela9[[#This Row],[Alongamento (mm/mm)]]/$I$2</f>
        <v>5.535E-3</v>
      </c>
      <c r="D7" s="5">
        <v>0.85048999999999997</v>
      </c>
      <c r="E7" s="1">
        <f>Tabela9[[#This Row],[Força (N)]]/$I$5</f>
        <v>20069.329079513704</v>
      </c>
      <c r="F7" s="1">
        <f>Tabela9[[#This Row],[Tensão (Pa)]]/1000000</f>
        <v>2.0069329079513705E-2</v>
      </c>
    </row>
    <row r="8" spans="1:11" x14ac:dyDescent="0.3">
      <c r="A8" s="5">
        <v>3.45</v>
      </c>
      <c r="B8" s="5">
        <v>0.27944999999999998</v>
      </c>
      <c r="C8" s="1">
        <f>Tabela9[[#This Row],[Alongamento (mm/mm)]]/$I$2</f>
        <v>5.5889999999999994E-3</v>
      </c>
      <c r="D8" s="5">
        <v>0.85048999999999997</v>
      </c>
      <c r="E8" s="1">
        <f>Tabela9[[#This Row],[Força (N)]]/$I$5</f>
        <v>20069.329079513704</v>
      </c>
      <c r="F8" s="1">
        <f>Tabela9[[#This Row],[Tensão (Pa)]]/1000000</f>
        <v>2.0069329079513705E-2</v>
      </c>
    </row>
    <row r="9" spans="1:11" x14ac:dyDescent="0.3">
      <c r="A9" s="5">
        <v>3.4832999999999998</v>
      </c>
      <c r="B9" s="5">
        <v>0.28233999999999998</v>
      </c>
      <c r="C9" s="1">
        <f>Tabela9[[#This Row],[Alongamento (mm/mm)]]/$I$2</f>
        <v>5.6467999999999996E-3</v>
      </c>
      <c r="D9" s="5">
        <v>0.85048999999999997</v>
      </c>
      <c r="E9" s="1">
        <f>Tabela9[[#This Row],[Força (N)]]/$I$5</f>
        <v>20069.329079513704</v>
      </c>
      <c r="F9" s="1">
        <f>Tabela9[[#This Row],[Tensão (Pa)]]/1000000</f>
        <v>2.0069329079513705E-2</v>
      </c>
    </row>
    <row r="10" spans="1:11" x14ac:dyDescent="0.3">
      <c r="A10" s="5">
        <v>3.5167000000000002</v>
      </c>
      <c r="B10" s="5">
        <v>0.28512999999999999</v>
      </c>
      <c r="C10" s="1">
        <f>Tabela9[[#This Row],[Alongamento (mm/mm)]]/$I$2</f>
        <v>5.7025999999999995E-3</v>
      </c>
      <c r="D10" s="5">
        <v>0.85048999999999997</v>
      </c>
      <c r="E10" s="1">
        <f>Tabela9[[#This Row],[Força (N)]]/$I$5</f>
        <v>20069.329079513704</v>
      </c>
      <c r="F10" s="1">
        <f>Tabela9[[#This Row],[Tensão (Pa)]]/1000000</f>
        <v>2.0069329079513705E-2</v>
      </c>
    </row>
    <row r="11" spans="1:11" x14ac:dyDescent="0.3">
      <c r="A11" s="5">
        <v>3.55</v>
      </c>
      <c r="B11" s="5">
        <v>0.28792000000000001</v>
      </c>
      <c r="C11" s="1">
        <f>Tabela9[[#This Row],[Alongamento (mm/mm)]]/$I$2</f>
        <v>5.7584000000000003E-3</v>
      </c>
      <c r="D11" s="5">
        <v>0.85048999999999997</v>
      </c>
      <c r="E11" s="1">
        <f>Tabela9[[#This Row],[Força (N)]]/$I$5</f>
        <v>20069.329079513704</v>
      </c>
      <c r="F11" s="1">
        <f>Tabela9[[#This Row],[Tensão (Pa)]]/1000000</f>
        <v>2.0069329079513705E-2</v>
      </c>
    </row>
    <row r="12" spans="1:11" x14ac:dyDescent="0.3">
      <c r="A12" s="5">
        <v>3.5832999999999999</v>
      </c>
      <c r="B12" s="5">
        <v>0.29071000000000002</v>
      </c>
      <c r="C12" s="1">
        <f>Tabela9[[#This Row],[Alongamento (mm/mm)]]/$I$2</f>
        <v>5.8142000000000003E-3</v>
      </c>
      <c r="D12" s="5">
        <v>0.85048999999999997</v>
      </c>
      <c r="E12" s="1">
        <f>Tabela9[[#This Row],[Força (N)]]/$I$5</f>
        <v>20069.329079513704</v>
      </c>
      <c r="F12" s="1">
        <f>Tabela9[[#This Row],[Tensão (Pa)]]/1000000</f>
        <v>2.0069329079513705E-2</v>
      </c>
    </row>
    <row r="13" spans="1:11" x14ac:dyDescent="0.3">
      <c r="A13" s="5">
        <v>3.6166999999999998</v>
      </c>
      <c r="B13" s="5">
        <v>0.29349999999999998</v>
      </c>
      <c r="C13" s="1">
        <f>Tabela9[[#This Row],[Alongamento (mm/mm)]]/$I$2</f>
        <v>5.8699999999999994E-3</v>
      </c>
      <c r="D13" s="5">
        <v>0.85048999999999997</v>
      </c>
      <c r="E13" s="1">
        <f>Tabela9[[#This Row],[Força (N)]]/$I$5</f>
        <v>20069.329079513704</v>
      </c>
      <c r="F13" s="1">
        <f>Tabela9[[#This Row],[Tensão (Pa)]]/1000000</f>
        <v>2.0069329079513705E-2</v>
      </c>
    </row>
    <row r="14" spans="1:11" x14ac:dyDescent="0.3">
      <c r="A14" s="5">
        <v>3.65</v>
      </c>
      <c r="B14" s="5">
        <v>0.29620000000000002</v>
      </c>
      <c r="C14" s="1">
        <f>Tabela9[[#This Row],[Alongamento (mm/mm)]]/$I$2</f>
        <v>5.9240000000000004E-3</v>
      </c>
      <c r="D14" s="5">
        <v>0.85048999999999997</v>
      </c>
      <c r="E14" s="1">
        <f>Tabela9[[#This Row],[Força (N)]]/$I$5</f>
        <v>20069.329079513704</v>
      </c>
      <c r="F14" s="1">
        <f>Tabela9[[#This Row],[Tensão (Pa)]]/1000000</f>
        <v>2.0069329079513705E-2</v>
      </c>
    </row>
    <row r="15" spans="1:11" x14ac:dyDescent="0.3">
      <c r="A15" s="5">
        <v>3.6833</v>
      </c>
      <c r="B15" s="5">
        <v>0.29899999999999999</v>
      </c>
      <c r="C15" s="1">
        <f>Tabela9[[#This Row],[Alongamento (mm/mm)]]/$I$2</f>
        <v>5.9800000000000001E-3</v>
      </c>
      <c r="D15" s="5">
        <v>0.85048999999999997</v>
      </c>
      <c r="E15" s="1">
        <f>Tabela9[[#This Row],[Força (N)]]/$I$5</f>
        <v>20069.329079513704</v>
      </c>
      <c r="F15" s="1">
        <f>Tabela9[[#This Row],[Tensão (Pa)]]/1000000</f>
        <v>2.0069329079513705E-2</v>
      </c>
    </row>
    <row r="16" spans="1:11" x14ac:dyDescent="0.3">
      <c r="A16" s="5">
        <v>3.7166999999999999</v>
      </c>
      <c r="B16" s="5">
        <v>0.30179</v>
      </c>
      <c r="C16" s="1">
        <f>Tabela9[[#This Row],[Alongamento (mm/mm)]]/$I$2</f>
        <v>6.0358E-3</v>
      </c>
      <c r="D16" s="5">
        <v>0.85048999999999997</v>
      </c>
      <c r="E16" s="1">
        <f>Tabela9[[#This Row],[Força (N)]]/$I$5</f>
        <v>20069.329079513704</v>
      </c>
      <c r="F16" s="1">
        <f>Tabela9[[#This Row],[Tensão (Pa)]]/1000000</f>
        <v>2.0069329079513705E-2</v>
      </c>
    </row>
    <row r="17" spans="1:6" x14ac:dyDescent="0.3">
      <c r="A17" s="5">
        <v>3.75</v>
      </c>
      <c r="B17" s="5">
        <v>0.30448999999999998</v>
      </c>
      <c r="C17" s="1">
        <f>Tabela9[[#This Row],[Alongamento (mm/mm)]]/$I$2</f>
        <v>6.0897999999999994E-3</v>
      </c>
      <c r="D17" s="5">
        <v>0.85048999999999997</v>
      </c>
      <c r="E17" s="1">
        <f>Tabela9[[#This Row],[Força (N)]]/$I$5</f>
        <v>20069.329079513704</v>
      </c>
      <c r="F17" s="1">
        <f>Tabela9[[#This Row],[Tensão (Pa)]]/1000000</f>
        <v>2.0069329079513705E-2</v>
      </c>
    </row>
    <row r="18" spans="1:6" x14ac:dyDescent="0.3">
      <c r="A18" s="5">
        <v>3.7833000000000001</v>
      </c>
      <c r="B18" s="5">
        <v>0.30736999999999998</v>
      </c>
      <c r="C18" s="1">
        <f>Tabela9[[#This Row],[Alongamento (mm/mm)]]/$I$2</f>
        <v>6.1473999999999999E-3</v>
      </c>
      <c r="D18" s="5">
        <v>1.0206</v>
      </c>
      <c r="E18" s="1">
        <f>Tabela9[[#This Row],[Força (N)]]/$I$5</f>
        <v>24083.478063882805</v>
      </c>
      <c r="F18" s="1">
        <f>Tabela9[[#This Row],[Tensão (Pa)]]/1000000</f>
        <v>2.4083478063882804E-2</v>
      </c>
    </row>
    <row r="19" spans="1:6" x14ac:dyDescent="0.3">
      <c r="A19" s="5">
        <v>3.8167</v>
      </c>
      <c r="B19" s="5">
        <v>0.31007000000000001</v>
      </c>
      <c r="C19" s="1">
        <f>Tabela9[[#This Row],[Alongamento (mm/mm)]]/$I$2</f>
        <v>6.2014000000000001E-3</v>
      </c>
      <c r="D19" s="5">
        <v>0.85048999999999997</v>
      </c>
      <c r="E19" s="1">
        <f>Tabela9[[#This Row],[Força (N)]]/$I$5</f>
        <v>20069.329079513704</v>
      </c>
      <c r="F19" s="1">
        <f>Tabela9[[#This Row],[Tensão (Pa)]]/1000000</f>
        <v>2.0069329079513705E-2</v>
      </c>
    </row>
    <row r="20" spans="1:6" x14ac:dyDescent="0.3">
      <c r="A20" s="5">
        <v>3.85</v>
      </c>
      <c r="B20" s="5">
        <v>0.31286000000000003</v>
      </c>
      <c r="C20" s="1">
        <f>Tabela9[[#This Row],[Alongamento (mm/mm)]]/$I$2</f>
        <v>6.257200000000001E-3</v>
      </c>
      <c r="D20" s="5">
        <v>1.0206</v>
      </c>
      <c r="E20" s="1">
        <f>Tabela9[[#This Row],[Força (N)]]/$I$5</f>
        <v>24083.478063882805</v>
      </c>
      <c r="F20" s="1">
        <f>Tabela9[[#This Row],[Tensão (Pa)]]/1000000</f>
        <v>2.4083478063882804E-2</v>
      </c>
    </row>
    <row r="21" spans="1:6" x14ac:dyDescent="0.3">
      <c r="A21" s="5">
        <v>3.8833000000000002</v>
      </c>
      <c r="B21" s="5">
        <v>0.31564999999999999</v>
      </c>
      <c r="C21" s="1">
        <f>Tabela9[[#This Row],[Alongamento (mm/mm)]]/$I$2</f>
        <v>6.313E-3</v>
      </c>
      <c r="D21" s="5">
        <v>1.0206</v>
      </c>
      <c r="E21" s="1">
        <f>Tabela9[[#This Row],[Força (N)]]/$I$5</f>
        <v>24083.478063882805</v>
      </c>
      <c r="F21" s="1">
        <f>Tabela9[[#This Row],[Tensão (Pa)]]/1000000</f>
        <v>2.4083478063882804E-2</v>
      </c>
    </row>
    <row r="22" spans="1:6" x14ac:dyDescent="0.3">
      <c r="A22" s="5">
        <v>3.9167000000000001</v>
      </c>
      <c r="B22" s="5">
        <v>0.31844</v>
      </c>
      <c r="C22" s="1">
        <f>Tabela9[[#This Row],[Alongamento (mm/mm)]]/$I$2</f>
        <v>6.3688E-3</v>
      </c>
      <c r="D22" s="5">
        <v>0.85048999999999997</v>
      </c>
      <c r="E22" s="1">
        <f>Tabela9[[#This Row],[Força (N)]]/$I$5</f>
        <v>20069.329079513704</v>
      </c>
      <c r="F22" s="1">
        <f>Tabela9[[#This Row],[Tensão (Pa)]]/1000000</f>
        <v>2.0069329079513705E-2</v>
      </c>
    </row>
    <row r="23" spans="1:6" x14ac:dyDescent="0.3">
      <c r="A23" s="5">
        <v>3.95</v>
      </c>
      <c r="B23" s="5">
        <v>0.32113999999999998</v>
      </c>
      <c r="C23" s="1">
        <f>Tabela9[[#This Row],[Alongamento (mm/mm)]]/$I$2</f>
        <v>6.4227999999999993E-3</v>
      </c>
      <c r="D23" s="5">
        <v>1.0206</v>
      </c>
      <c r="E23" s="1">
        <f>Tabela9[[#This Row],[Força (N)]]/$I$5</f>
        <v>24083.478063882805</v>
      </c>
      <c r="F23" s="1">
        <f>Tabela9[[#This Row],[Tensão (Pa)]]/1000000</f>
        <v>2.4083478063882804E-2</v>
      </c>
    </row>
    <row r="24" spans="1:6" x14ac:dyDescent="0.3">
      <c r="A24" s="5">
        <v>3.9832999999999998</v>
      </c>
      <c r="B24" s="5">
        <v>0.32402999999999998</v>
      </c>
      <c r="C24" s="1">
        <f>Tabela9[[#This Row],[Alongamento (mm/mm)]]/$I$2</f>
        <v>6.4805999999999996E-3</v>
      </c>
      <c r="D24" s="5">
        <v>1.0206</v>
      </c>
      <c r="E24" s="1">
        <f>Tabela9[[#This Row],[Força (N)]]/$I$5</f>
        <v>24083.478063882805</v>
      </c>
      <c r="F24" s="1">
        <f>Tabela9[[#This Row],[Tensão (Pa)]]/1000000</f>
        <v>2.4083478063882804E-2</v>
      </c>
    </row>
    <row r="25" spans="1:6" x14ac:dyDescent="0.3">
      <c r="A25" s="5">
        <v>4.0167000000000002</v>
      </c>
      <c r="B25" s="5">
        <v>0.32673000000000002</v>
      </c>
      <c r="C25" s="1">
        <f>Tabela9[[#This Row],[Alongamento (mm/mm)]]/$I$2</f>
        <v>6.5346000000000007E-3</v>
      </c>
      <c r="D25" s="5">
        <v>1.0206</v>
      </c>
      <c r="E25" s="1">
        <f>Tabela9[[#This Row],[Força (N)]]/$I$5</f>
        <v>24083.478063882805</v>
      </c>
      <c r="F25" s="1">
        <f>Tabela9[[#This Row],[Tensão (Pa)]]/1000000</f>
        <v>2.4083478063882804E-2</v>
      </c>
    </row>
    <row r="26" spans="1:6" x14ac:dyDescent="0.3">
      <c r="A26" s="5">
        <v>4.05</v>
      </c>
      <c r="B26" s="5">
        <v>0.32961000000000001</v>
      </c>
      <c r="C26" s="1">
        <f>Tabela9[[#This Row],[Alongamento (mm/mm)]]/$I$2</f>
        <v>6.5922000000000003E-3</v>
      </c>
      <c r="D26" s="5">
        <v>1.1907000000000001</v>
      </c>
      <c r="E26" s="1">
        <f>Tabela9[[#This Row],[Força (N)]]/$I$5</f>
        <v>28097.391074529944</v>
      </c>
      <c r="F26" s="1">
        <f>Tabela9[[#This Row],[Tensão (Pa)]]/1000000</f>
        <v>2.8097391074529944E-2</v>
      </c>
    </row>
    <row r="27" spans="1:6" x14ac:dyDescent="0.3">
      <c r="A27" s="5">
        <v>4.0833000000000004</v>
      </c>
      <c r="B27" s="5">
        <v>0.33230999999999999</v>
      </c>
      <c r="C27" s="1">
        <f>Tabela9[[#This Row],[Alongamento (mm/mm)]]/$I$2</f>
        <v>6.6461999999999997E-3</v>
      </c>
      <c r="D27" s="5">
        <v>1.3608</v>
      </c>
      <c r="E27" s="1">
        <f>Tabela9[[#This Row],[Força (N)]]/$I$5</f>
        <v>32111.304085177075</v>
      </c>
      <c r="F27" s="1">
        <f>Tabela9[[#This Row],[Tensão (Pa)]]/1000000</f>
        <v>3.2111304085177074E-2</v>
      </c>
    </row>
    <row r="28" spans="1:6" x14ac:dyDescent="0.3">
      <c r="A28" s="5">
        <v>4.1166999999999998</v>
      </c>
      <c r="B28" s="5">
        <v>0.33510000000000001</v>
      </c>
      <c r="C28" s="1">
        <f>Tabela9[[#This Row],[Alongamento (mm/mm)]]/$I$2</f>
        <v>6.7020000000000005E-3</v>
      </c>
      <c r="D28" s="5">
        <v>1.3608</v>
      </c>
      <c r="E28" s="1">
        <f>Tabela9[[#This Row],[Força (N)]]/$I$5</f>
        <v>32111.304085177075</v>
      </c>
      <c r="F28" s="1">
        <f>Tabela9[[#This Row],[Tensão (Pa)]]/1000000</f>
        <v>3.2111304085177074E-2</v>
      </c>
    </row>
    <row r="29" spans="1:6" x14ac:dyDescent="0.3">
      <c r="A29" s="5">
        <v>4.1500000000000004</v>
      </c>
      <c r="B29" s="5">
        <v>0.33789000000000002</v>
      </c>
      <c r="C29" s="1">
        <f>Tabela9[[#This Row],[Alongamento (mm/mm)]]/$I$2</f>
        <v>6.7578000000000004E-3</v>
      </c>
      <c r="D29" s="5">
        <v>1.5308999999999999</v>
      </c>
      <c r="E29" s="1">
        <f>Tabela9[[#This Row],[Força (N)]]/$I$5</f>
        <v>36125.217095824206</v>
      </c>
      <c r="F29" s="1">
        <f>Tabela9[[#This Row],[Tensão (Pa)]]/1000000</f>
        <v>3.6125217095824204E-2</v>
      </c>
    </row>
    <row r="30" spans="1:6" x14ac:dyDescent="0.3">
      <c r="A30" s="5">
        <v>4.1833</v>
      </c>
      <c r="B30" s="5">
        <v>0.34068999999999999</v>
      </c>
      <c r="C30" s="1">
        <f>Tabela9[[#This Row],[Alongamento (mm/mm)]]/$I$2</f>
        <v>6.8138000000000001E-3</v>
      </c>
      <c r="D30" s="5">
        <v>1.5308999999999999</v>
      </c>
      <c r="E30" s="1">
        <f>Tabela9[[#This Row],[Força (N)]]/$I$5</f>
        <v>36125.217095824206</v>
      </c>
      <c r="F30" s="1">
        <f>Tabela9[[#This Row],[Tensão (Pa)]]/1000000</f>
        <v>3.6125217095824204E-2</v>
      </c>
    </row>
    <row r="31" spans="1:6" x14ac:dyDescent="0.3">
      <c r="A31" s="5">
        <v>4.2167000000000003</v>
      </c>
      <c r="B31" s="5">
        <v>0.34348000000000001</v>
      </c>
      <c r="C31" s="1">
        <f>Tabela9[[#This Row],[Alongamento (mm/mm)]]/$I$2</f>
        <v>6.8696E-3</v>
      </c>
      <c r="D31" s="5">
        <v>1.7010000000000001</v>
      </c>
      <c r="E31" s="1">
        <f>Tabela9[[#This Row],[Força (N)]]/$I$5</f>
        <v>40139.130106471348</v>
      </c>
      <c r="F31" s="1">
        <f>Tabela9[[#This Row],[Tensão (Pa)]]/1000000</f>
        <v>4.0139130106471348E-2</v>
      </c>
    </row>
    <row r="32" spans="1:6" x14ac:dyDescent="0.3">
      <c r="A32" s="5">
        <v>4.25</v>
      </c>
      <c r="B32" s="5">
        <v>0.34617999999999999</v>
      </c>
      <c r="C32" s="1">
        <f>Tabela9[[#This Row],[Alongamento (mm/mm)]]/$I$2</f>
        <v>6.9235999999999994E-3</v>
      </c>
      <c r="D32" s="5">
        <v>1.7010000000000001</v>
      </c>
      <c r="E32" s="1">
        <f>Tabela9[[#This Row],[Força (N)]]/$I$5</f>
        <v>40139.130106471348</v>
      </c>
      <c r="F32" s="1">
        <f>Tabela9[[#This Row],[Tensão (Pa)]]/1000000</f>
        <v>4.0139130106471348E-2</v>
      </c>
    </row>
    <row r="33" spans="1:6" x14ac:dyDescent="0.3">
      <c r="A33" s="5">
        <v>4.2832999999999997</v>
      </c>
      <c r="B33" s="5">
        <v>0.34897</v>
      </c>
      <c r="C33" s="1">
        <f>Tabela9[[#This Row],[Alongamento (mm/mm)]]/$I$2</f>
        <v>6.9794000000000002E-3</v>
      </c>
      <c r="D33" s="5">
        <v>1.7010000000000001</v>
      </c>
      <c r="E33" s="1">
        <f>Tabela9[[#This Row],[Força (N)]]/$I$5</f>
        <v>40139.130106471348</v>
      </c>
      <c r="F33" s="1">
        <f>Tabela9[[#This Row],[Tensão (Pa)]]/1000000</f>
        <v>4.0139130106471348E-2</v>
      </c>
    </row>
    <row r="34" spans="1:6" x14ac:dyDescent="0.3">
      <c r="A34" s="5">
        <v>4.3167</v>
      </c>
      <c r="B34" s="5">
        <v>0.35176000000000002</v>
      </c>
      <c r="C34" s="1">
        <f>Tabela9[[#This Row],[Alongamento (mm/mm)]]/$I$2</f>
        <v>7.0352000000000001E-3</v>
      </c>
      <c r="D34" s="5">
        <v>1.8711</v>
      </c>
      <c r="E34" s="1">
        <f>Tabela9[[#This Row],[Força (N)]]/$I$5</f>
        <v>44153.043117118475</v>
      </c>
      <c r="F34" s="1">
        <f>Tabela9[[#This Row],[Tensão (Pa)]]/1000000</f>
        <v>4.4153043117118478E-2</v>
      </c>
    </row>
    <row r="35" spans="1:6" x14ac:dyDescent="0.3">
      <c r="A35" s="5">
        <v>4.3499999999999996</v>
      </c>
      <c r="B35" s="5">
        <v>0.35454999999999998</v>
      </c>
      <c r="C35" s="1">
        <f>Tabela9[[#This Row],[Alongamento (mm/mm)]]/$I$2</f>
        <v>7.0909999999999992E-3</v>
      </c>
      <c r="D35" s="5">
        <v>1.8711</v>
      </c>
      <c r="E35" s="1">
        <f>Tabela9[[#This Row],[Força (N)]]/$I$5</f>
        <v>44153.043117118475</v>
      </c>
      <c r="F35" s="1">
        <f>Tabela9[[#This Row],[Tensão (Pa)]]/1000000</f>
        <v>4.4153043117118478E-2</v>
      </c>
    </row>
    <row r="36" spans="1:6" x14ac:dyDescent="0.3">
      <c r="A36" s="5">
        <v>4.3833000000000002</v>
      </c>
      <c r="B36" s="5">
        <v>0.35725000000000001</v>
      </c>
      <c r="C36" s="1">
        <f>Tabela9[[#This Row],[Alongamento (mm/mm)]]/$I$2</f>
        <v>7.1450000000000003E-3</v>
      </c>
      <c r="D36" s="5">
        <v>1.8711</v>
      </c>
      <c r="E36" s="1">
        <f>Tabela9[[#This Row],[Força (N)]]/$I$5</f>
        <v>44153.043117118475</v>
      </c>
      <c r="F36" s="1">
        <f>Tabela9[[#This Row],[Tensão (Pa)]]/1000000</f>
        <v>4.4153043117118478E-2</v>
      </c>
    </row>
    <row r="37" spans="1:6" x14ac:dyDescent="0.3">
      <c r="A37" s="5">
        <v>4.4166999999999996</v>
      </c>
      <c r="B37" s="5">
        <v>0.36013000000000001</v>
      </c>
      <c r="C37" s="1">
        <f>Tabela9[[#This Row],[Alongamento (mm/mm)]]/$I$2</f>
        <v>7.2026E-3</v>
      </c>
      <c r="D37" s="5">
        <v>1.8711</v>
      </c>
      <c r="E37" s="1">
        <f>Tabela9[[#This Row],[Força (N)]]/$I$5</f>
        <v>44153.043117118475</v>
      </c>
      <c r="F37" s="1">
        <f>Tabela9[[#This Row],[Tensão (Pa)]]/1000000</f>
        <v>4.4153043117118478E-2</v>
      </c>
    </row>
    <row r="38" spans="1:6" x14ac:dyDescent="0.3">
      <c r="A38" s="5">
        <v>4.4667000000000003</v>
      </c>
      <c r="B38" s="5">
        <v>0.36423</v>
      </c>
      <c r="C38" s="1">
        <f>Tabela9[[#This Row],[Alongamento (mm/mm)]]/$I$2</f>
        <v>7.2845999999999996E-3</v>
      </c>
      <c r="D38" s="5">
        <v>2.0411999999999999</v>
      </c>
      <c r="E38" s="1">
        <f>Tabela9[[#This Row],[Força (N)]]/$I$5</f>
        <v>48166.95612776561</v>
      </c>
      <c r="F38" s="1">
        <f>Tabela9[[#This Row],[Tensão (Pa)]]/1000000</f>
        <v>4.8166956127765607E-2</v>
      </c>
    </row>
    <row r="39" spans="1:6" x14ac:dyDescent="0.3">
      <c r="A39" s="5">
        <v>4.5</v>
      </c>
      <c r="B39" s="5">
        <v>0.36702000000000001</v>
      </c>
      <c r="C39" s="1">
        <f>Tabela9[[#This Row],[Alongamento (mm/mm)]]/$I$2</f>
        <v>7.3404000000000004E-3</v>
      </c>
      <c r="D39" s="5">
        <v>2.0411999999999999</v>
      </c>
      <c r="E39" s="1">
        <f>Tabela9[[#This Row],[Força (N)]]/$I$5</f>
        <v>48166.95612776561</v>
      </c>
      <c r="F39" s="1">
        <f>Tabela9[[#This Row],[Tensão (Pa)]]/1000000</f>
        <v>4.8166956127765607E-2</v>
      </c>
    </row>
    <row r="40" spans="1:6" x14ac:dyDescent="0.3">
      <c r="A40" s="5">
        <v>4.5332999999999997</v>
      </c>
      <c r="B40" s="5">
        <v>0.36981000000000003</v>
      </c>
      <c r="C40" s="1">
        <f>Tabela9[[#This Row],[Alongamento (mm/mm)]]/$I$2</f>
        <v>7.3962000000000003E-3</v>
      </c>
      <c r="D40" s="5">
        <v>2.2113</v>
      </c>
      <c r="E40" s="1">
        <f>Tabela9[[#This Row],[Força (N)]]/$I$5</f>
        <v>52180.869138412745</v>
      </c>
      <c r="F40" s="1">
        <f>Tabela9[[#This Row],[Tensão (Pa)]]/1000000</f>
        <v>5.2180869138412744E-2</v>
      </c>
    </row>
    <row r="41" spans="1:6" x14ac:dyDescent="0.3">
      <c r="A41" s="5">
        <v>4.5833000000000004</v>
      </c>
      <c r="B41" s="5">
        <v>0.374</v>
      </c>
      <c r="C41" s="1">
        <f>Tabela9[[#This Row],[Alongamento (mm/mm)]]/$I$2</f>
        <v>7.4799999999999997E-3</v>
      </c>
      <c r="D41" s="5">
        <v>2.5514999999999999</v>
      </c>
      <c r="E41" s="1">
        <f>Tabela9[[#This Row],[Força (N)]]/$I$5</f>
        <v>60208.695159707015</v>
      </c>
      <c r="F41" s="1">
        <f>Tabela9[[#This Row],[Tensão (Pa)]]/1000000</f>
        <v>6.0208695159707018E-2</v>
      </c>
    </row>
    <row r="42" spans="1:6" x14ac:dyDescent="0.3">
      <c r="A42" s="5">
        <v>4.6333000000000002</v>
      </c>
      <c r="B42" s="5">
        <v>0.37808999999999998</v>
      </c>
      <c r="C42" s="1">
        <f>Tabela9[[#This Row],[Alongamento (mm/mm)]]/$I$2</f>
        <v>7.5617999999999996E-3</v>
      </c>
      <c r="D42" s="5">
        <v>2.8917000000000002</v>
      </c>
      <c r="E42" s="1">
        <f>Tabela9[[#This Row],[Força (N)]]/$I$5</f>
        <v>68236.521181001284</v>
      </c>
      <c r="F42" s="1">
        <f>Tabela9[[#This Row],[Tensão (Pa)]]/1000000</f>
        <v>6.8236521181001278E-2</v>
      </c>
    </row>
    <row r="43" spans="1:6" x14ac:dyDescent="0.3">
      <c r="A43" s="5">
        <v>4.6666999999999996</v>
      </c>
      <c r="B43" s="5">
        <v>0.38097999999999999</v>
      </c>
      <c r="C43" s="1">
        <f>Tabela9[[#This Row],[Alongamento (mm/mm)]]/$I$2</f>
        <v>7.6195999999999998E-3</v>
      </c>
      <c r="D43" s="5">
        <v>3.2319</v>
      </c>
      <c r="E43" s="1">
        <f>Tabela9[[#This Row],[Força (N)]]/$I$5</f>
        <v>76264.347202295554</v>
      </c>
      <c r="F43" s="1">
        <f>Tabela9[[#This Row],[Tensão (Pa)]]/1000000</f>
        <v>7.6264347202295552E-2</v>
      </c>
    </row>
    <row r="44" spans="1:6" x14ac:dyDescent="0.3">
      <c r="A44" s="5">
        <v>4.7167000000000003</v>
      </c>
      <c r="B44" s="5">
        <v>0.38517000000000001</v>
      </c>
      <c r="C44" s="1">
        <f>Tabela9[[#This Row],[Alongamento (mm/mm)]]/$I$2</f>
        <v>7.7034E-3</v>
      </c>
      <c r="D44" s="5">
        <v>3.5720999999999998</v>
      </c>
      <c r="E44" s="1">
        <f>Tabela9[[#This Row],[Força (N)]]/$I$5</f>
        <v>84292.173223589823</v>
      </c>
      <c r="F44" s="1">
        <f>Tabela9[[#This Row],[Tensão (Pa)]]/1000000</f>
        <v>8.4292173223589825E-2</v>
      </c>
    </row>
    <row r="45" spans="1:6" x14ac:dyDescent="0.3">
      <c r="A45" s="5">
        <v>4.7667000000000002</v>
      </c>
      <c r="B45" s="5">
        <v>0.38925999999999999</v>
      </c>
      <c r="C45" s="1">
        <f>Tabela9[[#This Row],[Alongamento (mm/mm)]]/$I$2</f>
        <v>7.7851999999999999E-3</v>
      </c>
      <c r="D45" s="5">
        <v>4.0823999999999998</v>
      </c>
      <c r="E45" s="1">
        <f>Tabela9[[#This Row],[Força (N)]]/$I$5</f>
        <v>96333.912255531221</v>
      </c>
      <c r="F45" s="1">
        <f>Tabela9[[#This Row],[Tensão (Pa)]]/1000000</f>
        <v>9.6333912255531215E-2</v>
      </c>
    </row>
    <row r="46" spans="1:6" x14ac:dyDescent="0.3">
      <c r="A46" s="5">
        <v>4.8167</v>
      </c>
      <c r="B46" s="5">
        <v>0.39335999999999999</v>
      </c>
      <c r="C46" s="1">
        <f>Tabela9[[#This Row],[Alongamento (mm/mm)]]/$I$2</f>
        <v>7.8671999999999995E-3</v>
      </c>
      <c r="D46" s="5">
        <v>4.4226000000000001</v>
      </c>
      <c r="E46" s="1">
        <f>Tabela9[[#This Row],[Força (N)]]/$I$5</f>
        <v>104361.73827682549</v>
      </c>
      <c r="F46" s="1">
        <f>Tabela9[[#This Row],[Tensão (Pa)]]/1000000</f>
        <v>0.10436173827682549</v>
      </c>
    </row>
    <row r="47" spans="1:6" x14ac:dyDescent="0.3">
      <c r="A47" s="5">
        <v>4.8666999999999998</v>
      </c>
      <c r="B47" s="5">
        <v>0.39754</v>
      </c>
      <c r="C47" s="1">
        <f>Tabela9[[#This Row],[Alongamento (mm/mm)]]/$I$2</f>
        <v>7.9508000000000009E-3</v>
      </c>
      <c r="D47" s="5">
        <v>4.7628000000000004</v>
      </c>
      <c r="E47" s="1">
        <f>Tabela9[[#This Row],[Força (N)]]/$I$5</f>
        <v>112389.56429811977</v>
      </c>
      <c r="F47" s="1">
        <f>Tabela9[[#This Row],[Tensão (Pa)]]/1000000</f>
        <v>0.11238956429811978</v>
      </c>
    </row>
    <row r="48" spans="1:6" x14ac:dyDescent="0.3">
      <c r="A48" s="5">
        <v>4.9166999999999996</v>
      </c>
      <c r="B48" s="5">
        <v>0.40172999999999998</v>
      </c>
      <c r="C48" s="1">
        <f>Tabela9[[#This Row],[Alongamento (mm/mm)]]/$I$2</f>
        <v>8.0345999999999994E-3</v>
      </c>
      <c r="D48" s="5">
        <v>5.2731000000000003</v>
      </c>
      <c r="E48" s="1">
        <f>Tabela9[[#This Row],[Força (N)]]/$I$5</f>
        <v>124431.30333006117</v>
      </c>
      <c r="F48" s="1">
        <f>Tabela9[[#This Row],[Tensão (Pa)]]/1000000</f>
        <v>0.12443130333006117</v>
      </c>
    </row>
    <row r="49" spans="1:6" x14ac:dyDescent="0.3">
      <c r="A49" s="5">
        <v>4.9667000000000003</v>
      </c>
      <c r="B49" s="5">
        <v>0.40592</v>
      </c>
      <c r="C49" s="1">
        <f>Tabela9[[#This Row],[Alongamento (mm/mm)]]/$I$2</f>
        <v>8.1183999999999996E-3</v>
      </c>
      <c r="D49" s="5">
        <v>5.4432</v>
      </c>
      <c r="E49" s="1">
        <f>Tabela9[[#This Row],[Força (N)]]/$I$5</f>
        <v>128445.2163407083</v>
      </c>
      <c r="F49" s="1">
        <f>Tabela9[[#This Row],[Tensão (Pa)]]/1000000</f>
        <v>0.1284452163407083</v>
      </c>
    </row>
    <row r="50" spans="1:6" x14ac:dyDescent="0.3">
      <c r="A50" s="5">
        <v>5.0167000000000002</v>
      </c>
      <c r="B50" s="5">
        <v>0.41010999999999997</v>
      </c>
      <c r="C50" s="1">
        <f>Tabela9[[#This Row],[Alongamento (mm/mm)]]/$I$2</f>
        <v>8.2021999999999998E-3</v>
      </c>
      <c r="D50" s="5">
        <v>5.9535</v>
      </c>
      <c r="E50" s="1">
        <f>Tabela9[[#This Row],[Força (N)]]/$I$5</f>
        <v>140486.95537264971</v>
      </c>
      <c r="F50" s="1">
        <f>Tabela9[[#This Row],[Tensão (Pa)]]/1000000</f>
        <v>0.14048695537264971</v>
      </c>
    </row>
    <row r="51" spans="1:6" x14ac:dyDescent="0.3">
      <c r="A51" s="5">
        <v>5.0667</v>
      </c>
      <c r="B51" s="5">
        <v>0.41420000000000001</v>
      </c>
      <c r="C51" s="1">
        <f>Tabela9[[#This Row],[Alongamento (mm/mm)]]/$I$2</f>
        <v>8.2839999999999997E-3</v>
      </c>
      <c r="D51" s="5">
        <v>6.2937000000000003</v>
      </c>
      <c r="E51" s="1">
        <f>Tabela9[[#This Row],[Força (N)]]/$I$5</f>
        <v>148514.78139394399</v>
      </c>
      <c r="F51" s="1">
        <f>Tabela9[[#This Row],[Tensão (Pa)]]/1000000</f>
        <v>0.148514781393944</v>
      </c>
    </row>
    <row r="52" spans="1:6" x14ac:dyDescent="0.3">
      <c r="A52" s="5">
        <v>5.1166999999999998</v>
      </c>
      <c r="B52" s="5">
        <v>0.41838999999999998</v>
      </c>
      <c r="C52" s="1">
        <f>Tabela9[[#This Row],[Alongamento (mm/mm)]]/$I$2</f>
        <v>8.3677999999999999E-3</v>
      </c>
      <c r="D52" s="5">
        <v>6.6338999999999997</v>
      </c>
      <c r="E52" s="1">
        <f>Tabela9[[#This Row],[Força (N)]]/$I$5</f>
        <v>156542.60741523825</v>
      </c>
      <c r="F52" s="1">
        <f>Tabela9[[#This Row],[Tensão (Pa)]]/1000000</f>
        <v>0.15654260741523826</v>
      </c>
    </row>
    <row r="53" spans="1:6" x14ac:dyDescent="0.3">
      <c r="A53" s="5">
        <v>5.1666999999999996</v>
      </c>
      <c r="B53" s="5">
        <v>0.42266999999999999</v>
      </c>
      <c r="C53" s="1">
        <f>Tabela9[[#This Row],[Alongamento (mm/mm)]]/$I$2</f>
        <v>8.4533999999999998E-3</v>
      </c>
      <c r="D53" s="5">
        <v>6.9741</v>
      </c>
      <c r="E53" s="1">
        <f>Tabela9[[#This Row],[Força (N)]]/$I$5</f>
        <v>164570.4334365325</v>
      </c>
      <c r="F53" s="1">
        <f>Tabela9[[#This Row],[Tensão (Pa)]]/1000000</f>
        <v>0.16457043343653249</v>
      </c>
    </row>
    <row r="54" spans="1:6" x14ac:dyDescent="0.3">
      <c r="A54" s="5">
        <v>5.2167000000000003</v>
      </c>
      <c r="B54" s="5">
        <v>0.42675999999999997</v>
      </c>
      <c r="C54" s="1">
        <f>Tabela9[[#This Row],[Alongamento (mm/mm)]]/$I$2</f>
        <v>8.5351999999999997E-3</v>
      </c>
      <c r="D54" s="5">
        <v>7.1441999999999997</v>
      </c>
      <c r="E54" s="1">
        <f>Tabela9[[#This Row],[Força (N)]]/$I$5</f>
        <v>168584.34644717965</v>
      </c>
      <c r="F54" s="1">
        <f>Tabela9[[#This Row],[Tensão (Pa)]]/1000000</f>
        <v>0.16858434644717965</v>
      </c>
    </row>
    <row r="55" spans="1:6" x14ac:dyDescent="0.3">
      <c r="A55" s="5">
        <v>5.2667000000000002</v>
      </c>
      <c r="B55" s="5">
        <v>0.43095</v>
      </c>
      <c r="C55" s="1">
        <f>Tabela9[[#This Row],[Alongamento (mm/mm)]]/$I$2</f>
        <v>8.6189999999999999E-3</v>
      </c>
      <c r="D55" s="5">
        <v>7.1441999999999997</v>
      </c>
      <c r="E55" s="1">
        <f>Tabela9[[#This Row],[Força (N)]]/$I$5</f>
        <v>168584.34644717965</v>
      </c>
      <c r="F55" s="1">
        <f>Tabela9[[#This Row],[Tensão (Pa)]]/1000000</f>
        <v>0.16858434644717965</v>
      </c>
    </row>
    <row r="56" spans="1:6" x14ac:dyDescent="0.3">
      <c r="A56" s="5">
        <v>5.3167</v>
      </c>
      <c r="B56" s="5">
        <v>0.43504999999999999</v>
      </c>
      <c r="C56" s="1">
        <f>Tabela9[[#This Row],[Alongamento (mm/mm)]]/$I$2</f>
        <v>8.7010000000000004E-3</v>
      </c>
      <c r="D56" s="5">
        <v>7.6543999999999999</v>
      </c>
      <c r="E56" s="1">
        <f>Tabela9[[#This Row],[Força (N)]]/$I$5</f>
        <v>180623.72574190138</v>
      </c>
      <c r="F56" s="1">
        <f>Tabela9[[#This Row],[Tensão (Pa)]]/1000000</f>
        <v>0.18062372574190139</v>
      </c>
    </row>
    <row r="57" spans="1:6" x14ac:dyDescent="0.3">
      <c r="A57" s="5">
        <v>5.3666999999999998</v>
      </c>
      <c r="B57" s="5">
        <v>0.43923000000000001</v>
      </c>
      <c r="C57" s="1">
        <f>Tabela9[[#This Row],[Alongamento (mm/mm)]]/$I$2</f>
        <v>8.7846E-3</v>
      </c>
      <c r="D57" s="5">
        <v>7.6543999999999999</v>
      </c>
      <c r="E57" s="1">
        <f>Tabela9[[#This Row],[Força (N)]]/$I$5</f>
        <v>180623.72574190138</v>
      </c>
      <c r="F57" s="1">
        <f>Tabela9[[#This Row],[Tensão (Pa)]]/1000000</f>
        <v>0.18062372574190139</v>
      </c>
    </row>
    <row r="58" spans="1:6" x14ac:dyDescent="0.3">
      <c r="A58" s="5">
        <v>5.4166999999999996</v>
      </c>
      <c r="B58" s="5">
        <v>0.44341999999999998</v>
      </c>
      <c r="C58" s="1">
        <f>Tabela9[[#This Row],[Alongamento (mm/mm)]]/$I$2</f>
        <v>8.8684000000000002E-3</v>
      </c>
      <c r="D58" s="5">
        <v>7.9946000000000002</v>
      </c>
      <c r="E58" s="1">
        <f>Tabela9[[#This Row],[Força (N)]]/$I$5</f>
        <v>188651.55176319566</v>
      </c>
      <c r="F58" s="1">
        <f>Tabela9[[#This Row],[Tensão (Pa)]]/1000000</f>
        <v>0.18865155176319567</v>
      </c>
    </row>
    <row r="59" spans="1:6" x14ac:dyDescent="0.3">
      <c r="A59" s="5">
        <v>5.4667000000000003</v>
      </c>
      <c r="B59" s="5">
        <v>0.44761000000000001</v>
      </c>
      <c r="C59" s="1">
        <f>Tabela9[[#This Row],[Alongamento (mm/mm)]]/$I$2</f>
        <v>8.9522000000000004E-3</v>
      </c>
      <c r="D59" s="5">
        <v>8.1646999999999998</v>
      </c>
      <c r="E59" s="1">
        <f>Tabela9[[#This Row],[Força (N)]]/$I$5</f>
        <v>192665.46477384277</v>
      </c>
      <c r="F59" s="1">
        <f>Tabela9[[#This Row],[Tensão (Pa)]]/1000000</f>
        <v>0.19266546477384278</v>
      </c>
    </row>
    <row r="60" spans="1:6" x14ac:dyDescent="0.3">
      <c r="A60" s="5">
        <v>5.5167000000000002</v>
      </c>
      <c r="B60" s="5">
        <v>0.45179999999999998</v>
      </c>
      <c r="C60" s="1">
        <f>Tabela9[[#This Row],[Alongamento (mm/mm)]]/$I$2</f>
        <v>9.0359999999999989E-3</v>
      </c>
      <c r="D60" s="5">
        <v>8.3347999999999995</v>
      </c>
      <c r="E60" s="1">
        <f>Tabela9[[#This Row],[Força (N)]]/$I$5</f>
        <v>196679.37778448992</v>
      </c>
      <c r="F60" s="1">
        <f>Tabela9[[#This Row],[Tensão (Pa)]]/1000000</f>
        <v>0.19667937778448991</v>
      </c>
    </row>
    <row r="61" spans="1:6" x14ac:dyDescent="0.3">
      <c r="A61" s="5">
        <v>5.5667</v>
      </c>
      <c r="B61" s="5">
        <v>0.45589000000000002</v>
      </c>
      <c r="C61" s="1">
        <f>Tabela9[[#This Row],[Alongamento (mm/mm)]]/$I$2</f>
        <v>9.1178000000000006E-3</v>
      </c>
      <c r="D61" s="5">
        <v>8.5048999999999992</v>
      </c>
      <c r="E61" s="1">
        <f>Tabela9[[#This Row],[Força (N)]]/$I$5</f>
        <v>200693.29079513703</v>
      </c>
      <c r="F61" s="1">
        <f>Tabela9[[#This Row],[Tensão (Pa)]]/1000000</f>
        <v>0.20069329079513704</v>
      </c>
    </row>
    <row r="62" spans="1:6" x14ac:dyDescent="0.3">
      <c r="A62" s="5">
        <v>5.6166999999999998</v>
      </c>
      <c r="B62" s="5">
        <v>0.46007999999999999</v>
      </c>
      <c r="C62" s="1">
        <f>Tabela9[[#This Row],[Alongamento (mm/mm)]]/$I$2</f>
        <v>9.201599999999999E-3</v>
      </c>
      <c r="D62" s="5">
        <v>8.8451000000000004</v>
      </c>
      <c r="E62" s="1">
        <f>Tabela9[[#This Row],[Força (N)]]/$I$5</f>
        <v>208721.11681643134</v>
      </c>
      <c r="F62" s="1">
        <f>Tabela9[[#This Row],[Tensão (Pa)]]/1000000</f>
        <v>0.20872111681643135</v>
      </c>
    </row>
    <row r="63" spans="1:6" x14ac:dyDescent="0.3">
      <c r="A63" s="5">
        <v>5.6666999999999996</v>
      </c>
      <c r="B63" s="5">
        <v>0.46427000000000002</v>
      </c>
      <c r="C63" s="1">
        <f>Tabela9[[#This Row],[Alongamento (mm/mm)]]/$I$2</f>
        <v>9.2854000000000009E-3</v>
      </c>
      <c r="D63" s="5">
        <v>9.0152000000000001</v>
      </c>
      <c r="E63" s="1">
        <f>Tabela9[[#This Row],[Força (N)]]/$I$5</f>
        <v>212735.02982707846</v>
      </c>
      <c r="F63" s="1">
        <f>Tabela9[[#This Row],[Tensão (Pa)]]/1000000</f>
        <v>0.21273502982707845</v>
      </c>
    </row>
    <row r="64" spans="1:6" x14ac:dyDescent="0.3">
      <c r="A64" s="5">
        <v>5.7167000000000003</v>
      </c>
      <c r="B64" s="5">
        <v>0.46844999999999998</v>
      </c>
      <c r="C64" s="1">
        <f>Tabela9[[#This Row],[Alongamento (mm/mm)]]/$I$2</f>
        <v>9.3689999999999989E-3</v>
      </c>
      <c r="D64" s="5">
        <v>9.1852999999999998</v>
      </c>
      <c r="E64" s="1">
        <f>Tabela9[[#This Row],[Força (N)]]/$I$5</f>
        <v>216748.9428377256</v>
      </c>
      <c r="F64" s="1">
        <f>Tabela9[[#This Row],[Tensão (Pa)]]/1000000</f>
        <v>0.21674894283772558</v>
      </c>
    </row>
    <row r="65" spans="1:6" x14ac:dyDescent="0.3">
      <c r="A65" s="5">
        <v>5.7667000000000002</v>
      </c>
      <c r="B65" s="5">
        <v>0.47264</v>
      </c>
      <c r="C65" s="1">
        <f>Tabela9[[#This Row],[Alongamento (mm/mm)]]/$I$2</f>
        <v>9.4528000000000008E-3</v>
      </c>
      <c r="D65" s="5">
        <v>9.6956000000000007</v>
      </c>
      <c r="E65" s="1">
        <f>Tabela9[[#This Row],[Força (N)]]/$I$5</f>
        <v>228790.68186966702</v>
      </c>
      <c r="F65" s="1">
        <f>Tabela9[[#This Row],[Tensão (Pa)]]/1000000</f>
        <v>0.22879068186966703</v>
      </c>
    </row>
    <row r="66" spans="1:6" x14ac:dyDescent="0.3">
      <c r="A66" s="5">
        <v>5.8167</v>
      </c>
      <c r="B66" s="5">
        <v>0.47682999999999998</v>
      </c>
      <c r="C66" s="1">
        <f>Tabela9[[#This Row],[Alongamento (mm/mm)]]/$I$2</f>
        <v>9.5365999999999992E-3</v>
      </c>
      <c r="D66" s="5">
        <v>9.8657000000000004</v>
      </c>
      <c r="E66" s="1">
        <f>Tabela9[[#This Row],[Força (N)]]/$I$5</f>
        <v>232804.59488031414</v>
      </c>
      <c r="F66" s="1">
        <f>Tabela9[[#This Row],[Tensão (Pa)]]/1000000</f>
        <v>0.23280459488031413</v>
      </c>
    </row>
    <row r="67" spans="1:6" x14ac:dyDescent="0.3">
      <c r="A67" s="5">
        <v>5.8666999999999998</v>
      </c>
      <c r="B67" s="5">
        <v>0.48092000000000001</v>
      </c>
      <c r="C67" s="1">
        <f>Tabela9[[#This Row],[Alongamento (mm/mm)]]/$I$2</f>
        <v>9.6184000000000009E-3</v>
      </c>
      <c r="D67" s="5">
        <v>10.036</v>
      </c>
      <c r="E67" s="1">
        <f>Tabela9[[#This Row],[Força (N)]]/$I$5</f>
        <v>236823.22736540058</v>
      </c>
      <c r="F67" s="1">
        <f>Tabela9[[#This Row],[Tensão (Pa)]]/1000000</f>
        <v>0.2368232273654006</v>
      </c>
    </row>
    <row r="68" spans="1:6" x14ac:dyDescent="0.3">
      <c r="A68" s="5">
        <v>5.9166999999999996</v>
      </c>
      <c r="B68" s="5">
        <v>0.48510999999999999</v>
      </c>
      <c r="C68" s="1">
        <f>Tabela9[[#This Row],[Alongamento (mm/mm)]]/$I$2</f>
        <v>9.7021999999999994E-3</v>
      </c>
      <c r="D68" s="5">
        <v>10.206</v>
      </c>
      <c r="E68" s="1">
        <f>Tabela9[[#This Row],[Força (N)]]/$I$5</f>
        <v>240834.78063882806</v>
      </c>
      <c r="F68" s="1">
        <f>Tabela9[[#This Row],[Tensão (Pa)]]/1000000</f>
        <v>0.24083478063882807</v>
      </c>
    </row>
    <row r="69" spans="1:6" x14ac:dyDescent="0.3">
      <c r="A69" s="5">
        <v>5.9667000000000003</v>
      </c>
      <c r="B69" s="5">
        <v>0.48920999999999998</v>
      </c>
      <c r="C69" s="1">
        <f>Tabela9[[#This Row],[Alongamento (mm/mm)]]/$I$2</f>
        <v>9.7841999999999998E-3</v>
      </c>
      <c r="D69" s="5">
        <v>10.715999999999999</v>
      </c>
      <c r="E69" s="1">
        <f>Tabela9[[#This Row],[Força (N)]]/$I$5</f>
        <v>252869.44045911045</v>
      </c>
      <c r="F69" s="1">
        <f>Tabela9[[#This Row],[Tensão (Pa)]]/1000000</f>
        <v>0.25286944045911047</v>
      </c>
    </row>
    <row r="70" spans="1:6" x14ac:dyDescent="0.3">
      <c r="A70" s="5">
        <v>6.0167000000000002</v>
      </c>
      <c r="B70" s="5">
        <v>0.49339</v>
      </c>
      <c r="C70" s="1">
        <f>Tabela9[[#This Row],[Alongamento (mm/mm)]]/$I$2</f>
        <v>9.8677999999999995E-3</v>
      </c>
      <c r="D70" s="5">
        <v>11.055999999999999</v>
      </c>
      <c r="E70" s="1">
        <f>Tabela9[[#This Row],[Força (N)]]/$I$5</f>
        <v>260892.5470059654</v>
      </c>
      <c r="F70" s="1">
        <f>Tabela9[[#This Row],[Tensão (Pa)]]/1000000</f>
        <v>0.26089254700596543</v>
      </c>
    </row>
    <row r="71" spans="1:6" x14ac:dyDescent="0.3">
      <c r="A71" s="5">
        <v>6.0667</v>
      </c>
      <c r="B71" s="5">
        <v>0.49758000000000002</v>
      </c>
      <c r="C71" s="1">
        <f>Tabela9[[#This Row],[Alongamento (mm/mm)]]/$I$2</f>
        <v>9.9515999999999997E-3</v>
      </c>
      <c r="D71" s="5">
        <v>11.397</v>
      </c>
      <c r="E71" s="1">
        <f>Tabela9[[#This Row],[Força (N)]]/$I$5</f>
        <v>268939.250925017</v>
      </c>
      <c r="F71" s="1">
        <f>Tabela9[[#This Row],[Tensão (Pa)]]/1000000</f>
        <v>0.26893925092501697</v>
      </c>
    </row>
    <row r="72" spans="1:6" x14ac:dyDescent="0.3">
      <c r="A72" s="5">
        <v>6.1166999999999998</v>
      </c>
      <c r="B72" s="5">
        <v>0.50177000000000005</v>
      </c>
      <c r="C72" s="1">
        <f>Tabela9[[#This Row],[Alongamento (mm/mm)]]/$I$2</f>
        <v>1.0035400000000002E-2</v>
      </c>
      <c r="D72" s="5">
        <v>11.567</v>
      </c>
      <c r="E72" s="1">
        <f>Tabela9[[#This Row],[Força (N)]]/$I$5</f>
        <v>272950.80419844447</v>
      </c>
      <c r="F72" s="1">
        <f>Tabela9[[#This Row],[Tensão (Pa)]]/1000000</f>
        <v>0.27295080419844447</v>
      </c>
    </row>
    <row r="73" spans="1:6" x14ac:dyDescent="0.3">
      <c r="A73" s="5">
        <v>6.1666999999999996</v>
      </c>
      <c r="B73" s="5">
        <v>0.50595999999999997</v>
      </c>
      <c r="C73" s="1">
        <f>Tabela9[[#This Row],[Alongamento (mm/mm)]]/$I$2</f>
        <v>1.01192E-2</v>
      </c>
      <c r="D73" s="5">
        <v>11.907</v>
      </c>
      <c r="E73" s="1">
        <f>Tabela9[[#This Row],[Força (N)]]/$I$5</f>
        <v>280973.91074529942</v>
      </c>
      <c r="F73" s="1">
        <f>Tabela9[[#This Row],[Tensão (Pa)]]/1000000</f>
        <v>0.28097391074529943</v>
      </c>
    </row>
    <row r="74" spans="1:6" x14ac:dyDescent="0.3">
      <c r="A74" s="5">
        <v>6.2167000000000003</v>
      </c>
      <c r="B74" s="5">
        <v>0.51014000000000004</v>
      </c>
      <c r="C74" s="1">
        <f>Tabela9[[#This Row],[Alongamento (mm/mm)]]/$I$2</f>
        <v>1.0202800000000001E-2</v>
      </c>
      <c r="D74" s="5">
        <v>12.077</v>
      </c>
      <c r="E74" s="1">
        <f>Tabela9[[#This Row],[Força (N)]]/$I$5</f>
        <v>284985.4640187269</v>
      </c>
      <c r="F74" s="1">
        <f>Tabela9[[#This Row],[Tensão (Pa)]]/1000000</f>
        <v>0.28498546401872688</v>
      </c>
    </row>
    <row r="75" spans="1:6" x14ac:dyDescent="0.3">
      <c r="A75" s="5">
        <v>6.2667000000000002</v>
      </c>
      <c r="B75" s="5">
        <v>0.51424000000000003</v>
      </c>
      <c r="C75" s="1">
        <f>Tabela9[[#This Row],[Alongamento (mm/mm)]]/$I$2</f>
        <v>1.02848E-2</v>
      </c>
      <c r="D75" s="5">
        <v>12.587</v>
      </c>
      <c r="E75" s="1">
        <f>Tabela9[[#This Row],[Força (N)]]/$I$5</f>
        <v>297020.12383900926</v>
      </c>
      <c r="F75" s="1">
        <f>Tabela9[[#This Row],[Tensão (Pa)]]/1000000</f>
        <v>0.29702012383900928</v>
      </c>
    </row>
    <row r="76" spans="1:6" x14ac:dyDescent="0.3">
      <c r="A76" s="5">
        <v>6.3167</v>
      </c>
      <c r="B76" s="5">
        <v>0.51842999999999995</v>
      </c>
      <c r="C76" s="1">
        <f>Tabela9[[#This Row],[Alongamento (mm/mm)]]/$I$2</f>
        <v>1.0368599999999999E-2</v>
      </c>
      <c r="D76" s="5">
        <v>12.757</v>
      </c>
      <c r="E76" s="1">
        <f>Tabela9[[#This Row],[Força (N)]]/$I$5</f>
        <v>301031.67711243674</v>
      </c>
      <c r="F76" s="1">
        <f>Tabela9[[#This Row],[Tensão (Pa)]]/1000000</f>
        <v>0.30103167711243672</v>
      </c>
    </row>
    <row r="77" spans="1:6" x14ac:dyDescent="0.3">
      <c r="A77" s="5">
        <v>6.3666999999999998</v>
      </c>
      <c r="B77" s="5">
        <v>0.52261000000000002</v>
      </c>
      <c r="C77" s="1">
        <f>Tabela9[[#This Row],[Alongamento (mm/mm)]]/$I$2</f>
        <v>1.04522E-2</v>
      </c>
      <c r="D77" s="5">
        <v>13.098000000000001</v>
      </c>
      <c r="E77" s="1">
        <f>Tabela9[[#This Row],[Força (N)]]/$I$5</f>
        <v>309078.38103148836</v>
      </c>
      <c r="F77" s="1">
        <f>Tabela9[[#This Row],[Tensão (Pa)]]/1000000</f>
        <v>0.30907838103148838</v>
      </c>
    </row>
    <row r="78" spans="1:6" x14ac:dyDescent="0.3">
      <c r="A78" s="5">
        <v>6.4166999999999996</v>
      </c>
      <c r="B78" s="5">
        <v>0.52680000000000005</v>
      </c>
      <c r="C78" s="1">
        <f>Tabela9[[#This Row],[Alongamento (mm/mm)]]/$I$2</f>
        <v>1.0536E-2</v>
      </c>
      <c r="D78" s="5">
        <v>13.438000000000001</v>
      </c>
      <c r="E78" s="1">
        <f>Tabela9[[#This Row],[Força (N)]]/$I$5</f>
        <v>317101.48757834331</v>
      </c>
      <c r="F78" s="1">
        <f>Tabela9[[#This Row],[Tensão (Pa)]]/1000000</f>
        <v>0.31710148757834333</v>
      </c>
    </row>
    <row r="79" spans="1:6" x14ac:dyDescent="0.3">
      <c r="A79" s="5">
        <v>6.4667000000000003</v>
      </c>
      <c r="B79" s="5">
        <v>0.53098999999999996</v>
      </c>
      <c r="C79" s="1">
        <f>Tabela9[[#This Row],[Alongamento (mm/mm)]]/$I$2</f>
        <v>1.0619799999999999E-2</v>
      </c>
      <c r="D79" s="5">
        <v>13.778</v>
      </c>
      <c r="E79" s="1">
        <f>Tabela9[[#This Row],[Força (N)]]/$I$5</f>
        <v>325124.59412519826</v>
      </c>
      <c r="F79" s="1">
        <f>Tabela9[[#This Row],[Tensão (Pa)]]/1000000</f>
        <v>0.32512459412519829</v>
      </c>
    </row>
    <row r="80" spans="1:6" x14ac:dyDescent="0.3">
      <c r="A80" s="5">
        <v>6.5167000000000002</v>
      </c>
      <c r="B80" s="5">
        <v>0.53508</v>
      </c>
      <c r="C80" s="1">
        <f>Tabela9[[#This Row],[Alongamento (mm/mm)]]/$I$2</f>
        <v>1.07016E-2</v>
      </c>
      <c r="D80" s="5">
        <v>14.118</v>
      </c>
      <c r="E80" s="1">
        <f>Tabela9[[#This Row],[Força (N)]]/$I$5</f>
        <v>333147.70067205315</v>
      </c>
      <c r="F80" s="1">
        <f>Tabela9[[#This Row],[Tensão (Pa)]]/1000000</f>
        <v>0.33314770067205313</v>
      </c>
    </row>
    <row r="81" spans="1:6" x14ac:dyDescent="0.3">
      <c r="A81" s="5">
        <v>6.5667</v>
      </c>
      <c r="B81" s="5">
        <v>0.53927000000000003</v>
      </c>
      <c r="C81" s="1">
        <f>Tabela9[[#This Row],[Alongamento (mm/mm)]]/$I$2</f>
        <v>1.0785400000000001E-2</v>
      </c>
      <c r="D81" s="5">
        <v>14.458</v>
      </c>
      <c r="E81" s="1">
        <f>Tabela9[[#This Row],[Força (N)]]/$I$5</f>
        <v>341170.8072189081</v>
      </c>
      <c r="F81" s="1">
        <f>Tabela9[[#This Row],[Tensão (Pa)]]/1000000</f>
        <v>0.34117080721890808</v>
      </c>
    </row>
    <row r="82" spans="1:6" x14ac:dyDescent="0.3">
      <c r="A82" s="5">
        <v>6.6333000000000002</v>
      </c>
      <c r="B82" s="5">
        <v>0.54484999999999995</v>
      </c>
      <c r="C82" s="1">
        <f>Tabela9[[#This Row],[Alongamento (mm/mm)]]/$I$2</f>
        <v>1.0896999999999999E-2</v>
      </c>
      <c r="D82" s="5">
        <v>14.798999999999999</v>
      </c>
      <c r="E82" s="1">
        <f>Tabela9[[#This Row],[Força (N)]]/$I$5</f>
        <v>349217.51113795966</v>
      </c>
      <c r="F82" s="1">
        <f>Tabela9[[#This Row],[Tensão (Pa)]]/1000000</f>
        <v>0.34921751113795968</v>
      </c>
    </row>
    <row r="83" spans="1:6" x14ac:dyDescent="0.3">
      <c r="A83" s="5">
        <v>6.7</v>
      </c>
      <c r="B83" s="5">
        <v>0.55035000000000001</v>
      </c>
      <c r="C83" s="1">
        <f>Tabela9[[#This Row],[Alongamento (mm/mm)]]/$I$2</f>
        <v>1.1006999999999999E-2</v>
      </c>
      <c r="D83" s="5">
        <v>15.308999999999999</v>
      </c>
      <c r="E83" s="1">
        <f>Tabela9[[#This Row],[Força (N)]]/$I$5</f>
        <v>361252.17095824209</v>
      </c>
      <c r="F83" s="1">
        <f>Tabela9[[#This Row],[Tensão (Pa)]]/1000000</f>
        <v>0.36125217095824208</v>
      </c>
    </row>
    <row r="84" spans="1:6" x14ac:dyDescent="0.3">
      <c r="A84" s="5">
        <v>6.7667000000000002</v>
      </c>
      <c r="B84" s="5">
        <v>0.55593000000000004</v>
      </c>
      <c r="C84" s="1">
        <f>Tabela9[[#This Row],[Alongamento (mm/mm)]]/$I$2</f>
        <v>1.1118600000000001E-2</v>
      </c>
      <c r="D84" s="5">
        <v>15.819000000000001</v>
      </c>
      <c r="E84" s="1">
        <f>Tabela9[[#This Row],[Força (N)]]/$I$5</f>
        <v>373286.83077852451</v>
      </c>
      <c r="F84" s="1">
        <f>Tabela9[[#This Row],[Tensão (Pa)]]/1000000</f>
        <v>0.37328683077852454</v>
      </c>
    </row>
    <row r="85" spans="1:6" x14ac:dyDescent="0.3">
      <c r="A85" s="5">
        <v>6.8333000000000004</v>
      </c>
      <c r="B85" s="5">
        <v>0.56150999999999995</v>
      </c>
      <c r="C85" s="1">
        <f>Tabela9[[#This Row],[Alongamento (mm/mm)]]/$I$2</f>
        <v>1.1230199999999999E-2</v>
      </c>
      <c r="D85" s="5">
        <v>16.329000000000001</v>
      </c>
      <c r="E85" s="1">
        <f>Tabela9[[#This Row],[Força (N)]]/$I$5</f>
        <v>385321.49059880694</v>
      </c>
      <c r="F85" s="1">
        <f>Tabela9[[#This Row],[Tensão (Pa)]]/1000000</f>
        <v>0.38532149059880694</v>
      </c>
    </row>
    <row r="86" spans="1:6" x14ac:dyDescent="0.3">
      <c r="A86" s="5">
        <v>6.9</v>
      </c>
      <c r="B86" s="5">
        <v>0.56699999999999995</v>
      </c>
      <c r="C86" s="1">
        <f>Tabela9[[#This Row],[Alongamento (mm/mm)]]/$I$2</f>
        <v>1.1339999999999999E-2</v>
      </c>
      <c r="D86" s="5">
        <v>16.84</v>
      </c>
      <c r="E86" s="1">
        <f>Tabela9[[#This Row],[Força (N)]]/$I$5</f>
        <v>397379.74779128598</v>
      </c>
      <c r="F86" s="1">
        <f>Tabela9[[#This Row],[Tensão (Pa)]]/1000000</f>
        <v>0.39737974779128599</v>
      </c>
    </row>
    <row r="87" spans="1:6" x14ac:dyDescent="0.3">
      <c r="A87" s="5">
        <v>6.9667000000000003</v>
      </c>
      <c r="B87" s="5">
        <v>0.57259000000000004</v>
      </c>
      <c r="C87" s="1">
        <f>Tabela9[[#This Row],[Alongamento (mm/mm)]]/$I$2</f>
        <v>1.1451800000000002E-2</v>
      </c>
      <c r="D87" s="5">
        <v>17.18</v>
      </c>
      <c r="E87" s="1">
        <f>Tabela9[[#This Row],[Força (N)]]/$I$5</f>
        <v>405402.85433814093</v>
      </c>
      <c r="F87" s="1">
        <f>Tabela9[[#This Row],[Tensão (Pa)]]/1000000</f>
        <v>0.40540285433814094</v>
      </c>
    </row>
    <row r="88" spans="1:6" x14ac:dyDescent="0.3">
      <c r="A88" s="5">
        <v>7.0332999999999997</v>
      </c>
      <c r="B88" s="5">
        <v>0.57816999999999996</v>
      </c>
      <c r="C88" s="1">
        <f>Tabela9[[#This Row],[Alongamento (mm/mm)]]/$I$2</f>
        <v>1.15634E-2</v>
      </c>
      <c r="D88" s="5">
        <v>17.690000000000001</v>
      </c>
      <c r="E88" s="1">
        <f>Tabela9[[#This Row],[Força (N)]]/$I$5</f>
        <v>417437.51415842335</v>
      </c>
      <c r="F88" s="1">
        <f>Tabela9[[#This Row],[Tensão (Pa)]]/1000000</f>
        <v>0.41743751415842334</v>
      </c>
    </row>
    <row r="89" spans="1:6" x14ac:dyDescent="0.3">
      <c r="A89" s="5">
        <v>7.1</v>
      </c>
      <c r="B89" s="5">
        <v>0.58365999999999996</v>
      </c>
      <c r="C89" s="1">
        <f>Tabela9[[#This Row],[Alongamento (mm/mm)]]/$I$2</f>
        <v>1.16732E-2</v>
      </c>
      <c r="D89" s="5">
        <v>18.201000000000001</v>
      </c>
      <c r="E89" s="1">
        <f>Tabela9[[#This Row],[Força (N)]]/$I$5</f>
        <v>429495.77135090239</v>
      </c>
      <c r="F89" s="1">
        <f>Tabela9[[#This Row],[Tensão (Pa)]]/1000000</f>
        <v>0.42949577135090239</v>
      </c>
    </row>
    <row r="90" spans="1:6" x14ac:dyDescent="0.3">
      <c r="A90" s="5">
        <v>7.1666999999999996</v>
      </c>
      <c r="B90" s="5">
        <v>0.58923999999999999</v>
      </c>
      <c r="C90" s="1">
        <f>Tabela9[[#This Row],[Alongamento (mm/mm)]]/$I$2</f>
        <v>1.17848E-2</v>
      </c>
      <c r="D90" s="5">
        <v>18.710999999999999</v>
      </c>
      <c r="E90" s="1">
        <f>Tabela9[[#This Row],[Força (N)]]/$I$5</f>
        <v>441530.43117118475</v>
      </c>
      <c r="F90" s="1">
        <f>Tabela9[[#This Row],[Tensão (Pa)]]/1000000</f>
        <v>0.44153043117118473</v>
      </c>
    </row>
    <row r="91" spans="1:6" x14ac:dyDescent="0.3">
      <c r="A91" s="5">
        <v>7.2332999999999998</v>
      </c>
      <c r="B91" s="5">
        <v>0.59482999999999997</v>
      </c>
      <c r="C91" s="1">
        <f>Tabela9[[#This Row],[Alongamento (mm/mm)]]/$I$2</f>
        <v>1.18966E-2</v>
      </c>
      <c r="D91" s="5">
        <v>19.221</v>
      </c>
      <c r="E91" s="1">
        <f>Tabela9[[#This Row],[Força (N)]]/$I$5</f>
        <v>453565.09099146718</v>
      </c>
      <c r="F91" s="1">
        <f>Tabela9[[#This Row],[Tensão (Pa)]]/1000000</f>
        <v>0.45356509099146719</v>
      </c>
    </row>
    <row r="92" spans="1:6" x14ac:dyDescent="0.3">
      <c r="A92" s="5">
        <v>7.3</v>
      </c>
      <c r="B92" s="5">
        <v>0.60031999999999996</v>
      </c>
      <c r="C92" s="1">
        <f>Tabela9[[#This Row],[Alongamento (mm/mm)]]/$I$2</f>
        <v>1.2006399999999999E-2</v>
      </c>
      <c r="D92" s="5">
        <v>19.731000000000002</v>
      </c>
      <c r="E92" s="1">
        <f>Tabela9[[#This Row],[Força (N)]]/$I$5</f>
        <v>465599.75081174966</v>
      </c>
      <c r="F92" s="1">
        <f>Tabela9[[#This Row],[Tensão (Pa)]]/1000000</f>
        <v>0.46559975081174965</v>
      </c>
    </row>
    <row r="93" spans="1:6" x14ac:dyDescent="0.3">
      <c r="A93" s="5">
        <v>7.3666999999999998</v>
      </c>
      <c r="B93" s="5">
        <v>0.60589999999999999</v>
      </c>
      <c r="C93" s="1">
        <f>Tabela9[[#This Row],[Alongamento (mm/mm)]]/$I$2</f>
        <v>1.2118E-2</v>
      </c>
      <c r="D93" s="5">
        <v>20.242000000000001</v>
      </c>
      <c r="E93" s="1">
        <f>Tabela9[[#This Row],[Força (N)]]/$I$5</f>
        <v>477658.0080042287</v>
      </c>
      <c r="F93" s="1">
        <f>Tabela9[[#This Row],[Tensão (Pa)]]/1000000</f>
        <v>0.4776580080042287</v>
      </c>
    </row>
    <row r="94" spans="1:6" x14ac:dyDescent="0.3">
      <c r="A94" s="5">
        <v>7.4333</v>
      </c>
      <c r="B94" s="5">
        <v>0.61148000000000002</v>
      </c>
      <c r="C94" s="1">
        <f>Tabela9[[#This Row],[Alongamento (mm/mm)]]/$I$2</f>
        <v>1.22296E-2</v>
      </c>
      <c r="D94" s="5">
        <v>20.751999999999999</v>
      </c>
      <c r="E94" s="1">
        <f>Tabela9[[#This Row],[Força (N)]]/$I$5</f>
        <v>489692.66782451107</v>
      </c>
      <c r="F94" s="1">
        <f>Tabela9[[#This Row],[Tensão (Pa)]]/1000000</f>
        <v>0.48969266782451104</v>
      </c>
    </row>
    <row r="95" spans="1:6" x14ac:dyDescent="0.3">
      <c r="A95" s="5">
        <v>7.5</v>
      </c>
      <c r="B95" s="5">
        <v>0.61707000000000001</v>
      </c>
      <c r="C95" s="1">
        <f>Tabela9[[#This Row],[Alongamento (mm/mm)]]/$I$2</f>
        <v>1.2341400000000001E-2</v>
      </c>
      <c r="D95" s="5">
        <v>21.262</v>
      </c>
      <c r="E95" s="1">
        <f>Tabela9[[#This Row],[Força (N)]]/$I$5</f>
        <v>501727.32764479349</v>
      </c>
      <c r="F95" s="1">
        <f>Tabela9[[#This Row],[Tensão (Pa)]]/1000000</f>
        <v>0.50172732764479344</v>
      </c>
    </row>
    <row r="96" spans="1:6" x14ac:dyDescent="0.3">
      <c r="A96" s="5">
        <v>7.5667</v>
      </c>
      <c r="B96" s="5">
        <v>0.62265000000000004</v>
      </c>
      <c r="C96" s="1">
        <f>Tabela9[[#This Row],[Alongamento (mm/mm)]]/$I$2</f>
        <v>1.2453000000000001E-2</v>
      </c>
      <c r="D96" s="5">
        <v>21.773</v>
      </c>
      <c r="E96" s="1">
        <f>Tabela9[[#This Row],[Força (N)]]/$I$5</f>
        <v>513785.58483727253</v>
      </c>
      <c r="F96" s="1">
        <f>Tabela9[[#This Row],[Tensão (Pa)]]/1000000</f>
        <v>0.51378558483727255</v>
      </c>
    </row>
    <row r="97" spans="1:6" x14ac:dyDescent="0.3">
      <c r="A97" s="5">
        <v>7.6333000000000002</v>
      </c>
      <c r="B97" s="5">
        <v>0.62814000000000003</v>
      </c>
      <c r="C97" s="1">
        <f>Tabela9[[#This Row],[Alongamento (mm/mm)]]/$I$2</f>
        <v>1.2562800000000001E-2</v>
      </c>
      <c r="D97" s="5">
        <v>22.283000000000001</v>
      </c>
      <c r="E97" s="1">
        <f>Tabela9[[#This Row],[Força (N)]]/$I$5</f>
        <v>525820.24465755501</v>
      </c>
      <c r="F97" s="1">
        <f>Tabela9[[#This Row],[Tensão (Pa)]]/1000000</f>
        <v>0.52582024465755506</v>
      </c>
    </row>
    <row r="98" spans="1:6" x14ac:dyDescent="0.3">
      <c r="A98" s="5">
        <v>7.7</v>
      </c>
      <c r="B98" s="5">
        <v>0.63371999999999995</v>
      </c>
      <c r="C98" s="1">
        <f>Tabela9[[#This Row],[Alongamento (mm/mm)]]/$I$2</f>
        <v>1.2674399999999999E-2</v>
      </c>
      <c r="D98" s="5">
        <v>22.963000000000001</v>
      </c>
      <c r="E98" s="1">
        <f>Tabela9[[#This Row],[Força (N)]]/$I$5</f>
        <v>541866.45775126491</v>
      </c>
      <c r="F98" s="1">
        <f>Tabela9[[#This Row],[Tensão (Pa)]]/1000000</f>
        <v>0.54186645775126496</v>
      </c>
    </row>
    <row r="99" spans="1:6" x14ac:dyDescent="0.3">
      <c r="A99" s="5">
        <v>7.7667000000000002</v>
      </c>
      <c r="B99" s="5">
        <v>0.63931000000000004</v>
      </c>
      <c r="C99" s="1">
        <f>Tabela9[[#This Row],[Alongamento (mm/mm)]]/$I$2</f>
        <v>1.2786200000000001E-2</v>
      </c>
      <c r="D99" s="5">
        <v>23.474</v>
      </c>
      <c r="E99" s="1">
        <f>Tabela9[[#This Row],[Força (N)]]/$I$5</f>
        <v>553924.71494374389</v>
      </c>
      <c r="F99" s="1">
        <f>Tabela9[[#This Row],[Tensão (Pa)]]/1000000</f>
        <v>0.55392471494374385</v>
      </c>
    </row>
    <row r="100" spans="1:6" x14ac:dyDescent="0.3">
      <c r="A100" s="5">
        <v>7.8333000000000004</v>
      </c>
      <c r="B100" s="5">
        <v>0.64480000000000004</v>
      </c>
      <c r="C100" s="1">
        <f>Tabela9[[#This Row],[Alongamento (mm/mm)]]/$I$2</f>
        <v>1.2896000000000001E-2</v>
      </c>
      <c r="D100" s="5">
        <v>23.984000000000002</v>
      </c>
      <c r="E100" s="1">
        <f>Tabela9[[#This Row],[Força (N)]]/$I$5</f>
        <v>565959.37476402638</v>
      </c>
      <c r="F100" s="1">
        <f>Tabela9[[#This Row],[Tensão (Pa)]]/1000000</f>
        <v>0.56595937476402636</v>
      </c>
    </row>
    <row r="101" spans="1:6" x14ac:dyDescent="0.3">
      <c r="A101" s="5">
        <v>7.9</v>
      </c>
      <c r="B101" s="5">
        <v>0.65037999999999996</v>
      </c>
      <c r="C101" s="1">
        <f>Tabela9[[#This Row],[Alongamento (mm/mm)]]/$I$2</f>
        <v>1.3007599999999999E-2</v>
      </c>
      <c r="D101" s="5">
        <v>24.494</v>
      </c>
      <c r="E101" s="1">
        <f>Tabela9[[#This Row],[Força (N)]]/$I$5</f>
        <v>577994.03458430874</v>
      </c>
      <c r="F101" s="1">
        <f>Tabela9[[#This Row],[Tensão (Pa)]]/1000000</f>
        <v>0.57799403458430876</v>
      </c>
    </row>
    <row r="102" spans="1:6" x14ac:dyDescent="0.3">
      <c r="A102" s="5">
        <v>7.9667000000000003</v>
      </c>
      <c r="B102" s="5">
        <v>0.65597000000000005</v>
      </c>
      <c r="C102" s="1">
        <f>Tabela9[[#This Row],[Alongamento (mm/mm)]]/$I$2</f>
        <v>1.3119400000000002E-2</v>
      </c>
      <c r="D102" s="5">
        <v>25.004999999999999</v>
      </c>
      <c r="E102" s="1">
        <f>Tabela9[[#This Row],[Força (N)]]/$I$5</f>
        <v>590052.29177678772</v>
      </c>
      <c r="F102" s="1">
        <f>Tabela9[[#This Row],[Tensão (Pa)]]/1000000</f>
        <v>0.59005229177678775</v>
      </c>
    </row>
    <row r="103" spans="1:6" x14ac:dyDescent="0.3">
      <c r="A103" s="5">
        <v>8.0333000000000006</v>
      </c>
      <c r="B103" s="5">
        <v>0.66154999999999997</v>
      </c>
      <c r="C103" s="1">
        <f>Tabela9[[#This Row],[Alongamento (mm/mm)]]/$I$2</f>
        <v>1.3231E-2</v>
      </c>
      <c r="D103" s="5">
        <v>25.684999999999999</v>
      </c>
      <c r="E103" s="1">
        <f>Tabela9[[#This Row],[Força (N)]]/$I$5</f>
        <v>606098.50487049762</v>
      </c>
      <c r="F103" s="1">
        <f>Tabela9[[#This Row],[Tensão (Pa)]]/1000000</f>
        <v>0.60609850487049766</v>
      </c>
    </row>
    <row r="104" spans="1:6" x14ac:dyDescent="0.3">
      <c r="A104" s="5">
        <v>8.1</v>
      </c>
      <c r="B104" s="5">
        <v>0.66703999999999997</v>
      </c>
      <c r="C104" s="1">
        <f>Tabela9[[#This Row],[Alongamento (mm/mm)]]/$I$2</f>
        <v>1.33408E-2</v>
      </c>
      <c r="D104" s="5">
        <v>26.195</v>
      </c>
      <c r="E104" s="1">
        <f>Tabela9[[#This Row],[Força (N)]]/$I$5</f>
        <v>618133.1646907801</v>
      </c>
      <c r="F104" s="1">
        <f>Tabela9[[#This Row],[Tensão (Pa)]]/1000000</f>
        <v>0.61813316469078006</v>
      </c>
    </row>
    <row r="105" spans="1:6" x14ac:dyDescent="0.3">
      <c r="A105" s="5">
        <v>8.1667000000000005</v>
      </c>
      <c r="B105" s="5">
        <v>0.67252999999999996</v>
      </c>
      <c r="C105" s="1">
        <f>Tabela9[[#This Row],[Alongamento (mm/mm)]]/$I$2</f>
        <v>1.34506E-2</v>
      </c>
      <c r="D105" s="5">
        <v>26.706</v>
      </c>
      <c r="E105" s="1">
        <f>Tabela9[[#This Row],[Força (N)]]/$I$5</f>
        <v>630191.42188325909</v>
      </c>
      <c r="F105" s="1">
        <f>Tabela9[[#This Row],[Tensão (Pa)]]/1000000</f>
        <v>0.63019142188325905</v>
      </c>
    </row>
    <row r="106" spans="1:6" x14ac:dyDescent="0.3">
      <c r="A106" s="5">
        <v>8.2332999999999998</v>
      </c>
      <c r="B106" s="5">
        <v>0.67810999999999999</v>
      </c>
      <c r="C106" s="1">
        <f>Tabela9[[#This Row],[Alongamento (mm/mm)]]/$I$2</f>
        <v>1.35622E-2</v>
      </c>
      <c r="D106" s="5">
        <v>27.216000000000001</v>
      </c>
      <c r="E106" s="1">
        <f>Tabela9[[#This Row],[Força (N)]]/$I$5</f>
        <v>642226.08170354157</v>
      </c>
      <c r="F106" s="1">
        <f>Tabela9[[#This Row],[Tensão (Pa)]]/1000000</f>
        <v>0.64222608170354156</v>
      </c>
    </row>
    <row r="107" spans="1:6" x14ac:dyDescent="0.3">
      <c r="A107" s="5">
        <v>8.3000000000000007</v>
      </c>
      <c r="B107" s="5">
        <v>0.68369999999999997</v>
      </c>
      <c r="C107" s="1">
        <f>Tabela9[[#This Row],[Alongamento (mm/mm)]]/$I$2</f>
        <v>1.3673999999999999E-2</v>
      </c>
      <c r="D107" s="5">
        <v>27.896000000000001</v>
      </c>
      <c r="E107" s="1">
        <f>Tabela9[[#This Row],[Força (N)]]/$I$5</f>
        <v>658272.29479725147</v>
      </c>
      <c r="F107" s="1">
        <f>Tabela9[[#This Row],[Tensão (Pa)]]/1000000</f>
        <v>0.65827229479725147</v>
      </c>
    </row>
    <row r="108" spans="1:6" x14ac:dyDescent="0.3">
      <c r="A108" s="5">
        <v>8.3666999999999998</v>
      </c>
      <c r="B108" s="5">
        <v>0.68928</v>
      </c>
      <c r="C108" s="1">
        <f>Tabela9[[#This Row],[Alongamento (mm/mm)]]/$I$2</f>
        <v>1.37856E-2</v>
      </c>
      <c r="D108" s="5">
        <v>28.407</v>
      </c>
      <c r="E108" s="1">
        <f>Tabela9[[#This Row],[Força (N)]]/$I$5</f>
        <v>670330.55198973045</v>
      </c>
      <c r="F108" s="1">
        <f>Tabela9[[#This Row],[Tensão (Pa)]]/1000000</f>
        <v>0.67033055198973046</v>
      </c>
    </row>
    <row r="109" spans="1:6" x14ac:dyDescent="0.3">
      <c r="A109" s="5">
        <v>8.4332999999999991</v>
      </c>
      <c r="B109" s="5">
        <v>0.69486000000000003</v>
      </c>
      <c r="C109" s="1">
        <f>Tabela9[[#This Row],[Alongamento (mm/mm)]]/$I$2</f>
        <v>1.38972E-2</v>
      </c>
      <c r="D109" s="5">
        <v>28.917000000000002</v>
      </c>
      <c r="E109" s="1">
        <f>Tabela9[[#This Row],[Força (N)]]/$I$5</f>
        <v>682365.21181001293</v>
      </c>
      <c r="F109" s="1">
        <f>Tabela9[[#This Row],[Tensão (Pa)]]/1000000</f>
        <v>0.68236521181001297</v>
      </c>
    </row>
    <row r="110" spans="1:6" x14ac:dyDescent="0.3">
      <c r="A110" s="5">
        <v>8.5</v>
      </c>
      <c r="B110" s="5">
        <v>0.70035000000000003</v>
      </c>
      <c r="C110" s="1">
        <f>Tabela9[[#This Row],[Alongamento (mm/mm)]]/$I$2</f>
        <v>1.4007E-2</v>
      </c>
      <c r="D110" s="5">
        <v>29.427</v>
      </c>
      <c r="E110" s="1">
        <f>Tabela9[[#This Row],[Força (N)]]/$I$5</f>
        <v>694399.8716302953</v>
      </c>
      <c r="F110" s="1">
        <f>Tabela9[[#This Row],[Tensão (Pa)]]/1000000</f>
        <v>0.69439987163029526</v>
      </c>
    </row>
    <row r="111" spans="1:6" x14ac:dyDescent="0.3">
      <c r="A111" s="5">
        <v>8.5667000000000009</v>
      </c>
      <c r="B111" s="5">
        <v>0.70594000000000001</v>
      </c>
      <c r="C111" s="1">
        <f>Tabela9[[#This Row],[Alongamento (mm/mm)]]/$I$2</f>
        <v>1.4118800000000001E-2</v>
      </c>
      <c r="D111" s="5">
        <v>30.106999999999999</v>
      </c>
      <c r="E111" s="1">
        <f>Tabela9[[#This Row],[Força (N)]]/$I$5</f>
        <v>710446.08472400508</v>
      </c>
      <c r="F111" s="1">
        <f>Tabela9[[#This Row],[Tensão (Pa)]]/1000000</f>
        <v>0.71044608472400506</v>
      </c>
    </row>
    <row r="112" spans="1:6" x14ac:dyDescent="0.3">
      <c r="A112" s="5">
        <v>8.6333000000000002</v>
      </c>
      <c r="B112" s="5">
        <v>0.71152000000000004</v>
      </c>
      <c r="C112" s="1">
        <f>Tabela9[[#This Row],[Alongamento (mm/mm)]]/$I$2</f>
        <v>1.4230400000000001E-2</v>
      </c>
      <c r="D112" s="5">
        <v>30.617999999999999</v>
      </c>
      <c r="E112" s="1">
        <f>Tabela9[[#This Row],[Força (N)]]/$I$5</f>
        <v>722504.34191648418</v>
      </c>
      <c r="F112" s="1">
        <f>Tabela9[[#This Row],[Tensão (Pa)]]/1000000</f>
        <v>0.72250434191648416</v>
      </c>
    </row>
    <row r="113" spans="1:6" x14ac:dyDescent="0.3">
      <c r="A113" s="5">
        <v>8.6999999999999993</v>
      </c>
      <c r="B113" s="5">
        <v>0.71709999999999996</v>
      </c>
      <c r="C113" s="1">
        <f>Tabela9[[#This Row],[Alongamento (mm/mm)]]/$I$2</f>
        <v>1.4341999999999999E-2</v>
      </c>
      <c r="D113" s="5">
        <v>31.128</v>
      </c>
      <c r="E113" s="1">
        <f>Tabela9[[#This Row],[Força (N)]]/$I$5</f>
        <v>734539.00173676666</v>
      </c>
      <c r="F113" s="1">
        <f>Tabela9[[#This Row],[Tensão (Pa)]]/1000000</f>
        <v>0.73453900173676667</v>
      </c>
    </row>
    <row r="114" spans="1:6" x14ac:dyDescent="0.3">
      <c r="A114" s="5">
        <v>8.7667000000000002</v>
      </c>
      <c r="B114" s="5">
        <v>0.72260000000000002</v>
      </c>
      <c r="C114" s="1">
        <f>Tabela9[[#This Row],[Alongamento (mm/mm)]]/$I$2</f>
        <v>1.4452E-2</v>
      </c>
      <c r="D114" s="5">
        <v>31.808</v>
      </c>
      <c r="E114" s="1">
        <f>Tabela9[[#This Row],[Força (N)]]/$I$5</f>
        <v>750585.21483047644</v>
      </c>
      <c r="F114" s="1">
        <f>Tabela9[[#This Row],[Tensão (Pa)]]/1000000</f>
        <v>0.75058521483047647</v>
      </c>
    </row>
    <row r="115" spans="1:6" x14ac:dyDescent="0.3">
      <c r="A115" s="5">
        <v>8.8332999999999995</v>
      </c>
      <c r="B115" s="5">
        <v>0.72818000000000005</v>
      </c>
      <c r="C115" s="1">
        <f>Tabela9[[#This Row],[Alongamento (mm/mm)]]/$I$2</f>
        <v>1.4563600000000001E-2</v>
      </c>
      <c r="D115" s="5">
        <v>32.319000000000003</v>
      </c>
      <c r="E115" s="1">
        <f>Tabela9[[#This Row],[Força (N)]]/$I$5</f>
        <v>762643.47202295566</v>
      </c>
      <c r="F115" s="1">
        <f>Tabela9[[#This Row],[Tensão (Pa)]]/1000000</f>
        <v>0.76264347202295568</v>
      </c>
    </row>
    <row r="116" spans="1:6" x14ac:dyDescent="0.3">
      <c r="A116" s="5">
        <v>8.9</v>
      </c>
      <c r="B116" s="5">
        <v>0.73367000000000004</v>
      </c>
      <c r="C116" s="1">
        <f>Tabela9[[#This Row],[Alongamento (mm/mm)]]/$I$2</f>
        <v>1.4673400000000001E-2</v>
      </c>
      <c r="D116" s="5">
        <v>32.999000000000002</v>
      </c>
      <c r="E116" s="1">
        <f>Tabela9[[#This Row],[Força (N)]]/$I$5</f>
        <v>778689.68511666544</v>
      </c>
      <c r="F116" s="1">
        <f>Tabela9[[#This Row],[Tensão (Pa)]]/1000000</f>
        <v>0.77868968511666548</v>
      </c>
    </row>
    <row r="117" spans="1:6" x14ac:dyDescent="0.3">
      <c r="A117" s="5">
        <v>8.9666999999999994</v>
      </c>
      <c r="B117" s="5">
        <v>0.73924999999999996</v>
      </c>
      <c r="C117" s="1">
        <f>Tabela9[[#This Row],[Alongamento (mm/mm)]]/$I$2</f>
        <v>1.4785E-2</v>
      </c>
      <c r="D117" s="5">
        <v>33.68</v>
      </c>
      <c r="E117" s="1">
        <f>Tabela9[[#This Row],[Força (N)]]/$I$5</f>
        <v>794759.49558257195</v>
      </c>
      <c r="F117" s="1">
        <f>Tabela9[[#This Row],[Tensão (Pa)]]/1000000</f>
        <v>0.79475949558257197</v>
      </c>
    </row>
    <row r="118" spans="1:6" x14ac:dyDescent="0.3">
      <c r="A118" s="5">
        <v>9.0500000000000007</v>
      </c>
      <c r="B118" s="5">
        <v>0.74622999999999995</v>
      </c>
      <c r="C118" s="1">
        <f>Tabela9[[#This Row],[Alongamento (mm/mm)]]/$I$2</f>
        <v>1.49246E-2</v>
      </c>
      <c r="D118" s="5">
        <v>34.36</v>
      </c>
      <c r="E118" s="1">
        <f>Tabela9[[#This Row],[Força (N)]]/$I$5</f>
        <v>810805.70867628185</v>
      </c>
      <c r="F118" s="1">
        <f>Tabela9[[#This Row],[Tensão (Pa)]]/1000000</f>
        <v>0.81080570867628188</v>
      </c>
    </row>
    <row r="119" spans="1:6" x14ac:dyDescent="0.3">
      <c r="A119" s="5">
        <v>9.1166999999999998</v>
      </c>
      <c r="B119" s="5">
        <v>0.75172000000000005</v>
      </c>
      <c r="C119" s="1">
        <f>Tabela9[[#This Row],[Alongamento (mm/mm)]]/$I$2</f>
        <v>1.5034400000000002E-2</v>
      </c>
      <c r="D119" s="5">
        <v>35.04</v>
      </c>
      <c r="E119" s="1">
        <f>Tabela9[[#This Row],[Força (N)]]/$I$5</f>
        <v>826851.92176999175</v>
      </c>
      <c r="F119" s="1">
        <f>Tabela9[[#This Row],[Tensão (Pa)]]/1000000</f>
        <v>0.82685192176999178</v>
      </c>
    </row>
    <row r="120" spans="1:6" x14ac:dyDescent="0.3">
      <c r="A120" s="5">
        <v>9.1999999999999993</v>
      </c>
      <c r="B120" s="5">
        <v>0.75870000000000004</v>
      </c>
      <c r="C120" s="1">
        <f>Tabela9[[#This Row],[Alongamento (mm/mm)]]/$I$2</f>
        <v>1.5174E-2</v>
      </c>
      <c r="D120" s="5">
        <v>35.720999999999997</v>
      </c>
      <c r="E120" s="1">
        <f>Tabela9[[#This Row],[Força (N)]]/$I$5</f>
        <v>842921.73223589815</v>
      </c>
      <c r="F120" s="1">
        <f>Tabela9[[#This Row],[Tensão (Pa)]]/1000000</f>
        <v>0.84292173223589817</v>
      </c>
    </row>
    <row r="121" spans="1:6" x14ac:dyDescent="0.3">
      <c r="A121" s="5">
        <v>9.2667000000000002</v>
      </c>
      <c r="B121" s="5">
        <v>0.76429000000000002</v>
      </c>
      <c r="C121" s="1">
        <f>Tabela9[[#This Row],[Alongamento (mm/mm)]]/$I$2</f>
        <v>1.52858E-2</v>
      </c>
      <c r="D121" s="5">
        <v>36.401000000000003</v>
      </c>
      <c r="E121" s="1">
        <f>Tabela9[[#This Row],[Força (N)]]/$I$5</f>
        <v>858967.94532960816</v>
      </c>
      <c r="F121" s="1">
        <f>Tabela9[[#This Row],[Tensão (Pa)]]/1000000</f>
        <v>0.85896794532960818</v>
      </c>
    </row>
    <row r="122" spans="1:6" x14ac:dyDescent="0.3">
      <c r="A122" s="5">
        <v>9.3332999999999995</v>
      </c>
      <c r="B122" s="5">
        <v>0.76978000000000002</v>
      </c>
      <c r="C122" s="1">
        <f>Tabela9[[#This Row],[Alongamento (mm/mm)]]/$I$2</f>
        <v>1.5395600000000001E-2</v>
      </c>
      <c r="D122" s="5">
        <v>37.082000000000001</v>
      </c>
      <c r="E122" s="1">
        <f>Tabela9[[#This Row],[Força (N)]]/$I$5</f>
        <v>875037.75579551468</v>
      </c>
      <c r="F122" s="1">
        <f>Tabela9[[#This Row],[Tensão (Pa)]]/1000000</f>
        <v>0.87503775579551468</v>
      </c>
    </row>
    <row r="123" spans="1:6" x14ac:dyDescent="0.3">
      <c r="A123" s="5">
        <v>9.4</v>
      </c>
      <c r="B123" s="5">
        <v>0.77536000000000005</v>
      </c>
      <c r="C123" s="1">
        <f>Tabela9[[#This Row],[Alongamento (mm/mm)]]/$I$2</f>
        <v>1.55072E-2</v>
      </c>
      <c r="D123" s="5">
        <v>37.762</v>
      </c>
      <c r="E123" s="1">
        <f>Tabela9[[#This Row],[Força (N)]]/$I$5</f>
        <v>891083.96888922458</v>
      </c>
      <c r="F123" s="1">
        <f>Tabela9[[#This Row],[Tensão (Pa)]]/1000000</f>
        <v>0.89108396888922459</v>
      </c>
    </row>
    <row r="124" spans="1:6" x14ac:dyDescent="0.3">
      <c r="A124" s="5">
        <v>9.4666999999999994</v>
      </c>
      <c r="B124" s="5">
        <v>0.78085000000000004</v>
      </c>
      <c r="C124" s="1">
        <f>Tabela9[[#This Row],[Alongamento (mm/mm)]]/$I$2</f>
        <v>1.5617000000000001E-2</v>
      </c>
      <c r="D124" s="5">
        <v>38.442</v>
      </c>
      <c r="E124" s="1">
        <f>Tabela9[[#This Row],[Força (N)]]/$I$5</f>
        <v>907130.18198293436</v>
      </c>
      <c r="F124" s="1">
        <f>Tabela9[[#This Row],[Tensão (Pa)]]/1000000</f>
        <v>0.90713018198293438</v>
      </c>
    </row>
    <row r="125" spans="1:6" x14ac:dyDescent="0.3">
      <c r="A125" s="5">
        <v>9.5500000000000007</v>
      </c>
      <c r="B125" s="5">
        <v>0.78791999999999995</v>
      </c>
      <c r="C125" s="1">
        <f>Tabela9[[#This Row],[Alongamento (mm/mm)]]/$I$2</f>
        <v>1.5758399999999999E-2</v>
      </c>
      <c r="D125" s="5">
        <v>39.122999999999998</v>
      </c>
      <c r="E125" s="1">
        <f>Tabela9[[#This Row],[Força (N)]]/$I$5</f>
        <v>923199.99244884087</v>
      </c>
      <c r="F125" s="1">
        <f>Tabela9[[#This Row],[Tensão (Pa)]]/1000000</f>
        <v>0.92319999244884088</v>
      </c>
    </row>
    <row r="126" spans="1:6" x14ac:dyDescent="0.3">
      <c r="A126" s="5">
        <v>9.6166999999999998</v>
      </c>
      <c r="B126" s="5">
        <v>0.79340999999999995</v>
      </c>
      <c r="C126" s="1">
        <f>Tabela9[[#This Row],[Alongamento (mm/mm)]]/$I$2</f>
        <v>1.5868199999999999E-2</v>
      </c>
      <c r="D126" s="5">
        <v>39.802999999999997</v>
      </c>
      <c r="E126" s="1">
        <f>Tabela9[[#This Row],[Força (N)]]/$I$5</f>
        <v>939246.20554255077</v>
      </c>
      <c r="F126" s="1">
        <f>Tabela9[[#This Row],[Tensão (Pa)]]/1000000</f>
        <v>0.93924620554255078</v>
      </c>
    </row>
    <row r="127" spans="1:6" x14ac:dyDescent="0.3">
      <c r="A127" s="5">
        <v>9.6832999999999991</v>
      </c>
      <c r="B127" s="5">
        <v>0.79900000000000004</v>
      </c>
      <c r="C127" s="1">
        <f>Tabela9[[#This Row],[Alongamento (mm/mm)]]/$I$2</f>
        <v>1.5980000000000001E-2</v>
      </c>
      <c r="D127" s="5">
        <v>40.484000000000002</v>
      </c>
      <c r="E127" s="1">
        <f>Tabela9[[#This Row],[Força (N)]]/$I$5</f>
        <v>955316.0160084574</v>
      </c>
      <c r="F127" s="1">
        <f>Tabela9[[#This Row],[Tensão (Pa)]]/1000000</f>
        <v>0.95531601600845739</v>
      </c>
    </row>
    <row r="128" spans="1:6" x14ac:dyDescent="0.3">
      <c r="A128" s="5">
        <v>9.75</v>
      </c>
      <c r="B128" s="5">
        <v>0.80457999999999996</v>
      </c>
      <c r="C128" s="1">
        <f>Tabela9[[#This Row],[Alongamento (mm/mm)]]/$I$2</f>
        <v>1.6091599999999998E-2</v>
      </c>
      <c r="D128" s="5">
        <v>41.164000000000001</v>
      </c>
      <c r="E128" s="1">
        <f>Tabela9[[#This Row],[Força (N)]]/$I$5</f>
        <v>971362.22910216718</v>
      </c>
      <c r="F128" s="1">
        <f>Tabela9[[#This Row],[Tensão (Pa)]]/1000000</f>
        <v>0.97136222910216719</v>
      </c>
    </row>
    <row r="129" spans="1:6" x14ac:dyDescent="0.3">
      <c r="A129" s="5">
        <v>9.8167000000000009</v>
      </c>
      <c r="B129" s="5">
        <v>0.81015999999999999</v>
      </c>
      <c r="C129" s="1">
        <f>Tabela9[[#This Row],[Alongamento (mm/mm)]]/$I$2</f>
        <v>1.6203200000000001E-2</v>
      </c>
      <c r="D129" s="5">
        <v>41.844000000000001</v>
      </c>
      <c r="E129" s="1">
        <f>Tabela9[[#This Row],[Força (N)]]/$I$5</f>
        <v>987408.44219587708</v>
      </c>
      <c r="F129" s="1">
        <f>Tabela9[[#This Row],[Tensão (Pa)]]/1000000</f>
        <v>0.98740844219587709</v>
      </c>
    </row>
    <row r="130" spans="1:6" x14ac:dyDescent="0.3">
      <c r="A130" s="5">
        <v>9.8833000000000002</v>
      </c>
      <c r="B130" s="5">
        <v>0.81564999999999999</v>
      </c>
      <c r="C130" s="1">
        <f>Tabela9[[#This Row],[Alongamento (mm/mm)]]/$I$2</f>
        <v>1.6313000000000001E-2</v>
      </c>
      <c r="D130" s="5">
        <v>42.524999999999999</v>
      </c>
      <c r="E130" s="1">
        <f>Tabela9[[#This Row],[Força (N)]]/$I$5</f>
        <v>1003478.2526617836</v>
      </c>
      <c r="F130" s="1">
        <f>Tabela9[[#This Row],[Tensão (Pa)]]/1000000</f>
        <v>1.0034782526617836</v>
      </c>
    </row>
    <row r="131" spans="1:6" x14ac:dyDescent="0.3">
      <c r="A131" s="5">
        <v>9.9499999999999993</v>
      </c>
      <c r="B131" s="5">
        <v>0.82123999999999997</v>
      </c>
      <c r="C131" s="1">
        <f>Tabela9[[#This Row],[Alongamento (mm/mm)]]/$I$2</f>
        <v>1.64248E-2</v>
      </c>
      <c r="D131" s="5">
        <v>43.204999999999998</v>
      </c>
      <c r="E131" s="1">
        <f>Tabela9[[#This Row],[Força (N)]]/$I$5</f>
        <v>1019524.4657554935</v>
      </c>
      <c r="F131" s="1">
        <f>Tabela9[[#This Row],[Tensão (Pa)]]/1000000</f>
        <v>1.0195244657554936</v>
      </c>
    </row>
    <row r="132" spans="1:6" x14ac:dyDescent="0.3">
      <c r="A132" s="5">
        <v>10.016999999999999</v>
      </c>
      <c r="B132" s="5">
        <v>0.82682</v>
      </c>
      <c r="C132" s="1">
        <f>Tabela9[[#This Row],[Alongamento (mm/mm)]]/$I$2</f>
        <v>1.65364E-2</v>
      </c>
      <c r="D132" s="5">
        <v>43.884999999999998</v>
      </c>
      <c r="E132" s="1">
        <f>Tabela9[[#This Row],[Força (N)]]/$I$5</f>
        <v>1035570.6788492033</v>
      </c>
      <c r="F132" s="1">
        <f>Tabela9[[#This Row],[Tensão (Pa)]]/1000000</f>
        <v>1.0355706788492032</v>
      </c>
    </row>
    <row r="133" spans="1:6" x14ac:dyDescent="0.3">
      <c r="A133" s="5">
        <v>10.067</v>
      </c>
      <c r="B133" s="5">
        <v>0.83091000000000004</v>
      </c>
      <c r="C133" s="1">
        <f>Tabela9[[#This Row],[Alongamento (mm/mm)]]/$I$2</f>
        <v>1.66182E-2</v>
      </c>
      <c r="D133" s="5">
        <v>44.566000000000003</v>
      </c>
      <c r="E133" s="1">
        <f>Tabela9[[#This Row],[Força (N)]]/$I$5</f>
        <v>1051640.48931511</v>
      </c>
      <c r="F133" s="1">
        <f>Tabela9[[#This Row],[Tensão (Pa)]]/1000000</f>
        <v>1.0516404893151101</v>
      </c>
    </row>
    <row r="134" spans="1:6" x14ac:dyDescent="0.3">
      <c r="A134" s="5">
        <v>10.132999999999999</v>
      </c>
      <c r="B134" s="5">
        <v>0.83650000000000002</v>
      </c>
      <c r="C134" s="1">
        <f>Tabela9[[#This Row],[Alongamento (mm/mm)]]/$I$2</f>
        <v>1.6730000000000002E-2</v>
      </c>
      <c r="D134" s="5">
        <v>45.246000000000002</v>
      </c>
      <c r="E134" s="1">
        <f>Tabela9[[#This Row],[Força (N)]]/$I$5</f>
        <v>1067686.7024088199</v>
      </c>
      <c r="F134" s="1">
        <f>Tabela9[[#This Row],[Tensão (Pa)]]/1000000</f>
        <v>1.0676867024088199</v>
      </c>
    </row>
    <row r="135" spans="1:6" x14ac:dyDescent="0.3">
      <c r="A135" s="5">
        <v>10.199999999999999</v>
      </c>
      <c r="B135" s="5">
        <v>0.84208000000000005</v>
      </c>
      <c r="C135" s="1">
        <f>Tabela9[[#This Row],[Alongamento (mm/mm)]]/$I$2</f>
        <v>1.6841600000000002E-2</v>
      </c>
      <c r="D135" s="5">
        <v>45.927</v>
      </c>
      <c r="E135" s="1">
        <f>Tabela9[[#This Row],[Força (N)]]/$I$5</f>
        <v>1083756.5128747262</v>
      </c>
      <c r="F135" s="1">
        <f>Tabela9[[#This Row],[Tensão (Pa)]]/1000000</f>
        <v>1.0837565128747262</v>
      </c>
    </row>
    <row r="136" spans="1:6" x14ac:dyDescent="0.3">
      <c r="A136" s="5">
        <v>10.266999999999999</v>
      </c>
      <c r="B136" s="5">
        <v>0.84757000000000005</v>
      </c>
      <c r="C136" s="1">
        <f>Tabela9[[#This Row],[Alongamento (mm/mm)]]/$I$2</f>
        <v>1.6951400000000002E-2</v>
      </c>
      <c r="D136" s="5">
        <v>46.606999999999999</v>
      </c>
      <c r="E136" s="1">
        <f>Tabela9[[#This Row],[Força (N)]]/$I$5</f>
        <v>1099802.7259684361</v>
      </c>
      <c r="F136" s="1">
        <f>Tabela9[[#This Row],[Tensão (Pa)]]/1000000</f>
        <v>1.0998027259684362</v>
      </c>
    </row>
    <row r="137" spans="1:6" x14ac:dyDescent="0.3">
      <c r="A137" s="5">
        <v>10.333</v>
      </c>
      <c r="B137" s="5">
        <v>0.85316000000000003</v>
      </c>
      <c r="C137" s="1">
        <f>Tabela9[[#This Row],[Alongamento (mm/mm)]]/$I$2</f>
        <v>1.7063200000000001E-2</v>
      </c>
      <c r="D137" s="5">
        <v>47.286999999999999</v>
      </c>
      <c r="E137" s="1">
        <f>Tabela9[[#This Row],[Força (N)]]/$I$5</f>
        <v>1115848.939062146</v>
      </c>
      <c r="F137" s="1">
        <f>Tabela9[[#This Row],[Tensão (Pa)]]/1000000</f>
        <v>1.115848939062146</v>
      </c>
    </row>
    <row r="138" spans="1:6" x14ac:dyDescent="0.3">
      <c r="A138" s="5">
        <v>10.382999999999999</v>
      </c>
      <c r="B138" s="5">
        <v>0.85733999999999999</v>
      </c>
      <c r="C138" s="1">
        <f>Tabela9[[#This Row],[Alongamento (mm/mm)]]/$I$2</f>
        <v>1.71468E-2</v>
      </c>
      <c r="D138" s="5">
        <v>47.968000000000004</v>
      </c>
      <c r="E138" s="1">
        <f>Tabela9[[#This Row],[Força (N)]]/$I$5</f>
        <v>1131918.7495280528</v>
      </c>
      <c r="F138" s="1">
        <f>Tabela9[[#This Row],[Tensão (Pa)]]/1000000</f>
        <v>1.1319187495280527</v>
      </c>
    </row>
    <row r="139" spans="1:6" x14ac:dyDescent="0.3">
      <c r="A139" s="5">
        <v>10.45</v>
      </c>
      <c r="B139" s="5">
        <v>0.86282999999999999</v>
      </c>
      <c r="C139" s="1">
        <f>Tabela9[[#This Row],[Alongamento (mm/mm)]]/$I$2</f>
        <v>1.72566E-2</v>
      </c>
      <c r="D139" s="5">
        <v>48.648000000000003</v>
      </c>
      <c r="E139" s="1">
        <f>Tabela9[[#This Row],[Força (N)]]/$I$5</f>
        <v>1147964.9626217627</v>
      </c>
      <c r="F139" s="1">
        <f>Tabela9[[#This Row],[Tensão (Pa)]]/1000000</f>
        <v>1.1479649626217627</v>
      </c>
    </row>
    <row r="140" spans="1:6" x14ac:dyDescent="0.3">
      <c r="A140" s="5">
        <v>10.516999999999999</v>
      </c>
      <c r="B140" s="5">
        <v>0.86841999999999997</v>
      </c>
      <c r="C140" s="1">
        <f>Tabela9[[#This Row],[Alongamento (mm/mm)]]/$I$2</f>
        <v>1.7368399999999999E-2</v>
      </c>
      <c r="D140" s="5">
        <v>49.329000000000001</v>
      </c>
      <c r="E140" s="1">
        <f>Tabela9[[#This Row],[Força (N)]]/$I$5</f>
        <v>1164034.7730876689</v>
      </c>
      <c r="F140" s="1">
        <f>Tabela9[[#This Row],[Tensão (Pa)]]/1000000</f>
        <v>1.164034773087669</v>
      </c>
    </row>
    <row r="141" spans="1:6" x14ac:dyDescent="0.3">
      <c r="A141" s="5">
        <v>10.567</v>
      </c>
      <c r="B141" s="5">
        <v>0.87260000000000004</v>
      </c>
      <c r="C141" s="1">
        <f>Tabela9[[#This Row],[Alongamento (mm/mm)]]/$I$2</f>
        <v>1.7452000000000002E-2</v>
      </c>
      <c r="D141" s="5">
        <v>50.009</v>
      </c>
      <c r="E141" s="1">
        <f>Tabela9[[#This Row],[Força (N)]]/$I$5</f>
        <v>1180080.9861813788</v>
      </c>
      <c r="F141" s="1">
        <f>Tabela9[[#This Row],[Tensão (Pa)]]/1000000</f>
        <v>1.1800809861813788</v>
      </c>
    </row>
    <row r="142" spans="1:6" x14ac:dyDescent="0.3">
      <c r="A142" s="5">
        <v>10.632999999999999</v>
      </c>
      <c r="B142" s="5">
        <v>0.87819000000000003</v>
      </c>
      <c r="C142" s="1">
        <f>Tabela9[[#This Row],[Alongamento (mm/mm)]]/$I$2</f>
        <v>1.7563800000000001E-2</v>
      </c>
      <c r="D142" s="5">
        <v>50.689</v>
      </c>
      <c r="E142" s="1">
        <f>Tabela9[[#This Row],[Força (N)]]/$I$5</f>
        <v>1196127.1992750887</v>
      </c>
      <c r="F142" s="1">
        <f>Tabela9[[#This Row],[Tensão (Pa)]]/1000000</f>
        <v>1.1961271992750888</v>
      </c>
    </row>
    <row r="143" spans="1:6" x14ac:dyDescent="0.3">
      <c r="A143" s="5">
        <v>10.683</v>
      </c>
      <c r="B143" s="5">
        <v>0.88238000000000005</v>
      </c>
      <c r="C143" s="1">
        <f>Tabela9[[#This Row],[Alongamento (mm/mm)]]/$I$2</f>
        <v>1.7647599999999999E-2</v>
      </c>
      <c r="D143" s="5">
        <v>51.37</v>
      </c>
      <c r="E143" s="1">
        <f>Tabela9[[#This Row],[Força (N)]]/$I$5</f>
        <v>1212197.0097409952</v>
      </c>
      <c r="F143" s="1">
        <f>Tabela9[[#This Row],[Tensão (Pa)]]/1000000</f>
        <v>1.2121970097409953</v>
      </c>
    </row>
    <row r="144" spans="1:6" x14ac:dyDescent="0.3">
      <c r="A144" s="5">
        <v>10.75</v>
      </c>
      <c r="B144" s="5">
        <v>0.88787000000000005</v>
      </c>
      <c r="C144" s="1">
        <f>Tabela9[[#This Row],[Alongamento (mm/mm)]]/$I$2</f>
        <v>1.77574E-2</v>
      </c>
      <c r="D144" s="5">
        <v>52.05</v>
      </c>
      <c r="E144" s="1">
        <f>Tabela9[[#This Row],[Força (N)]]/$I$5</f>
        <v>1228243.2228347051</v>
      </c>
      <c r="F144" s="1">
        <f>Tabela9[[#This Row],[Tensão (Pa)]]/1000000</f>
        <v>1.2282432228347051</v>
      </c>
    </row>
    <row r="145" spans="1:6" x14ac:dyDescent="0.3">
      <c r="A145" s="5">
        <v>10.8</v>
      </c>
      <c r="B145" s="5">
        <v>0.89205000000000001</v>
      </c>
      <c r="C145" s="1">
        <f>Tabela9[[#This Row],[Alongamento (mm/mm)]]/$I$2</f>
        <v>1.7840999999999999E-2</v>
      </c>
      <c r="D145" s="5">
        <v>52.731000000000002</v>
      </c>
      <c r="E145" s="1">
        <f>Tabela9[[#This Row],[Força (N)]]/$I$5</f>
        <v>1244313.0333006117</v>
      </c>
      <c r="F145" s="1">
        <f>Tabela9[[#This Row],[Tensão (Pa)]]/1000000</f>
        <v>1.2443130333006116</v>
      </c>
    </row>
    <row r="146" spans="1:6" x14ac:dyDescent="0.3">
      <c r="A146" s="5">
        <v>10.867000000000001</v>
      </c>
      <c r="B146" s="5">
        <v>0.89763999999999999</v>
      </c>
      <c r="C146" s="1">
        <f>Tabela9[[#This Row],[Alongamento (mm/mm)]]/$I$2</f>
        <v>1.7952800000000001E-2</v>
      </c>
      <c r="D146" s="5">
        <v>53.581000000000003</v>
      </c>
      <c r="E146" s="1">
        <f>Tabela9[[#This Row],[Força (N)]]/$I$5</f>
        <v>1264370.7996677491</v>
      </c>
      <c r="F146" s="1">
        <f>Tabela9[[#This Row],[Tensão (Pa)]]/1000000</f>
        <v>1.2643707996677491</v>
      </c>
    </row>
    <row r="147" spans="1:6" x14ac:dyDescent="0.3">
      <c r="A147" s="5">
        <v>10.933</v>
      </c>
      <c r="B147" s="5">
        <v>0.90312999999999999</v>
      </c>
      <c r="C147" s="1">
        <f>Tabela9[[#This Row],[Alongamento (mm/mm)]]/$I$2</f>
        <v>1.8062599999999998E-2</v>
      </c>
      <c r="D147" s="5">
        <v>54.262</v>
      </c>
      <c r="E147" s="1">
        <f>Tabela9[[#This Row],[Força (N)]]/$I$5</f>
        <v>1280440.6101336556</v>
      </c>
      <c r="F147" s="1">
        <f>Tabela9[[#This Row],[Tensão (Pa)]]/1000000</f>
        <v>1.2804406101336556</v>
      </c>
    </row>
    <row r="148" spans="1:6" x14ac:dyDescent="0.3">
      <c r="A148" s="5">
        <v>10.983000000000001</v>
      </c>
      <c r="B148" s="5">
        <v>0.90732000000000002</v>
      </c>
      <c r="C148" s="1">
        <f>Tabela9[[#This Row],[Alongamento (mm/mm)]]/$I$2</f>
        <v>1.81464E-2</v>
      </c>
      <c r="D148" s="5">
        <v>54.942</v>
      </c>
      <c r="E148" s="1">
        <f>Tabela9[[#This Row],[Força (N)]]/$I$5</f>
        <v>1296486.8232273655</v>
      </c>
      <c r="F148" s="1">
        <f>Tabela9[[#This Row],[Tensão (Pa)]]/1000000</f>
        <v>1.2964868232273654</v>
      </c>
    </row>
    <row r="149" spans="1:6" x14ac:dyDescent="0.3">
      <c r="A149" s="5">
        <v>11.032999999999999</v>
      </c>
      <c r="B149" s="5">
        <v>0.91149999999999998</v>
      </c>
      <c r="C149" s="1">
        <f>Tabela9[[#This Row],[Alongamento (mm/mm)]]/$I$2</f>
        <v>1.823E-2</v>
      </c>
      <c r="D149" s="5">
        <v>55.622</v>
      </c>
      <c r="E149" s="1">
        <f>Tabela9[[#This Row],[Força (N)]]/$I$5</f>
        <v>1312533.0363210754</v>
      </c>
      <c r="F149" s="1">
        <f>Tabela9[[#This Row],[Tensão (Pa)]]/1000000</f>
        <v>1.3125330363210754</v>
      </c>
    </row>
    <row r="150" spans="1:6" x14ac:dyDescent="0.3">
      <c r="A150" s="5">
        <v>11.1</v>
      </c>
      <c r="B150" s="5">
        <v>0.91698999999999997</v>
      </c>
      <c r="C150" s="1">
        <f>Tabela9[[#This Row],[Alongamento (mm/mm)]]/$I$2</f>
        <v>1.83398E-2</v>
      </c>
      <c r="D150" s="5">
        <v>56.472999999999999</v>
      </c>
      <c r="E150" s="1">
        <f>Tabela9[[#This Row],[Força (N)]]/$I$5</f>
        <v>1332614.4000604092</v>
      </c>
      <c r="F150" s="1">
        <f>Tabela9[[#This Row],[Tensão (Pa)]]/1000000</f>
        <v>1.3326144000604092</v>
      </c>
    </row>
    <row r="151" spans="1:6" x14ac:dyDescent="0.3">
      <c r="A151" s="5">
        <v>11.167</v>
      </c>
      <c r="B151" s="5">
        <v>0.92257999999999996</v>
      </c>
      <c r="C151" s="1">
        <f>Tabela9[[#This Row],[Alongamento (mm/mm)]]/$I$2</f>
        <v>1.8451599999999999E-2</v>
      </c>
      <c r="D151" s="5">
        <v>57.152999999999999</v>
      </c>
      <c r="E151" s="1">
        <f>Tabela9[[#This Row],[Força (N)]]/$I$5</f>
        <v>1348660.6131541191</v>
      </c>
      <c r="F151" s="1">
        <f>Tabela9[[#This Row],[Tensão (Pa)]]/1000000</f>
        <v>1.348660613154119</v>
      </c>
    </row>
    <row r="152" spans="1:6" x14ac:dyDescent="0.3">
      <c r="A152" s="5">
        <v>11.217000000000001</v>
      </c>
      <c r="B152" s="5">
        <v>0.92676000000000003</v>
      </c>
      <c r="C152" s="1">
        <f>Tabela9[[#This Row],[Alongamento (mm/mm)]]/$I$2</f>
        <v>1.8535200000000002E-2</v>
      </c>
      <c r="D152" s="5">
        <v>57.834000000000003</v>
      </c>
      <c r="E152" s="1">
        <f>Tabela9[[#This Row],[Força (N)]]/$I$5</f>
        <v>1364730.4236200259</v>
      </c>
      <c r="F152" s="1">
        <f>Tabela9[[#This Row],[Tensão (Pa)]]/1000000</f>
        <v>1.3647304236200259</v>
      </c>
    </row>
    <row r="153" spans="1:6" x14ac:dyDescent="0.3">
      <c r="A153" s="5">
        <v>11.266999999999999</v>
      </c>
      <c r="B153" s="5">
        <v>0.93086000000000002</v>
      </c>
      <c r="C153" s="1">
        <f>Tabela9[[#This Row],[Alongamento (mm/mm)]]/$I$2</f>
        <v>1.86172E-2</v>
      </c>
      <c r="D153" s="5">
        <v>58.514000000000003</v>
      </c>
      <c r="E153" s="1">
        <f>Tabela9[[#This Row],[Força (N)]]/$I$5</f>
        <v>1380776.6367137358</v>
      </c>
      <c r="F153" s="1">
        <f>Tabela9[[#This Row],[Tensão (Pa)]]/1000000</f>
        <v>1.3807766367137357</v>
      </c>
    </row>
    <row r="154" spans="1:6" x14ac:dyDescent="0.3">
      <c r="A154" s="5">
        <v>11.333</v>
      </c>
      <c r="B154" s="5">
        <v>0.93644000000000005</v>
      </c>
      <c r="C154" s="1">
        <f>Tabela9[[#This Row],[Alongamento (mm/mm)]]/$I$2</f>
        <v>1.87288E-2</v>
      </c>
      <c r="D154" s="5">
        <v>59.363999999999997</v>
      </c>
      <c r="E154" s="1">
        <f>Tabela9[[#This Row],[Força (N)]]/$I$5</f>
        <v>1400834.403080873</v>
      </c>
      <c r="F154" s="1">
        <f>Tabela9[[#This Row],[Tensão (Pa)]]/1000000</f>
        <v>1.400834403080873</v>
      </c>
    </row>
    <row r="155" spans="1:6" x14ac:dyDescent="0.3">
      <c r="A155" s="5">
        <v>11.4</v>
      </c>
      <c r="B155" s="5">
        <v>0.94203000000000003</v>
      </c>
      <c r="C155" s="1">
        <f>Tabela9[[#This Row],[Alongamento (mm/mm)]]/$I$2</f>
        <v>1.8840599999999999E-2</v>
      </c>
      <c r="D155" s="5">
        <v>60.215000000000003</v>
      </c>
      <c r="E155" s="1">
        <f>Tabela9[[#This Row],[Força (N)]]/$I$5</f>
        <v>1420915.766820207</v>
      </c>
      <c r="F155" s="1">
        <f>Tabela9[[#This Row],[Tensão (Pa)]]/1000000</f>
        <v>1.420915766820207</v>
      </c>
    </row>
    <row r="156" spans="1:6" x14ac:dyDescent="0.3">
      <c r="A156" s="5">
        <v>11.467000000000001</v>
      </c>
      <c r="B156" s="5">
        <v>0.94760999999999995</v>
      </c>
      <c r="C156" s="1">
        <f>Tabela9[[#This Row],[Alongamento (mm/mm)]]/$I$2</f>
        <v>1.8952199999999999E-2</v>
      </c>
      <c r="D156" s="5">
        <v>61.064999999999998</v>
      </c>
      <c r="E156" s="1">
        <f>Tabela9[[#This Row],[Força (N)]]/$I$5</f>
        <v>1440973.5331873442</v>
      </c>
      <c r="F156" s="1">
        <f>Tabela9[[#This Row],[Tensão (Pa)]]/1000000</f>
        <v>1.4409735331873441</v>
      </c>
    </row>
    <row r="157" spans="1:6" x14ac:dyDescent="0.3">
      <c r="A157" s="5">
        <v>11.532999999999999</v>
      </c>
      <c r="B157" s="5">
        <v>0.95309999999999995</v>
      </c>
      <c r="C157" s="1">
        <f>Tabela9[[#This Row],[Alongamento (mm/mm)]]/$I$2</f>
        <v>1.9061999999999999E-2</v>
      </c>
      <c r="D157" s="5">
        <v>61.915999999999997</v>
      </c>
      <c r="E157" s="1">
        <f>Tabela9[[#This Row],[Força (N)]]/$I$5</f>
        <v>1461054.8969266783</v>
      </c>
      <c r="F157" s="1">
        <f>Tabela9[[#This Row],[Tensão (Pa)]]/1000000</f>
        <v>1.4610548969266783</v>
      </c>
    </row>
    <row r="158" spans="1:6" x14ac:dyDescent="0.3">
      <c r="A158" s="5">
        <v>11.6</v>
      </c>
      <c r="B158" s="5">
        <v>0.95867999999999998</v>
      </c>
      <c r="C158" s="1">
        <f>Tabela9[[#This Row],[Alongamento (mm/mm)]]/$I$2</f>
        <v>1.9173599999999999E-2</v>
      </c>
      <c r="D158" s="5">
        <v>62.765999999999998</v>
      </c>
      <c r="E158" s="1">
        <f>Tabela9[[#This Row],[Força (N)]]/$I$5</f>
        <v>1481112.6632938157</v>
      </c>
      <c r="F158" s="1">
        <f>Tabela9[[#This Row],[Tensão (Pa)]]/1000000</f>
        <v>1.4811126632938156</v>
      </c>
    </row>
    <row r="159" spans="1:6" x14ac:dyDescent="0.3">
      <c r="A159" s="5">
        <v>11.667</v>
      </c>
      <c r="B159" s="5">
        <v>0.96426999999999996</v>
      </c>
      <c r="C159" s="1">
        <f>Tabela9[[#This Row],[Alongamento (mm/mm)]]/$I$2</f>
        <v>1.9285399999999998E-2</v>
      </c>
      <c r="D159" s="5">
        <v>63.616999999999997</v>
      </c>
      <c r="E159" s="1">
        <f>Tabela9[[#This Row],[Força (N)]]/$I$5</f>
        <v>1501194.0270331495</v>
      </c>
      <c r="F159" s="1">
        <f>Tabela9[[#This Row],[Tensão (Pa)]]/1000000</f>
        <v>1.5011940270331494</v>
      </c>
    </row>
    <row r="160" spans="1:6" x14ac:dyDescent="0.3">
      <c r="A160" s="5">
        <v>11.717000000000001</v>
      </c>
      <c r="B160" s="5">
        <v>0.96845000000000003</v>
      </c>
      <c r="C160" s="1">
        <f>Tabela9[[#This Row],[Alongamento (mm/mm)]]/$I$2</f>
        <v>1.9369000000000001E-2</v>
      </c>
      <c r="D160" s="5">
        <v>64.296999999999997</v>
      </c>
      <c r="E160" s="1">
        <f>Tabela9[[#This Row],[Força (N)]]/$I$5</f>
        <v>1517240.2401268594</v>
      </c>
      <c r="F160" s="1">
        <f>Tabela9[[#This Row],[Tensão (Pa)]]/1000000</f>
        <v>1.5172402401268594</v>
      </c>
    </row>
    <row r="161" spans="1:6" x14ac:dyDescent="0.3">
      <c r="A161" s="5">
        <v>11.766999999999999</v>
      </c>
      <c r="B161" s="5">
        <v>0.97255000000000003</v>
      </c>
      <c r="C161" s="1">
        <f>Tabela9[[#This Row],[Alongamento (mm/mm)]]/$I$2</f>
        <v>1.9451E-2</v>
      </c>
      <c r="D161" s="5">
        <v>64.977999999999994</v>
      </c>
      <c r="E161" s="1">
        <f>Tabela9[[#This Row],[Força (N)]]/$I$5</f>
        <v>1533310.0505927659</v>
      </c>
      <c r="F161" s="1">
        <f>Tabela9[[#This Row],[Tensão (Pa)]]/1000000</f>
        <v>1.5333100505927659</v>
      </c>
    </row>
    <row r="162" spans="1:6" x14ac:dyDescent="0.3">
      <c r="A162" s="5">
        <v>11.817</v>
      </c>
      <c r="B162" s="5">
        <v>0.97674000000000005</v>
      </c>
      <c r="C162" s="1">
        <f>Tabela9[[#This Row],[Alongamento (mm/mm)]]/$I$2</f>
        <v>1.9534800000000001E-2</v>
      </c>
      <c r="D162" s="5">
        <v>65.658000000000001</v>
      </c>
      <c r="E162" s="1">
        <f>Tabela9[[#This Row],[Força (N)]]/$I$5</f>
        <v>1549356.263686476</v>
      </c>
      <c r="F162" s="1">
        <f>Tabela9[[#This Row],[Tensão (Pa)]]/1000000</f>
        <v>1.5493562636864759</v>
      </c>
    </row>
    <row r="163" spans="1:6" x14ac:dyDescent="0.3">
      <c r="A163" s="5">
        <v>11.867000000000001</v>
      </c>
      <c r="B163" s="5">
        <v>0.98092000000000001</v>
      </c>
      <c r="C163" s="1">
        <f>Tabela9[[#This Row],[Alongamento (mm/mm)]]/$I$2</f>
        <v>1.9618400000000001E-2</v>
      </c>
      <c r="D163" s="5">
        <v>66.338999999999999</v>
      </c>
      <c r="E163" s="1">
        <f>Tabela9[[#This Row],[Força (N)]]/$I$5</f>
        <v>1565426.0741523823</v>
      </c>
      <c r="F163" s="1">
        <f>Tabela9[[#This Row],[Tensão (Pa)]]/1000000</f>
        <v>1.5654260741523822</v>
      </c>
    </row>
    <row r="164" spans="1:6" x14ac:dyDescent="0.3">
      <c r="A164" s="5">
        <v>11.917</v>
      </c>
      <c r="B164" s="5">
        <v>0.98511000000000004</v>
      </c>
      <c r="C164" s="1">
        <f>Tabela9[[#This Row],[Alongamento (mm/mm)]]/$I$2</f>
        <v>1.97022E-2</v>
      </c>
      <c r="D164" s="5">
        <v>67.019000000000005</v>
      </c>
      <c r="E164" s="1">
        <f>Tabela9[[#This Row],[Força (N)]]/$I$5</f>
        <v>1581472.2872460925</v>
      </c>
      <c r="F164" s="1">
        <f>Tabela9[[#This Row],[Tensão (Pa)]]/1000000</f>
        <v>1.5814722872460925</v>
      </c>
    </row>
    <row r="165" spans="1:6" x14ac:dyDescent="0.3">
      <c r="A165" s="5">
        <v>11.967000000000001</v>
      </c>
      <c r="B165" s="5">
        <v>0.98929999999999996</v>
      </c>
      <c r="C165" s="1">
        <f>Tabela9[[#This Row],[Alongamento (mm/mm)]]/$I$2</f>
        <v>1.9785999999999998E-2</v>
      </c>
      <c r="D165" s="5">
        <v>67.698999999999998</v>
      </c>
      <c r="E165" s="1">
        <f>Tabela9[[#This Row],[Força (N)]]/$I$5</f>
        <v>1597518.5003398021</v>
      </c>
      <c r="F165" s="1">
        <f>Tabela9[[#This Row],[Tensão (Pa)]]/1000000</f>
        <v>1.597518500339802</v>
      </c>
    </row>
    <row r="166" spans="1:6" x14ac:dyDescent="0.3">
      <c r="A166" s="5">
        <v>12.016999999999999</v>
      </c>
      <c r="B166" s="5">
        <v>0.99339</v>
      </c>
      <c r="C166" s="1">
        <f>Tabela9[[#This Row],[Alongamento (mm/mm)]]/$I$2</f>
        <v>1.9867800000000001E-2</v>
      </c>
      <c r="D166" s="5">
        <v>68.38</v>
      </c>
      <c r="E166" s="1">
        <f>Tabela9[[#This Row],[Força (N)]]/$I$5</f>
        <v>1613588.3108057086</v>
      </c>
      <c r="F166" s="1">
        <f>Tabela9[[#This Row],[Tensão (Pa)]]/1000000</f>
        <v>1.6135883108057085</v>
      </c>
    </row>
    <row r="167" spans="1:6" x14ac:dyDescent="0.3">
      <c r="A167" s="5">
        <v>12.067</v>
      </c>
      <c r="B167" s="5">
        <v>0.99758000000000002</v>
      </c>
      <c r="C167" s="1">
        <f>Tabela9[[#This Row],[Alongamento (mm/mm)]]/$I$2</f>
        <v>1.99516E-2</v>
      </c>
      <c r="D167" s="5">
        <v>69.06</v>
      </c>
      <c r="E167" s="1">
        <f>Tabela9[[#This Row],[Força (N)]]/$I$5</f>
        <v>1629634.5238994188</v>
      </c>
      <c r="F167" s="1">
        <f>Tabela9[[#This Row],[Tensão (Pa)]]/1000000</f>
        <v>1.6296345238994188</v>
      </c>
    </row>
    <row r="168" spans="1:6" x14ac:dyDescent="0.3">
      <c r="A168" s="5">
        <v>12.117000000000001</v>
      </c>
      <c r="B168" s="5">
        <v>1.0018</v>
      </c>
      <c r="C168" s="1">
        <f>Tabela9[[#This Row],[Alongamento (mm/mm)]]/$I$2</f>
        <v>2.0036000000000002E-2</v>
      </c>
      <c r="D168" s="5">
        <v>69.741</v>
      </c>
      <c r="E168" s="1">
        <f>Tabela9[[#This Row],[Força (N)]]/$I$5</f>
        <v>1645704.334365325</v>
      </c>
      <c r="F168" s="1">
        <f>Tabela9[[#This Row],[Tensão (Pa)]]/1000000</f>
        <v>1.645704334365325</v>
      </c>
    </row>
    <row r="169" spans="1:6" x14ac:dyDescent="0.3">
      <c r="A169" s="5">
        <v>12.167</v>
      </c>
      <c r="B169" s="5">
        <v>1.006</v>
      </c>
      <c r="C169" s="1">
        <f>Tabela9[[#This Row],[Alongamento (mm/mm)]]/$I$2</f>
        <v>2.0119999999999999E-2</v>
      </c>
      <c r="D169" s="5">
        <v>70.421000000000006</v>
      </c>
      <c r="E169" s="1">
        <f>Tabela9[[#This Row],[Força (N)]]/$I$5</f>
        <v>1661750.5474590352</v>
      </c>
      <c r="F169" s="1">
        <f>Tabela9[[#This Row],[Tensão (Pa)]]/1000000</f>
        <v>1.6617505474590353</v>
      </c>
    </row>
    <row r="170" spans="1:6" x14ac:dyDescent="0.3">
      <c r="A170" s="5">
        <v>12.217000000000001</v>
      </c>
      <c r="B170" s="5">
        <v>1.0101</v>
      </c>
      <c r="C170" s="1">
        <f>Tabela9[[#This Row],[Alongamento (mm/mm)]]/$I$2</f>
        <v>2.0202000000000001E-2</v>
      </c>
      <c r="D170" s="5">
        <v>71.100999999999999</v>
      </c>
      <c r="E170" s="1">
        <f>Tabela9[[#This Row],[Força (N)]]/$I$5</f>
        <v>1677796.7605527448</v>
      </c>
      <c r="F170" s="1">
        <f>Tabela9[[#This Row],[Tensão (Pa)]]/1000000</f>
        <v>1.6777967605527448</v>
      </c>
    </row>
    <row r="171" spans="1:6" x14ac:dyDescent="0.3">
      <c r="A171" s="5">
        <v>12.266999999999999</v>
      </c>
      <c r="B171" s="5">
        <v>1.0142</v>
      </c>
      <c r="C171" s="1">
        <f>Tabela9[[#This Row],[Alongamento (mm/mm)]]/$I$2</f>
        <v>2.0284E-2</v>
      </c>
      <c r="D171" s="5">
        <v>71.781999999999996</v>
      </c>
      <c r="E171" s="1">
        <f>Tabela9[[#This Row],[Força (N)]]/$I$5</f>
        <v>1693866.5710186514</v>
      </c>
      <c r="F171" s="1">
        <f>Tabela9[[#This Row],[Tensão (Pa)]]/1000000</f>
        <v>1.6938665710186513</v>
      </c>
    </row>
    <row r="172" spans="1:6" x14ac:dyDescent="0.3">
      <c r="A172" s="5">
        <v>12.317</v>
      </c>
      <c r="B172" s="5">
        <v>1.0184</v>
      </c>
      <c r="C172" s="1">
        <f>Tabela9[[#This Row],[Alongamento (mm/mm)]]/$I$2</f>
        <v>2.0368000000000001E-2</v>
      </c>
      <c r="D172" s="5">
        <v>72.462000000000003</v>
      </c>
      <c r="E172" s="1">
        <f>Tabela9[[#This Row],[Força (N)]]/$I$5</f>
        <v>1709912.7841123613</v>
      </c>
      <c r="F172" s="1">
        <f>Tabela9[[#This Row],[Tensão (Pa)]]/1000000</f>
        <v>1.7099127841123614</v>
      </c>
    </row>
    <row r="173" spans="1:6" x14ac:dyDescent="0.3">
      <c r="A173" s="5">
        <v>12.367000000000001</v>
      </c>
      <c r="B173" s="5">
        <v>1.0226</v>
      </c>
      <c r="C173" s="1">
        <f>Tabela9[[#This Row],[Alongamento (mm/mm)]]/$I$2</f>
        <v>2.0451999999999998E-2</v>
      </c>
      <c r="D173" s="5">
        <v>73.141999999999996</v>
      </c>
      <c r="E173" s="1">
        <f>Tabela9[[#This Row],[Força (N)]]/$I$5</f>
        <v>1725958.9972060712</v>
      </c>
      <c r="F173" s="1">
        <f>Tabela9[[#This Row],[Tensão (Pa)]]/1000000</f>
        <v>1.7259589972060712</v>
      </c>
    </row>
    <row r="174" spans="1:6" x14ac:dyDescent="0.3">
      <c r="A174" s="5">
        <v>12.417</v>
      </c>
      <c r="B174" s="5">
        <v>1.0267999999999999</v>
      </c>
      <c r="C174" s="1">
        <f>Tabela9[[#This Row],[Alongamento (mm/mm)]]/$I$2</f>
        <v>2.0535999999999999E-2</v>
      </c>
      <c r="D174" s="5">
        <v>73.822999999999993</v>
      </c>
      <c r="E174" s="1">
        <f>Tabela9[[#This Row],[Força (N)]]/$I$5</f>
        <v>1742028.8076719774</v>
      </c>
      <c r="F174" s="1">
        <f>Tabela9[[#This Row],[Tensão (Pa)]]/1000000</f>
        <v>1.7420288076719774</v>
      </c>
    </row>
    <row r="175" spans="1:6" x14ac:dyDescent="0.3">
      <c r="A175" s="5">
        <v>12.467000000000001</v>
      </c>
      <c r="B175" s="5">
        <v>1.0309999999999999</v>
      </c>
      <c r="C175" s="1">
        <f>Tabela9[[#This Row],[Alongamento (mm/mm)]]/$I$2</f>
        <v>2.0619999999999999E-2</v>
      </c>
      <c r="D175" s="5">
        <v>74.503</v>
      </c>
      <c r="E175" s="1">
        <f>Tabela9[[#This Row],[Força (N)]]/$I$5</f>
        <v>1758075.0207656876</v>
      </c>
      <c r="F175" s="1">
        <f>Tabela9[[#This Row],[Tensão (Pa)]]/1000000</f>
        <v>1.7580750207656877</v>
      </c>
    </row>
    <row r="176" spans="1:6" x14ac:dyDescent="0.3">
      <c r="A176" s="5">
        <v>12.516999999999999</v>
      </c>
      <c r="B176" s="5">
        <v>1.0350999999999999</v>
      </c>
      <c r="C176" s="1">
        <f>Tabela9[[#This Row],[Alongamento (mm/mm)]]/$I$2</f>
        <v>2.0701999999999998E-2</v>
      </c>
      <c r="D176" s="5">
        <v>75.183999999999997</v>
      </c>
      <c r="E176" s="1">
        <f>Tabela9[[#This Row],[Força (N)]]/$I$5</f>
        <v>1774144.8312315941</v>
      </c>
      <c r="F176" s="1">
        <f>Tabela9[[#This Row],[Tensão (Pa)]]/1000000</f>
        <v>1.7741448312315942</v>
      </c>
    </row>
    <row r="177" spans="1:6" x14ac:dyDescent="0.3">
      <c r="A177" s="5">
        <v>12.567</v>
      </c>
      <c r="B177" s="5">
        <v>1.0392999999999999</v>
      </c>
      <c r="C177" s="1">
        <f>Tabela9[[#This Row],[Alongamento (mm/mm)]]/$I$2</f>
        <v>2.0785999999999999E-2</v>
      </c>
      <c r="D177" s="5">
        <v>76.034000000000006</v>
      </c>
      <c r="E177" s="1">
        <f>Tabela9[[#This Row],[Força (N)]]/$I$5</f>
        <v>1794202.5975987315</v>
      </c>
      <c r="F177" s="1">
        <f>Tabela9[[#This Row],[Tensão (Pa)]]/1000000</f>
        <v>1.7942025975987315</v>
      </c>
    </row>
    <row r="178" spans="1:6" x14ac:dyDescent="0.3">
      <c r="A178" s="5">
        <v>12.617000000000001</v>
      </c>
      <c r="B178" s="5">
        <v>1.0435000000000001</v>
      </c>
      <c r="C178" s="1">
        <f>Tabela9[[#This Row],[Alongamento (mm/mm)]]/$I$2</f>
        <v>2.0870000000000003E-2</v>
      </c>
      <c r="D178" s="5">
        <v>76.715000000000003</v>
      </c>
      <c r="E178" s="1">
        <f>Tabela9[[#This Row],[Força (N)]]/$I$5</f>
        <v>1810272.408064638</v>
      </c>
      <c r="F178" s="1">
        <f>Tabela9[[#This Row],[Tensão (Pa)]]/1000000</f>
        <v>1.810272408064638</v>
      </c>
    </row>
    <row r="179" spans="1:6" x14ac:dyDescent="0.3">
      <c r="A179" s="5">
        <v>12.667</v>
      </c>
      <c r="B179" s="5">
        <v>1.0476000000000001</v>
      </c>
      <c r="C179" s="1">
        <f>Tabela9[[#This Row],[Alongamento (mm/mm)]]/$I$2</f>
        <v>2.0952000000000002E-2</v>
      </c>
      <c r="D179" s="5">
        <v>77.394999999999996</v>
      </c>
      <c r="E179" s="1">
        <f>Tabela9[[#This Row],[Força (N)]]/$I$5</f>
        <v>1826318.6211583477</v>
      </c>
      <c r="F179" s="1">
        <f>Tabela9[[#This Row],[Tensão (Pa)]]/1000000</f>
        <v>1.8263186211583478</v>
      </c>
    </row>
    <row r="180" spans="1:6" x14ac:dyDescent="0.3">
      <c r="A180" s="5">
        <v>12.717000000000001</v>
      </c>
      <c r="B180" s="5">
        <v>1.0517000000000001</v>
      </c>
      <c r="C180" s="1">
        <f>Tabela9[[#This Row],[Alongamento (mm/mm)]]/$I$2</f>
        <v>2.1034000000000001E-2</v>
      </c>
      <c r="D180" s="5">
        <v>78.075000000000003</v>
      </c>
      <c r="E180" s="1">
        <f>Tabela9[[#This Row],[Força (N)]]/$I$5</f>
        <v>1842364.8342520578</v>
      </c>
      <c r="F180" s="1">
        <f>Tabela9[[#This Row],[Tensão (Pa)]]/1000000</f>
        <v>1.8423648342520578</v>
      </c>
    </row>
    <row r="181" spans="1:6" x14ac:dyDescent="0.3">
      <c r="A181" s="5">
        <v>12.766999999999999</v>
      </c>
      <c r="B181" s="5">
        <v>1.0559000000000001</v>
      </c>
      <c r="C181" s="1">
        <f>Tabela9[[#This Row],[Alongamento (mm/mm)]]/$I$2</f>
        <v>2.1118000000000001E-2</v>
      </c>
      <c r="D181" s="5">
        <v>78.756</v>
      </c>
      <c r="E181" s="1">
        <f>Tabela9[[#This Row],[Força (N)]]/$I$5</f>
        <v>1858434.6447179643</v>
      </c>
      <c r="F181" s="1">
        <f>Tabela9[[#This Row],[Tensão (Pa)]]/1000000</f>
        <v>1.8584346447179643</v>
      </c>
    </row>
    <row r="182" spans="1:6" x14ac:dyDescent="0.3">
      <c r="A182" s="5">
        <v>12.817</v>
      </c>
      <c r="B182" s="5">
        <v>1.06</v>
      </c>
      <c r="C182" s="1">
        <f>Tabela9[[#This Row],[Alongamento (mm/mm)]]/$I$2</f>
        <v>2.12E-2</v>
      </c>
      <c r="D182" s="5">
        <v>79.436000000000007</v>
      </c>
      <c r="E182" s="1">
        <f>Tabela9[[#This Row],[Força (N)]]/$I$5</f>
        <v>1874480.8578116742</v>
      </c>
      <c r="F182" s="1">
        <f>Tabela9[[#This Row],[Tensão (Pa)]]/1000000</f>
        <v>1.8744808578116743</v>
      </c>
    </row>
    <row r="183" spans="1:6" x14ac:dyDescent="0.3">
      <c r="A183" s="5">
        <v>12.867000000000001</v>
      </c>
      <c r="B183" s="5">
        <v>1.0643</v>
      </c>
      <c r="C183" s="1">
        <f>Tabela9[[#This Row],[Alongamento (mm/mm)]]/$I$2</f>
        <v>2.1285999999999999E-2</v>
      </c>
      <c r="D183" s="5">
        <v>80.287000000000006</v>
      </c>
      <c r="E183" s="1">
        <f>Tabela9[[#This Row],[Força (N)]]/$I$5</f>
        <v>1894562.2215510083</v>
      </c>
      <c r="F183" s="1">
        <f>Tabela9[[#This Row],[Tensão (Pa)]]/1000000</f>
        <v>1.8945622215510083</v>
      </c>
    </row>
    <row r="184" spans="1:6" x14ac:dyDescent="0.3">
      <c r="A184" s="5">
        <v>12.917</v>
      </c>
      <c r="B184" s="5">
        <v>1.0684</v>
      </c>
      <c r="C184" s="1">
        <f>Tabela9[[#This Row],[Alongamento (mm/mm)]]/$I$2</f>
        <v>2.1368000000000002E-2</v>
      </c>
      <c r="D184" s="5">
        <v>80.966999999999999</v>
      </c>
      <c r="E184" s="1">
        <f>Tabela9[[#This Row],[Força (N)]]/$I$5</f>
        <v>1910608.434644718</v>
      </c>
      <c r="F184" s="1">
        <f>Tabela9[[#This Row],[Tensão (Pa)]]/1000000</f>
        <v>1.9106084346447179</v>
      </c>
    </row>
    <row r="185" spans="1:6" x14ac:dyDescent="0.3">
      <c r="A185" s="5">
        <v>12.967000000000001</v>
      </c>
      <c r="B185" s="5">
        <v>1.0726</v>
      </c>
      <c r="C185" s="1">
        <f>Tabela9[[#This Row],[Alongamento (mm/mm)]]/$I$2</f>
        <v>2.1451999999999999E-2</v>
      </c>
      <c r="D185" s="5">
        <v>81.647000000000006</v>
      </c>
      <c r="E185" s="1">
        <f>Tabela9[[#This Row],[Força (N)]]/$I$5</f>
        <v>1926654.6477384281</v>
      </c>
      <c r="F185" s="1">
        <f>Tabela9[[#This Row],[Tensão (Pa)]]/1000000</f>
        <v>1.9266546477384281</v>
      </c>
    </row>
    <row r="186" spans="1:6" x14ac:dyDescent="0.3">
      <c r="A186" s="5">
        <v>13.016999999999999</v>
      </c>
      <c r="B186" s="5">
        <v>1.0768</v>
      </c>
      <c r="C186" s="1">
        <f>Tabela9[[#This Row],[Alongamento (mm/mm)]]/$I$2</f>
        <v>2.1536E-2</v>
      </c>
      <c r="D186" s="5">
        <v>82.498000000000005</v>
      </c>
      <c r="E186" s="1">
        <f>Tabela9[[#This Row],[Força (N)]]/$I$5</f>
        <v>1946736.0114777619</v>
      </c>
      <c r="F186" s="1">
        <f>Tabela9[[#This Row],[Tensão (Pa)]]/1000000</f>
        <v>1.9467360114777619</v>
      </c>
    </row>
    <row r="187" spans="1:6" x14ac:dyDescent="0.3">
      <c r="A187" s="5">
        <v>13.067</v>
      </c>
      <c r="B187" s="5">
        <v>1.0809</v>
      </c>
      <c r="C187" s="1">
        <f>Tabela9[[#This Row],[Alongamento (mm/mm)]]/$I$2</f>
        <v>2.1617999999999998E-2</v>
      </c>
      <c r="D187" s="5">
        <v>83.177999999999997</v>
      </c>
      <c r="E187" s="1">
        <f>Tabela9[[#This Row],[Força (N)]]/$I$5</f>
        <v>1962782.2245714718</v>
      </c>
      <c r="F187" s="1">
        <f>Tabela9[[#This Row],[Tensão (Pa)]]/1000000</f>
        <v>1.9627822245714719</v>
      </c>
    </row>
    <row r="188" spans="1:6" x14ac:dyDescent="0.3">
      <c r="A188" s="5">
        <v>13.117000000000001</v>
      </c>
      <c r="B188" s="5">
        <v>1.0851</v>
      </c>
      <c r="C188" s="1">
        <f>Tabela9[[#This Row],[Alongamento (mm/mm)]]/$I$2</f>
        <v>2.1701999999999999E-2</v>
      </c>
      <c r="D188" s="5">
        <v>83.858999999999995</v>
      </c>
      <c r="E188" s="1">
        <f>Tabela9[[#This Row],[Força (N)]]/$I$5</f>
        <v>1978852.0350373781</v>
      </c>
      <c r="F188" s="1">
        <f>Tabela9[[#This Row],[Tensão (Pa)]]/1000000</f>
        <v>1.9788520350373782</v>
      </c>
    </row>
    <row r="189" spans="1:6" x14ac:dyDescent="0.3">
      <c r="A189" s="5">
        <v>13.167</v>
      </c>
      <c r="B189" s="5">
        <v>1.0892999999999999</v>
      </c>
      <c r="C189" s="1">
        <f>Tabela9[[#This Row],[Alongamento (mm/mm)]]/$I$2</f>
        <v>2.1786E-2</v>
      </c>
      <c r="D189" s="5">
        <v>84.709000000000003</v>
      </c>
      <c r="E189" s="1">
        <f>Tabela9[[#This Row],[Força (N)]]/$I$5</f>
        <v>1998909.8014045157</v>
      </c>
      <c r="F189" s="1">
        <f>Tabela9[[#This Row],[Tensão (Pa)]]/1000000</f>
        <v>1.9989098014045157</v>
      </c>
    </row>
    <row r="190" spans="1:6" x14ac:dyDescent="0.3">
      <c r="A190" s="5">
        <v>13.217000000000001</v>
      </c>
      <c r="B190" s="5">
        <v>1.0933999999999999</v>
      </c>
      <c r="C190" s="1">
        <f>Tabela9[[#This Row],[Alongamento (mm/mm)]]/$I$2</f>
        <v>2.1867999999999999E-2</v>
      </c>
      <c r="D190" s="5">
        <v>85.39</v>
      </c>
      <c r="E190" s="1">
        <f>Tabela9[[#This Row],[Força (N)]]/$I$5</f>
        <v>2014979.6118704223</v>
      </c>
      <c r="F190" s="1">
        <f>Tabela9[[#This Row],[Tensão (Pa)]]/1000000</f>
        <v>2.0149796118704222</v>
      </c>
    </row>
    <row r="191" spans="1:6" x14ac:dyDescent="0.3">
      <c r="A191" s="5">
        <v>13.266999999999999</v>
      </c>
      <c r="B191" s="5">
        <v>1.0975999999999999</v>
      </c>
      <c r="C191" s="1">
        <f>Tabela9[[#This Row],[Alongamento (mm/mm)]]/$I$2</f>
        <v>2.1951999999999999E-2</v>
      </c>
      <c r="D191" s="5">
        <v>86.07</v>
      </c>
      <c r="E191" s="1">
        <f>Tabela9[[#This Row],[Força (N)]]/$I$5</f>
        <v>2031025.8249641319</v>
      </c>
      <c r="F191" s="1">
        <f>Tabela9[[#This Row],[Tensão (Pa)]]/1000000</f>
        <v>2.0310258249641318</v>
      </c>
    </row>
    <row r="192" spans="1:6" x14ac:dyDescent="0.3">
      <c r="A192" s="5">
        <v>13.317</v>
      </c>
      <c r="B192" s="5">
        <v>1.1016999999999999</v>
      </c>
      <c r="C192" s="1">
        <f>Tabela9[[#This Row],[Alongamento (mm/mm)]]/$I$2</f>
        <v>2.2033999999999998E-2</v>
      </c>
      <c r="D192" s="5">
        <v>86.92</v>
      </c>
      <c r="E192" s="1">
        <f>Tabela9[[#This Row],[Força (N)]]/$I$5</f>
        <v>2051083.5913312694</v>
      </c>
      <c r="F192" s="1">
        <f>Tabela9[[#This Row],[Tensão (Pa)]]/1000000</f>
        <v>2.0510835913312695</v>
      </c>
    </row>
    <row r="193" spans="1:6" x14ac:dyDescent="0.3">
      <c r="A193" s="5">
        <v>13.367000000000001</v>
      </c>
      <c r="B193" s="5">
        <v>1.1059000000000001</v>
      </c>
      <c r="C193" s="1">
        <f>Tabela9[[#This Row],[Alongamento (mm/mm)]]/$I$2</f>
        <v>2.2118000000000002E-2</v>
      </c>
      <c r="D193" s="5">
        <v>87.600999999999999</v>
      </c>
      <c r="E193" s="1">
        <f>Tabela9[[#This Row],[Força (N)]]/$I$5</f>
        <v>2067153.4017971759</v>
      </c>
      <c r="F193" s="1">
        <f>Tabela9[[#This Row],[Tensão (Pa)]]/1000000</f>
        <v>2.0671534017971758</v>
      </c>
    </row>
    <row r="194" spans="1:6" x14ac:dyDescent="0.3">
      <c r="A194" s="5">
        <v>13.417</v>
      </c>
      <c r="B194" s="5">
        <v>1.1101000000000001</v>
      </c>
      <c r="C194" s="1">
        <f>Tabela9[[#This Row],[Alongamento (mm/mm)]]/$I$2</f>
        <v>2.2202000000000003E-2</v>
      </c>
      <c r="D194" s="5">
        <v>88.281000000000006</v>
      </c>
      <c r="E194" s="1">
        <f>Tabela9[[#This Row],[Força (N)]]/$I$5</f>
        <v>2083199.614890886</v>
      </c>
      <c r="F194" s="1">
        <f>Tabela9[[#This Row],[Tensão (Pa)]]/1000000</f>
        <v>2.0831996148908858</v>
      </c>
    </row>
    <row r="195" spans="1:6" x14ac:dyDescent="0.3">
      <c r="A195" s="5">
        <v>13.467000000000001</v>
      </c>
      <c r="B195" s="5">
        <v>1.1143000000000001</v>
      </c>
      <c r="C195" s="1">
        <f>Tabela9[[#This Row],[Alongamento (mm/mm)]]/$I$2</f>
        <v>2.2286E-2</v>
      </c>
      <c r="D195" s="5">
        <v>89.132000000000005</v>
      </c>
      <c r="E195" s="1">
        <f>Tabela9[[#This Row],[Força (N)]]/$I$5</f>
        <v>2103280.9786302201</v>
      </c>
      <c r="F195" s="1">
        <f>Tabela9[[#This Row],[Tensão (Pa)]]/1000000</f>
        <v>2.1032809786302202</v>
      </c>
    </row>
    <row r="196" spans="1:6" x14ac:dyDescent="0.3">
      <c r="A196" s="5">
        <v>13.516999999999999</v>
      </c>
      <c r="B196" s="5">
        <v>1.1184000000000001</v>
      </c>
      <c r="C196" s="1">
        <f>Tabela9[[#This Row],[Alongamento (mm/mm)]]/$I$2</f>
        <v>2.2368000000000002E-2</v>
      </c>
      <c r="D196" s="5">
        <v>89.811999999999998</v>
      </c>
      <c r="E196" s="1">
        <f>Tabela9[[#This Row],[Força (N)]]/$I$5</f>
        <v>2119327.1917239297</v>
      </c>
      <c r="F196" s="1">
        <f>Tabela9[[#This Row],[Tensão (Pa)]]/1000000</f>
        <v>2.1193271917239298</v>
      </c>
    </row>
    <row r="197" spans="1:6" x14ac:dyDescent="0.3">
      <c r="A197" s="5">
        <v>13.567</v>
      </c>
      <c r="B197" s="5">
        <v>1.1226</v>
      </c>
      <c r="C197" s="1">
        <f>Tabela9[[#This Row],[Alongamento (mm/mm)]]/$I$2</f>
        <v>2.2452E-2</v>
      </c>
      <c r="D197" s="5">
        <v>90.492999999999995</v>
      </c>
      <c r="E197" s="1">
        <f>Tabela9[[#This Row],[Força (N)]]/$I$5</f>
        <v>2135397.002189836</v>
      </c>
      <c r="F197" s="1">
        <f>Tabela9[[#This Row],[Tensão (Pa)]]/1000000</f>
        <v>2.1353970021898361</v>
      </c>
    </row>
    <row r="198" spans="1:6" x14ac:dyDescent="0.3">
      <c r="A198" s="5">
        <v>13.617000000000001</v>
      </c>
      <c r="B198" s="5">
        <v>1.1267</v>
      </c>
      <c r="C198" s="1">
        <f>Tabela9[[#This Row],[Alongamento (mm/mm)]]/$I$2</f>
        <v>2.2534000000000002E-2</v>
      </c>
      <c r="D198" s="5">
        <v>91.173000000000002</v>
      </c>
      <c r="E198" s="1">
        <f>Tabela9[[#This Row],[Força (N)]]/$I$5</f>
        <v>2151443.2152835461</v>
      </c>
      <c r="F198" s="1">
        <f>Tabela9[[#This Row],[Tensão (Pa)]]/1000000</f>
        <v>2.1514432152835461</v>
      </c>
    </row>
    <row r="199" spans="1:6" x14ac:dyDescent="0.3">
      <c r="A199" s="5">
        <v>13.667</v>
      </c>
      <c r="B199" s="5">
        <v>1.1309</v>
      </c>
      <c r="C199" s="1">
        <f>Tabela9[[#This Row],[Alongamento (mm/mm)]]/$I$2</f>
        <v>2.2617999999999999E-2</v>
      </c>
      <c r="D199" s="5">
        <v>92.022999999999996</v>
      </c>
      <c r="E199" s="1">
        <f>Tabela9[[#This Row],[Força (N)]]/$I$5</f>
        <v>2171500.9816506836</v>
      </c>
      <c r="F199" s="1">
        <f>Tabela9[[#This Row],[Tensão (Pa)]]/1000000</f>
        <v>2.1715009816506834</v>
      </c>
    </row>
    <row r="200" spans="1:6" x14ac:dyDescent="0.3">
      <c r="A200" s="5">
        <v>13.717000000000001</v>
      </c>
      <c r="B200" s="5">
        <v>1.1351</v>
      </c>
      <c r="C200" s="1">
        <f>Tabela9[[#This Row],[Alongamento (mm/mm)]]/$I$2</f>
        <v>2.2702E-2</v>
      </c>
      <c r="D200" s="5">
        <v>92.703999999999994</v>
      </c>
      <c r="E200" s="1">
        <f>Tabela9[[#This Row],[Força (N)]]/$I$5</f>
        <v>2187570.7921165898</v>
      </c>
      <c r="F200" s="1">
        <f>Tabela9[[#This Row],[Tensão (Pa)]]/1000000</f>
        <v>2.1875707921165897</v>
      </c>
    </row>
    <row r="201" spans="1:6" x14ac:dyDescent="0.3">
      <c r="A201" s="5">
        <v>13.766999999999999</v>
      </c>
      <c r="B201" s="5">
        <v>1.1392</v>
      </c>
      <c r="C201" s="1">
        <f>Tabela9[[#This Row],[Alongamento (mm/mm)]]/$I$2</f>
        <v>2.2783999999999999E-2</v>
      </c>
      <c r="D201" s="5">
        <v>93.384</v>
      </c>
      <c r="E201" s="1">
        <f>Tabela9[[#This Row],[Força (N)]]/$I$5</f>
        <v>2203617.0052103</v>
      </c>
      <c r="F201" s="1">
        <f>Tabela9[[#This Row],[Tensão (Pa)]]/1000000</f>
        <v>2.2036170052103001</v>
      </c>
    </row>
    <row r="202" spans="1:6" x14ac:dyDescent="0.3">
      <c r="A202" s="5">
        <v>13.817</v>
      </c>
      <c r="B202" s="5">
        <v>1.1434</v>
      </c>
      <c r="C202" s="1">
        <f>Tabela9[[#This Row],[Alongamento (mm/mm)]]/$I$2</f>
        <v>2.2867999999999999E-2</v>
      </c>
      <c r="D202" s="5">
        <v>94.234999999999999</v>
      </c>
      <c r="E202" s="1">
        <f>Tabela9[[#This Row],[Força (N)]]/$I$5</f>
        <v>2223698.368949634</v>
      </c>
      <c r="F202" s="1">
        <f>Tabela9[[#This Row],[Tensão (Pa)]]/1000000</f>
        <v>2.2236983689496341</v>
      </c>
    </row>
    <row r="203" spans="1:6" x14ac:dyDescent="0.3">
      <c r="A203" s="5">
        <v>13.867000000000001</v>
      </c>
      <c r="B203" s="5">
        <v>1.1475</v>
      </c>
      <c r="C203" s="1">
        <f>Tabela9[[#This Row],[Alongamento (mm/mm)]]/$I$2</f>
        <v>2.2949999999999998E-2</v>
      </c>
      <c r="D203" s="5">
        <v>94.915000000000006</v>
      </c>
      <c r="E203" s="1">
        <f>Tabela9[[#This Row],[Força (N)]]/$I$5</f>
        <v>2239744.5820433437</v>
      </c>
      <c r="F203" s="1">
        <f>Tabela9[[#This Row],[Tensão (Pa)]]/1000000</f>
        <v>2.2397445820433437</v>
      </c>
    </row>
    <row r="204" spans="1:6" x14ac:dyDescent="0.3">
      <c r="A204" s="5">
        <v>13.917</v>
      </c>
      <c r="B204" s="5">
        <v>1.1517999999999999</v>
      </c>
      <c r="C204" s="1">
        <f>Tabela9[[#This Row],[Alongamento (mm/mm)]]/$I$2</f>
        <v>2.3035999999999997E-2</v>
      </c>
      <c r="D204" s="5">
        <v>95.766000000000005</v>
      </c>
      <c r="E204" s="1">
        <f>Tabela9[[#This Row],[Força (N)]]/$I$5</f>
        <v>2259825.9457826777</v>
      </c>
      <c r="F204" s="1">
        <f>Tabela9[[#This Row],[Tensão (Pa)]]/1000000</f>
        <v>2.2598259457826777</v>
      </c>
    </row>
    <row r="205" spans="1:6" x14ac:dyDescent="0.3">
      <c r="A205" s="5">
        <v>13.967000000000001</v>
      </c>
      <c r="B205" s="5">
        <v>1.1559999999999999</v>
      </c>
      <c r="C205" s="1">
        <f>Tabela9[[#This Row],[Alongamento (mm/mm)]]/$I$2</f>
        <v>2.3119999999999998E-2</v>
      </c>
      <c r="D205" s="5">
        <v>96.445999999999998</v>
      </c>
      <c r="E205" s="1">
        <f>Tabela9[[#This Row],[Força (N)]]/$I$5</f>
        <v>2275872.1588763874</v>
      </c>
      <c r="F205" s="1">
        <f>Tabela9[[#This Row],[Tensão (Pa)]]/1000000</f>
        <v>2.2758721588763873</v>
      </c>
    </row>
    <row r="206" spans="1:6" x14ac:dyDescent="0.3">
      <c r="A206" s="5">
        <v>14.016999999999999</v>
      </c>
      <c r="B206" s="5">
        <v>1.1601999999999999</v>
      </c>
      <c r="C206" s="1">
        <f>Tabela9[[#This Row],[Alongamento (mm/mm)]]/$I$2</f>
        <v>2.3203999999999999E-2</v>
      </c>
      <c r="D206" s="5">
        <v>97.296999999999997</v>
      </c>
      <c r="E206" s="1">
        <f>Tabela9[[#This Row],[Força (N)]]/$I$5</f>
        <v>2295953.5226157214</v>
      </c>
      <c r="F206" s="1">
        <f>Tabela9[[#This Row],[Tensão (Pa)]]/1000000</f>
        <v>2.2959535226157213</v>
      </c>
    </row>
    <row r="207" spans="1:6" x14ac:dyDescent="0.3">
      <c r="A207" s="5">
        <v>14.067</v>
      </c>
      <c r="B207" s="5">
        <v>1.1641999999999999</v>
      </c>
      <c r="C207" s="1">
        <f>Tabela9[[#This Row],[Alongamento (mm/mm)]]/$I$2</f>
        <v>2.3283999999999999E-2</v>
      </c>
      <c r="D207" s="5">
        <v>97.977000000000004</v>
      </c>
      <c r="E207" s="1">
        <f>Tabela9[[#This Row],[Força (N)]]/$I$5</f>
        <v>2311999.7357094316</v>
      </c>
      <c r="F207" s="1">
        <f>Tabela9[[#This Row],[Tensão (Pa)]]/1000000</f>
        <v>2.3119997357094317</v>
      </c>
    </row>
    <row r="208" spans="1:6" x14ac:dyDescent="0.3">
      <c r="A208" s="5">
        <v>14.117000000000001</v>
      </c>
      <c r="B208" s="5">
        <v>1.1684000000000001</v>
      </c>
      <c r="C208" s="1">
        <f>Tabela9[[#This Row],[Alongamento (mm/mm)]]/$I$2</f>
        <v>2.3368000000000003E-2</v>
      </c>
      <c r="D208" s="5">
        <v>98.826999999999998</v>
      </c>
      <c r="E208" s="1">
        <f>Tabela9[[#This Row],[Força (N)]]/$I$5</f>
        <v>2332057.5020765685</v>
      </c>
      <c r="F208" s="1">
        <f>Tabela9[[#This Row],[Tensão (Pa)]]/1000000</f>
        <v>2.3320575020765686</v>
      </c>
    </row>
    <row r="209" spans="1:6" x14ac:dyDescent="0.3">
      <c r="A209" s="5">
        <v>14.167</v>
      </c>
      <c r="B209" s="5">
        <v>1.1726000000000001</v>
      </c>
      <c r="C209" s="1">
        <f>Tabela9[[#This Row],[Alongamento (mm/mm)]]/$I$2</f>
        <v>2.3452000000000001E-2</v>
      </c>
      <c r="D209" s="5">
        <v>99.677999999999997</v>
      </c>
      <c r="E209" s="1">
        <f>Tabela9[[#This Row],[Força (N)]]/$I$5</f>
        <v>2352138.8658159026</v>
      </c>
      <c r="F209" s="1">
        <f>Tabela9[[#This Row],[Tensão (Pa)]]/1000000</f>
        <v>2.3521388658159026</v>
      </c>
    </row>
    <row r="210" spans="1:6" x14ac:dyDescent="0.3">
      <c r="A210" s="5">
        <v>14.217000000000001</v>
      </c>
      <c r="B210" s="5">
        <v>1.1768000000000001</v>
      </c>
      <c r="C210" s="1">
        <f>Tabela9[[#This Row],[Alongamento (mm/mm)]]/$I$2</f>
        <v>2.3536000000000001E-2</v>
      </c>
      <c r="D210" s="5">
        <v>100.36</v>
      </c>
      <c r="E210" s="1">
        <f>Tabela9[[#This Row],[Força (N)]]/$I$5</f>
        <v>2368232.273654006</v>
      </c>
      <c r="F210" s="1">
        <f>Tabela9[[#This Row],[Tensão (Pa)]]/1000000</f>
        <v>2.368232273654006</v>
      </c>
    </row>
    <row r="211" spans="1:6" x14ac:dyDescent="0.3">
      <c r="A211" s="5">
        <v>14.25</v>
      </c>
      <c r="B211" s="5">
        <v>1.1795</v>
      </c>
      <c r="C211" s="1">
        <f>Tabela9[[#This Row],[Alongamento (mm/mm)]]/$I$2</f>
        <v>2.359E-2</v>
      </c>
      <c r="D211" s="5">
        <v>101.04</v>
      </c>
      <c r="E211" s="1">
        <f>Tabela9[[#This Row],[Força (N)]]/$I$5</f>
        <v>2384278.4867477161</v>
      </c>
      <c r="F211" s="1">
        <f>Tabela9[[#This Row],[Tensão (Pa)]]/1000000</f>
        <v>2.384278486747716</v>
      </c>
    </row>
    <row r="212" spans="1:6" x14ac:dyDescent="0.3">
      <c r="A212" s="5">
        <v>14.3</v>
      </c>
      <c r="B212" s="5">
        <v>1.1837</v>
      </c>
      <c r="C212" s="1">
        <f>Tabela9[[#This Row],[Alongamento (mm/mm)]]/$I$2</f>
        <v>2.3674000000000001E-2</v>
      </c>
      <c r="D212" s="5">
        <v>101.72</v>
      </c>
      <c r="E212" s="1">
        <f>Tabela9[[#This Row],[Força (N)]]/$I$5</f>
        <v>2400324.6998414258</v>
      </c>
      <c r="F212" s="1">
        <f>Tabela9[[#This Row],[Tensão (Pa)]]/1000000</f>
        <v>2.4003246998414256</v>
      </c>
    </row>
    <row r="213" spans="1:6" x14ac:dyDescent="0.3">
      <c r="A213" s="5">
        <v>14.333</v>
      </c>
      <c r="B213" s="5">
        <v>1.1865000000000001</v>
      </c>
      <c r="C213" s="1">
        <f>Tabela9[[#This Row],[Alongamento (mm/mm)]]/$I$2</f>
        <v>2.3730000000000001E-2</v>
      </c>
      <c r="D213" s="5">
        <v>102.4</v>
      </c>
      <c r="E213" s="1">
        <f>Tabela9[[#This Row],[Força (N)]]/$I$5</f>
        <v>2416370.9129351359</v>
      </c>
      <c r="F213" s="1">
        <f>Tabela9[[#This Row],[Tensão (Pa)]]/1000000</f>
        <v>2.4163709129351361</v>
      </c>
    </row>
    <row r="214" spans="1:6" x14ac:dyDescent="0.3">
      <c r="A214" s="5">
        <v>14.382999999999999</v>
      </c>
      <c r="B214" s="5">
        <v>1.1907000000000001</v>
      </c>
      <c r="C214" s="1">
        <f>Tabela9[[#This Row],[Alongamento (mm/mm)]]/$I$2</f>
        <v>2.3814000000000002E-2</v>
      </c>
      <c r="D214" s="5">
        <v>103.25</v>
      </c>
      <c r="E214" s="1">
        <f>Tabela9[[#This Row],[Força (N)]]/$I$5</f>
        <v>2436428.6793022729</v>
      </c>
      <c r="F214" s="1">
        <f>Tabela9[[#This Row],[Tensão (Pa)]]/1000000</f>
        <v>2.4364286793022729</v>
      </c>
    </row>
    <row r="215" spans="1:6" x14ac:dyDescent="0.3">
      <c r="A215" s="5">
        <v>14.433</v>
      </c>
      <c r="B215" s="5">
        <v>1.1948000000000001</v>
      </c>
      <c r="C215" s="1">
        <f>Tabela9[[#This Row],[Alongamento (mm/mm)]]/$I$2</f>
        <v>2.3896000000000001E-2</v>
      </c>
      <c r="D215" s="5">
        <v>103.93</v>
      </c>
      <c r="E215" s="1">
        <f>Tabela9[[#This Row],[Força (N)]]/$I$5</f>
        <v>2452474.892395983</v>
      </c>
      <c r="F215" s="1">
        <f>Tabela9[[#This Row],[Tensão (Pa)]]/1000000</f>
        <v>2.4524748923959829</v>
      </c>
    </row>
    <row r="216" spans="1:6" x14ac:dyDescent="0.3">
      <c r="A216" s="5">
        <v>14.467000000000001</v>
      </c>
      <c r="B216" s="5">
        <v>1.1977</v>
      </c>
      <c r="C216" s="1">
        <f>Tabela9[[#This Row],[Alongamento (mm/mm)]]/$I$2</f>
        <v>2.3954E-2</v>
      </c>
      <c r="D216" s="5">
        <v>104.61</v>
      </c>
      <c r="E216" s="1">
        <f>Tabela9[[#This Row],[Força (N)]]/$I$5</f>
        <v>2468521.1054896927</v>
      </c>
      <c r="F216" s="1">
        <f>Tabela9[[#This Row],[Tensão (Pa)]]/1000000</f>
        <v>2.4685211054896925</v>
      </c>
    </row>
    <row r="217" spans="1:6" x14ac:dyDescent="0.3">
      <c r="A217" s="5">
        <v>14.516999999999999</v>
      </c>
      <c r="B217" s="5">
        <v>1.2018</v>
      </c>
      <c r="C217" s="1">
        <f>Tabela9[[#This Row],[Alongamento (mm/mm)]]/$I$2</f>
        <v>2.4035999999999998E-2</v>
      </c>
      <c r="D217" s="5">
        <v>105.46</v>
      </c>
      <c r="E217" s="1">
        <f>Tabela9[[#This Row],[Força (N)]]/$I$5</f>
        <v>2488578.8718568301</v>
      </c>
      <c r="F217" s="1">
        <f>Tabela9[[#This Row],[Tensão (Pa)]]/1000000</f>
        <v>2.4885788718568302</v>
      </c>
    </row>
    <row r="218" spans="1:6" x14ac:dyDescent="0.3">
      <c r="A218" s="5">
        <v>14.567</v>
      </c>
      <c r="B218" s="5">
        <v>1.2059</v>
      </c>
      <c r="C218" s="1">
        <f>Tabela9[[#This Row],[Alongamento (mm/mm)]]/$I$2</f>
        <v>2.4118000000000001E-2</v>
      </c>
      <c r="D218" s="5">
        <v>106.31</v>
      </c>
      <c r="E218" s="1">
        <f>Tabela9[[#This Row],[Força (N)]]/$I$5</f>
        <v>2508636.6382239675</v>
      </c>
      <c r="F218" s="1">
        <f>Tabela9[[#This Row],[Tensão (Pa)]]/1000000</f>
        <v>2.5086366382239675</v>
      </c>
    </row>
    <row r="219" spans="1:6" x14ac:dyDescent="0.3">
      <c r="A219" s="5">
        <v>14.617000000000001</v>
      </c>
      <c r="B219" s="5">
        <v>1.21</v>
      </c>
      <c r="C219" s="1">
        <f>Tabela9[[#This Row],[Alongamento (mm/mm)]]/$I$2</f>
        <v>2.4199999999999999E-2</v>
      </c>
      <c r="D219" s="5">
        <v>107.16</v>
      </c>
      <c r="E219" s="1">
        <f>Tabela9[[#This Row],[Força (N)]]/$I$5</f>
        <v>2528694.4045911049</v>
      </c>
      <c r="F219" s="1">
        <f>Tabela9[[#This Row],[Tensão (Pa)]]/1000000</f>
        <v>2.5286944045911048</v>
      </c>
    </row>
    <row r="220" spans="1:6" x14ac:dyDescent="0.3">
      <c r="A220" s="5">
        <v>14.667</v>
      </c>
      <c r="B220" s="5">
        <v>1.2142999999999999</v>
      </c>
      <c r="C220" s="1">
        <f>Tabela9[[#This Row],[Alongamento (mm/mm)]]/$I$2</f>
        <v>2.4285999999999999E-2</v>
      </c>
      <c r="D220" s="5">
        <v>108.01</v>
      </c>
      <c r="E220" s="1">
        <f>Tabela9[[#This Row],[Força (N)]]/$I$5</f>
        <v>2548752.1709582424</v>
      </c>
      <c r="F220" s="1">
        <f>Tabela9[[#This Row],[Tensão (Pa)]]/1000000</f>
        <v>2.5487521709582426</v>
      </c>
    </row>
    <row r="221" spans="1:6" x14ac:dyDescent="0.3">
      <c r="A221" s="5">
        <v>14.717000000000001</v>
      </c>
      <c r="B221" s="5">
        <v>1.2184999999999999</v>
      </c>
      <c r="C221" s="1">
        <f>Tabela9[[#This Row],[Alongamento (mm/mm)]]/$I$2</f>
        <v>2.4369999999999999E-2</v>
      </c>
      <c r="D221" s="5">
        <v>108.86</v>
      </c>
      <c r="E221" s="1">
        <f>Tabela9[[#This Row],[Força (N)]]/$I$5</f>
        <v>2568809.9373253793</v>
      </c>
      <c r="F221" s="1">
        <f>Tabela9[[#This Row],[Tensão (Pa)]]/1000000</f>
        <v>2.5688099373253794</v>
      </c>
    </row>
    <row r="222" spans="1:6" x14ac:dyDescent="0.3">
      <c r="A222" s="5">
        <v>14.766999999999999</v>
      </c>
      <c r="B222" s="5">
        <v>1.2226999999999999</v>
      </c>
      <c r="C222" s="1">
        <f>Tabela9[[#This Row],[Alongamento (mm/mm)]]/$I$2</f>
        <v>2.4453999999999997E-2</v>
      </c>
      <c r="D222" s="5">
        <v>109.71</v>
      </c>
      <c r="E222" s="1">
        <f>Tabela9[[#This Row],[Força (N)]]/$I$5</f>
        <v>2588867.7036925168</v>
      </c>
      <c r="F222" s="1">
        <f>Tabela9[[#This Row],[Tensão (Pa)]]/1000000</f>
        <v>2.5888677036925167</v>
      </c>
    </row>
    <row r="223" spans="1:6" x14ac:dyDescent="0.3">
      <c r="A223" s="5">
        <v>14.817</v>
      </c>
      <c r="B223" s="5">
        <v>1.2267999999999999</v>
      </c>
      <c r="C223" s="1">
        <f>Tabela9[[#This Row],[Alongamento (mm/mm)]]/$I$2</f>
        <v>2.4535999999999999E-2</v>
      </c>
      <c r="D223" s="5">
        <v>110.56</v>
      </c>
      <c r="E223" s="1">
        <f>Tabela9[[#This Row],[Força (N)]]/$I$5</f>
        <v>2608925.4700596542</v>
      </c>
      <c r="F223" s="1">
        <f>Tabela9[[#This Row],[Tensão (Pa)]]/1000000</f>
        <v>2.608925470059654</v>
      </c>
    </row>
    <row r="224" spans="1:6" x14ac:dyDescent="0.3">
      <c r="A224" s="5">
        <v>14.85</v>
      </c>
      <c r="B224" s="5">
        <v>1.2296</v>
      </c>
      <c r="C224" s="1">
        <f>Tabela9[[#This Row],[Alongamento (mm/mm)]]/$I$2</f>
        <v>2.4591999999999999E-2</v>
      </c>
      <c r="D224" s="5">
        <v>111.24</v>
      </c>
      <c r="E224" s="1">
        <f>Tabela9[[#This Row],[Força (N)]]/$I$5</f>
        <v>2624971.6831533639</v>
      </c>
      <c r="F224" s="1">
        <f>Tabela9[[#This Row],[Tensão (Pa)]]/1000000</f>
        <v>2.624971683153364</v>
      </c>
    </row>
    <row r="225" spans="1:6" x14ac:dyDescent="0.3">
      <c r="A225" s="5">
        <v>14.9</v>
      </c>
      <c r="B225" s="5">
        <v>1.2337</v>
      </c>
      <c r="C225" s="1">
        <f>Tabela9[[#This Row],[Alongamento (mm/mm)]]/$I$2</f>
        <v>2.4674000000000001E-2</v>
      </c>
      <c r="D225" s="5">
        <v>112.1</v>
      </c>
      <c r="E225" s="1">
        <f>Tabela9[[#This Row],[Força (N)]]/$I$5</f>
        <v>2645265.4232424675</v>
      </c>
      <c r="F225" s="1">
        <f>Tabela9[[#This Row],[Tensão (Pa)]]/1000000</f>
        <v>2.6452654232424675</v>
      </c>
    </row>
    <row r="226" spans="1:6" x14ac:dyDescent="0.3">
      <c r="A226" s="5">
        <v>14.95</v>
      </c>
      <c r="B226" s="5">
        <v>1.2379</v>
      </c>
      <c r="C226" s="1">
        <f>Tabela9[[#This Row],[Alongamento (mm/mm)]]/$I$2</f>
        <v>2.4757999999999999E-2</v>
      </c>
      <c r="D226" s="5">
        <v>112.95</v>
      </c>
      <c r="E226" s="1">
        <f>Tabela9[[#This Row],[Força (N)]]/$I$5</f>
        <v>2665323.1896096054</v>
      </c>
      <c r="F226" s="1">
        <f>Tabela9[[#This Row],[Tensão (Pa)]]/1000000</f>
        <v>2.6653231896096052</v>
      </c>
    </row>
    <row r="227" spans="1:6" x14ac:dyDescent="0.3">
      <c r="A227" s="5">
        <v>15</v>
      </c>
      <c r="B227" s="5">
        <v>1.242</v>
      </c>
      <c r="C227" s="1">
        <f>Tabela9[[#This Row],[Alongamento (mm/mm)]]/$I$2</f>
        <v>2.4840000000000001E-2</v>
      </c>
      <c r="D227" s="5">
        <v>113.8</v>
      </c>
      <c r="E227" s="1">
        <f>Tabela9[[#This Row],[Força (N)]]/$I$5</f>
        <v>2685380.9559767423</v>
      </c>
      <c r="F227" s="1">
        <f>Tabela9[[#This Row],[Tensão (Pa)]]/1000000</f>
        <v>2.6853809559767425</v>
      </c>
    </row>
    <row r="228" spans="1:6" x14ac:dyDescent="0.3">
      <c r="A228" s="5">
        <v>15.032999999999999</v>
      </c>
      <c r="B228" s="5">
        <v>1.2447999999999999</v>
      </c>
      <c r="C228" s="1">
        <f>Tabela9[[#This Row],[Alongamento (mm/mm)]]/$I$2</f>
        <v>2.4895999999999998E-2</v>
      </c>
      <c r="D228" s="5">
        <v>114.48</v>
      </c>
      <c r="E228" s="1">
        <f>Tabela9[[#This Row],[Força (N)]]/$I$5</f>
        <v>2701427.1690704525</v>
      </c>
      <c r="F228" s="1">
        <f>Tabela9[[#This Row],[Tensão (Pa)]]/1000000</f>
        <v>2.7014271690704525</v>
      </c>
    </row>
    <row r="229" spans="1:6" x14ac:dyDescent="0.3">
      <c r="A229" s="5">
        <v>15.083</v>
      </c>
      <c r="B229" s="5">
        <v>1.2490000000000001</v>
      </c>
      <c r="C229" s="1">
        <f>Tabela9[[#This Row],[Alongamento (mm/mm)]]/$I$2</f>
        <v>2.4980000000000002E-2</v>
      </c>
      <c r="D229" s="5">
        <v>115.33</v>
      </c>
      <c r="E229" s="1">
        <f>Tabela9[[#This Row],[Força (N)]]/$I$5</f>
        <v>2721484.9354375899</v>
      </c>
      <c r="F229" s="1">
        <f>Tabela9[[#This Row],[Tensão (Pa)]]/1000000</f>
        <v>2.7214849354375898</v>
      </c>
    </row>
    <row r="230" spans="1:6" x14ac:dyDescent="0.3">
      <c r="A230" s="5">
        <v>15.132999999999999</v>
      </c>
      <c r="B230" s="5">
        <v>1.2532000000000001</v>
      </c>
      <c r="C230" s="1">
        <f>Tabela9[[#This Row],[Alongamento (mm/mm)]]/$I$2</f>
        <v>2.5064000000000003E-2</v>
      </c>
      <c r="D230" s="5">
        <v>116.18</v>
      </c>
      <c r="E230" s="1">
        <f>Tabela9[[#This Row],[Força (N)]]/$I$5</f>
        <v>2741542.7018047273</v>
      </c>
      <c r="F230" s="1">
        <f>Tabela9[[#This Row],[Tensão (Pa)]]/1000000</f>
        <v>2.7415427018047271</v>
      </c>
    </row>
    <row r="231" spans="1:6" x14ac:dyDescent="0.3">
      <c r="A231" s="5">
        <v>15.167</v>
      </c>
      <c r="B231" s="5">
        <v>1.2559</v>
      </c>
      <c r="C231" s="1">
        <f>Tabela9[[#This Row],[Alongamento (mm/mm)]]/$I$2</f>
        <v>2.5118000000000001E-2</v>
      </c>
      <c r="D231" s="5">
        <v>116.86</v>
      </c>
      <c r="E231" s="1">
        <f>Tabela9[[#This Row],[Força (N)]]/$I$5</f>
        <v>2757588.914898437</v>
      </c>
      <c r="F231" s="1">
        <f>Tabela9[[#This Row],[Tensão (Pa)]]/1000000</f>
        <v>2.7575889148984372</v>
      </c>
    </row>
    <row r="232" spans="1:6" x14ac:dyDescent="0.3">
      <c r="A232" s="5">
        <v>15.2</v>
      </c>
      <c r="B232" s="5">
        <v>1.2586999999999999</v>
      </c>
      <c r="C232" s="1">
        <f>Tabela9[[#This Row],[Alongamento (mm/mm)]]/$I$2</f>
        <v>2.5173999999999998E-2</v>
      </c>
      <c r="D232" s="5">
        <v>117.54</v>
      </c>
      <c r="E232" s="1">
        <f>Tabela9[[#This Row],[Força (N)]]/$I$5</f>
        <v>2773635.1279921471</v>
      </c>
      <c r="F232" s="1">
        <f>Tabela9[[#This Row],[Tensão (Pa)]]/1000000</f>
        <v>2.7736351279921472</v>
      </c>
    </row>
    <row r="233" spans="1:6" x14ac:dyDescent="0.3">
      <c r="A233" s="5">
        <v>15.25</v>
      </c>
      <c r="B233" s="5">
        <v>1.2628999999999999</v>
      </c>
      <c r="C233" s="1">
        <f>Tabela9[[#This Row],[Alongamento (mm/mm)]]/$I$2</f>
        <v>2.5257999999999999E-2</v>
      </c>
      <c r="D233" s="5">
        <v>118.39</v>
      </c>
      <c r="E233" s="1">
        <f>Tabela9[[#This Row],[Força (N)]]/$I$5</f>
        <v>2793692.8943592841</v>
      </c>
      <c r="F233" s="1">
        <f>Tabela9[[#This Row],[Tensão (Pa)]]/1000000</f>
        <v>2.793692894359284</v>
      </c>
    </row>
    <row r="234" spans="1:6" x14ac:dyDescent="0.3">
      <c r="A234" s="5">
        <v>15.282999999999999</v>
      </c>
      <c r="B234" s="5">
        <v>1.2657</v>
      </c>
      <c r="C234" s="1">
        <f>Tabela9[[#This Row],[Alongamento (mm/mm)]]/$I$2</f>
        <v>2.5314E-2</v>
      </c>
      <c r="D234" s="5">
        <v>119.07</v>
      </c>
      <c r="E234" s="1">
        <f>Tabela9[[#This Row],[Força (N)]]/$I$5</f>
        <v>2809739.1074529937</v>
      </c>
      <c r="F234" s="1">
        <f>Tabela9[[#This Row],[Tensão (Pa)]]/1000000</f>
        <v>2.8097391074529936</v>
      </c>
    </row>
    <row r="235" spans="1:6" x14ac:dyDescent="0.3">
      <c r="A235" s="5">
        <v>15.333</v>
      </c>
      <c r="B235" s="5">
        <v>1.2699</v>
      </c>
      <c r="C235" s="1">
        <f>Tabela9[[#This Row],[Alongamento (mm/mm)]]/$I$2</f>
        <v>2.5398E-2</v>
      </c>
      <c r="D235" s="5">
        <v>119.92</v>
      </c>
      <c r="E235" s="1">
        <f>Tabela9[[#This Row],[Força (N)]]/$I$5</f>
        <v>2829796.8738201316</v>
      </c>
      <c r="F235" s="1">
        <f>Tabela9[[#This Row],[Tensão (Pa)]]/1000000</f>
        <v>2.8297968738201318</v>
      </c>
    </row>
    <row r="236" spans="1:6" x14ac:dyDescent="0.3">
      <c r="A236" s="5">
        <v>15.367000000000001</v>
      </c>
      <c r="B236" s="5">
        <v>1.2726</v>
      </c>
      <c r="C236" s="1">
        <f>Tabela9[[#This Row],[Alongamento (mm/mm)]]/$I$2</f>
        <v>2.5451999999999999E-2</v>
      </c>
      <c r="D236" s="5">
        <v>120.6</v>
      </c>
      <c r="E236" s="1">
        <f>Tabela9[[#This Row],[Força (N)]]/$I$5</f>
        <v>2845843.0869138413</v>
      </c>
      <c r="F236" s="1">
        <f>Tabela9[[#This Row],[Tensão (Pa)]]/1000000</f>
        <v>2.8458430869138414</v>
      </c>
    </row>
    <row r="237" spans="1:6" x14ac:dyDescent="0.3">
      <c r="A237" s="5">
        <v>15.417</v>
      </c>
      <c r="B237" s="5">
        <v>1.2767999999999999</v>
      </c>
      <c r="C237" s="1">
        <f>Tabela9[[#This Row],[Alongamento (mm/mm)]]/$I$2</f>
        <v>2.5536E-2</v>
      </c>
      <c r="D237" s="5">
        <v>121.45</v>
      </c>
      <c r="E237" s="1">
        <f>Tabela9[[#This Row],[Força (N)]]/$I$5</f>
        <v>2865900.8532809787</v>
      </c>
      <c r="F237" s="1">
        <f>Tabela9[[#This Row],[Tensão (Pa)]]/1000000</f>
        <v>2.8659008532809787</v>
      </c>
    </row>
    <row r="238" spans="1:6" x14ac:dyDescent="0.3">
      <c r="A238" s="5">
        <v>15.45</v>
      </c>
      <c r="B238" s="5">
        <v>1.2795000000000001</v>
      </c>
      <c r="C238" s="1">
        <f>Tabela9[[#This Row],[Alongamento (mm/mm)]]/$I$2</f>
        <v>2.5590000000000002E-2</v>
      </c>
      <c r="D238" s="5">
        <v>122.13</v>
      </c>
      <c r="E238" s="1">
        <f>Tabela9[[#This Row],[Força (N)]]/$I$5</f>
        <v>2881947.0663746884</v>
      </c>
      <c r="F238" s="1">
        <f>Tabela9[[#This Row],[Tensão (Pa)]]/1000000</f>
        <v>2.8819470663746882</v>
      </c>
    </row>
    <row r="239" spans="1:6" x14ac:dyDescent="0.3">
      <c r="A239" s="5">
        <v>15.483000000000001</v>
      </c>
      <c r="B239" s="5">
        <v>1.2822</v>
      </c>
      <c r="C239" s="1">
        <f>Tabela9[[#This Row],[Alongamento (mm/mm)]]/$I$2</f>
        <v>2.5644E-2</v>
      </c>
      <c r="D239" s="5">
        <v>122.81</v>
      </c>
      <c r="E239" s="1">
        <f>Tabela9[[#This Row],[Força (N)]]/$I$5</f>
        <v>2897993.2794683985</v>
      </c>
      <c r="F239" s="1">
        <f>Tabela9[[#This Row],[Tensão (Pa)]]/1000000</f>
        <v>2.8979932794683987</v>
      </c>
    </row>
    <row r="240" spans="1:6" x14ac:dyDescent="0.3">
      <c r="A240" s="5">
        <v>15.532999999999999</v>
      </c>
      <c r="B240" s="5">
        <v>1.2864</v>
      </c>
      <c r="C240" s="1">
        <f>Tabela9[[#This Row],[Alongamento (mm/mm)]]/$I$2</f>
        <v>2.5728000000000001E-2</v>
      </c>
      <c r="D240" s="5">
        <v>123.66</v>
      </c>
      <c r="E240" s="1">
        <f>Tabela9[[#This Row],[Força (N)]]/$I$5</f>
        <v>2918051.045835536</v>
      </c>
      <c r="F240" s="1">
        <f>Tabela9[[#This Row],[Tensão (Pa)]]/1000000</f>
        <v>2.918051045835536</v>
      </c>
    </row>
    <row r="241" spans="1:6" x14ac:dyDescent="0.3">
      <c r="A241" s="5">
        <v>15.567</v>
      </c>
      <c r="B241" s="5">
        <v>1.2891999999999999</v>
      </c>
      <c r="C241" s="1">
        <f>Tabela9[[#This Row],[Alongamento (mm/mm)]]/$I$2</f>
        <v>2.5783999999999998E-2</v>
      </c>
      <c r="D241" s="5">
        <v>124.34</v>
      </c>
      <c r="E241" s="1">
        <f>Tabela9[[#This Row],[Força (N)]]/$I$5</f>
        <v>2934097.2589292456</v>
      </c>
      <c r="F241" s="1">
        <f>Tabela9[[#This Row],[Tensão (Pa)]]/1000000</f>
        <v>2.9340972589292456</v>
      </c>
    </row>
    <row r="242" spans="1:6" x14ac:dyDescent="0.3">
      <c r="A242" s="5">
        <v>15.6</v>
      </c>
      <c r="B242" s="5">
        <v>1.292</v>
      </c>
      <c r="C242" s="1">
        <f>Tabela9[[#This Row],[Alongamento (mm/mm)]]/$I$2</f>
        <v>2.5840000000000002E-2</v>
      </c>
      <c r="D242" s="5">
        <v>125.02</v>
      </c>
      <c r="E242" s="1">
        <f>Tabela9[[#This Row],[Força (N)]]/$I$5</f>
        <v>2950143.4720229553</v>
      </c>
      <c r="F242" s="1">
        <f>Tabela9[[#This Row],[Tensão (Pa)]]/1000000</f>
        <v>2.9501434720229551</v>
      </c>
    </row>
    <row r="243" spans="1:6" x14ac:dyDescent="0.3">
      <c r="A243" s="5">
        <v>15.65</v>
      </c>
      <c r="B243" s="5">
        <v>1.2962</v>
      </c>
      <c r="C243" s="1">
        <f>Tabela9[[#This Row],[Alongamento (mm/mm)]]/$I$2</f>
        <v>2.5923999999999999E-2</v>
      </c>
      <c r="D243" s="5">
        <v>125.87</v>
      </c>
      <c r="E243" s="1">
        <f>Tabela9[[#This Row],[Força (N)]]/$I$5</f>
        <v>2970201.2383900932</v>
      </c>
      <c r="F243" s="1">
        <f>Tabela9[[#This Row],[Tensão (Pa)]]/1000000</f>
        <v>2.9702012383900933</v>
      </c>
    </row>
    <row r="244" spans="1:6" x14ac:dyDescent="0.3">
      <c r="A244" s="5">
        <v>15.683</v>
      </c>
      <c r="B244" s="5">
        <v>1.2989999999999999</v>
      </c>
      <c r="C244" s="1">
        <f>Tabela9[[#This Row],[Alongamento (mm/mm)]]/$I$2</f>
        <v>2.598E-2</v>
      </c>
      <c r="D244" s="5">
        <v>126.55</v>
      </c>
      <c r="E244" s="1">
        <f>Tabela9[[#This Row],[Força (N)]]/$I$5</f>
        <v>2986247.4514838029</v>
      </c>
      <c r="F244" s="1">
        <f>Tabela9[[#This Row],[Tensão (Pa)]]/1000000</f>
        <v>2.9862474514838029</v>
      </c>
    </row>
    <row r="245" spans="1:6" x14ac:dyDescent="0.3">
      <c r="A245" s="5">
        <v>15.733000000000001</v>
      </c>
      <c r="B245" s="5">
        <v>1.3030999999999999</v>
      </c>
      <c r="C245" s="1">
        <f>Tabela9[[#This Row],[Alongamento (mm/mm)]]/$I$2</f>
        <v>2.6061999999999998E-2</v>
      </c>
      <c r="D245" s="5">
        <v>127.4</v>
      </c>
      <c r="E245" s="1">
        <f>Tabela9[[#This Row],[Força (N)]]/$I$5</f>
        <v>3006305.2178509403</v>
      </c>
      <c r="F245" s="1">
        <f>Tabela9[[#This Row],[Tensão (Pa)]]/1000000</f>
        <v>3.0063052178509402</v>
      </c>
    </row>
    <row r="246" spans="1:6" x14ac:dyDescent="0.3">
      <c r="A246" s="5">
        <v>15.766999999999999</v>
      </c>
      <c r="B246" s="5">
        <v>1.306</v>
      </c>
      <c r="C246" s="1">
        <f>Tabela9[[#This Row],[Alongamento (mm/mm)]]/$I$2</f>
        <v>2.6120000000000001E-2</v>
      </c>
      <c r="D246" s="5">
        <v>128.08000000000001</v>
      </c>
      <c r="E246" s="1">
        <f>Tabela9[[#This Row],[Força (N)]]/$I$5</f>
        <v>3022351.4309446504</v>
      </c>
      <c r="F246" s="1">
        <f>Tabela9[[#This Row],[Tensão (Pa)]]/1000000</f>
        <v>3.0223514309446506</v>
      </c>
    </row>
    <row r="247" spans="1:6" x14ac:dyDescent="0.3">
      <c r="A247" s="5">
        <v>15.8</v>
      </c>
      <c r="B247" s="5">
        <v>1.3087</v>
      </c>
      <c r="C247" s="1">
        <f>Tabela9[[#This Row],[Alongamento (mm/mm)]]/$I$2</f>
        <v>2.6173999999999999E-2</v>
      </c>
      <c r="D247" s="5">
        <v>128.76</v>
      </c>
      <c r="E247" s="1">
        <f>Tabela9[[#This Row],[Força (N)]]/$I$5</f>
        <v>3038397.6440383596</v>
      </c>
      <c r="F247" s="1">
        <f>Tabela9[[#This Row],[Tensão (Pa)]]/1000000</f>
        <v>3.0383976440383598</v>
      </c>
    </row>
    <row r="248" spans="1:6" x14ac:dyDescent="0.3">
      <c r="A248" s="5">
        <v>15.85</v>
      </c>
      <c r="B248" s="5">
        <v>1.3129</v>
      </c>
      <c r="C248" s="1">
        <f>Tabela9[[#This Row],[Alongamento (mm/mm)]]/$I$2</f>
        <v>2.6258E-2</v>
      </c>
      <c r="D248" s="5">
        <v>129.62</v>
      </c>
      <c r="E248" s="1">
        <f>Tabela9[[#This Row],[Força (N)]]/$I$5</f>
        <v>3058691.3841274637</v>
      </c>
      <c r="F248" s="1">
        <f>Tabela9[[#This Row],[Tensão (Pa)]]/1000000</f>
        <v>3.0586913841274637</v>
      </c>
    </row>
    <row r="249" spans="1:6" x14ac:dyDescent="0.3">
      <c r="A249" s="5">
        <v>15.882999999999999</v>
      </c>
      <c r="B249" s="5">
        <v>1.3157000000000001</v>
      </c>
      <c r="C249" s="1">
        <f>Tabela9[[#This Row],[Alongamento (mm/mm)]]/$I$2</f>
        <v>2.6314000000000001E-2</v>
      </c>
      <c r="D249" s="5">
        <v>130.30000000000001</v>
      </c>
      <c r="E249" s="1">
        <f>Tabela9[[#This Row],[Força (N)]]/$I$5</f>
        <v>3074737.5972211738</v>
      </c>
      <c r="F249" s="1">
        <f>Tabela9[[#This Row],[Tensão (Pa)]]/1000000</f>
        <v>3.0747375972211737</v>
      </c>
    </row>
    <row r="250" spans="1:6" x14ac:dyDescent="0.3">
      <c r="A250" s="5">
        <v>15.917</v>
      </c>
      <c r="B250" s="5">
        <v>1.3184</v>
      </c>
      <c r="C250" s="1">
        <f>Tabela9[[#This Row],[Alongamento (mm/mm)]]/$I$2</f>
        <v>2.6367999999999999E-2</v>
      </c>
      <c r="D250" s="5">
        <v>130.97999999999999</v>
      </c>
      <c r="E250" s="1">
        <f>Tabela9[[#This Row],[Força (N)]]/$I$5</f>
        <v>3090783.810314883</v>
      </c>
      <c r="F250" s="1">
        <f>Tabela9[[#This Row],[Tensão (Pa)]]/1000000</f>
        <v>3.0907838103148828</v>
      </c>
    </row>
    <row r="251" spans="1:6" x14ac:dyDescent="0.3">
      <c r="A251" s="5">
        <v>15.983000000000001</v>
      </c>
      <c r="B251" s="5">
        <v>1.3239000000000001</v>
      </c>
      <c r="C251" s="1">
        <f>Tabela9[[#This Row],[Alongamento (mm/mm)]]/$I$2</f>
        <v>2.6478000000000002E-2</v>
      </c>
      <c r="D251" s="5">
        <v>132.16999999999999</v>
      </c>
      <c r="E251" s="1">
        <f>Tabela9[[#This Row],[Força (N)]]/$I$5</f>
        <v>3118864.6832288755</v>
      </c>
      <c r="F251" s="1">
        <f>Tabela9[[#This Row],[Tensão (Pa)]]/1000000</f>
        <v>3.1188646832288756</v>
      </c>
    </row>
    <row r="252" spans="1:6" x14ac:dyDescent="0.3">
      <c r="A252" s="5">
        <v>16.033000000000001</v>
      </c>
      <c r="B252" s="5">
        <v>1.3281000000000001</v>
      </c>
      <c r="C252" s="1">
        <f>Tabela9[[#This Row],[Alongamento (mm/mm)]]/$I$2</f>
        <v>2.6562000000000002E-2</v>
      </c>
      <c r="D252" s="5">
        <v>133.19</v>
      </c>
      <c r="E252" s="1">
        <f>Tabela9[[#This Row],[Força (N)]]/$I$5</f>
        <v>3142934.0028694407</v>
      </c>
      <c r="F252" s="1">
        <f>Tabela9[[#This Row],[Tensão (Pa)]]/1000000</f>
        <v>3.1429340028694406</v>
      </c>
    </row>
    <row r="253" spans="1:6" x14ac:dyDescent="0.3">
      <c r="A253" s="5">
        <v>16.082999999999998</v>
      </c>
      <c r="B253" s="5">
        <v>1.3323</v>
      </c>
      <c r="C253" s="1">
        <f>Tabela9[[#This Row],[Alongamento (mm/mm)]]/$I$2</f>
        <v>2.6646E-2</v>
      </c>
      <c r="D253" s="5">
        <v>134.21</v>
      </c>
      <c r="E253" s="1">
        <f>Tabela9[[#This Row],[Força (N)]]/$I$5</f>
        <v>3167003.3225100054</v>
      </c>
      <c r="F253" s="1">
        <f>Tabela9[[#This Row],[Tensão (Pa)]]/1000000</f>
        <v>3.1670033225100056</v>
      </c>
    </row>
    <row r="254" spans="1:6" x14ac:dyDescent="0.3">
      <c r="A254" s="5">
        <v>16.149999999999999</v>
      </c>
      <c r="B254" s="5">
        <v>1.3379000000000001</v>
      </c>
      <c r="C254" s="1">
        <f>Tabela9[[#This Row],[Alongamento (mm/mm)]]/$I$2</f>
        <v>2.6758000000000001E-2</v>
      </c>
      <c r="D254" s="5">
        <v>135.4</v>
      </c>
      <c r="E254" s="1">
        <f>Tabela9[[#This Row],[Força (N)]]/$I$5</f>
        <v>3195084.1954239979</v>
      </c>
      <c r="F254" s="1">
        <f>Tabela9[[#This Row],[Tensão (Pa)]]/1000000</f>
        <v>3.1950841954239979</v>
      </c>
    </row>
    <row r="255" spans="1:6" x14ac:dyDescent="0.3">
      <c r="A255" s="5">
        <v>16.2</v>
      </c>
      <c r="B255" s="5">
        <v>1.3421000000000001</v>
      </c>
      <c r="C255" s="1">
        <f>Tabela9[[#This Row],[Alongamento (mm/mm)]]/$I$2</f>
        <v>2.6842000000000001E-2</v>
      </c>
      <c r="D255" s="5">
        <v>136.41999999999999</v>
      </c>
      <c r="E255" s="1">
        <f>Tabela9[[#This Row],[Força (N)]]/$I$5</f>
        <v>3219153.5150645622</v>
      </c>
      <c r="F255" s="1">
        <f>Tabela9[[#This Row],[Tensão (Pa)]]/1000000</f>
        <v>3.219153515064562</v>
      </c>
    </row>
    <row r="256" spans="1:6" x14ac:dyDescent="0.3">
      <c r="A256" s="5">
        <v>16.25</v>
      </c>
      <c r="B256" s="5">
        <v>1.3463000000000001</v>
      </c>
      <c r="C256" s="1">
        <f>Tabela9[[#This Row],[Alongamento (mm/mm)]]/$I$2</f>
        <v>2.6926000000000002E-2</v>
      </c>
      <c r="D256" s="5">
        <v>137.44</v>
      </c>
      <c r="E256" s="1">
        <f>Tabela9[[#This Row],[Força (N)]]/$I$5</f>
        <v>3243222.8347051274</v>
      </c>
      <c r="F256" s="1">
        <f>Tabela9[[#This Row],[Tensão (Pa)]]/1000000</f>
        <v>3.2432228347051275</v>
      </c>
    </row>
    <row r="257" spans="1:6" x14ac:dyDescent="0.3">
      <c r="A257" s="5">
        <v>16.3</v>
      </c>
      <c r="B257" s="5">
        <v>1.3504</v>
      </c>
      <c r="C257" s="1">
        <f>Tabela9[[#This Row],[Alongamento (mm/mm)]]/$I$2</f>
        <v>2.7008000000000001E-2</v>
      </c>
      <c r="D257" s="5">
        <v>138.46</v>
      </c>
      <c r="E257" s="1">
        <f>Tabela9[[#This Row],[Força (N)]]/$I$5</f>
        <v>3267292.1543456921</v>
      </c>
      <c r="F257" s="1">
        <f>Tabela9[[#This Row],[Tensão (Pa)]]/1000000</f>
        <v>3.2672921543456921</v>
      </c>
    </row>
    <row r="258" spans="1:6" x14ac:dyDescent="0.3">
      <c r="A258" s="5">
        <v>16.367000000000001</v>
      </c>
      <c r="B258" s="5">
        <v>1.3559000000000001</v>
      </c>
      <c r="C258" s="1">
        <f>Tabela9[[#This Row],[Alongamento (mm/mm)]]/$I$2</f>
        <v>2.7118000000000003E-2</v>
      </c>
      <c r="D258" s="5">
        <v>139.65</v>
      </c>
      <c r="E258" s="1">
        <f>Tabela9[[#This Row],[Força (N)]]/$I$5</f>
        <v>3295373.0272596846</v>
      </c>
      <c r="F258" s="1">
        <f>Tabela9[[#This Row],[Tensão (Pa)]]/1000000</f>
        <v>3.2953730272596848</v>
      </c>
    </row>
    <row r="259" spans="1:6" x14ac:dyDescent="0.3">
      <c r="A259" s="5">
        <v>16.417000000000002</v>
      </c>
      <c r="B259" s="5">
        <v>1.36</v>
      </c>
      <c r="C259" s="1">
        <f>Tabela9[[#This Row],[Alongamento (mm/mm)]]/$I$2</f>
        <v>2.7200000000000002E-2</v>
      </c>
      <c r="D259" s="5">
        <v>140.66999999999999</v>
      </c>
      <c r="E259" s="1">
        <f>Tabela9[[#This Row],[Força (N)]]/$I$5</f>
        <v>3319442.3469002489</v>
      </c>
      <c r="F259" s="1">
        <f>Tabela9[[#This Row],[Tensão (Pa)]]/1000000</f>
        <v>3.319442346900249</v>
      </c>
    </row>
    <row r="260" spans="1:6" x14ac:dyDescent="0.3">
      <c r="A260" s="5">
        <v>16.466999999999999</v>
      </c>
      <c r="B260" s="5">
        <v>1.3642000000000001</v>
      </c>
      <c r="C260" s="1">
        <f>Tabela9[[#This Row],[Alongamento (mm/mm)]]/$I$2</f>
        <v>2.7284000000000003E-2</v>
      </c>
      <c r="D260" s="5">
        <v>141.69</v>
      </c>
      <c r="E260" s="1">
        <f>Tabela9[[#This Row],[Força (N)]]/$I$5</f>
        <v>3343511.6665408141</v>
      </c>
      <c r="F260" s="1">
        <f>Tabela9[[#This Row],[Tensão (Pa)]]/1000000</f>
        <v>3.343511666540814</v>
      </c>
    </row>
    <row r="261" spans="1:6" x14ac:dyDescent="0.3">
      <c r="A261" s="5">
        <v>16.516999999999999</v>
      </c>
      <c r="B261" s="5">
        <v>1.3684000000000001</v>
      </c>
      <c r="C261" s="1">
        <f>Tabela9[[#This Row],[Alongamento (mm/mm)]]/$I$2</f>
        <v>2.7368E-2</v>
      </c>
      <c r="D261" s="5">
        <v>142.71</v>
      </c>
      <c r="E261" s="1">
        <f>Tabela9[[#This Row],[Força (N)]]/$I$5</f>
        <v>3367580.9861813793</v>
      </c>
      <c r="F261" s="1">
        <f>Tabela9[[#This Row],[Tensão (Pa)]]/1000000</f>
        <v>3.3675809861813795</v>
      </c>
    </row>
    <row r="262" spans="1:6" x14ac:dyDescent="0.3">
      <c r="A262" s="5">
        <v>16.567</v>
      </c>
      <c r="B262" s="5">
        <v>1.3726</v>
      </c>
      <c r="C262" s="1">
        <f>Tabela9[[#This Row],[Alongamento (mm/mm)]]/$I$2</f>
        <v>2.7452000000000001E-2</v>
      </c>
      <c r="D262" s="5">
        <v>143.72999999999999</v>
      </c>
      <c r="E262" s="1">
        <f>Tabela9[[#This Row],[Força (N)]]/$I$5</f>
        <v>3391650.3058219436</v>
      </c>
      <c r="F262" s="1">
        <f>Tabela9[[#This Row],[Tensão (Pa)]]/1000000</f>
        <v>3.3916503058219436</v>
      </c>
    </row>
    <row r="263" spans="1:6" x14ac:dyDescent="0.3">
      <c r="A263" s="5">
        <v>16.617000000000001</v>
      </c>
      <c r="B263" s="5">
        <v>1.3768</v>
      </c>
      <c r="C263" s="1">
        <f>Tabela9[[#This Row],[Alongamento (mm/mm)]]/$I$2</f>
        <v>2.7536000000000001E-2</v>
      </c>
      <c r="D263" s="5">
        <v>144.75</v>
      </c>
      <c r="E263" s="1">
        <f>Tabela9[[#This Row],[Força (N)]]/$I$5</f>
        <v>3415719.6254625088</v>
      </c>
      <c r="F263" s="1">
        <f>Tabela9[[#This Row],[Tensão (Pa)]]/1000000</f>
        <v>3.4157196254625086</v>
      </c>
    </row>
    <row r="264" spans="1:6" x14ac:dyDescent="0.3">
      <c r="A264" s="5">
        <v>16.667000000000002</v>
      </c>
      <c r="B264" s="5">
        <v>1.3809</v>
      </c>
      <c r="C264" s="1">
        <f>Tabela9[[#This Row],[Alongamento (mm/mm)]]/$I$2</f>
        <v>2.7618E-2</v>
      </c>
      <c r="D264" s="5">
        <v>145.77000000000001</v>
      </c>
      <c r="E264" s="1">
        <f>Tabela9[[#This Row],[Força (N)]]/$I$5</f>
        <v>3439788.9451030735</v>
      </c>
      <c r="F264" s="1">
        <f>Tabela9[[#This Row],[Tensão (Pa)]]/1000000</f>
        <v>3.4397889451030736</v>
      </c>
    </row>
    <row r="265" spans="1:6" x14ac:dyDescent="0.3">
      <c r="A265" s="5">
        <v>16.716999999999999</v>
      </c>
      <c r="B265" s="5">
        <v>1.3851</v>
      </c>
      <c r="C265" s="1">
        <f>Tabela9[[#This Row],[Alongamento (mm/mm)]]/$I$2</f>
        <v>2.7702000000000001E-2</v>
      </c>
      <c r="D265" s="5">
        <v>146.80000000000001</v>
      </c>
      <c r="E265" s="1">
        <f>Tabela9[[#This Row],[Força (N)]]/$I$5</f>
        <v>3464094.2384656048</v>
      </c>
      <c r="F265" s="1">
        <f>Tabela9[[#This Row],[Tensão (Pa)]]/1000000</f>
        <v>3.4640942384656048</v>
      </c>
    </row>
    <row r="266" spans="1:6" x14ac:dyDescent="0.3">
      <c r="A266" s="5">
        <v>16.766999999999999</v>
      </c>
      <c r="B266" s="5">
        <v>1.3893</v>
      </c>
      <c r="C266" s="1">
        <f>Tabela9[[#This Row],[Alongamento (mm/mm)]]/$I$2</f>
        <v>2.7785999999999998E-2</v>
      </c>
      <c r="D266" s="5">
        <v>147.82</v>
      </c>
      <c r="E266" s="1">
        <f>Tabela9[[#This Row],[Força (N)]]/$I$5</f>
        <v>3488163.5581061691</v>
      </c>
      <c r="F266" s="1">
        <f>Tabela9[[#This Row],[Tensão (Pa)]]/1000000</f>
        <v>3.488163558106169</v>
      </c>
    </row>
    <row r="267" spans="1:6" x14ac:dyDescent="0.3">
      <c r="A267" s="5">
        <v>16.817</v>
      </c>
      <c r="B267" s="5">
        <v>1.3935</v>
      </c>
      <c r="C267" s="1">
        <f>Tabela9[[#This Row],[Alongamento (mm/mm)]]/$I$2</f>
        <v>2.7869999999999999E-2</v>
      </c>
      <c r="D267" s="5">
        <v>148.84</v>
      </c>
      <c r="E267" s="1">
        <f>Tabela9[[#This Row],[Força (N)]]/$I$5</f>
        <v>3512232.8777467343</v>
      </c>
      <c r="F267" s="1">
        <f>Tabela9[[#This Row],[Tensão (Pa)]]/1000000</f>
        <v>3.5122328777467344</v>
      </c>
    </row>
    <row r="268" spans="1:6" x14ac:dyDescent="0.3">
      <c r="A268" s="5">
        <v>16.867000000000001</v>
      </c>
      <c r="B268" s="5">
        <v>1.3975</v>
      </c>
      <c r="C268" s="1">
        <f>Tabela9[[#This Row],[Alongamento (mm/mm)]]/$I$2</f>
        <v>2.7949999999999999E-2</v>
      </c>
      <c r="D268" s="5">
        <v>149.86000000000001</v>
      </c>
      <c r="E268" s="1">
        <f>Tabela9[[#This Row],[Força (N)]]/$I$5</f>
        <v>3536302.1973872995</v>
      </c>
      <c r="F268" s="1">
        <f>Tabela9[[#This Row],[Tensão (Pa)]]/1000000</f>
        <v>3.5363021973872995</v>
      </c>
    </row>
    <row r="269" spans="1:6" x14ac:dyDescent="0.3">
      <c r="A269" s="5">
        <v>16.917000000000002</v>
      </c>
      <c r="B269" s="5">
        <v>1.4017999999999999</v>
      </c>
      <c r="C269" s="1">
        <f>Tabela9[[#This Row],[Alongamento (mm/mm)]]/$I$2</f>
        <v>2.8035999999999998E-2</v>
      </c>
      <c r="D269" s="5">
        <v>150.88</v>
      </c>
      <c r="E269" s="1">
        <f>Tabela9[[#This Row],[Força (N)]]/$I$5</f>
        <v>3560371.5170278638</v>
      </c>
      <c r="F269" s="1">
        <f>Tabela9[[#This Row],[Tensão (Pa)]]/1000000</f>
        <v>3.5603715170278636</v>
      </c>
    </row>
    <row r="270" spans="1:6" x14ac:dyDescent="0.3">
      <c r="A270" s="5">
        <v>16.966999999999999</v>
      </c>
      <c r="B270" s="5">
        <v>1.4058999999999999</v>
      </c>
      <c r="C270" s="1">
        <f>Tabela9[[#This Row],[Alongamento (mm/mm)]]/$I$2</f>
        <v>2.8117999999999997E-2</v>
      </c>
      <c r="D270" s="5">
        <v>152.07</v>
      </c>
      <c r="E270" s="1">
        <f>Tabela9[[#This Row],[Força (N)]]/$I$5</f>
        <v>3588452.3899418558</v>
      </c>
      <c r="F270" s="1">
        <f>Tabela9[[#This Row],[Tensão (Pa)]]/1000000</f>
        <v>3.5884523899418559</v>
      </c>
    </row>
    <row r="271" spans="1:6" x14ac:dyDescent="0.3">
      <c r="A271" s="5">
        <v>17.016999999999999</v>
      </c>
      <c r="B271" s="5">
        <v>1.4100999999999999</v>
      </c>
      <c r="C271" s="1">
        <f>Tabela9[[#This Row],[Alongamento (mm/mm)]]/$I$2</f>
        <v>2.8201999999999998E-2</v>
      </c>
      <c r="D271" s="5">
        <v>153.09</v>
      </c>
      <c r="E271" s="1">
        <f>Tabela9[[#This Row],[Força (N)]]/$I$5</f>
        <v>3612521.709582421</v>
      </c>
      <c r="F271" s="1">
        <f>Tabela9[[#This Row],[Tensão (Pa)]]/1000000</f>
        <v>3.6125217095824209</v>
      </c>
    </row>
    <row r="272" spans="1:6" x14ac:dyDescent="0.3">
      <c r="A272" s="5">
        <v>17.067</v>
      </c>
      <c r="B272" s="5">
        <v>1.4142999999999999</v>
      </c>
      <c r="C272" s="1">
        <f>Tabela9[[#This Row],[Alongamento (mm/mm)]]/$I$2</f>
        <v>2.8285999999999999E-2</v>
      </c>
      <c r="D272" s="5">
        <v>154.11000000000001</v>
      </c>
      <c r="E272" s="1">
        <f>Tabela9[[#This Row],[Força (N)]]/$I$5</f>
        <v>3636591.0292229862</v>
      </c>
      <c r="F272" s="1">
        <f>Tabela9[[#This Row],[Tensão (Pa)]]/1000000</f>
        <v>3.6365910292229864</v>
      </c>
    </row>
    <row r="273" spans="1:6" x14ac:dyDescent="0.3">
      <c r="A273" s="5">
        <v>17.117000000000001</v>
      </c>
      <c r="B273" s="5">
        <v>1.4184000000000001</v>
      </c>
      <c r="C273" s="1">
        <f>Tabela9[[#This Row],[Alongamento (mm/mm)]]/$I$2</f>
        <v>2.8368000000000001E-2</v>
      </c>
      <c r="D273" s="5">
        <v>155.30000000000001</v>
      </c>
      <c r="E273" s="1">
        <f>Tabela9[[#This Row],[Força (N)]]/$I$5</f>
        <v>3664671.9021369782</v>
      </c>
      <c r="F273" s="1">
        <f>Tabela9[[#This Row],[Tensão (Pa)]]/1000000</f>
        <v>3.6646719021369782</v>
      </c>
    </row>
    <row r="274" spans="1:6" x14ac:dyDescent="0.3">
      <c r="A274" s="5">
        <v>17.167000000000002</v>
      </c>
      <c r="B274" s="5">
        <v>1.4226000000000001</v>
      </c>
      <c r="C274" s="1">
        <f>Tabela9[[#This Row],[Alongamento (mm/mm)]]/$I$2</f>
        <v>2.8452000000000002E-2</v>
      </c>
      <c r="D274" s="5">
        <v>156.32</v>
      </c>
      <c r="E274" s="1">
        <f>Tabela9[[#This Row],[Força (N)]]/$I$5</f>
        <v>3688741.221777543</v>
      </c>
      <c r="F274" s="1">
        <f>Tabela9[[#This Row],[Tensão (Pa)]]/1000000</f>
        <v>3.6887412217775428</v>
      </c>
    </row>
    <row r="275" spans="1:6" x14ac:dyDescent="0.3">
      <c r="A275" s="5">
        <v>17.216999999999999</v>
      </c>
      <c r="B275" s="5">
        <v>1.4267000000000001</v>
      </c>
      <c r="C275" s="1">
        <f>Tabela9[[#This Row],[Alongamento (mm/mm)]]/$I$2</f>
        <v>2.8534E-2</v>
      </c>
      <c r="D275" s="5">
        <v>157.34</v>
      </c>
      <c r="E275" s="1">
        <f>Tabela9[[#This Row],[Força (N)]]/$I$5</f>
        <v>3712810.5414181077</v>
      </c>
      <c r="F275" s="1">
        <f>Tabela9[[#This Row],[Tensão (Pa)]]/1000000</f>
        <v>3.7128105414181078</v>
      </c>
    </row>
    <row r="276" spans="1:6" x14ac:dyDescent="0.3">
      <c r="A276" s="5">
        <v>17.266999999999999</v>
      </c>
      <c r="B276" s="5">
        <v>1.431</v>
      </c>
      <c r="C276" s="1">
        <f>Tabela9[[#This Row],[Alongamento (mm/mm)]]/$I$2</f>
        <v>2.862E-2</v>
      </c>
      <c r="D276" s="5">
        <v>158.53</v>
      </c>
      <c r="E276" s="1">
        <f>Tabela9[[#This Row],[Força (N)]]/$I$5</f>
        <v>3740891.4143321002</v>
      </c>
      <c r="F276" s="1">
        <f>Tabela9[[#This Row],[Tensão (Pa)]]/1000000</f>
        <v>3.7408914143321002</v>
      </c>
    </row>
    <row r="277" spans="1:6" x14ac:dyDescent="0.3">
      <c r="A277" s="5">
        <v>17.317</v>
      </c>
      <c r="B277" s="5">
        <v>1.4350000000000001</v>
      </c>
      <c r="C277" s="1">
        <f>Tabela9[[#This Row],[Alongamento (mm/mm)]]/$I$2</f>
        <v>2.87E-2</v>
      </c>
      <c r="D277" s="5">
        <v>159.55000000000001</v>
      </c>
      <c r="E277" s="1">
        <f>Tabela9[[#This Row],[Força (N)]]/$I$5</f>
        <v>3764960.7339726654</v>
      </c>
      <c r="F277" s="1">
        <f>Tabela9[[#This Row],[Tensão (Pa)]]/1000000</f>
        <v>3.7649607339726652</v>
      </c>
    </row>
    <row r="278" spans="1:6" x14ac:dyDescent="0.3">
      <c r="A278" s="5">
        <v>17.367000000000001</v>
      </c>
      <c r="B278" s="5">
        <v>1.4392</v>
      </c>
      <c r="C278" s="1">
        <f>Tabela9[[#This Row],[Alongamento (mm/mm)]]/$I$2</f>
        <v>2.8784000000000001E-2</v>
      </c>
      <c r="D278" s="5">
        <v>160.57</v>
      </c>
      <c r="E278" s="1">
        <f>Tabela9[[#This Row],[Força (N)]]/$I$5</f>
        <v>3789030.0536132297</v>
      </c>
      <c r="F278" s="1">
        <f>Tabela9[[#This Row],[Tensão (Pa)]]/1000000</f>
        <v>3.7890300536132298</v>
      </c>
    </row>
    <row r="279" spans="1:6" x14ac:dyDescent="0.3">
      <c r="A279" s="5">
        <v>17.417000000000002</v>
      </c>
      <c r="B279" s="5">
        <v>1.4433</v>
      </c>
      <c r="C279" s="1">
        <f>Tabela9[[#This Row],[Alongamento (mm/mm)]]/$I$2</f>
        <v>2.8865999999999999E-2</v>
      </c>
      <c r="D279" s="5">
        <v>161.76</v>
      </c>
      <c r="E279" s="1">
        <f>Tabela9[[#This Row],[Força (N)]]/$I$5</f>
        <v>3817110.9265272217</v>
      </c>
      <c r="F279" s="1">
        <f>Tabela9[[#This Row],[Tensão (Pa)]]/1000000</f>
        <v>3.8171109265272216</v>
      </c>
    </row>
    <row r="280" spans="1:6" x14ac:dyDescent="0.3">
      <c r="A280" s="5">
        <v>17.466999999999999</v>
      </c>
      <c r="B280" s="5">
        <v>1.4476</v>
      </c>
      <c r="C280" s="1">
        <f>Tabela9[[#This Row],[Alongamento (mm/mm)]]/$I$2</f>
        <v>2.8951999999999999E-2</v>
      </c>
      <c r="D280" s="5">
        <v>162.78</v>
      </c>
      <c r="E280" s="1">
        <f>Tabela9[[#This Row],[Força (N)]]/$I$5</f>
        <v>3841180.2461677869</v>
      </c>
      <c r="F280" s="1">
        <f>Tabela9[[#This Row],[Tensão (Pa)]]/1000000</f>
        <v>3.8411802461677871</v>
      </c>
    </row>
    <row r="281" spans="1:6" x14ac:dyDescent="0.3">
      <c r="A281" s="5">
        <v>17.516999999999999</v>
      </c>
      <c r="B281" s="5">
        <v>1.4518</v>
      </c>
      <c r="C281" s="1">
        <f>Tabela9[[#This Row],[Alongamento (mm/mm)]]/$I$2</f>
        <v>2.9035999999999999E-2</v>
      </c>
      <c r="D281" s="5">
        <v>163.98</v>
      </c>
      <c r="E281" s="1">
        <f>Tabela9[[#This Row],[Força (N)]]/$I$5</f>
        <v>3869497.0928037451</v>
      </c>
      <c r="F281" s="1">
        <f>Tabela9[[#This Row],[Tensão (Pa)]]/1000000</f>
        <v>3.8694970928037451</v>
      </c>
    </row>
    <row r="282" spans="1:6" x14ac:dyDescent="0.3">
      <c r="A282" s="5">
        <v>17.567</v>
      </c>
      <c r="B282" s="5">
        <v>1.456</v>
      </c>
      <c r="C282" s="1">
        <f>Tabela9[[#This Row],[Alongamento (mm/mm)]]/$I$2</f>
        <v>2.912E-2</v>
      </c>
      <c r="D282" s="5">
        <v>165</v>
      </c>
      <c r="E282" s="1">
        <f>Tabela9[[#This Row],[Força (N)]]/$I$5</f>
        <v>3893566.4124443103</v>
      </c>
      <c r="F282" s="1">
        <f>Tabela9[[#This Row],[Tensão (Pa)]]/1000000</f>
        <v>3.8935664124443101</v>
      </c>
    </row>
    <row r="283" spans="1:6" x14ac:dyDescent="0.3">
      <c r="A283" s="5">
        <v>17.617000000000001</v>
      </c>
      <c r="B283" s="5">
        <v>1.4601999999999999</v>
      </c>
      <c r="C283" s="1">
        <f>Tabela9[[#This Row],[Alongamento (mm/mm)]]/$I$2</f>
        <v>2.9203999999999997E-2</v>
      </c>
      <c r="D283" s="5">
        <v>166.02</v>
      </c>
      <c r="E283" s="1">
        <f>Tabela9[[#This Row],[Força (N)]]/$I$5</f>
        <v>3917635.7320848755</v>
      </c>
      <c r="F283" s="1">
        <f>Tabela9[[#This Row],[Tensão (Pa)]]/1000000</f>
        <v>3.9176357320848756</v>
      </c>
    </row>
    <row r="284" spans="1:6" x14ac:dyDescent="0.3">
      <c r="A284" s="5">
        <v>17.667000000000002</v>
      </c>
      <c r="B284" s="5">
        <v>1.4642999999999999</v>
      </c>
      <c r="C284" s="1">
        <f>Tabela9[[#This Row],[Alongamento (mm/mm)]]/$I$2</f>
        <v>2.9286E-2</v>
      </c>
      <c r="D284" s="5">
        <v>167.21</v>
      </c>
      <c r="E284" s="1">
        <f>Tabela9[[#This Row],[Força (N)]]/$I$5</f>
        <v>3945716.6049988675</v>
      </c>
      <c r="F284" s="1">
        <f>Tabela9[[#This Row],[Tensão (Pa)]]/1000000</f>
        <v>3.9457166049988674</v>
      </c>
    </row>
    <row r="285" spans="1:6" x14ac:dyDescent="0.3">
      <c r="A285" s="5">
        <v>17.716999999999999</v>
      </c>
      <c r="B285" s="5">
        <v>1.4683999999999999</v>
      </c>
      <c r="C285" s="1">
        <f>Tabela9[[#This Row],[Alongamento (mm/mm)]]/$I$2</f>
        <v>2.9367999999999998E-2</v>
      </c>
      <c r="D285" s="5">
        <v>168.4</v>
      </c>
      <c r="E285" s="1">
        <f>Tabela9[[#This Row],[Força (N)]]/$I$5</f>
        <v>3973797.47791286</v>
      </c>
      <c r="F285" s="1">
        <f>Tabela9[[#This Row],[Tensão (Pa)]]/1000000</f>
        <v>3.9737974779128602</v>
      </c>
    </row>
    <row r="286" spans="1:6" x14ac:dyDescent="0.3">
      <c r="A286" s="5">
        <v>17.766999999999999</v>
      </c>
      <c r="B286" s="5">
        <v>1.4724999999999999</v>
      </c>
      <c r="C286" s="1">
        <f>Tabela9[[#This Row],[Alongamento (mm/mm)]]/$I$2</f>
        <v>2.9449999999999997E-2</v>
      </c>
      <c r="D286" s="5">
        <v>169.42</v>
      </c>
      <c r="E286" s="1">
        <f>Tabela9[[#This Row],[Força (N)]]/$I$5</f>
        <v>3997866.7975534243</v>
      </c>
      <c r="F286" s="1">
        <f>Tabela9[[#This Row],[Tensão (Pa)]]/1000000</f>
        <v>3.9978667975534243</v>
      </c>
    </row>
    <row r="287" spans="1:6" x14ac:dyDescent="0.3">
      <c r="A287" s="5">
        <v>17.817</v>
      </c>
      <c r="B287" s="5">
        <v>1.4767999999999999</v>
      </c>
      <c r="C287" s="1">
        <f>Tabela9[[#This Row],[Alongamento (mm/mm)]]/$I$2</f>
        <v>2.9535999999999996E-2</v>
      </c>
      <c r="D287" s="5">
        <v>170.61</v>
      </c>
      <c r="E287" s="1">
        <f>Tabela9[[#This Row],[Força (N)]]/$I$5</f>
        <v>4025947.6704674172</v>
      </c>
      <c r="F287" s="1">
        <f>Tabela9[[#This Row],[Tensão (Pa)]]/1000000</f>
        <v>4.0259476704674171</v>
      </c>
    </row>
    <row r="288" spans="1:6" x14ac:dyDescent="0.3">
      <c r="A288" s="5">
        <v>17.867000000000001</v>
      </c>
      <c r="B288" s="5">
        <v>1.4809000000000001</v>
      </c>
      <c r="C288" s="1">
        <f>Tabela9[[#This Row],[Alongamento (mm/mm)]]/$I$2</f>
        <v>2.9618000000000002E-2</v>
      </c>
      <c r="D288" s="5">
        <v>171.63</v>
      </c>
      <c r="E288" s="1">
        <f>Tabela9[[#This Row],[Força (N)]]/$I$5</f>
        <v>4050016.9901079815</v>
      </c>
      <c r="F288" s="1">
        <f>Tabela9[[#This Row],[Tensão (Pa)]]/1000000</f>
        <v>4.0500169901079817</v>
      </c>
    </row>
    <row r="289" spans="1:6" x14ac:dyDescent="0.3">
      <c r="A289" s="5">
        <v>17.917000000000002</v>
      </c>
      <c r="B289" s="5">
        <v>1.4851000000000001</v>
      </c>
      <c r="C289" s="1">
        <f>Tabela9[[#This Row],[Alongamento (mm/mm)]]/$I$2</f>
        <v>2.9702000000000003E-2</v>
      </c>
      <c r="D289" s="5">
        <v>172.82</v>
      </c>
      <c r="E289" s="1">
        <f>Tabela9[[#This Row],[Força (N)]]/$I$5</f>
        <v>4078097.863021974</v>
      </c>
      <c r="F289" s="1">
        <f>Tabela9[[#This Row],[Tensão (Pa)]]/1000000</f>
        <v>4.0780978630219744</v>
      </c>
    </row>
    <row r="290" spans="1:6" x14ac:dyDescent="0.3">
      <c r="A290" s="5">
        <v>17.966999999999999</v>
      </c>
      <c r="B290" s="5">
        <v>1.4892000000000001</v>
      </c>
      <c r="C290" s="1">
        <f>Tabela9[[#This Row],[Alongamento (mm/mm)]]/$I$2</f>
        <v>2.9784000000000001E-2</v>
      </c>
      <c r="D290" s="5">
        <v>174.01</v>
      </c>
      <c r="E290" s="1">
        <f>Tabela9[[#This Row],[Força (N)]]/$I$5</f>
        <v>4106178.735935966</v>
      </c>
      <c r="F290" s="1">
        <f>Tabela9[[#This Row],[Tensão (Pa)]]/1000000</f>
        <v>4.1061787359359663</v>
      </c>
    </row>
    <row r="291" spans="1:6" x14ac:dyDescent="0.3">
      <c r="A291" s="5">
        <v>18.016999999999999</v>
      </c>
      <c r="B291" s="5">
        <v>1.4935</v>
      </c>
      <c r="C291" s="1">
        <f>Tabela9[[#This Row],[Alongamento (mm/mm)]]/$I$2</f>
        <v>2.9870000000000001E-2</v>
      </c>
      <c r="D291" s="5">
        <v>175.03</v>
      </c>
      <c r="E291" s="1">
        <f>Tabela9[[#This Row],[Força (N)]]/$I$5</f>
        <v>4130248.0555765312</v>
      </c>
      <c r="F291" s="1">
        <f>Tabela9[[#This Row],[Tensão (Pa)]]/1000000</f>
        <v>4.1302480555765309</v>
      </c>
    </row>
    <row r="292" spans="1:6" x14ac:dyDescent="0.3">
      <c r="A292" s="5">
        <v>18.082999999999998</v>
      </c>
      <c r="B292" s="5">
        <v>1.4990000000000001</v>
      </c>
      <c r="C292" s="1">
        <f>Tabela9[[#This Row],[Alongamento (mm/mm)]]/$I$2</f>
        <v>2.9980000000000003E-2</v>
      </c>
      <c r="D292" s="5">
        <v>176.56</v>
      </c>
      <c r="E292" s="1">
        <f>Tabela9[[#This Row],[Força (N)]]/$I$5</f>
        <v>4166352.0350373783</v>
      </c>
      <c r="F292" s="1">
        <f>Tabela9[[#This Row],[Tensão (Pa)]]/1000000</f>
        <v>4.1663520350373782</v>
      </c>
    </row>
    <row r="293" spans="1:6" x14ac:dyDescent="0.3">
      <c r="A293" s="5">
        <v>18.149999999999999</v>
      </c>
      <c r="B293" s="5">
        <v>1.5044999999999999</v>
      </c>
      <c r="C293" s="1">
        <f>Tabela9[[#This Row],[Alongamento (mm/mm)]]/$I$2</f>
        <v>3.0089999999999999E-2</v>
      </c>
      <c r="D293" s="5">
        <v>178.09</v>
      </c>
      <c r="E293" s="1">
        <f>Tabela9[[#This Row],[Força (N)]]/$I$5</f>
        <v>4202456.0144982254</v>
      </c>
      <c r="F293" s="1">
        <f>Tabela9[[#This Row],[Tensão (Pa)]]/1000000</f>
        <v>4.2024560144982255</v>
      </c>
    </row>
    <row r="294" spans="1:6" x14ac:dyDescent="0.3">
      <c r="A294" s="5">
        <v>18.216999999999999</v>
      </c>
      <c r="B294" s="5">
        <v>1.5101</v>
      </c>
      <c r="C294" s="1">
        <f>Tabela9[[#This Row],[Alongamento (mm/mm)]]/$I$2</f>
        <v>3.0202E-2</v>
      </c>
      <c r="D294" s="5">
        <v>179.62</v>
      </c>
      <c r="E294" s="1">
        <f>Tabela9[[#This Row],[Força (N)]]/$I$5</f>
        <v>4238559.993959073</v>
      </c>
      <c r="F294" s="1">
        <f>Tabela9[[#This Row],[Tensão (Pa)]]/1000000</f>
        <v>4.2385599939590728</v>
      </c>
    </row>
    <row r="295" spans="1:6" x14ac:dyDescent="0.3">
      <c r="A295" s="5">
        <v>18.283000000000001</v>
      </c>
      <c r="B295" s="5">
        <v>1.5156000000000001</v>
      </c>
      <c r="C295" s="1">
        <f>Tabela9[[#This Row],[Alongamento (mm/mm)]]/$I$2</f>
        <v>3.0312000000000002E-2</v>
      </c>
      <c r="D295" s="5">
        <v>181.16</v>
      </c>
      <c r="E295" s="1">
        <f>Tabela9[[#This Row],[Força (N)]]/$I$5</f>
        <v>4274899.9471418867</v>
      </c>
      <c r="F295" s="1">
        <f>Tabela9[[#This Row],[Tensão (Pa)]]/1000000</f>
        <v>4.2748999471418863</v>
      </c>
    </row>
    <row r="296" spans="1:6" x14ac:dyDescent="0.3">
      <c r="A296" s="5">
        <v>18.350000000000001</v>
      </c>
      <c r="B296" s="5">
        <v>1.5210999999999999</v>
      </c>
      <c r="C296" s="1">
        <f>Tabela9[[#This Row],[Alongamento (mm/mm)]]/$I$2</f>
        <v>3.0421999999999998E-2</v>
      </c>
      <c r="D296" s="5">
        <v>182.69</v>
      </c>
      <c r="E296" s="1">
        <f>Tabela9[[#This Row],[Força (N)]]/$I$5</f>
        <v>4311003.9266027333</v>
      </c>
      <c r="F296" s="1">
        <f>Tabela9[[#This Row],[Tensão (Pa)]]/1000000</f>
        <v>4.3110039266027336</v>
      </c>
    </row>
    <row r="297" spans="1:6" x14ac:dyDescent="0.3">
      <c r="A297" s="5">
        <v>18.417000000000002</v>
      </c>
      <c r="B297" s="5">
        <v>1.5267999999999999</v>
      </c>
      <c r="C297" s="1">
        <f>Tabela9[[#This Row],[Alongamento (mm/mm)]]/$I$2</f>
        <v>3.0535999999999997E-2</v>
      </c>
      <c r="D297" s="5">
        <v>184.22</v>
      </c>
      <c r="E297" s="1">
        <f>Tabela9[[#This Row],[Força (N)]]/$I$5</f>
        <v>4347107.9060635809</v>
      </c>
      <c r="F297" s="1">
        <f>Tabela9[[#This Row],[Tensão (Pa)]]/1000000</f>
        <v>4.3471079060635809</v>
      </c>
    </row>
    <row r="298" spans="1:6" x14ac:dyDescent="0.3">
      <c r="A298" s="5">
        <v>18.483000000000001</v>
      </c>
      <c r="B298" s="5">
        <v>1.5323</v>
      </c>
      <c r="C298" s="1">
        <f>Tabela9[[#This Row],[Alongamento (mm/mm)]]/$I$2</f>
        <v>3.0646E-2</v>
      </c>
      <c r="D298" s="5">
        <v>185.75</v>
      </c>
      <c r="E298" s="1">
        <f>Tabela9[[#This Row],[Força (N)]]/$I$5</f>
        <v>4383211.8855244284</v>
      </c>
      <c r="F298" s="1">
        <f>Tabela9[[#This Row],[Tensão (Pa)]]/1000000</f>
        <v>4.3832118855244282</v>
      </c>
    </row>
    <row r="299" spans="1:6" x14ac:dyDescent="0.3">
      <c r="A299" s="5">
        <v>18.55</v>
      </c>
      <c r="B299" s="5">
        <v>1.5379</v>
      </c>
      <c r="C299" s="1">
        <f>Tabela9[[#This Row],[Alongamento (mm/mm)]]/$I$2</f>
        <v>3.0758000000000001E-2</v>
      </c>
      <c r="D299" s="5">
        <v>187.28</v>
      </c>
      <c r="E299" s="1">
        <f>Tabela9[[#This Row],[Força (N)]]/$I$5</f>
        <v>4419315.8649852751</v>
      </c>
      <c r="F299" s="1">
        <f>Tabela9[[#This Row],[Tensão (Pa)]]/1000000</f>
        <v>4.4193158649852755</v>
      </c>
    </row>
    <row r="300" spans="1:6" x14ac:dyDescent="0.3">
      <c r="A300" s="5">
        <v>18.617000000000001</v>
      </c>
      <c r="B300" s="5">
        <v>1.5435000000000001</v>
      </c>
      <c r="C300" s="1">
        <f>Tabela9[[#This Row],[Alongamento (mm/mm)]]/$I$2</f>
        <v>3.0870000000000002E-2</v>
      </c>
      <c r="D300" s="5">
        <v>188.81</v>
      </c>
      <c r="E300" s="1">
        <f>Tabela9[[#This Row],[Força (N)]]/$I$5</f>
        <v>4455419.8444461226</v>
      </c>
      <c r="F300" s="1">
        <f>Tabela9[[#This Row],[Tensão (Pa)]]/1000000</f>
        <v>4.4554198444461228</v>
      </c>
    </row>
    <row r="301" spans="1:6" x14ac:dyDescent="0.3">
      <c r="A301" s="5">
        <v>18.683</v>
      </c>
      <c r="B301" s="5">
        <v>1.5489999999999999</v>
      </c>
      <c r="C301" s="1">
        <f>Tabela9[[#This Row],[Alongamento (mm/mm)]]/$I$2</f>
        <v>3.0979999999999997E-2</v>
      </c>
      <c r="D301" s="5">
        <v>190.34</v>
      </c>
      <c r="E301" s="1">
        <f>Tabela9[[#This Row],[Força (N)]]/$I$5</f>
        <v>4491523.8239069702</v>
      </c>
      <c r="F301" s="1">
        <f>Tabela9[[#This Row],[Tensão (Pa)]]/1000000</f>
        <v>4.4915238239069701</v>
      </c>
    </row>
    <row r="302" spans="1:6" x14ac:dyDescent="0.3">
      <c r="A302" s="5">
        <v>18.75</v>
      </c>
      <c r="B302" s="5">
        <v>1.5546</v>
      </c>
      <c r="C302" s="1">
        <f>Tabela9[[#This Row],[Alongamento (mm/mm)]]/$I$2</f>
        <v>3.1091999999999998E-2</v>
      </c>
      <c r="D302" s="5">
        <v>191.87</v>
      </c>
      <c r="E302" s="1">
        <f>Tabela9[[#This Row],[Força (N)]]/$I$5</f>
        <v>4527627.8033678168</v>
      </c>
      <c r="F302" s="1">
        <f>Tabela9[[#This Row],[Tensão (Pa)]]/1000000</f>
        <v>4.5276278033678166</v>
      </c>
    </row>
    <row r="303" spans="1:6" x14ac:dyDescent="0.3">
      <c r="A303" s="5">
        <v>18.817</v>
      </c>
      <c r="B303" s="5">
        <v>1.5601</v>
      </c>
      <c r="C303" s="1">
        <f>Tabela9[[#This Row],[Alongamento (mm/mm)]]/$I$2</f>
        <v>3.1202000000000001E-2</v>
      </c>
      <c r="D303" s="5">
        <v>193.4</v>
      </c>
      <c r="E303" s="1">
        <f>Tabela9[[#This Row],[Força (N)]]/$I$5</f>
        <v>4563731.7828286644</v>
      </c>
      <c r="F303" s="1">
        <f>Tabela9[[#This Row],[Tensão (Pa)]]/1000000</f>
        <v>4.5637317828286648</v>
      </c>
    </row>
    <row r="304" spans="1:6" x14ac:dyDescent="0.3">
      <c r="A304" s="5">
        <v>18.882999999999999</v>
      </c>
      <c r="B304" s="5">
        <v>1.5656000000000001</v>
      </c>
      <c r="C304" s="1">
        <f>Tabela9[[#This Row],[Alongamento (mm/mm)]]/$I$2</f>
        <v>3.1312E-2</v>
      </c>
      <c r="D304" s="5">
        <v>194.93</v>
      </c>
      <c r="E304" s="1">
        <f>Tabela9[[#This Row],[Força (N)]]/$I$5</f>
        <v>4599835.762289512</v>
      </c>
      <c r="F304" s="1">
        <f>Tabela9[[#This Row],[Tensão (Pa)]]/1000000</f>
        <v>4.5998357622895121</v>
      </c>
    </row>
    <row r="305" spans="1:6" x14ac:dyDescent="0.3">
      <c r="A305" s="5">
        <v>18.95</v>
      </c>
      <c r="B305" s="5">
        <v>1.5711999999999999</v>
      </c>
      <c r="C305" s="1">
        <f>Tabela9[[#This Row],[Alongamento (mm/mm)]]/$I$2</f>
        <v>3.1424000000000001E-2</v>
      </c>
      <c r="D305" s="5">
        <v>196.46</v>
      </c>
      <c r="E305" s="1">
        <f>Tabela9[[#This Row],[Força (N)]]/$I$5</f>
        <v>4635939.7417503586</v>
      </c>
      <c r="F305" s="1">
        <f>Tabela9[[#This Row],[Tensão (Pa)]]/1000000</f>
        <v>4.6359397417503585</v>
      </c>
    </row>
    <row r="306" spans="1:6" x14ac:dyDescent="0.3">
      <c r="A306" s="5">
        <v>19.016999999999999</v>
      </c>
      <c r="B306" s="5">
        <v>1.5768</v>
      </c>
      <c r="C306" s="1">
        <f>Tabela9[[#This Row],[Alongamento (mm/mm)]]/$I$2</f>
        <v>3.1536000000000002E-2</v>
      </c>
      <c r="D306" s="5">
        <v>198</v>
      </c>
      <c r="E306" s="1">
        <f>Tabela9[[#This Row],[Força (N)]]/$I$5</f>
        <v>4672279.6949331723</v>
      </c>
      <c r="F306" s="1">
        <f>Tabela9[[#This Row],[Tensão (Pa)]]/1000000</f>
        <v>4.672279694933172</v>
      </c>
    </row>
    <row r="307" spans="1:6" x14ac:dyDescent="0.3">
      <c r="A307" s="5">
        <v>19.082999999999998</v>
      </c>
      <c r="B307" s="5">
        <v>1.5823</v>
      </c>
      <c r="C307" s="1">
        <f>Tabela9[[#This Row],[Alongamento (mm/mm)]]/$I$2</f>
        <v>3.1646000000000001E-2</v>
      </c>
      <c r="D307" s="5">
        <v>199.53</v>
      </c>
      <c r="E307" s="1">
        <f>Tabela9[[#This Row],[Força (N)]]/$I$5</f>
        <v>4708383.6743940199</v>
      </c>
      <c r="F307" s="1">
        <f>Tabela9[[#This Row],[Tensão (Pa)]]/1000000</f>
        <v>4.7083836743940202</v>
      </c>
    </row>
    <row r="308" spans="1:6" x14ac:dyDescent="0.3">
      <c r="A308" s="5">
        <v>19.149999999999999</v>
      </c>
      <c r="B308" s="5">
        <v>1.5879000000000001</v>
      </c>
      <c r="C308" s="1">
        <f>Tabela9[[#This Row],[Alongamento (mm/mm)]]/$I$2</f>
        <v>3.1758000000000002E-2</v>
      </c>
      <c r="D308" s="5">
        <v>201.06</v>
      </c>
      <c r="E308" s="1">
        <f>Tabela9[[#This Row],[Força (N)]]/$I$5</f>
        <v>4744487.6538548665</v>
      </c>
      <c r="F308" s="1">
        <f>Tabela9[[#This Row],[Tensão (Pa)]]/1000000</f>
        <v>4.7444876538548666</v>
      </c>
    </row>
    <row r="309" spans="1:6" x14ac:dyDescent="0.3">
      <c r="A309" s="5">
        <v>19.216999999999999</v>
      </c>
      <c r="B309" s="5">
        <v>1.5933999999999999</v>
      </c>
      <c r="C309" s="1">
        <f>Tabela9[[#This Row],[Alongamento (mm/mm)]]/$I$2</f>
        <v>3.1868E-2</v>
      </c>
      <c r="D309" s="5">
        <v>202.59</v>
      </c>
      <c r="E309" s="1">
        <f>Tabela9[[#This Row],[Força (N)]]/$I$5</f>
        <v>4780591.6333157141</v>
      </c>
      <c r="F309" s="1">
        <f>Tabela9[[#This Row],[Tensão (Pa)]]/1000000</f>
        <v>4.7805916333157139</v>
      </c>
    </row>
    <row r="310" spans="1:6" x14ac:dyDescent="0.3">
      <c r="A310" s="5">
        <v>19.283000000000001</v>
      </c>
      <c r="B310" s="5">
        <v>1.599</v>
      </c>
      <c r="C310" s="1">
        <f>Tabela9[[#This Row],[Alongamento (mm/mm)]]/$I$2</f>
        <v>3.1980000000000001E-2</v>
      </c>
      <c r="D310" s="5">
        <v>204.12</v>
      </c>
      <c r="E310" s="1">
        <f>Tabela9[[#This Row],[Força (N)]]/$I$5</f>
        <v>4816695.6127765616</v>
      </c>
      <c r="F310" s="1">
        <f>Tabela9[[#This Row],[Tensão (Pa)]]/1000000</f>
        <v>4.8166956127765612</v>
      </c>
    </row>
    <row r="311" spans="1:6" x14ac:dyDescent="0.3">
      <c r="A311" s="5">
        <v>19.350000000000001</v>
      </c>
      <c r="B311" s="5">
        <v>1.6045</v>
      </c>
      <c r="C311" s="1">
        <f>Tabela9[[#This Row],[Alongamento (mm/mm)]]/$I$2</f>
        <v>3.209E-2</v>
      </c>
      <c r="D311" s="5">
        <v>205.65</v>
      </c>
      <c r="E311" s="1">
        <f>Tabela9[[#This Row],[Força (N)]]/$I$5</f>
        <v>4852799.5922374083</v>
      </c>
      <c r="F311" s="1">
        <f>Tabela9[[#This Row],[Tensão (Pa)]]/1000000</f>
        <v>4.8527995922374085</v>
      </c>
    </row>
    <row r="312" spans="1:6" x14ac:dyDescent="0.3">
      <c r="A312" s="5">
        <v>19.417000000000002</v>
      </c>
      <c r="B312" s="5">
        <v>1.6101000000000001</v>
      </c>
      <c r="C312" s="1">
        <f>Tabela9[[#This Row],[Alongamento (mm/mm)]]/$I$2</f>
        <v>3.2202000000000001E-2</v>
      </c>
      <c r="D312" s="5">
        <v>207.18</v>
      </c>
      <c r="E312" s="1">
        <f>Tabela9[[#This Row],[Força (N)]]/$I$5</f>
        <v>4888903.5716982558</v>
      </c>
      <c r="F312" s="1">
        <f>Tabela9[[#This Row],[Tensão (Pa)]]/1000000</f>
        <v>4.8889035716982558</v>
      </c>
    </row>
    <row r="313" spans="1:6" x14ac:dyDescent="0.3">
      <c r="A313" s="5">
        <v>19.483000000000001</v>
      </c>
      <c r="B313" s="5">
        <v>1.6156999999999999</v>
      </c>
      <c r="C313" s="1">
        <f>Tabela9[[#This Row],[Alongamento (mm/mm)]]/$I$2</f>
        <v>3.2313999999999996E-2</v>
      </c>
      <c r="D313" s="5">
        <v>208.88</v>
      </c>
      <c r="E313" s="1">
        <f>Tabela9[[#This Row],[Força (N)]]/$I$5</f>
        <v>4929019.1044325307</v>
      </c>
      <c r="F313" s="1">
        <f>Tabela9[[#This Row],[Tensão (Pa)]]/1000000</f>
        <v>4.9290191044325304</v>
      </c>
    </row>
    <row r="314" spans="1:6" x14ac:dyDescent="0.3">
      <c r="A314" s="5">
        <v>19.55</v>
      </c>
      <c r="B314" s="5">
        <v>1.6212</v>
      </c>
      <c r="C314" s="1">
        <f>Tabela9[[#This Row],[Alongamento (mm/mm)]]/$I$2</f>
        <v>3.2424000000000001E-2</v>
      </c>
      <c r="D314" s="5">
        <v>210.41</v>
      </c>
      <c r="E314" s="1">
        <f>Tabela9[[#This Row],[Força (N)]]/$I$5</f>
        <v>4965123.0838933773</v>
      </c>
      <c r="F314" s="1">
        <f>Tabela9[[#This Row],[Tensão (Pa)]]/1000000</f>
        <v>4.9651230838933778</v>
      </c>
    </row>
    <row r="315" spans="1:6" x14ac:dyDescent="0.3">
      <c r="A315" s="5">
        <v>19.617000000000001</v>
      </c>
      <c r="B315" s="5">
        <v>1.6267</v>
      </c>
      <c r="C315" s="1">
        <f>Tabela9[[#This Row],[Alongamento (mm/mm)]]/$I$2</f>
        <v>3.2534E-2</v>
      </c>
      <c r="D315" s="5">
        <v>211.94</v>
      </c>
      <c r="E315" s="1">
        <f>Tabela9[[#This Row],[Força (N)]]/$I$5</f>
        <v>5001227.0633542249</v>
      </c>
      <c r="F315" s="1">
        <f>Tabela9[[#This Row],[Tensão (Pa)]]/1000000</f>
        <v>5.0012270633542251</v>
      </c>
    </row>
    <row r="316" spans="1:6" x14ac:dyDescent="0.3">
      <c r="A316" s="5">
        <v>19.683</v>
      </c>
      <c r="B316" s="5">
        <v>1.6323000000000001</v>
      </c>
      <c r="C316" s="1">
        <f>Tabela9[[#This Row],[Alongamento (mm/mm)]]/$I$2</f>
        <v>3.2646000000000001E-2</v>
      </c>
      <c r="D316" s="5">
        <v>213.47</v>
      </c>
      <c r="E316" s="1">
        <f>Tabela9[[#This Row],[Força (N)]]/$I$5</f>
        <v>5037331.0428150725</v>
      </c>
      <c r="F316" s="1">
        <f>Tabela9[[#This Row],[Tensão (Pa)]]/1000000</f>
        <v>5.0373310428150724</v>
      </c>
    </row>
    <row r="317" spans="1:6" x14ac:dyDescent="0.3">
      <c r="A317" s="5">
        <v>19.75</v>
      </c>
      <c r="B317" s="5">
        <v>1.6378999999999999</v>
      </c>
      <c r="C317" s="1">
        <f>Tabela9[[#This Row],[Alongamento (mm/mm)]]/$I$2</f>
        <v>3.2757999999999995E-2</v>
      </c>
      <c r="D317" s="5">
        <v>215.18</v>
      </c>
      <c r="E317" s="1">
        <f>Tabela9[[#This Row],[Força (N)]]/$I$5</f>
        <v>5077682.5492713135</v>
      </c>
      <c r="F317" s="1">
        <f>Tabela9[[#This Row],[Tensão (Pa)]]/1000000</f>
        <v>5.0776825492713131</v>
      </c>
    </row>
    <row r="318" spans="1:6" x14ac:dyDescent="0.3">
      <c r="A318" s="5">
        <v>19.817</v>
      </c>
      <c r="B318" s="5">
        <v>1.6434</v>
      </c>
      <c r="C318" s="1">
        <f>Tabela9[[#This Row],[Alongamento (mm/mm)]]/$I$2</f>
        <v>3.2868000000000001E-2</v>
      </c>
      <c r="D318" s="5">
        <v>216.71</v>
      </c>
      <c r="E318" s="1">
        <f>Tabela9[[#This Row],[Força (N)]]/$I$5</f>
        <v>5113786.528732161</v>
      </c>
      <c r="F318" s="1">
        <f>Tabela9[[#This Row],[Tensão (Pa)]]/1000000</f>
        <v>5.1137865287321613</v>
      </c>
    </row>
    <row r="319" spans="1:6" x14ac:dyDescent="0.3">
      <c r="A319" s="5">
        <v>19.882999999999999</v>
      </c>
      <c r="B319" s="5">
        <v>1.649</v>
      </c>
      <c r="C319" s="1">
        <f>Tabela9[[#This Row],[Alongamento (mm/mm)]]/$I$2</f>
        <v>3.2980000000000002E-2</v>
      </c>
      <c r="D319" s="5">
        <v>218.24</v>
      </c>
      <c r="E319" s="1">
        <f>Tabela9[[#This Row],[Força (N)]]/$I$5</f>
        <v>5149890.5081930077</v>
      </c>
      <c r="F319" s="1">
        <f>Tabela9[[#This Row],[Tensão (Pa)]]/1000000</f>
        <v>5.1498905081930078</v>
      </c>
    </row>
    <row r="320" spans="1:6" x14ac:dyDescent="0.3">
      <c r="A320" s="5">
        <v>19.95</v>
      </c>
      <c r="B320" s="5">
        <v>1.6545000000000001</v>
      </c>
      <c r="C320" s="1">
        <f>Tabela9[[#This Row],[Alongamento (mm/mm)]]/$I$2</f>
        <v>3.3090000000000001E-2</v>
      </c>
      <c r="D320" s="5">
        <v>219.94</v>
      </c>
      <c r="E320" s="1">
        <f>Tabela9[[#This Row],[Força (N)]]/$I$5</f>
        <v>5190006.0409272825</v>
      </c>
      <c r="F320" s="1">
        <f>Tabela9[[#This Row],[Tensão (Pa)]]/1000000</f>
        <v>5.1900060409272823</v>
      </c>
    </row>
    <row r="321" spans="1:6" x14ac:dyDescent="0.3">
      <c r="A321" s="5">
        <v>20.033000000000001</v>
      </c>
      <c r="B321" s="5">
        <v>1.6615</v>
      </c>
      <c r="C321" s="1">
        <f>Tabela9[[#This Row],[Alongamento (mm/mm)]]/$I$2</f>
        <v>3.3230000000000003E-2</v>
      </c>
      <c r="D321" s="5">
        <v>221.98</v>
      </c>
      <c r="E321" s="1">
        <f>Tabela9[[#This Row],[Força (N)]]/$I$5</f>
        <v>5238144.680208412</v>
      </c>
      <c r="F321" s="1">
        <f>Tabela9[[#This Row],[Tensão (Pa)]]/1000000</f>
        <v>5.2381446802084124</v>
      </c>
    </row>
    <row r="322" spans="1:6" x14ac:dyDescent="0.3">
      <c r="A322" s="5">
        <v>20.117000000000001</v>
      </c>
      <c r="B322" s="5">
        <v>1.6684000000000001</v>
      </c>
      <c r="C322" s="1">
        <f>Tabela9[[#This Row],[Alongamento (mm/mm)]]/$I$2</f>
        <v>3.3368000000000002E-2</v>
      </c>
      <c r="D322" s="5">
        <v>224.02</v>
      </c>
      <c r="E322" s="1">
        <f>Tabela9[[#This Row],[Força (N)]]/$I$5</f>
        <v>5286283.3194895424</v>
      </c>
      <c r="F322" s="1">
        <f>Tabela9[[#This Row],[Tensão (Pa)]]/1000000</f>
        <v>5.2862833194895424</v>
      </c>
    </row>
    <row r="323" spans="1:6" x14ac:dyDescent="0.3">
      <c r="A323" s="5">
        <v>20.2</v>
      </c>
      <c r="B323" s="5">
        <v>1.6753</v>
      </c>
      <c r="C323" s="1">
        <f>Tabela9[[#This Row],[Alongamento (mm/mm)]]/$I$2</f>
        <v>3.3506000000000001E-2</v>
      </c>
      <c r="D323" s="5">
        <v>226.06</v>
      </c>
      <c r="E323" s="1">
        <f>Tabela9[[#This Row],[Força (N)]]/$I$5</f>
        <v>5334421.9587706719</v>
      </c>
      <c r="F323" s="1">
        <f>Tabela9[[#This Row],[Tensão (Pa)]]/1000000</f>
        <v>5.3344219587706716</v>
      </c>
    </row>
    <row r="324" spans="1:6" x14ac:dyDescent="0.3">
      <c r="A324" s="5">
        <v>20.283000000000001</v>
      </c>
      <c r="B324" s="5">
        <v>1.6822999999999999</v>
      </c>
      <c r="C324" s="1">
        <f>Tabela9[[#This Row],[Alongamento (mm/mm)]]/$I$2</f>
        <v>3.3645999999999995E-2</v>
      </c>
      <c r="D324" s="5">
        <v>227.93</v>
      </c>
      <c r="E324" s="1">
        <f>Tabela9[[#This Row],[Força (N)]]/$I$5</f>
        <v>5378549.044778374</v>
      </c>
      <c r="F324" s="1">
        <f>Tabela9[[#This Row],[Tensão (Pa)]]/1000000</f>
        <v>5.3785490447783744</v>
      </c>
    </row>
    <row r="325" spans="1:6" x14ac:dyDescent="0.3">
      <c r="A325" s="5">
        <v>20.350000000000001</v>
      </c>
      <c r="B325" s="5">
        <v>1.6879</v>
      </c>
      <c r="C325" s="1">
        <f>Tabela9[[#This Row],[Alongamento (mm/mm)]]/$I$2</f>
        <v>3.3757999999999996E-2</v>
      </c>
      <c r="D325" s="5">
        <v>229.63</v>
      </c>
      <c r="E325" s="1">
        <f>Tabela9[[#This Row],[Força (N)]]/$I$5</f>
        <v>5418664.577512648</v>
      </c>
      <c r="F325" s="1">
        <f>Tabela9[[#This Row],[Tensão (Pa)]]/1000000</f>
        <v>5.4186645775126481</v>
      </c>
    </row>
    <row r="326" spans="1:6" x14ac:dyDescent="0.3">
      <c r="A326" s="5">
        <v>20.433</v>
      </c>
      <c r="B326" s="5">
        <v>1.6949000000000001</v>
      </c>
      <c r="C326" s="1">
        <f>Tabela9[[#This Row],[Alongamento (mm/mm)]]/$I$2</f>
        <v>3.3898000000000005E-2</v>
      </c>
      <c r="D326" s="5">
        <v>231.67</v>
      </c>
      <c r="E326" s="1">
        <f>Tabela9[[#This Row],[Força (N)]]/$I$5</f>
        <v>5466803.2167937774</v>
      </c>
      <c r="F326" s="1">
        <f>Tabela9[[#This Row],[Tensão (Pa)]]/1000000</f>
        <v>5.4668032167937772</v>
      </c>
    </row>
    <row r="327" spans="1:6" x14ac:dyDescent="0.3">
      <c r="A327" s="5">
        <v>20.516999999999999</v>
      </c>
      <c r="B327" s="5">
        <v>1.7018</v>
      </c>
      <c r="C327" s="1">
        <f>Tabela9[[#This Row],[Alongamento (mm/mm)]]/$I$2</f>
        <v>3.4035999999999997E-2</v>
      </c>
      <c r="D327" s="5">
        <v>233.72</v>
      </c>
      <c r="E327" s="1">
        <f>Tabela9[[#This Row],[Força (N)]]/$I$5</f>
        <v>5515177.829796874</v>
      </c>
      <c r="F327" s="1">
        <f>Tabela9[[#This Row],[Tensão (Pa)]]/1000000</f>
        <v>5.5151778297968743</v>
      </c>
    </row>
    <row r="328" spans="1:6" x14ac:dyDescent="0.3">
      <c r="A328" s="5">
        <v>20.6</v>
      </c>
      <c r="B328" s="5">
        <v>1.7087000000000001</v>
      </c>
      <c r="C328" s="1">
        <f>Tabela9[[#This Row],[Alongamento (mm/mm)]]/$I$2</f>
        <v>3.4174000000000003E-2</v>
      </c>
      <c r="D328" s="5">
        <v>235.76</v>
      </c>
      <c r="E328" s="1">
        <f>Tabela9[[#This Row],[Força (N)]]/$I$5</f>
        <v>5563316.4690780034</v>
      </c>
      <c r="F328" s="1">
        <f>Tabela9[[#This Row],[Tensão (Pa)]]/1000000</f>
        <v>5.5633164690780035</v>
      </c>
    </row>
    <row r="329" spans="1:6" x14ac:dyDescent="0.3">
      <c r="A329" s="5">
        <v>20.683</v>
      </c>
      <c r="B329" s="5">
        <v>1.7157</v>
      </c>
      <c r="C329" s="1">
        <f>Tabela9[[#This Row],[Alongamento (mm/mm)]]/$I$2</f>
        <v>3.4313999999999997E-2</v>
      </c>
      <c r="D329" s="5">
        <v>237.8</v>
      </c>
      <c r="E329" s="1">
        <f>Tabela9[[#This Row],[Força (N)]]/$I$5</f>
        <v>5611455.1083591338</v>
      </c>
      <c r="F329" s="1">
        <f>Tabela9[[#This Row],[Tensão (Pa)]]/1000000</f>
        <v>5.6114551083591335</v>
      </c>
    </row>
    <row r="330" spans="1:6" x14ac:dyDescent="0.3">
      <c r="A330" s="5">
        <v>20.766999999999999</v>
      </c>
      <c r="B330" s="5">
        <v>1.7224999999999999</v>
      </c>
      <c r="C330" s="1">
        <f>Tabela9[[#This Row],[Alongamento (mm/mm)]]/$I$2</f>
        <v>3.4450000000000001E-2</v>
      </c>
      <c r="D330" s="5">
        <v>239.84</v>
      </c>
      <c r="E330" s="1">
        <f>Tabela9[[#This Row],[Força (N)]]/$I$5</f>
        <v>5659593.7476402633</v>
      </c>
      <c r="F330" s="1">
        <f>Tabela9[[#This Row],[Tensão (Pa)]]/1000000</f>
        <v>5.6595937476402636</v>
      </c>
    </row>
    <row r="331" spans="1:6" x14ac:dyDescent="0.3">
      <c r="A331" s="5">
        <v>20.85</v>
      </c>
      <c r="B331" s="5">
        <v>1.7296</v>
      </c>
      <c r="C331" s="1">
        <f>Tabela9[[#This Row],[Alongamento (mm/mm)]]/$I$2</f>
        <v>3.4591999999999998E-2</v>
      </c>
      <c r="D331" s="5">
        <v>241.88</v>
      </c>
      <c r="E331" s="1">
        <f>Tabela9[[#This Row],[Força (N)]]/$I$5</f>
        <v>5707732.3869213928</v>
      </c>
      <c r="F331" s="1">
        <f>Tabela9[[#This Row],[Tensão (Pa)]]/1000000</f>
        <v>5.7077323869213927</v>
      </c>
    </row>
    <row r="332" spans="1:6" x14ac:dyDescent="0.3">
      <c r="A332" s="5">
        <v>20.917000000000002</v>
      </c>
      <c r="B332" s="5">
        <v>1.7352000000000001</v>
      </c>
      <c r="C332" s="1">
        <f>Tabela9[[#This Row],[Alongamento (mm/mm)]]/$I$2</f>
        <v>3.4703999999999999E-2</v>
      </c>
      <c r="D332" s="5">
        <v>243.58</v>
      </c>
      <c r="E332" s="1">
        <f>Tabela9[[#This Row],[Força (N)]]/$I$5</f>
        <v>5747847.9196556676</v>
      </c>
      <c r="F332" s="1">
        <f>Tabela9[[#This Row],[Tensão (Pa)]]/1000000</f>
        <v>5.7478479196556673</v>
      </c>
    </row>
    <row r="333" spans="1:6" x14ac:dyDescent="0.3">
      <c r="A333" s="5">
        <v>21</v>
      </c>
      <c r="B333" s="5">
        <v>1.742</v>
      </c>
      <c r="C333" s="1">
        <f>Tabela9[[#This Row],[Alongamento (mm/mm)]]/$I$2</f>
        <v>3.4840000000000003E-2</v>
      </c>
      <c r="D333" s="5">
        <v>245.62</v>
      </c>
      <c r="E333" s="1">
        <f>Tabela9[[#This Row],[Força (N)]]/$I$5</f>
        <v>5795986.5589367971</v>
      </c>
      <c r="F333" s="1">
        <f>Tabela9[[#This Row],[Tensão (Pa)]]/1000000</f>
        <v>5.7959865589367974</v>
      </c>
    </row>
    <row r="334" spans="1:6" x14ac:dyDescent="0.3">
      <c r="A334" s="5">
        <v>21.067</v>
      </c>
      <c r="B334" s="5">
        <v>1.7475000000000001</v>
      </c>
      <c r="C334" s="1">
        <f>Tabela9[[#This Row],[Alongamento (mm/mm)]]/$I$2</f>
        <v>3.4950000000000002E-2</v>
      </c>
      <c r="D334" s="5">
        <v>247.32</v>
      </c>
      <c r="E334" s="1">
        <f>Tabela9[[#This Row],[Força (N)]]/$I$5</f>
        <v>5836102.0916710719</v>
      </c>
      <c r="F334" s="1">
        <f>Tabela9[[#This Row],[Tensão (Pa)]]/1000000</f>
        <v>5.836102091671072</v>
      </c>
    </row>
    <row r="335" spans="1:6" x14ac:dyDescent="0.3">
      <c r="A335" s="5">
        <v>21.132999999999999</v>
      </c>
      <c r="B335" s="5">
        <v>1.7531000000000001</v>
      </c>
      <c r="C335" s="1">
        <f>Tabela9[[#This Row],[Alongamento (mm/mm)]]/$I$2</f>
        <v>3.5062000000000003E-2</v>
      </c>
      <c r="D335" s="5">
        <v>249.02</v>
      </c>
      <c r="E335" s="1">
        <f>Tabela9[[#This Row],[Força (N)]]/$I$5</f>
        <v>5876217.6244053468</v>
      </c>
      <c r="F335" s="1">
        <f>Tabela9[[#This Row],[Tensão (Pa)]]/1000000</f>
        <v>5.8762176244053466</v>
      </c>
    </row>
    <row r="336" spans="1:6" x14ac:dyDescent="0.3">
      <c r="A336" s="5">
        <v>21.2</v>
      </c>
      <c r="B336" s="5">
        <v>1.7586999999999999</v>
      </c>
      <c r="C336" s="1">
        <f>Tabela9[[#This Row],[Alongamento (mm/mm)]]/$I$2</f>
        <v>3.5173999999999997E-2</v>
      </c>
      <c r="D336" s="5">
        <v>250.73</v>
      </c>
      <c r="E336" s="1">
        <f>Tabela9[[#This Row],[Força (N)]]/$I$5</f>
        <v>5916569.1308615869</v>
      </c>
      <c r="F336" s="1">
        <f>Tabela9[[#This Row],[Tensão (Pa)]]/1000000</f>
        <v>5.9165691308615873</v>
      </c>
    </row>
    <row r="337" spans="1:6" x14ac:dyDescent="0.3">
      <c r="A337" s="5">
        <v>21.266999999999999</v>
      </c>
      <c r="B337" s="5">
        <v>1.7643</v>
      </c>
      <c r="C337" s="1">
        <f>Tabela9[[#This Row],[Alongamento (mm/mm)]]/$I$2</f>
        <v>3.5285999999999998E-2</v>
      </c>
      <c r="D337" s="5">
        <v>252.6</v>
      </c>
      <c r="E337" s="1">
        <f>Tabela9[[#This Row],[Força (N)]]/$I$5</f>
        <v>5960696.2168692891</v>
      </c>
      <c r="F337" s="1">
        <f>Tabela9[[#This Row],[Tensão (Pa)]]/1000000</f>
        <v>5.9606962168692892</v>
      </c>
    </row>
    <row r="338" spans="1:6" x14ac:dyDescent="0.3">
      <c r="A338" s="5">
        <v>21.35</v>
      </c>
      <c r="B338" s="5">
        <v>1.7713000000000001</v>
      </c>
      <c r="C338" s="1">
        <f>Tabela9[[#This Row],[Alongamento (mm/mm)]]/$I$2</f>
        <v>3.5425999999999999E-2</v>
      </c>
      <c r="D338" s="5">
        <v>254.64</v>
      </c>
      <c r="E338" s="1">
        <f>Tabela9[[#This Row],[Força (N)]]/$I$5</f>
        <v>6008834.8561504185</v>
      </c>
      <c r="F338" s="1">
        <f>Tabela9[[#This Row],[Tensão (Pa)]]/1000000</f>
        <v>6.0088348561504183</v>
      </c>
    </row>
    <row r="339" spans="1:6" x14ac:dyDescent="0.3">
      <c r="A339" s="5">
        <v>21.417000000000002</v>
      </c>
      <c r="B339" s="5">
        <v>1.7767999999999999</v>
      </c>
      <c r="C339" s="1">
        <f>Tabela9[[#This Row],[Alongamento (mm/mm)]]/$I$2</f>
        <v>3.5535999999999998E-2</v>
      </c>
      <c r="D339" s="5">
        <v>256.33999999999997</v>
      </c>
      <c r="E339" s="1">
        <f>Tabela9[[#This Row],[Força (N)]]/$I$5</f>
        <v>6048950.3888846934</v>
      </c>
      <c r="F339" s="1">
        <f>Tabela9[[#This Row],[Tensão (Pa)]]/1000000</f>
        <v>6.0489503888846929</v>
      </c>
    </row>
    <row r="340" spans="1:6" x14ac:dyDescent="0.3">
      <c r="A340" s="5">
        <v>21.5</v>
      </c>
      <c r="B340" s="5">
        <v>1.7836000000000001</v>
      </c>
      <c r="C340" s="1">
        <f>Tabela9[[#This Row],[Alongamento (mm/mm)]]/$I$2</f>
        <v>3.5672000000000002E-2</v>
      </c>
      <c r="D340" s="5">
        <v>258.38</v>
      </c>
      <c r="E340" s="1">
        <f>Tabela9[[#This Row],[Força (N)]]/$I$5</f>
        <v>6097089.0281658238</v>
      </c>
      <c r="F340" s="1">
        <f>Tabela9[[#This Row],[Tensão (Pa)]]/1000000</f>
        <v>6.0970890281658239</v>
      </c>
    </row>
    <row r="341" spans="1:6" x14ac:dyDescent="0.3">
      <c r="A341" s="5">
        <v>21.567</v>
      </c>
      <c r="B341" s="5">
        <v>1.7891999999999999</v>
      </c>
      <c r="C341" s="1">
        <f>Tabela9[[#This Row],[Alongamento (mm/mm)]]/$I$2</f>
        <v>3.5783999999999996E-2</v>
      </c>
      <c r="D341" s="5">
        <v>260.08</v>
      </c>
      <c r="E341" s="1">
        <f>Tabela9[[#This Row],[Força (N)]]/$I$5</f>
        <v>6137204.5609000977</v>
      </c>
      <c r="F341" s="1">
        <f>Tabela9[[#This Row],[Tensão (Pa)]]/1000000</f>
        <v>6.1372045609000976</v>
      </c>
    </row>
    <row r="342" spans="1:6" x14ac:dyDescent="0.3">
      <c r="A342" s="5">
        <v>21.632999999999999</v>
      </c>
      <c r="B342" s="5">
        <v>1.7948</v>
      </c>
      <c r="C342" s="1">
        <f>Tabela9[[#This Row],[Alongamento (mm/mm)]]/$I$2</f>
        <v>3.5895999999999997E-2</v>
      </c>
      <c r="D342" s="5">
        <v>261.77999999999997</v>
      </c>
      <c r="E342" s="1">
        <f>Tabela9[[#This Row],[Força (N)]]/$I$5</f>
        <v>6177320.0936343726</v>
      </c>
      <c r="F342" s="1">
        <f>Tabela9[[#This Row],[Tensão (Pa)]]/1000000</f>
        <v>6.1773200936343722</v>
      </c>
    </row>
    <row r="343" spans="1:6" x14ac:dyDescent="0.3">
      <c r="A343" s="5">
        <v>21.716999999999999</v>
      </c>
      <c r="B343" s="5">
        <v>1.8018000000000001</v>
      </c>
      <c r="C343" s="1">
        <f>Tabela9[[#This Row],[Alongamento (mm/mm)]]/$I$2</f>
        <v>3.6035999999999999E-2</v>
      </c>
      <c r="D343" s="5">
        <v>263.99</v>
      </c>
      <c r="E343" s="1">
        <f>Tabela9[[#This Row],[Força (N)]]/$I$5</f>
        <v>6229470.2861889303</v>
      </c>
      <c r="F343" s="1">
        <f>Tabela9[[#This Row],[Tensão (Pa)]]/1000000</f>
        <v>6.2294702861889304</v>
      </c>
    </row>
    <row r="344" spans="1:6" x14ac:dyDescent="0.3">
      <c r="A344" s="5">
        <v>21.8</v>
      </c>
      <c r="B344" s="5">
        <v>1.8087</v>
      </c>
      <c r="C344" s="1">
        <f>Tabela9[[#This Row],[Alongamento (mm/mm)]]/$I$2</f>
        <v>3.6173999999999998E-2</v>
      </c>
      <c r="D344" s="5">
        <v>266.2</v>
      </c>
      <c r="E344" s="1">
        <f>Tabela9[[#This Row],[Força (N)]]/$I$5</f>
        <v>6281620.478743487</v>
      </c>
      <c r="F344" s="1">
        <f>Tabela9[[#This Row],[Tensão (Pa)]]/1000000</f>
        <v>6.2816204787434868</v>
      </c>
    </row>
    <row r="345" spans="1:6" x14ac:dyDescent="0.3">
      <c r="A345" s="5">
        <v>21.882999999999999</v>
      </c>
      <c r="B345" s="5">
        <v>1.8156000000000001</v>
      </c>
      <c r="C345" s="1">
        <f>Tabela9[[#This Row],[Alongamento (mm/mm)]]/$I$2</f>
        <v>3.6312000000000004E-2</v>
      </c>
      <c r="D345" s="5">
        <v>268.42</v>
      </c>
      <c r="E345" s="1">
        <f>Tabela9[[#This Row],[Força (N)]]/$I$5</f>
        <v>6334006.6450200109</v>
      </c>
      <c r="F345" s="1">
        <f>Tabela9[[#This Row],[Tensão (Pa)]]/1000000</f>
        <v>6.3340066450200112</v>
      </c>
    </row>
    <row r="346" spans="1:6" x14ac:dyDescent="0.3">
      <c r="A346" s="5">
        <v>21.966999999999999</v>
      </c>
      <c r="B346" s="5">
        <v>1.8226</v>
      </c>
      <c r="C346" s="1">
        <f>Tabela9[[#This Row],[Alongamento (mm/mm)]]/$I$2</f>
        <v>3.6451999999999998E-2</v>
      </c>
      <c r="D346" s="5">
        <v>270.63</v>
      </c>
      <c r="E346" s="1">
        <f>Tabela9[[#This Row],[Força (N)]]/$I$5</f>
        <v>6386156.8375745676</v>
      </c>
      <c r="F346" s="1">
        <f>Tabela9[[#This Row],[Tensão (Pa)]]/1000000</f>
        <v>6.3861568375745676</v>
      </c>
    </row>
    <row r="347" spans="1:6" x14ac:dyDescent="0.3">
      <c r="A347" s="5">
        <v>22.033000000000001</v>
      </c>
      <c r="B347" s="5">
        <v>1.8282</v>
      </c>
      <c r="C347" s="1">
        <f>Tabela9[[#This Row],[Alongamento (mm/mm)]]/$I$2</f>
        <v>3.6563999999999999E-2</v>
      </c>
      <c r="D347" s="5">
        <v>272.67</v>
      </c>
      <c r="E347" s="1">
        <f>Tabela9[[#This Row],[Força (N)]]/$I$5</f>
        <v>6434295.476855698</v>
      </c>
      <c r="F347" s="1">
        <f>Tabela9[[#This Row],[Tensão (Pa)]]/1000000</f>
        <v>6.4342954768556977</v>
      </c>
    </row>
    <row r="348" spans="1:6" x14ac:dyDescent="0.3">
      <c r="A348" s="5">
        <v>22.1</v>
      </c>
      <c r="B348" s="5">
        <v>1.8337000000000001</v>
      </c>
      <c r="C348" s="1">
        <f>Tabela9[[#This Row],[Alongamento (mm/mm)]]/$I$2</f>
        <v>3.6674000000000005E-2</v>
      </c>
      <c r="D348" s="5">
        <v>274.70999999999998</v>
      </c>
      <c r="E348" s="1">
        <f>Tabela9[[#This Row],[Força (N)]]/$I$5</f>
        <v>6482434.1161368266</v>
      </c>
      <c r="F348" s="1">
        <f>Tabela9[[#This Row],[Tensão (Pa)]]/1000000</f>
        <v>6.4824341161368269</v>
      </c>
    </row>
    <row r="349" spans="1:6" x14ac:dyDescent="0.3">
      <c r="A349" s="5">
        <v>22.167000000000002</v>
      </c>
      <c r="B349" s="5">
        <v>1.8392999999999999</v>
      </c>
      <c r="C349" s="1">
        <f>Tabela9[[#This Row],[Alongamento (mm/mm)]]/$I$2</f>
        <v>3.6785999999999999E-2</v>
      </c>
      <c r="D349" s="5">
        <v>276.75</v>
      </c>
      <c r="E349" s="1">
        <f>Tabela9[[#This Row],[Força (N)]]/$I$5</f>
        <v>6530572.755417957</v>
      </c>
      <c r="F349" s="1">
        <f>Tabela9[[#This Row],[Tensão (Pa)]]/1000000</f>
        <v>6.5305727554179569</v>
      </c>
    </row>
    <row r="350" spans="1:6" x14ac:dyDescent="0.3">
      <c r="A350" s="5">
        <v>22.25</v>
      </c>
      <c r="B350" s="5">
        <v>1.8461000000000001</v>
      </c>
      <c r="C350" s="1">
        <f>Tabela9[[#This Row],[Alongamento (mm/mm)]]/$I$2</f>
        <v>3.6922000000000003E-2</v>
      </c>
      <c r="D350" s="5">
        <v>279.13</v>
      </c>
      <c r="E350" s="1">
        <f>Tabela9[[#This Row],[Força (N)]]/$I$5</f>
        <v>6586734.501245941</v>
      </c>
      <c r="F350" s="1">
        <f>Tabela9[[#This Row],[Tensão (Pa)]]/1000000</f>
        <v>6.5867345012459406</v>
      </c>
    </row>
    <row r="351" spans="1:6" x14ac:dyDescent="0.3">
      <c r="A351" s="5">
        <v>22.317</v>
      </c>
      <c r="B351" s="5">
        <v>1.8517999999999999</v>
      </c>
      <c r="C351" s="1">
        <f>Tabela9[[#This Row],[Alongamento (mm/mm)]]/$I$2</f>
        <v>3.7035999999999999E-2</v>
      </c>
      <c r="D351" s="5">
        <v>281.17</v>
      </c>
      <c r="E351" s="1">
        <f>Tabela9[[#This Row],[Força (N)]]/$I$5</f>
        <v>6634873.1405270714</v>
      </c>
      <c r="F351" s="1">
        <f>Tabela9[[#This Row],[Tensão (Pa)]]/1000000</f>
        <v>6.6348731405270716</v>
      </c>
    </row>
    <row r="352" spans="1:6" x14ac:dyDescent="0.3">
      <c r="A352" s="5">
        <v>22.382999999999999</v>
      </c>
      <c r="B352" s="5">
        <v>1.8573</v>
      </c>
      <c r="C352" s="1">
        <f>Tabela9[[#This Row],[Alongamento (mm/mm)]]/$I$2</f>
        <v>3.7145999999999998E-2</v>
      </c>
      <c r="D352" s="5">
        <v>283.20999999999998</v>
      </c>
      <c r="E352" s="1">
        <f>Tabela9[[#This Row],[Força (N)]]/$I$5</f>
        <v>6683011.7798082</v>
      </c>
      <c r="F352" s="1">
        <f>Tabela9[[#This Row],[Tensão (Pa)]]/1000000</f>
        <v>6.6830117798081998</v>
      </c>
    </row>
    <row r="353" spans="1:6" x14ac:dyDescent="0.3">
      <c r="A353" s="5">
        <v>22.45</v>
      </c>
      <c r="B353" s="5">
        <v>1.8628</v>
      </c>
      <c r="C353" s="1">
        <f>Tabela9[[#This Row],[Alongamento (mm/mm)]]/$I$2</f>
        <v>3.7255999999999997E-2</v>
      </c>
      <c r="D353" s="5">
        <v>285.26</v>
      </c>
      <c r="E353" s="1">
        <f>Tabela9[[#This Row],[Força (N)]]/$I$5</f>
        <v>6731386.3928112965</v>
      </c>
      <c r="F353" s="1">
        <f>Tabela9[[#This Row],[Tensão (Pa)]]/1000000</f>
        <v>6.7313863928112969</v>
      </c>
    </row>
    <row r="354" spans="1:6" x14ac:dyDescent="0.3">
      <c r="A354" s="5">
        <v>22.516999999999999</v>
      </c>
      <c r="B354" s="5">
        <v>1.8684000000000001</v>
      </c>
      <c r="C354" s="1">
        <f>Tabela9[[#This Row],[Alongamento (mm/mm)]]/$I$2</f>
        <v>3.7367999999999998E-2</v>
      </c>
      <c r="D354" s="5">
        <v>287.3</v>
      </c>
      <c r="E354" s="1">
        <f>Tabela9[[#This Row],[Força (N)]]/$I$5</f>
        <v>6779525.0320924269</v>
      </c>
      <c r="F354" s="1">
        <f>Tabela9[[#This Row],[Tensão (Pa)]]/1000000</f>
        <v>6.779525032092427</v>
      </c>
    </row>
    <row r="355" spans="1:6" x14ac:dyDescent="0.3">
      <c r="A355" s="5">
        <v>22.6</v>
      </c>
      <c r="B355" s="5">
        <v>1.8754</v>
      </c>
      <c r="C355" s="1">
        <f>Tabela9[[#This Row],[Alongamento (mm/mm)]]/$I$2</f>
        <v>3.7508E-2</v>
      </c>
      <c r="D355" s="5">
        <v>289.68</v>
      </c>
      <c r="E355" s="1">
        <f>Tabela9[[#This Row],[Força (N)]]/$I$5</f>
        <v>6835686.777920411</v>
      </c>
      <c r="F355" s="1">
        <f>Tabela9[[#This Row],[Tensão (Pa)]]/1000000</f>
        <v>6.8356867779204107</v>
      </c>
    </row>
    <row r="356" spans="1:6" x14ac:dyDescent="0.3">
      <c r="A356" s="5">
        <v>22.667000000000002</v>
      </c>
      <c r="B356" s="5">
        <v>1.881</v>
      </c>
      <c r="C356" s="1">
        <f>Tabela9[[#This Row],[Alongamento (mm/mm)]]/$I$2</f>
        <v>3.7620000000000001E-2</v>
      </c>
      <c r="D356" s="5">
        <v>291.72000000000003</v>
      </c>
      <c r="E356" s="1">
        <f>Tabela9[[#This Row],[Força (N)]]/$I$5</f>
        <v>6883825.4172015414</v>
      </c>
      <c r="F356" s="1">
        <f>Tabela9[[#This Row],[Tensão (Pa)]]/1000000</f>
        <v>6.8838254172015416</v>
      </c>
    </row>
    <row r="357" spans="1:6" x14ac:dyDescent="0.3">
      <c r="A357" s="5">
        <v>22.733000000000001</v>
      </c>
      <c r="B357" s="5">
        <v>1.8865000000000001</v>
      </c>
      <c r="C357" s="1">
        <f>Tabela9[[#This Row],[Alongamento (mm/mm)]]/$I$2</f>
        <v>3.773E-2</v>
      </c>
      <c r="D357" s="5">
        <v>293.76</v>
      </c>
      <c r="E357" s="1">
        <f>Tabela9[[#This Row],[Força (N)]]/$I$5</f>
        <v>6931964.0564826699</v>
      </c>
      <c r="F357" s="1">
        <f>Tabela9[[#This Row],[Tensão (Pa)]]/1000000</f>
        <v>6.9319640564826699</v>
      </c>
    </row>
    <row r="358" spans="1:6" x14ac:dyDescent="0.3">
      <c r="A358" s="5">
        <v>22.8</v>
      </c>
      <c r="B358" s="5">
        <v>1.8919999999999999</v>
      </c>
      <c r="C358" s="1">
        <f>Tabela9[[#This Row],[Alongamento (mm/mm)]]/$I$2</f>
        <v>3.7839999999999999E-2</v>
      </c>
      <c r="D358" s="5">
        <v>295.8</v>
      </c>
      <c r="E358" s="1">
        <f>Tabela9[[#This Row],[Força (N)]]/$I$5</f>
        <v>6980102.6957638003</v>
      </c>
      <c r="F358" s="1">
        <f>Tabela9[[#This Row],[Tensão (Pa)]]/1000000</f>
        <v>6.9801026957637999</v>
      </c>
    </row>
    <row r="359" spans="1:6" x14ac:dyDescent="0.3">
      <c r="A359" s="5">
        <v>22.867000000000001</v>
      </c>
      <c r="B359" s="5">
        <v>1.8975</v>
      </c>
      <c r="C359" s="1">
        <f>Tabela9[[#This Row],[Alongamento (mm/mm)]]/$I$2</f>
        <v>3.7949999999999998E-2</v>
      </c>
      <c r="D359" s="5">
        <v>297.83999999999997</v>
      </c>
      <c r="E359" s="1">
        <f>Tabela9[[#This Row],[Força (N)]]/$I$5</f>
        <v>7028241.3350449288</v>
      </c>
      <c r="F359" s="1">
        <f>Tabela9[[#This Row],[Tensão (Pa)]]/1000000</f>
        <v>7.0282413350449291</v>
      </c>
    </row>
    <row r="360" spans="1:6" x14ac:dyDescent="0.3">
      <c r="A360" s="5">
        <v>22.933</v>
      </c>
      <c r="B360" s="5">
        <v>1.9031</v>
      </c>
      <c r="C360" s="1">
        <f>Tabela9[[#This Row],[Alongamento (mm/mm)]]/$I$2</f>
        <v>3.8061999999999999E-2</v>
      </c>
      <c r="D360" s="5">
        <v>299.88</v>
      </c>
      <c r="E360" s="1">
        <f>Tabela9[[#This Row],[Força (N)]]/$I$5</f>
        <v>7076379.9743260592</v>
      </c>
      <c r="F360" s="1">
        <f>Tabela9[[#This Row],[Tensão (Pa)]]/1000000</f>
        <v>7.0763799743260591</v>
      </c>
    </row>
    <row r="361" spans="1:6" x14ac:dyDescent="0.3">
      <c r="A361" s="5">
        <v>23</v>
      </c>
      <c r="B361" s="5">
        <v>1.9086000000000001</v>
      </c>
      <c r="C361" s="1">
        <f>Tabela9[[#This Row],[Alongamento (mm/mm)]]/$I$2</f>
        <v>3.8172000000000005E-2</v>
      </c>
      <c r="D361" s="5">
        <v>301.93</v>
      </c>
      <c r="E361" s="1">
        <f>Tabela9[[#This Row],[Força (N)]]/$I$5</f>
        <v>7124754.5873291558</v>
      </c>
      <c r="F361" s="1">
        <f>Tabela9[[#This Row],[Tensão (Pa)]]/1000000</f>
        <v>7.1247545873291553</v>
      </c>
    </row>
    <row r="362" spans="1:6" x14ac:dyDescent="0.3">
      <c r="A362" s="5">
        <v>23.067</v>
      </c>
      <c r="B362" s="5">
        <v>1.9142999999999999</v>
      </c>
      <c r="C362" s="1">
        <f>Tabela9[[#This Row],[Alongamento (mm/mm)]]/$I$2</f>
        <v>3.8286000000000001E-2</v>
      </c>
      <c r="D362" s="5">
        <v>304.14</v>
      </c>
      <c r="E362" s="1">
        <f>Tabela9[[#This Row],[Força (N)]]/$I$5</f>
        <v>7176904.7798837116</v>
      </c>
      <c r="F362" s="1">
        <f>Tabela9[[#This Row],[Tensão (Pa)]]/1000000</f>
        <v>7.1769047798837118</v>
      </c>
    </row>
    <row r="363" spans="1:6" x14ac:dyDescent="0.3">
      <c r="A363" s="5">
        <v>23.132999999999999</v>
      </c>
      <c r="B363" s="5">
        <v>1.9198999999999999</v>
      </c>
      <c r="C363" s="1">
        <f>Tabela9[[#This Row],[Alongamento (mm/mm)]]/$I$2</f>
        <v>3.8398000000000002E-2</v>
      </c>
      <c r="D363" s="5">
        <v>306.18</v>
      </c>
      <c r="E363" s="1">
        <f>Tabela9[[#This Row],[Força (N)]]/$I$5</f>
        <v>7225043.419164842</v>
      </c>
      <c r="F363" s="1">
        <f>Tabela9[[#This Row],[Tensão (Pa)]]/1000000</f>
        <v>7.2250434191648418</v>
      </c>
    </row>
    <row r="364" spans="1:6" x14ac:dyDescent="0.3">
      <c r="A364" s="5">
        <v>23.216999999999999</v>
      </c>
      <c r="B364" s="5">
        <v>1.9268000000000001</v>
      </c>
      <c r="C364" s="1">
        <f>Tabela9[[#This Row],[Alongamento (mm/mm)]]/$I$2</f>
        <v>3.8536000000000001E-2</v>
      </c>
      <c r="D364" s="5">
        <v>308.73</v>
      </c>
      <c r="E364" s="1">
        <f>Tabela9[[#This Row],[Força (N)]]/$I$5</f>
        <v>7285216.7182662543</v>
      </c>
      <c r="F364" s="1">
        <f>Tabela9[[#This Row],[Tensão (Pa)]]/1000000</f>
        <v>7.2852167182662546</v>
      </c>
    </row>
    <row r="365" spans="1:6" x14ac:dyDescent="0.3">
      <c r="A365" s="5">
        <v>23.3</v>
      </c>
      <c r="B365" s="5">
        <v>1.9337</v>
      </c>
      <c r="C365" s="1">
        <f>Tabela9[[#This Row],[Alongamento (mm/mm)]]/$I$2</f>
        <v>3.8674E-2</v>
      </c>
      <c r="D365" s="5">
        <v>311.45</v>
      </c>
      <c r="E365" s="1">
        <f>Tabela9[[#This Row],[Força (N)]]/$I$5</f>
        <v>7349401.570641093</v>
      </c>
      <c r="F365" s="1">
        <f>Tabela9[[#This Row],[Tensão (Pa)]]/1000000</f>
        <v>7.3494015706410929</v>
      </c>
    </row>
    <row r="366" spans="1:6" x14ac:dyDescent="0.3">
      <c r="A366" s="5">
        <v>23.382999999999999</v>
      </c>
      <c r="B366" s="5">
        <v>1.9406000000000001</v>
      </c>
      <c r="C366" s="1">
        <f>Tabela9[[#This Row],[Alongamento (mm/mm)]]/$I$2</f>
        <v>3.8811999999999999E-2</v>
      </c>
      <c r="D366" s="5">
        <v>314</v>
      </c>
      <c r="E366" s="1">
        <f>Tabela9[[#This Row],[Força (N)]]/$I$5</f>
        <v>7409574.8697425053</v>
      </c>
      <c r="F366" s="1">
        <f>Tabela9[[#This Row],[Tensão (Pa)]]/1000000</f>
        <v>7.4095748697425057</v>
      </c>
    </row>
    <row r="367" spans="1:6" x14ac:dyDescent="0.3">
      <c r="A367" s="5">
        <v>23.466999999999999</v>
      </c>
      <c r="B367" s="5">
        <v>1.9476</v>
      </c>
      <c r="C367" s="1">
        <f>Tabela9[[#This Row],[Alongamento (mm/mm)]]/$I$2</f>
        <v>3.8952000000000001E-2</v>
      </c>
      <c r="D367" s="5">
        <v>316.55</v>
      </c>
      <c r="E367" s="1">
        <f>Tabela9[[#This Row],[Força (N)]]/$I$5</f>
        <v>7469748.1688439175</v>
      </c>
      <c r="F367" s="1">
        <f>Tabela9[[#This Row],[Tensão (Pa)]]/1000000</f>
        <v>7.4697481688439176</v>
      </c>
    </row>
    <row r="368" spans="1:6" x14ac:dyDescent="0.3">
      <c r="A368" s="5">
        <v>23.55</v>
      </c>
      <c r="B368" s="5">
        <v>1.9544999999999999</v>
      </c>
      <c r="C368" s="1">
        <f>Tabela9[[#This Row],[Alongamento (mm/mm)]]/$I$2</f>
        <v>3.909E-2</v>
      </c>
      <c r="D368" s="5">
        <v>319.27999999999997</v>
      </c>
      <c r="E368" s="1">
        <f>Tabela9[[#This Row],[Força (N)]]/$I$5</f>
        <v>7534168.9949407233</v>
      </c>
      <c r="F368" s="1">
        <f>Tabela9[[#This Row],[Tensão (Pa)]]/1000000</f>
        <v>7.5341689949407229</v>
      </c>
    </row>
    <row r="369" spans="1:6" x14ac:dyDescent="0.3">
      <c r="A369" s="5">
        <v>23.632999999999999</v>
      </c>
      <c r="B369" s="5">
        <v>1.9616</v>
      </c>
      <c r="C369" s="1">
        <f>Tabela9[[#This Row],[Alongamento (mm/mm)]]/$I$2</f>
        <v>3.9232000000000003E-2</v>
      </c>
      <c r="D369" s="5">
        <v>322</v>
      </c>
      <c r="E369" s="1">
        <f>Tabela9[[#This Row],[Força (N)]]/$I$5</f>
        <v>7598353.8473155629</v>
      </c>
      <c r="F369" s="1">
        <f>Tabela9[[#This Row],[Tensão (Pa)]]/1000000</f>
        <v>7.598353847315563</v>
      </c>
    </row>
    <row r="370" spans="1:6" x14ac:dyDescent="0.3">
      <c r="A370" s="5">
        <v>23.716999999999999</v>
      </c>
      <c r="B370" s="5">
        <v>1.9684999999999999</v>
      </c>
      <c r="C370" s="1">
        <f>Tabela9[[#This Row],[Alongamento (mm/mm)]]/$I$2</f>
        <v>3.9369999999999995E-2</v>
      </c>
      <c r="D370" s="5">
        <v>324.55</v>
      </c>
      <c r="E370" s="1">
        <f>Tabela9[[#This Row],[Força (N)]]/$I$5</f>
        <v>7658527.1464169752</v>
      </c>
      <c r="F370" s="1">
        <f>Tabela9[[#This Row],[Tensão (Pa)]]/1000000</f>
        <v>7.6585271464169749</v>
      </c>
    </row>
    <row r="371" spans="1:6" x14ac:dyDescent="0.3">
      <c r="A371" s="5">
        <v>23.8</v>
      </c>
      <c r="B371" s="5">
        <v>1.9753000000000001</v>
      </c>
      <c r="C371" s="1">
        <f>Tabela9[[#This Row],[Alongamento (mm/mm)]]/$I$2</f>
        <v>3.9505999999999999E-2</v>
      </c>
      <c r="D371" s="5">
        <v>327.10000000000002</v>
      </c>
      <c r="E371" s="1">
        <f>Tabela9[[#This Row],[Força (N)]]/$I$5</f>
        <v>7718700.4455183875</v>
      </c>
      <c r="F371" s="1">
        <f>Tabela9[[#This Row],[Tensão (Pa)]]/1000000</f>
        <v>7.7187004455183876</v>
      </c>
    </row>
    <row r="372" spans="1:6" x14ac:dyDescent="0.3">
      <c r="A372" s="5">
        <v>23.882999999999999</v>
      </c>
      <c r="B372" s="5">
        <v>1.9823</v>
      </c>
      <c r="C372" s="1">
        <f>Tabela9[[#This Row],[Alongamento (mm/mm)]]/$I$2</f>
        <v>3.9646000000000001E-2</v>
      </c>
      <c r="D372" s="5">
        <v>329.82</v>
      </c>
      <c r="E372" s="1">
        <f>Tabela9[[#This Row],[Força (N)]]/$I$5</f>
        <v>7782885.2978932271</v>
      </c>
      <c r="F372" s="1">
        <f>Tabela9[[#This Row],[Tensão (Pa)]]/1000000</f>
        <v>7.7828852978932268</v>
      </c>
    </row>
    <row r="373" spans="1:6" x14ac:dyDescent="0.3">
      <c r="A373" s="5">
        <v>23.966999999999999</v>
      </c>
      <c r="B373" s="5">
        <v>1.9893000000000001</v>
      </c>
      <c r="C373" s="1">
        <f>Tabela9[[#This Row],[Alongamento (mm/mm)]]/$I$2</f>
        <v>3.9786000000000002E-2</v>
      </c>
      <c r="D373" s="5">
        <v>332.37</v>
      </c>
      <c r="E373" s="1">
        <f>Tabela9[[#This Row],[Força (N)]]/$I$5</f>
        <v>7843058.5969946394</v>
      </c>
      <c r="F373" s="1">
        <f>Tabela9[[#This Row],[Tensão (Pa)]]/1000000</f>
        <v>7.8430585969946396</v>
      </c>
    </row>
    <row r="374" spans="1:6" x14ac:dyDescent="0.3">
      <c r="A374" s="5">
        <v>24.05</v>
      </c>
      <c r="B374" s="5">
        <v>1.9962</v>
      </c>
      <c r="C374" s="1">
        <f>Tabela9[[#This Row],[Alongamento (mm/mm)]]/$I$2</f>
        <v>3.9924000000000001E-2</v>
      </c>
      <c r="D374" s="5">
        <v>335.09</v>
      </c>
      <c r="E374" s="1">
        <f>Tabela9[[#This Row],[Força (N)]]/$I$5</f>
        <v>7907243.449369478</v>
      </c>
      <c r="F374" s="1">
        <f>Tabela9[[#This Row],[Tensão (Pa)]]/1000000</f>
        <v>7.9072434493694779</v>
      </c>
    </row>
    <row r="375" spans="1:6" x14ac:dyDescent="0.3">
      <c r="A375" s="5">
        <v>24.132999999999999</v>
      </c>
      <c r="B375" s="5">
        <v>2.0032000000000001</v>
      </c>
      <c r="C375" s="1">
        <f>Tabela9[[#This Row],[Alongamento (mm/mm)]]/$I$2</f>
        <v>4.0064000000000002E-2</v>
      </c>
      <c r="D375" s="5">
        <v>337.82</v>
      </c>
      <c r="E375" s="1">
        <f>Tabela9[[#This Row],[Força (N)]]/$I$5</f>
        <v>7971664.2754662838</v>
      </c>
      <c r="F375" s="1">
        <f>Tabela9[[#This Row],[Tensão (Pa)]]/1000000</f>
        <v>7.9716642754662841</v>
      </c>
    </row>
    <row r="376" spans="1:6" x14ac:dyDescent="0.3">
      <c r="A376" s="5">
        <v>24.216999999999999</v>
      </c>
      <c r="B376" s="5">
        <v>2.0101</v>
      </c>
      <c r="C376" s="1">
        <f>Tabela9[[#This Row],[Alongamento (mm/mm)]]/$I$2</f>
        <v>4.0202000000000002E-2</v>
      </c>
      <c r="D376" s="5">
        <v>340.54</v>
      </c>
      <c r="E376" s="1">
        <f>Tabela9[[#This Row],[Força (N)]]/$I$5</f>
        <v>8035849.1278411243</v>
      </c>
      <c r="F376" s="1">
        <f>Tabela9[[#This Row],[Tensão (Pa)]]/1000000</f>
        <v>8.035849127841125</v>
      </c>
    </row>
    <row r="377" spans="1:6" x14ac:dyDescent="0.3">
      <c r="A377" s="5">
        <v>24.3</v>
      </c>
      <c r="B377" s="5">
        <v>2.0169000000000001</v>
      </c>
      <c r="C377" s="1">
        <f>Tabela9[[#This Row],[Alongamento (mm/mm)]]/$I$2</f>
        <v>4.0338000000000006E-2</v>
      </c>
      <c r="D377" s="5">
        <v>343.26</v>
      </c>
      <c r="E377" s="1">
        <f>Tabela9[[#This Row],[Força (N)]]/$I$5</f>
        <v>8100033.980215963</v>
      </c>
      <c r="F377" s="1">
        <f>Tabela9[[#This Row],[Tensão (Pa)]]/1000000</f>
        <v>8.1000339802159633</v>
      </c>
    </row>
    <row r="378" spans="1:6" x14ac:dyDescent="0.3">
      <c r="A378" s="5">
        <v>24.382999999999999</v>
      </c>
      <c r="B378" s="5">
        <v>2.024</v>
      </c>
      <c r="C378" s="1">
        <f>Tabela9[[#This Row],[Alongamento (mm/mm)]]/$I$2</f>
        <v>4.0480000000000002E-2</v>
      </c>
      <c r="D378" s="5">
        <v>345.98</v>
      </c>
      <c r="E378" s="1">
        <f>Tabela9[[#This Row],[Força (N)]]/$I$5</f>
        <v>8164218.8325908035</v>
      </c>
      <c r="F378" s="1">
        <f>Tabela9[[#This Row],[Tensão (Pa)]]/1000000</f>
        <v>8.1642188325908034</v>
      </c>
    </row>
    <row r="379" spans="1:6" x14ac:dyDescent="0.3">
      <c r="A379" s="5">
        <v>24.466999999999999</v>
      </c>
      <c r="B379" s="5">
        <v>2.0308999999999999</v>
      </c>
      <c r="C379" s="1">
        <f>Tabela9[[#This Row],[Alongamento (mm/mm)]]/$I$2</f>
        <v>4.0618000000000001E-2</v>
      </c>
      <c r="D379" s="5">
        <v>348.7</v>
      </c>
      <c r="E379" s="1">
        <f>Tabela9[[#This Row],[Força (N)]]/$I$5</f>
        <v>8228403.6849656422</v>
      </c>
      <c r="F379" s="1">
        <f>Tabela9[[#This Row],[Tensão (Pa)]]/1000000</f>
        <v>8.2284036849656417</v>
      </c>
    </row>
    <row r="380" spans="1:6" x14ac:dyDescent="0.3">
      <c r="A380" s="5">
        <v>24.55</v>
      </c>
      <c r="B380" s="5">
        <v>2.0379</v>
      </c>
      <c r="C380" s="1">
        <f>Tabela9[[#This Row],[Alongamento (mm/mm)]]/$I$2</f>
        <v>4.0758000000000003E-2</v>
      </c>
      <c r="D380" s="5">
        <v>351.42</v>
      </c>
      <c r="E380" s="1">
        <f>Tabela9[[#This Row],[Força (N)]]/$I$5</f>
        <v>8292588.5373404827</v>
      </c>
      <c r="F380" s="1">
        <f>Tabela9[[#This Row],[Tensão (Pa)]]/1000000</f>
        <v>8.2925885373404835</v>
      </c>
    </row>
    <row r="381" spans="1:6" x14ac:dyDescent="0.3">
      <c r="A381" s="5">
        <v>24.632999999999999</v>
      </c>
      <c r="B381" s="5">
        <v>2.0449000000000002</v>
      </c>
      <c r="C381" s="1">
        <f>Tabela9[[#This Row],[Alongamento (mm/mm)]]/$I$2</f>
        <v>4.0898000000000004E-2</v>
      </c>
      <c r="D381" s="5">
        <v>354.15</v>
      </c>
      <c r="E381" s="1">
        <f>Tabela9[[#This Row],[Força (N)]]/$I$5</f>
        <v>8357009.3634372875</v>
      </c>
      <c r="F381" s="1">
        <f>Tabela9[[#This Row],[Tensão (Pa)]]/1000000</f>
        <v>8.3570093634372871</v>
      </c>
    </row>
    <row r="382" spans="1:6" x14ac:dyDescent="0.3">
      <c r="A382" s="5">
        <v>24.716999999999999</v>
      </c>
      <c r="B382" s="5">
        <v>2.0516999999999999</v>
      </c>
      <c r="C382" s="1">
        <f>Tabela9[[#This Row],[Alongamento (mm/mm)]]/$I$2</f>
        <v>4.1033999999999994E-2</v>
      </c>
      <c r="D382" s="5">
        <v>356.87</v>
      </c>
      <c r="E382" s="1">
        <f>Tabela9[[#This Row],[Força (N)]]/$I$5</f>
        <v>8421194.215812128</v>
      </c>
      <c r="F382" s="1">
        <f>Tabela9[[#This Row],[Tensão (Pa)]]/1000000</f>
        <v>8.4211942158121289</v>
      </c>
    </row>
    <row r="383" spans="1:6" x14ac:dyDescent="0.3">
      <c r="A383" s="5">
        <v>24.8</v>
      </c>
      <c r="B383" s="5">
        <v>2.0587</v>
      </c>
      <c r="C383" s="1">
        <f>Tabela9[[#This Row],[Alongamento (mm/mm)]]/$I$2</f>
        <v>4.1174000000000002E-2</v>
      </c>
      <c r="D383" s="5">
        <v>359.59</v>
      </c>
      <c r="E383" s="1">
        <f>Tabela9[[#This Row],[Força (N)]]/$I$5</f>
        <v>8485379.0681869667</v>
      </c>
      <c r="F383" s="1">
        <f>Tabela9[[#This Row],[Tensão (Pa)]]/1000000</f>
        <v>8.4853790681869672</v>
      </c>
    </row>
    <row r="384" spans="1:6" x14ac:dyDescent="0.3">
      <c r="A384" s="5">
        <v>24.882999999999999</v>
      </c>
      <c r="B384" s="5">
        <v>2.0657000000000001</v>
      </c>
      <c r="C384" s="1">
        <f>Tabela9[[#This Row],[Alongamento (mm/mm)]]/$I$2</f>
        <v>4.1314000000000003E-2</v>
      </c>
      <c r="D384" s="5">
        <v>362.31</v>
      </c>
      <c r="E384" s="1">
        <f>Tabela9[[#This Row],[Força (N)]]/$I$5</f>
        <v>8549563.9205618072</v>
      </c>
      <c r="F384" s="1">
        <f>Tabela9[[#This Row],[Tensão (Pa)]]/1000000</f>
        <v>8.5495639205618073</v>
      </c>
    </row>
    <row r="385" spans="1:6" x14ac:dyDescent="0.3">
      <c r="A385" s="5">
        <v>24.966999999999999</v>
      </c>
      <c r="B385" s="5">
        <v>2.0726</v>
      </c>
      <c r="C385" s="1">
        <f>Tabela9[[#This Row],[Alongamento (mm/mm)]]/$I$2</f>
        <v>4.1452000000000003E-2</v>
      </c>
      <c r="D385" s="5">
        <v>365.03</v>
      </c>
      <c r="E385" s="1">
        <f>Tabela9[[#This Row],[Força (N)]]/$I$5</f>
        <v>8613748.7729366459</v>
      </c>
      <c r="F385" s="1">
        <f>Tabela9[[#This Row],[Tensão (Pa)]]/1000000</f>
        <v>8.6137487729366455</v>
      </c>
    </row>
    <row r="386" spans="1:6" x14ac:dyDescent="0.3">
      <c r="A386" s="5">
        <v>25.05</v>
      </c>
      <c r="B386" s="5">
        <v>2.0794999999999999</v>
      </c>
      <c r="C386" s="1">
        <f>Tabela9[[#This Row],[Alongamento (mm/mm)]]/$I$2</f>
        <v>4.1589999999999995E-2</v>
      </c>
      <c r="D386" s="5">
        <v>367.75</v>
      </c>
      <c r="E386" s="1">
        <f>Tabela9[[#This Row],[Força (N)]]/$I$5</f>
        <v>8677933.6253114864</v>
      </c>
      <c r="F386" s="1">
        <f>Tabela9[[#This Row],[Tensão (Pa)]]/1000000</f>
        <v>8.6779336253114856</v>
      </c>
    </row>
    <row r="387" spans="1:6" x14ac:dyDescent="0.3">
      <c r="A387" s="5">
        <v>25.132999999999999</v>
      </c>
      <c r="B387" s="5">
        <v>2.0865</v>
      </c>
      <c r="C387" s="1">
        <f>Tabela9[[#This Row],[Alongamento (mm/mm)]]/$I$2</f>
        <v>4.1730000000000003E-2</v>
      </c>
      <c r="D387" s="5">
        <v>370.48</v>
      </c>
      <c r="E387" s="1">
        <f>Tabela9[[#This Row],[Força (N)]]/$I$5</f>
        <v>8742354.4514082912</v>
      </c>
      <c r="F387" s="1">
        <f>Tabela9[[#This Row],[Tensão (Pa)]]/1000000</f>
        <v>8.7423544514082909</v>
      </c>
    </row>
    <row r="388" spans="1:6" x14ac:dyDescent="0.3">
      <c r="A388" s="5">
        <v>25.216999999999999</v>
      </c>
      <c r="B388" s="5">
        <v>2.0933999999999999</v>
      </c>
      <c r="C388" s="1">
        <f>Tabela9[[#This Row],[Alongamento (mm/mm)]]/$I$2</f>
        <v>4.1867999999999995E-2</v>
      </c>
      <c r="D388" s="5">
        <v>373.2</v>
      </c>
      <c r="E388" s="1">
        <f>Tabela9[[#This Row],[Força (N)]]/$I$5</f>
        <v>8806539.3037831299</v>
      </c>
      <c r="F388" s="1">
        <f>Tabela9[[#This Row],[Tensão (Pa)]]/1000000</f>
        <v>8.8065393037831292</v>
      </c>
    </row>
    <row r="389" spans="1:6" x14ac:dyDescent="0.3">
      <c r="A389" s="5">
        <v>25.3</v>
      </c>
      <c r="B389" s="5">
        <v>2.1004</v>
      </c>
      <c r="C389" s="1">
        <f>Tabela9[[#This Row],[Alongamento (mm/mm)]]/$I$2</f>
        <v>4.2008000000000004E-2</v>
      </c>
      <c r="D389" s="5">
        <v>376.09</v>
      </c>
      <c r="E389" s="1">
        <f>Tabela9[[#This Row],[Força (N)]]/$I$5</f>
        <v>8874735.7094313968</v>
      </c>
      <c r="F389" s="1">
        <f>Tabela9[[#This Row],[Tensão (Pa)]]/1000000</f>
        <v>8.8747357094313966</v>
      </c>
    </row>
    <row r="390" spans="1:6" x14ac:dyDescent="0.3">
      <c r="A390" s="5">
        <v>25.382999999999999</v>
      </c>
      <c r="B390" s="5">
        <v>2.1073</v>
      </c>
      <c r="C390" s="1">
        <f>Tabela9[[#This Row],[Alongamento (mm/mm)]]/$I$2</f>
        <v>4.2145999999999996E-2</v>
      </c>
      <c r="D390" s="5">
        <v>378.81</v>
      </c>
      <c r="E390" s="1">
        <f>Tabela9[[#This Row],[Força (N)]]/$I$5</f>
        <v>8938920.5618062373</v>
      </c>
      <c r="F390" s="1">
        <f>Tabela9[[#This Row],[Tensão (Pa)]]/1000000</f>
        <v>8.9389205618062366</v>
      </c>
    </row>
    <row r="391" spans="1:6" x14ac:dyDescent="0.3">
      <c r="A391" s="5">
        <v>25.466999999999999</v>
      </c>
      <c r="B391" s="5">
        <v>2.1143000000000001</v>
      </c>
      <c r="C391" s="1">
        <f>Tabela9[[#This Row],[Alongamento (mm/mm)]]/$I$2</f>
        <v>4.2286000000000004E-2</v>
      </c>
      <c r="D391" s="5">
        <v>381.53</v>
      </c>
      <c r="E391" s="1">
        <f>Tabela9[[#This Row],[Força (N)]]/$I$5</f>
        <v>9003105.414181076</v>
      </c>
      <c r="F391" s="1">
        <f>Tabela9[[#This Row],[Tensão (Pa)]]/1000000</f>
        <v>9.0031054141810767</v>
      </c>
    </row>
    <row r="392" spans="1:6" x14ac:dyDescent="0.3">
      <c r="A392" s="5">
        <v>25.55</v>
      </c>
      <c r="B392" s="5">
        <v>2.1212</v>
      </c>
      <c r="C392" s="1">
        <f>Tabela9[[#This Row],[Alongamento (mm/mm)]]/$I$2</f>
        <v>4.2423999999999996E-2</v>
      </c>
      <c r="D392" s="5">
        <v>384.25</v>
      </c>
      <c r="E392" s="1">
        <f>Tabela9[[#This Row],[Força (N)]]/$I$5</f>
        <v>9067290.2665559165</v>
      </c>
      <c r="F392" s="1">
        <f>Tabela9[[#This Row],[Tensão (Pa)]]/1000000</f>
        <v>9.0672902665559167</v>
      </c>
    </row>
    <row r="393" spans="1:6" x14ac:dyDescent="0.3">
      <c r="A393" s="5">
        <v>25.632999999999999</v>
      </c>
      <c r="B393" s="5">
        <v>2.1282000000000001</v>
      </c>
      <c r="C393" s="1">
        <f>Tabela9[[#This Row],[Alongamento (mm/mm)]]/$I$2</f>
        <v>4.2564000000000005E-2</v>
      </c>
      <c r="D393" s="5">
        <v>387.14</v>
      </c>
      <c r="E393" s="1">
        <f>Tabela9[[#This Row],[Força (N)]]/$I$5</f>
        <v>9135486.6722041834</v>
      </c>
      <c r="F393" s="1">
        <f>Tabela9[[#This Row],[Tensão (Pa)]]/1000000</f>
        <v>9.1354866722041841</v>
      </c>
    </row>
    <row r="394" spans="1:6" x14ac:dyDescent="0.3">
      <c r="A394" s="5">
        <v>25.716999999999999</v>
      </c>
      <c r="B394" s="5">
        <v>2.1349999999999998</v>
      </c>
      <c r="C394" s="1">
        <f>Tabela9[[#This Row],[Alongamento (mm/mm)]]/$I$2</f>
        <v>4.2699999999999995E-2</v>
      </c>
      <c r="D394" s="5">
        <v>389.87</v>
      </c>
      <c r="E394" s="1">
        <f>Tabela9[[#This Row],[Força (N)]]/$I$5</f>
        <v>9199907.4983009901</v>
      </c>
      <c r="F394" s="1">
        <f>Tabela9[[#This Row],[Tensão (Pa)]]/1000000</f>
        <v>9.1999074983009894</v>
      </c>
    </row>
    <row r="395" spans="1:6" x14ac:dyDescent="0.3">
      <c r="A395" s="5">
        <v>25.8</v>
      </c>
      <c r="B395" s="5">
        <v>2.1419999999999999</v>
      </c>
      <c r="C395" s="1">
        <f>Tabela9[[#This Row],[Alongamento (mm/mm)]]/$I$2</f>
        <v>4.2839999999999996E-2</v>
      </c>
      <c r="D395" s="5">
        <v>392.59</v>
      </c>
      <c r="E395" s="1">
        <f>Tabela9[[#This Row],[Força (N)]]/$I$5</f>
        <v>9264092.3506758288</v>
      </c>
      <c r="F395" s="1">
        <f>Tabela9[[#This Row],[Tensão (Pa)]]/1000000</f>
        <v>9.2640923506758295</v>
      </c>
    </row>
    <row r="396" spans="1:6" x14ac:dyDescent="0.3">
      <c r="A396" s="5">
        <v>25.9</v>
      </c>
      <c r="B396" s="5">
        <v>2.1503999999999999</v>
      </c>
      <c r="C396" s="1">
        <f>Tabela9[[#This Row],[Alongamento (mm/mm)]]/$I$2</f>
        <v>4.3007999999999998E-2</v>
      </c>
      <c r="D396" s="5">
        <v>395.99</v>
      </c>
      <c r="E396" s="1">
        <f>Tabela9[[#This Row],[Força (N)]]/$I$5</f>
        <v>9344323.4161443785</v>
      </c>
      <c r="F396" s="1">
        <f>Tabela9[[#This Row],[Tensão (Pa)]]/1000000</f>
        <v>9.3443234161443787</v>
      </c>
    </row>
    <row r="397" spans="1:6" x14ac:dyDescent="0.3">
      <c r="A397" s="5">
        <v>26</v>
      </c>
      <c r="B397" s="5">
        <v>2.1587999999999998</v>
      </c>
      <c r="C397" s="1">
        <f>Tabela9[[#This Row],[Alongamento (mm/mm)]]/$I$2</f>
        <v>4.3175999999999999E-2</v>
      </c>
      <c r="D397" s="5">
        <v>399.39</v>
      </c>
      <c r="E397" s="1">
        <f>Tabela9[[#This Row],[Força (N)]]/$I$5</f>
        <v>9424554.4816129282</v>
      </c>
      <c r="F397" s="1">
        <f>Tabela9[[#This Row],[Tensão (Pa)]]/1000000</f>
        <v>9.4245544816129279</v>
      </c>
    </row>
    <row r="398" spans="1:6" x14ac:dyDescent="0.3">
      <c r="A398" s="5">
        <v>26.1</v>
      </c>
      <c r="B398" s="5">
        <v>2.1669999999999998</v>
      </c>
      <c r="C398" s="1">
        <f>Tabela9[[#This Row],[Alongamento (mm/mm)]]/$I$2</f>
        <v>4.3339999999999997E-2</v>
      </c>
      <c r="D398" s="5">
        <v>402.79</v>
      </c>
      <c r="E398" s="1">
        <f>Tabela9[[#This Row],[Força (N)]]/$I$5</f>
        <v>9504785.5470814779</v>
      </c>
      <c r="F398" s="1">
        <f>Tabela9[[#This Row],[Tensão (Pa)]]/1000000</f>
        <v>9.5047855470814788</v>
      </c>
    </row>
    <row r="399" spans="1:6" x14ac:dyDescent="0.3">
      <c r="A399" s="5">
        <v>26.2</v>
      </c>
      <c r="B399" s="5">
        <v>2.1753999999999998</v>
      </c>
      <c r="C399" s="1">
        <f>Tabela9[[#This Row],[Alongamento (mm/mm)]]/$I$2</f>
        <v>4.3507999999999998E-2</v>
      </c>
      <c r="D399" s="5">
        <v>406.2</v>
      </c>
      <c r="E399" s="1">
        <f>Tabela9[[#This Row],[Força (N)]]/$I$5</f>
        <v>9585252.586271992</v>
      </c>
      <c r="F399" s="1">
        <f>Tabela9[[#This Row],[Tensão (Pa)]]/1000000</f>
        <v>9.5852525862719915</v>
      </c>
    </row>
    <row r="400" spans="1:6" x14ac:dyDescent="0.3">
      <c r="A400" s="5">
        <v>26.3</v>
      </c>
      <c r="B400" s="5">
        <v>2.1837</v>
      </c>
      <c r="C400" s="1">
        <f>Tabela9[[#This Row],[Alongamento (mm/mm)]]/$I$2</f>
        <v>4.3673999999999998E-2</v>
      </c>
      <c r="D400" s="5">
        <v>409.6</v>
      </c>
      <c r="E400" s="1">
        <f>Tabela9[[#This Row],[Força (N)]]/$I$5</f>
        <v>9665483.6517405435</v>
      </c>
      <c r="F400" s="1">
        <f>Tabela9[[#This Row],[Tensão (Pa)]]/1000000</f>
        <v>9.6654836517405442</v>
      </c>
    </row>
    <row r="401" spans="1:6" x14ac:dyDescent="0.3">
      <c r="A401" s="5">
        <v>26.4</v>
      </c>
      <c r="B401" s="5">
        <v>2.1920000000000002</v>
      </c>
      <c r="C401" s="1">
        <f>Tabela9[[#This Row],[Alongamento (mm/mm)]]/$I$2</f>
        <v>4.3840000000000004E-2</v>
      </c>
      <c r="D401" s="5">
        <v>413</v>
      </c>
      <c r="E401" s="1">
        <f>Tabela9[[#This Row],[Força (N)]]/$I$5</f>
        <v>9745714.7172090914</v>
      </c>
      <c r="F401" s="1">
        <f>Tabela9[[#This Row],[Tensão (Pa)]]/1000000</f>
        <v>9.7457147172090917</v>
      </c>
    </row>
    <row r="402" spans="1:6" x14ac:dyDescent="0.3">
      <c r="A402" s="5">
        <v>26.5</v>
      </c>
      <c r="B402" s="5">
        <v>2.2004000000000001</v>
      </c>
      <c r="C402" s="1">
        <f>Tabela9[[#This Row],[Alongamento (mm/mm)]]/$I$2</f>
        <v>4.4008000000000005E-2</v>
      </c>
      <c r="D402" s="5">
        <v>416.4</v>
      </c>
      <c r="E402" s="1">
        <f>Tabela9[[#This Row],[Força (N)]]/$I$5</f>
        <v>9825945.7826776411</v>
      </c>
      <c r="F402" s="1">
        <f>Tabela9[[#This Row],[Tensão (Pa)]]/1000000</f>
        <v>9.8259457826776408</v>
      </c>
    </row>
    <row r="403" spans="1:6" x14ac:dyDescent="0.3">
      <c r="A403" s="5">
        <v>26.6</v>
      </c>
      <c r="B403" s="5">
        <v>2.2086000000000001</v>
      </c>
      <c r="C403" s="1">
        <f>Tabela9[[#This Row],[Alongamento (mm/mm)]]/$I$2</f>
        <v>4.4172000000000003E-2</v>
      </c>
      <c r="D403" s="5">
        <v>419.8</v>
      </c>
      <c r="E403" s="1">
        <f>Tabela9[[#This Row],[Força (N)]]/$I$5</f>
        <v>9906176.8481461909</v>
      </c>
      <c r="F403" s="1">
        <f>Tabela9[[#This Row],[Tensão (Pa)]]/1000000</f>
        <v>9.90617684814619</v>
      </c>
    </row>
    <row r="404" spans="1:6" x14ac:dyDescent="0.3">
      <c r="A404" s="5">
        <v>26.7</v>
      </c>
      <c r="B404" s="5">
        <v>2.2170000000000001</v>
      </c>
      <c r="C404" s="1">
        <f>Tabela9[[#This Row],[Alongamento (mm/mm)]]/$I$2</f>
        <v>4.4340000000000004E-2</v>
      </c>
      <c r="D404" s="5">
        <v>423.38</v>
      </c>
      <c r="E404" s="1">
        <f>Tabela9[[#This Row],[Força (N)]]/$I$5</f>
        <v>9990655.4406101331</v>
      </c>
      <c r="F404" s="1">
        <f>Tabela9[[#This Row],[Tensão (Pa)]]/1000000</f>
        <v>9.9906554406101336</v>
      </c>
    </row>
    <row r="405" spans="1:6" x14ac:dyDescent="0.3">
      <c r="A405" s="5">
        <v>26.8</v>
      </c>
      <c r="B405" s="5">
        <v>2.2254</v>
      </c>
      <c r="C405" s="1">
        <f>Tabela9[[#This Row],[Alongamento (mm/mm)]]/$I$2</f>
        <v>4.4507999999999999E-2</v>
      </c>
      <c r="D405" s="5">
        <v>426.78</v>
      </c>
      <c r="E405" s="1">
        <f>Tabela9[[#This Row],[Força (N)]]/$I$5</f>
        <v>10070886.506078683</v>
      </c>
      <c r="F405" s="1">
        <f>Tabela9[[#This Row],[Tensão (Pa)]]/1000000</f>
        <v>10.070886506078683</v>
      </c>
    </row>
    <row r="406" spans="1:6" x14ac:dyDescent="0.3">
      <c r="A406" s="5">
        <v>26.9</v>
      </c>
      <c r="B406" s="5">
        <v>2.2336999999999998</v>
      </c>
      <c r="C406" s="1">
        <f>Tabela9[[#This Row],[Alongamento (mm/mm)]]/$I$2</f>
        <v>4.4673999999999998E-2</v>
      </c>
      <c r="D406" s="5">
        <v>430.18</v>
      </c>
      <c r="E406" s="1">
        <f>Tabela9[[#This Row],[Força (N)]]/$I$5</f>
        <v>10151117.571547233</v>
      </c>
      <c r="F406" s="1">
        <f>Tabela9[[#This Row],[Tensão (Pa)]]/1000000</f>
        <v>10.151117571547232</v>
      </c>
    </row>
    <row r="407" spans="1:6" x14ac:dyDescent="0.3">
      <c r="A407" s="5">
        <v>27</v>
      </c>
      <c r="B407" s="5">
        <v>2.242</v>
      </c>
      <c r="C407" s="1">
        <f>Tabela9[[#This Row],[Alongamento (mm/mm)]]/$I$2</f>
        <v>4.4839999999999998E-2</v>
      </c>
      <c r="D407" s="5">
        <v>433.58</v>
      </c>
      <c r="E407" s="1">
        <f>Tabela9[[#This Row],[Força (N)]]/$I$5</f>
        <v>10231348.637015782</v>
      </c>
      <c r="F407" s="1">
        <f>Tabela9[[#This Row],[Tensão (Pa)]]/1000000</f>
        <v>10.231348637015783</v>
      </c>
    </row>
    <row r="408" spans="1:6" x14ac:dyDescent="0.3">
      <c r="A408" s="5">
        <v>27.1</v>
      </c>
      <c r="B408" s="5">
        <v>2.2504</v>
      </c>
      <c r="C408" s="1">
        <f>Tabela9[[#This Row],[Alongamento (mm/mm)]]/$I$2</f>
        <v>4.5007999999999999E-2</v>
      </c>
      <c r="D408" s="5">
        <v>436.98</v>
      </c>
      <c r="E408" s="1">
        <f>Tabela9[[#This Row],[Força (N)]]/$I$5</f>
        <v>10311579.702484332</v>
      </c>
      <c r="F408" s="1">
        <f>Tabela9[[#This Row],[Tensão (Pa)]]/1000000</f>
        <v>10.311579702484332</v>
      </c>
    </row>
    <row r="409" spans="1:6" x14ac:dyDescent="0.3">
      <c r="A409" s="5">
        <v>27.2</v>
      </c>
      <c r="B409" s="5">
        <v>2.2587000000000002</v>
      </c>
      <c r="C409" s="1">
        <f>Tabela9[[#This Row],[Alongamento (mm/mm)]]/$I$2</f>
        <v>4.5174000000000006E-2</v>
      </c>
      <c r="D409" s="5">
        <v>440.56</v>
      </c>
      <c r="E409" s="1">
        <f>Tabela9[[#This Row],[Força (N)]]/$I$5</f>
        <v>10396058.294948274</v>
      </c>
      <c r="F409" s="1">
        <f>Tabela9[[#This Row],[Tensão (Pa)]]/1000000</f>
        <v>10.396058294948274</v>
      </c>
    </row>
    <row r="410" spans="1:6" x14ac:dyDescent="0.3">
      <c r="A410" s="5">
        <v>27.3</v>
      </c>
      <c r="B410" s="5">
        <v>2.2671000000000001</v>
      </c>
      <c r="C410" s="1">
        <f>Tabela9[[#This Row],[Alongamento (mm/mm)]]/$I$2</f>
        <v>4.5342E-2</v>
      </c>
      <c r="D410" s="5">
        <v>443.96</v>
      </c>
      <c r="E410" s="1">
        <f>Tabela9[[#This Row],[Força (N)]]/$I$5</f>
        <v>10476289.360416824</v>
      </c>
      <c r="F410" s="1">
        <f>Tabela9[[#This Row],[Tensão (Pa)]]/1000000</f>
        <v>10.476289360416825</v>
      </c>
    </row>
    <row r="411" spans="1:6" x14ac:dyDescent="0.3">
      <c r="A411" s="5">
        <v>27.4</v>
      </c>
      <c r="B411" s="5">
        <v>2.2753999999999999</v>
      </c>
      <c r="C411" s="1">
        <f>Tabela9[[#This Row],[Alongamento (mm/mm)]]/$I$2</f>
        <v>4.5508E-2</v>
      </c>
      <c r="D411" s="5">
        <v>447.53</v>
      </c>
      <c r="E411" s="1">
        <f>Tabela9[[#This Row],[Força (N)]]/$I$5</f>
        <v>10560531.9791588</v>
      </c>
      <c r="F411" s="1">
        <f>Tabela9[[#This Row],[Tensão (Pa)]]/1000000</f>
        <v>10.560531979158799</v>
      </c>
    </row>
    <row r="412" spans="1:6" x14ac:dyDescent="0.3">
      <c r="A412" s="5">
        <v>27.5</v>
      </c>
      <c r="B412" s="5">
        <v>2.2837000000000001</v>
      </c>
      <c r="C412" s="1">
        <f>Tabela9[[#This Row],[Alongamento (mm/mm)]]/$I$2</f>
        <v>4.5673999999999999E-2</v>
      </c>
      <c r="D412" s="5">
        <v>451.1</v>
      </c>
      <c r="E412" s="1">
        <f>Tabela9[[#This Row],[Força (N)]]/$I$5</f>
        <v>10644774.597900778</v>
      </c>
      <c r="F412" s="1">
        <f>Tabela9[[#This Row],[Tensão (Pa)]]/1000000</f>
        <v>10.644774597900778</v>
      </c>
    </row>
    <row r="413" spans="1:6" x14ac:dyDescent="0.3">
      <c r="A413" s="5">
        <v>27.6</v>
      </c>
      <c r="B413" s="5">
        <v>2.2919999999999998</v>
      </c>
      <c r="C413" s="1">
        <f>Tabela9[[#This Row],[Alongamento (mm/mm)]]/$I$2</f>
        <v>4.5839999999999999E-2</v>
      </c>
      <c r="D413" s="5">
        <v>454.5</v>
      </c>
      <c r="E413" s="1">
        <f>Tabela9[[#This Row],[Força (N)]]/$I$5</f>
        <v>10725005.663369328</v>
      </c>
      <c r="F413" s="1">
        <f>Tabela9[[#This Row],[Tensão (Pa)]]/1000000</f>
        <v>10.725005663369327</v>
      </c>
    </row>
    <row r="414" spans="1:6" x14ac:dyDescent="0.3">
      <c r="A414" s="5">
        <v>27.7</v>
      </c>
      <c r="B414" s="5">
        <v>2.3003999999999998</v>
      </c>
      <c r="C414" s="1">
        <f>Tabela9[[#This Row],[Alongamento (mm/mm)]]/$I$2</f>
        <v>4.6007999999999993E-2</v>
      </c>
      <c r="D414" s="5">
        <v>458.08</v>
      </c>
      <c r="E414" s="1">
        <f>Tabela9[[#This Row],[Força (N)]]/$I$5</f>
        <v>10809484.25583327</v>
      </c>
      <c r="F414" s="1">
        <f>Tabela9[[#This Row],[Tensão (Pa)]]/1000000</f>
        <v>10.80948425583327</v>
      </c>
    </row>
    <row r="415" spans="1:6" x14ac:dyDescent="0.3">
      <c r="A415" s="5">
        <v>27.8</v>
      </c>
      <c r="B415" s="5">
        <v>2.3087</v>
      </c>
      <c r="C415" s="1">
        <f>Tabela9[[#This Row],[Alongamento (mm/mm)]]/$I$2</f>
        <v>4.6174E-2</v>
      </c>
      <c r="D415" s="5">
        <v>461.65</v>
      </c>
      <c r="E415" s="1">
        <f>Tabela9[[#This Row],[Força (N)]]/$I$5</f>
        <v>10893726.874575246</v>
      </c>
      <c r="F415" s="1">
        <f>Tabela9[[#This Row],[Tensão (Pa)]]/1000000</f>
        <v>10.893726874575247</v>
      </c>
    </row>
    <row r="416" spans="1:6" x14ac:dyDescent="0.3">
      <c r="A416" s="5">
        <v>27.9</v>
      </c>
      <c r="B416" s="5">
        <v>2.3170999999999999</v>
      </c>
      <c r="C416" s="1">
        <f>Tabela9[[#This Row],[Alongamento (mm/mm)]]/$I$2</f>
        <v>4.6342000000000001E-2</v>
      </c>
      <c r="D416" s="5">
        <v>465.22</v>
      </c>
      <c r="E416" s="1">
        <f>Tabela9[[#This Row],[Força (N)]]/$I$5</f>
        <v>10977969.493317226</v>
      </c>
      <c r="F416" s="1">
        <f>Tabela9[[#This Row],[Tensão (Pa)]]/1000000</f>
        <v>10.977969493317225</v>
      </c>
    </row>
    <row r="417" spans="1:6" x14ac:dyDescent="0.3">
      <c r="A417" s="5">
        <v>28</v>
      </c>
      <c r="B417" s="5">
        <v>2.3254000000000001</v>
      </c>
      <c r="C417" s="1">
        <f>Tabela9[[#This Row],[Alongamento (mm/mm)]]/$I$2</f>
        <v>4.6508000000000001E-2</v>
      </c>
      <c r="D417" s="5">
        <v>468.79</v>
      </c>
      <c r="E417" s="1">
        <f>Tabela9[[#This Row],[Força (N)]]/$I$5</f>
        <v>11062212.112059202</v>
      </c>
      <c r="F417" s="1">
        <f>Tabela9[[#This Row],[Tensão (Pa)]]/1000000</f>
        <v>11.062212112059202</v>
      </c>
    </row>
    <row r="418" spans="1:6" x14ac:dyDescent="0.3">
      <c r="A418" s="5">
        <v>28.1</v>
      </c>
      <c r="B418" s="5">
        <v>2.3336999999999999</v>
      </c>
      <c r="C418" s="1">
        <f>Tabela9[[#This Row],[Alongamento (mm/mm)]]/$I$2</f>
        <v>4.6674E-2</v>
      </c>
      <c r="D418" s="5">
        <v>472.36</v>
      </c>
      <c r="E418" s="1">
        <f>Tabela9[[#This Row],[Força (N)]]/$I$5</f>
        <v>11146454.730801178</v>
      </c>
      <c r="F418" s="1">
        <f>Tabela9[[#This Row],[Tensão (Pa)]]/1000000</f>
        <v>11.146454730801178</v>
      </c>
    </row>
    <row r="419" spans="1:6" x14ac:dyDescent="0.3">
      <c r="A419" s="5">
        <v>28.2</v>
      </c>
      <c r="B419" s="5">
        <v>2.3420000000000001</v>
      </c>
      <c r="C419" s="1">
        <f>Tabela9[[#This Row],[Alongamento (mm/mm)]]/$I$2</f>
        <v>4.684E-2</v>
      </c>
      <c r="D419" s="5">
        <v>476.11</v>
      </c>
      <c r="E419" s="1">
        <f>Tabela9[[#This Row],[Força (N)]]/$I$5</f>
        <v>11234944.876538549</v>
      </c>
      <c r="F419" s="1">
        <f>Tabela9[[#This Row],[Tensão (Pa)]]/1000000</f>
        <v>11.234944876538549</v>
      </c>
    </row>
    <row r="420" spans="1:6" x14ac:dyDescent="0.3">
      <c r="A420" s="5">
        <v>28.3</v>
      </c>
      <c r="B420" s="5">
        <v>2.3504</v>
      </c>
      <c r="C420" s="1">
        <f>Tabela9[[#This Row],[Alongamento (mm/mm)]]/$I$2</f>
        <v>4.7008000000000001E-2</v>
      </c>
      <c r="D420" s="5">
        <v>479.68</v>
      </c>
      <c r="E420" s="1">
        <f>Tabela9[[#This Row],[Força (N)]]/$I$5</f>
        <v>11319187.495280527</v>
      </c>
      <c r="F420" s="1">
        <f>Tabela9[[#This Row],[Tensão (Pa)]]/1000000</f>
        <v>11.319187495280527</v>
      </c>
    </row>
    <row r="421" spans="1:6" x14ac:dyDescent="0.3">
      <c r="A421" s="5">
        <v>28.4</v>
      </c>
      <c r="B421" s="5">
        <v>2.3586</v>
      </c>
      <c r="C421" s="1">
        <f>Tabela9[[#This Row],[Alongamento (mm/mm)]]/$I$2</f>
        <v>4.7171999999999999E-2</v>
      </c>
      <c r="D421" s="5">
        <v>483.42</v>
      </c>
      <c r="E421" s="1">
        <f>Tabela9[[#This Row],[Força (N)]]/$I$5</f>
        <v>11407441.667295931</v>
      </c>
      <c r="F421" s="1">
        <f>Tabela9[[#This Row],[Tensão (Pa)]]/1000000</f>
        <v>11.407441667295931</v>
      </c>
    </row>
    <row r="422" spans="1:6" x14ac:dyDescent="0.3">
      <c r="A422" s="5">
        <v>28.516999999999999</v>
      </c>
      <c r="B422" s="5">
        <v>2.3683999999999998</v>
      </c>
      <c r="C422" s="1">
        <f>Tabela9[[#This Row],[Alongamento (mm/mm)]]/$I$2</f>
        <v>4.7367999999999993E-2</v>
      </c>
      <c r="D422" s="5">
        <v>487.67</v>
      </c>
      <c r="E422" s="1">
        <f>Tabela9[[#This Row],[Força (N)]]/$I$5</f>
        <v>11507730.499131618</v>
      </c>
      <c r="F422" s="1">
        <f>Tabela9[[#This Row],[Tensão (Pa)]]/1000000</f>
        <v>11.507730499131618</v>
      </c>
    </row>
    <row r="423" spans="1:6" x14ac:dyDescent="0.3">
      <c r="A423" s="5">
        <v>28.617000000000001</v>
      </c>
      <c r="B423" s="5">
        <v>2.3767999999999998</v>
      </c>
      <c r="C423" s="1">
        <f>Tabela9[[#This Row],[Alongamento (mm/mm)]]/$I$2</f>
        <v>4.7535999999999995E-2</v>
      </c>
      <c r="D423" s="5">
        <v>491.42</v>
      </c>
      <c r="E423" s="1">
        <f>Tabela9[[#This Row],[Força (N)]]/$I$5</f>
        <v>11596220.644868989</v>
      </c>
      <c r="F423" s="1">
        <f>Tabela9[[#This Row],[Tensão (Pa)]]/1000000</f>
        <v>11.596220644868989</v>
      </c>
    </row>
    <row r="424" spans="1:6" x14ac:dyDescent="0.3">
      <c r="A424" s="5">
        <v>28.716999999999999</v>
      </c>
      <c r="B424" s="5">
        <v>2.3851</v>
      </c>
      <c r="C424" s="1">
        <f>Tabela9[[#This Row],[Alongamento (mm/mm)]]/$I$2</f>
        <v>4.7702000000000001E-2</v>
      </c>
      <c r="D424" s="5">
        <v>495.16</v>
      </c>
      <c r="E424" s="1">
        <f>Tabela9[[#This Row],[Força (N)]]/$I$5</f>
        <v>11684474.816884393</v>
      </c>
      <c r="F424" s="1">
        <f>Tabela9[[#This Row],[Tensão (Pa)]]/1000000</f>
        <v>11.684474816884393</v>
      </c>
    </row>
    <row r="425" spans="1:6" x14ac:dyDescent="0.3">
      <c r="A425" s="5">
        <v>28.817</v>
      </c>
      <c r="B425" s="5">
        <v>2.3935</v>
      </c>
      <c r="C425" s="1">
        <f>Tabela9[[#This Row],[Alongamento (mm/mm)]]/$I$2</f>
        <v>4.7869999999999996E-2</v>
      </c>
      <c r="D425" s="5">
        <v>498.9</v>
      </c>
      <c r="E425" s="1">
        <f>Tabela9[[#This Row],[Força (N)]]/$I$5</f>
        <v>11772728.988899795</v>
      </c>
      <c r="F425" s="1">
        <f>Tabela9[[#This Row],[Tensão (Pa)]]/1000000</f>
        <v>11.772728988899795</v>
      </c>
    </row>
    <row r="426" spans="1:6" x14ac:dyDescent="0.3">
      <c r="A426" s="5">
        <v>28.917000000000002</v>
      </c>
      <c r="B426" s="5">
        <v>2.4016999999999999</v>
      </c>
      <c r="C426" s="1">
        <f>Tabela9[[#This Row],[Alongamento (mm/mm)]]/$I$2</f>
        <v>4.8034E-2</v>
      </c>
      <c r="D426" s="5">
        <v>502.64</v>
      </c>
      <c r="E426" s="1">
        <f>Tabela9[[#This Row],[Força (N)]]/$I$5</f>
        <v>11860983.1609152</v>
      </c>
      <c r="F426" s="1">
        <f>Tabela9[[#This Row],[Tensão (Pa)]]/1000000</f>
        <v>11.8609831609152</v>
      </c>
    </row>
    <row r="427" spans="1:6" x14ac:dyDescent="0.3">
      <c r="A427" s="5">
        <v>29.016999999999999</v>
      </c>
      <c r="B427" s="5">
        <v>2.41</v>
      </c>
      <c r="C427" s="1">
        <f>Tabela9[[#This Row],[Alongamento (mm/mm)]]/$I$2</f>
        <v>4.82E-2</v>
      </c>
      <c r="D427" s="5">
        <v>506.38</v>
      </c>
      <c r="E427" s="1">
        <f>Tabela9[[#This Row],[Força (N)]]/$I$5</f>
        <v>11949237.332930606</v>
      </c>
      <c r="F427" s="1">
        <f>Tabela9[[#This Row],[Tensão (Pa)]]/1000000</f>
        <v>11.949237332930606</v>
      </c>
    </row>
    <row r="428" spans="1:6" x14ac:dyDescent="0.3">
      <c r="A428" s="5">
        <v>29.117000000000001</v>
      </c>
      <c r="B428" s="5">
        <v>2.4184000000000001</v>
      </c>
      <c r="C428" s="1">
        <f>Tabela9[[#This Row],[Alongamento (mm/mm)]]/$I$2</f>
        <v>4.8368000000000001E-2</v>
      </c>
      <c r="D428" s="5">
        <v>510.13</v>
      </c>
      <c r="E428" s="1">
        <f>Tabela9[[#This Row],[Força (N)]]/$I$5</f>
        <v>12037727.478667976</v>
      </c>
      <c r="F428" s="1">
        <f>Tabela9[[#This Row],[Tensão (Pa)]]/1000000</f>
        <v>12.037727478667977</v>
      </c>
    </row>
    <row r="429" spans="1:6" x14ac:dyDescent="0.3">
      <c r="A429" s="5">
        <v>29.216999999999999</v>
      </c>
      <c r="B429" s="5">
        <v>2.4268000000000001</v>
      </c>
      <c r="C429" s="1">
        <f>Tabela9[[#This Row],[Alongamento (mm/mm)]]/$I$2</f>
        <v>4.8536000000000003E-2</v>
      </c>
      <c r="D429" s="5">
        <v>513.87</v>
      </c>
      <c r="E429" s="1">
        <f>Tabela9[[#This Row],[Força (N)]]/$I$5</f>
        <v>12125981.650683381</v>
      </c>
      <c r="F429" s="1">
        <f>Tabela9[[#This Row],[Tensão (Pa)]]/1000000</f>
        <v>12.12598165068338</v>
      </c>
    </row>
    <row r="430" spans="1:6" x14ac:dyDescent="0.3">
      <c r="A430" s="5">
        <v>29.317</v>
      </c>
      <c r="B430" s="5">
        <v>2.4350000000000001</v>
      </c>
      <c r="C430" s="1">
        <f>Tabela9[[#This Row],[Alongamento (mm/mm)]]/$I$2</f>
        <v>4.87E-2</v>
      </c>
      <c r="D430" s="5">
        <v>517.78</v>
      </c>
      <c r="E430" s="1">
        <f>Tabela9[[#This Row],[Força (N)]]/$I$5</f>
        <v>12218247.375972211</v>
      </c>
      <c r="F430" s="1">
        <f>Tabela9[[#This Row],[Tensão (Pa)]]/1000000</f>
        <v>12.218247375972211</v>
      </c>
    </row>
    <row r="431" spans="1:6" x14ac:dyDescent="0.3">
      <c r="A431" s="5">
        <v>29.417000000000002</v>
      </c>
      <c r="B431" s="5">
        <v>2.4434</v>
      </c>
      <c r="C431" s="1">
        <f>Tabela9[[#This Row],[Alongamento (mm/mm)]]/$I$2</f>
        <v>4.8868000000000002E-2</v>
      </c>
      <c r="D431" s="5">
        <v>521.52</v>
      </c>
      <c r="E431" s="1">
        <f>Tabela9[[#This Row],[Força (N)]]/$I$5</f>
        <v>12306501.547987616</v>
      </c>
      <c r="F431" s="1">
        <f>Tabela9[[#This Row],[Tensão (Pa)]]/1000000</f>
        <v>12.306501547987615</v>
      </c>
    </row>
    <row r="432" spans="1:6" x14ac:dyDescent="0.3">
      <c r="A432" s="5">
        <v>29.516999999999999</v>
      </c>
      <c r="B432" s="5">
        <v>2.4517000000000002</v>
      </c>
      <c r="C432" s="1">
        <f>Tabela9[[#This Row],[Alongamento (mm/mm)]]/$I$2</f>
        <v>4.9034000000000001E-2</v>
      </c>
      <c r="D432" s="5">
        <v>525.27</v>
      </c>
      <c r="E432" s="1">
        <f>Tabela9[[#This Row],[Força (N)]]/$I$5</f>
        <v>12394991.693724986</v>
      </c>
      <c r="F432" s="1">
        <f>Tabela9[[#This Row],[Tensão (Pa)]]/1000000</f>
        <v>12.394991693724986</v>
      </c>
    </row>
    <row r="433" spans="1:6" x14ac:dyDescent="0.3">
      <c r="A433" s="5">
        <v>29.632999999999999</v>
      </c>
      <c r="B433" s="5">
        <v>2.4615</v>
      </c>
      <c r="C433" s="1">
        <f>Tabela9[[#This Row],[Alongamento (mm/mm)]]/$I$2</f>
        <v>4.9230000000000003E-2</v>
      </c>
      <c r="D433" s="5">
        <v>529.86</v>
      </c>
      <c r="E433" s="1">
        <f>Tabela9[[#This Row],[Força (N)]]/$I$5</f>
        <v>12503303.63210753</v>
      </c>
      <c r="F433" s="1">
        <f>Tabela9[[#This Row],[Tensão (Pa)]]/1000000</f>
        <v>12.50330363210753</v>
      </c>
    </row>
    <row r="434" spans="1:6" x14ac:dyDescent="0.3">
      <c r="A434" s="5">
        <v>29.75</v>
      </c>
      <c r="B434" s="5">
        <v>2.4712000000000001</v>
      </c>
      <c r="C434" s="1">
        <f>Tabela9[[#This Row],[Alongamento (mm/mm)]]/$I$2</f>
        <v>4.9424000000000003E-2</v>
      </c>
      <c r="D434" s="5">
        <v>534.28</v>
      </c>
      <c r="E434" s="1">
        <f>Tabela9[[#This Row],[Força (N)]]/$I$5</f>
        <v>12607604.017216643</v>
      </c>
      <c r="F434" s="1">
        <f>Tabela9[[#This Row],[Tensão (Pa)]]/1000000</f>
        <v>12.607604017216643</v>
      </c>
    </row>
    <row r="435" spans="1:6" x14ac:dyDescent="0.3">
      <c r="A435" s="5">
        <v>29.867000000000001</v>
      </c>
      <c r="B435" s="5">
        <v>2.4809000000000001</v>
      </c>
      <c r="C435" s="1">
        <f>Tabela9[[#This Row],[Alongamento (mm/mm)]]/$I$2</f>
        <v>4.9618000000000002E-2</v>
      </c>
      <c r="D435" s="5">
        <v>538.70000000000005</v>
      </c>
      <c r="E435" s="1">
        <f>Tabela9[[#This Row],[Força (N)]]/$I$5</f>
        <v>12711904.402325759</v>
      </c>
      <c r="F435" s="1">
        <f>Tabela9[[#This Row],[Tensão (Pa)]]/1000000</f>
        <v>12.711904402325759</v>
      </c>
    </row>
    <row r="436" spans="1:6" x14ac:dyDescent="0.3">
      <c r="A436" s="5">
        <v>29.983000000000001</v>
      </c>
      <c r="B436" s="5">
        <v>2.4906000000000001</v>
      </c>
      <c r="C436" s="1">
        <f>Tabela9[[#This Row],[Alongamento (mm/mm)]]/$I$2</f>
        <v>4.9812000000000002E-2</v>
      </c>
      <c r="D436" s="5">
        <v>543.13</v>
      </c>
      <c r="E436" s="1">
        <f>Tabela9[[#This Row],[Força (N)]]/$I$5</f>
        <v>12816440.761156838</v>
      </c>
      <c r="F436" s="1">
        <f>Tabela9[[#This Row],[Tensão (Pa)]]/1000000</f>
        <v>12.816440761156839</v>
      </c>
    </row>
    <row r="437" spans="1:6" x14ac:dyDescent="0.3">
      <c r="A437" s="5">
        <v>30.1</v>
      </c>
      <c r="B437" s="5">
        <v>2.5005000000000002</v>
      </c>
      <c r="C437" s="1">
        <f>Tabela9[[#This Row],[Alongamento (mm/mm)]]/$I$2</f>
        <v>5.0010000000000006E-2</v>
      </c>
      <c r="D437" s="5">
        <v>547.54999999999995</v>
      </c>
      <c r="E437" s="1">
        <f>Tabela9[[#This Row],[Força (N)]]/$I$5</f>
        <v>12920741.146265952</v>
      </c>
      <c r="F437" s="1">
        <f>Tabela9[[#This Row],[Tensão (Pa)]]/1000000</f>
        <v>12.920741146265952</v>
      </c>
    </row>
    <row r="438" spans="1:6" x14ac:dyDescent="0.3">
      <c r="A438" s="5">
        <v>30.216999999999999</v>
      </c>
      <c r="B438" s="5">
        <v>2.5101</v>
      </c>
      <c r="C438" s="1">
        <f>Tabela9[[#This Row],[Alongamento (mm/mm)]]/$I$2</f>
        <v>5.0201999999999997E-2</v>
      </c>
      <c r="D438" s="5">
        <v>551.79999999999995</v>
      </c>
      <c r="E438" s="1">
        <f>Tabela9[[#This Row],[Força (N)]]/$I$5</f>
        <v>13021029.978101637</v>
      </c>
      <c r="F438" s="1">
        <f>Tabela9[[#This Row],[Tensão (Pa)]]/1000000</f>
        <v>13.021029978101637</v>
      </c>
    </row>
    <row r="439" spans="1:6" x14ac:dyDescent="0.3">
      <c r="A439" s="5">
        <v>30.332999999999998</v>
      </c>
      <c r="B439" s="5">
        <v>2.5198</v>
      </c>
      <c r="C439" s="1">
        <f>Tabela9[[#This Row],[Alongamento (mm/mm)]]/$I$2</f>
        <v>5.0396000000000003E-2</v>
      </c>
      <c r="D439" s="5">
        <v>556.22</v>
      </c>
      <c r="E439" s="1">
        <f>Tabela9[[#This Row],[Força (N)]]/$I$5</f>
        <v>13125330.363210754</v>
      </c>
      <c r="F439" s="1">
        <f>Tabela9[[#This Row],[Tensão (Pa)]]/1000000</f>
        <v>13.125330363210754</v>
      </c>
    </row>
    <row r="440" spans="1:6" x14ac:dyDescent="0.3">
      <c r="A440" s="5">
        <v>30.45</v>
      </c>
      <c r="B440" s="5">
        <v>2.5295999999999998</v>
      </c>
      <c r="C440" s="1">
        <f>Tabela9[[#This Row],[Alongamento (mm/mm)]]/$I$2</f>
        <v>5.0591999999999998E-2</v>
      </c>
      <c r="D440" s="5">
        <v>560.65</v>
      </c>
      <c r="E440" s="1">
        <f>Tabela9[[#This Row],[Força (N)]]/$I$5</f>
        <v>13229866.722041834</v>
      </c>
      <c r="F440" s="1">
        <f>Tabela9[[#This Row],[Tensão (Pa)]]/1000000</f>
        <v>13.229866722041834</v>
      </c>
    </row>
    <row r="441" spans="1:6" x14ac:dyDescent="0.3">
      <c r="A441" s="5">
        <v>30.567</v>
      </c>
      <c r="B441" s="5">
        <v>2.5392000000000001</v>
      </c>
      <c r="C441" s="1">
        <f>Tabela9[[#This Row],[Alongamento (mm/mm)]]/$I$2</f>
        <v>5.0784000000000003E-2</v>
      </c>
      <c r="D441" s="5">
        <v>564.9</v>
      </c>
      <c r="E441" s="1">
        <f>Tabela9[[#This Row],[Força (N)]]/$I$5</f>
        <v>13330155.553877519</v>
      </c>
      <c r="F441" s="1">
        <f>Tabela9[[#This Row],[Tensão (Pa)]]/1000000</f>
        <v>13.330155553877519</v>
      </c>
    </row>
    <row r="442" spans="1:6" x14ac:dyDescent="0.3">
      <c r="A442" s="5">
        <v>30.683</v>
      </c>
      <c r="B442" s="5">
        <v>2.5489999999999999</v>
      </c>
      <c r="C442" s="1">
        <f>Tabela9[[#This Row],[Alongamento (mm/mm)]]/$I$2</f>
        <v>5.0979999999999998E-2</v>
      </c>
      <c r="D442" s="5">
        <v>569.15</v>
      </c>
      <c r="E442" s="1">
        <f>Tabela9[[#This Row],[Força (N)]]/$I$5</f>
        <v>13430444.385713207</v>
      </c>
      <c r="F442" s="1">
        <f>Tabela9[[#This Row],[Tensão (Pa)]]/1000000</f>
        <v>13.430444385713207</v>
      </c>
    </row>
    <row r="443" spans="1:6" x14ac:dyDescent="0.3">
      <c r="A443" s="5">
        <v>30.8</v>
      </c>
      <c r="B443" s="5">
        <v>2.5586000000000002</v>
      </c>
      <c r="C443" s="1">
        <f>Tabela9[[#This Row],[Alongamento (mm/mm)]]/$I$2</f>
        <v>5.1172000000000002E-2</v>
      </c>
      <c r="D443" s="5">
        <v>573.57000000000005</v>
      </c>
      <c r="E443" s="1">
        <f>Tabela9[[#This Row],[Força (N)]]/$I$5</f>
        <v>13534744.770822322</v>
      </c>
      <c r="F443" s="1">
        <f>Tabela9[[#This Row],[Tensão (Pa)]]/1000000</f>
        <v>13.534744770822321</v>
      </c>
    </row>
    <row r="444" spans="1:6" x14ac:dyDescent="0.3">
      <c r="A444" s="5">
        <v>30.917000000000002</v>
      </c>
      <c r="B444" s="5">
        <v>2.5684</v>
      </c>
      <c r="C444" s="1">
        <f>Tabela9[[#This Row],[Alongamento (mm/mm)]]/$I$2</f>
        <v>5.1367999999999997E-2</v>
      </c>
      <c r="D444" s="5">
        <v>578</v>
      </c>
      <c r="E444" s="1">
        <f>Tabela9[[#This Row],[Força (N)]]/$I$5</f>
        <v>13639281.129653402</v>
      </c>
      <c r="F444" s="1">
        <f>Tabela9[[#This Row],[Tensão (Pa)]]/1000000</f>
        <v>13.639281129653401</v>
      </c>
    </row>
    <row r="445" spans="1:6" x14ac:dyDescent="0.3">
      <c r="A445" s="5">
        <v>31.033000000000001</v>
      </c>
      <c r="B445" s="5">
        <v>2.5781999999999998</v>
      </c>
      <c r="C445" s="1">
        <f>Tabela9[[#This Row],[Alongamento (mm/mm)]]/$I$2</f>
        <v>5.1563999999999999E-2</v>
      </c>
      <c r="D445" s="5">
        <v>582.41999999999996</v>
      </c>
      <c r="E445" s="1">
        <f>Tabela9[[#This Row],[Força (N)]]/$I$5</f>
        <v>13743581.514762515</v>
      </c>
      <c r="F445" s="1">
        <f>Tabela9[[#This Row],[Tensão (Pa)]]/1000000</f>
        <v>13.743581514762516</v>
      </c>
    </row>
    <row r="446" spans="1:6" x14ac:dyDescent="0.3">
      <c r="A446" s="5">
        <v>31.15</v>
      </c>
      <c r="B446" s="5">
        <v>2.5878000000000001</v>
      </c>
      <c r="C446" s="1">
        <f>Tabela9[[#This Row],[Alongamento (mm/mm)]]/$I$2</f>
        <v>5.1756000000000003E-2</v>
      </c>
      <c r="D446" s="5">
        <v>586.84</v>
      </c>
      <c r="E446" s="1">
        <f>Tabela9[[#This Row],[Força (N)]]/$I$5</f>
        <v>13847881.899871631</v>
      </c>
      <c r="F446" s="1">
        <f>Tabela9[[#This Row],[Tensão (Pa)]]/1000000</f>
        <v>13.847881899871631</v>
      </c>
    </row>
    <row r="447" spans="1:6" x14ac:dyDescent="0.3">
      <c r="A447" s="5">
        <v>31.266999999999999</v>
      </c>
      <c r="B447" s="5">
        <v>2.5975999999999999</v>
      </c>
      <c r="C447" s="1">
        <f>Tabela9[[#This Row],[Alongamento (mm/mm)]]/$I$2</f>
        <v>5.1951999999999998E-2</v>
      </c>
      <c r="D447" s="5">
        <v>591.42999999999995</v>
      </c>
      <c r="E447" s="1">
        <f>Tabela9[[#This Row],[Força (N)]]/$I$5</f>
        <v>13956193.83825417</v>
      </c>
      <c r="F447" s="1">
        <f>Tabela9[[#This Row],[Tensão (Pa)]]/1000000</f>
        <v>13.956193838254171</v>
      </c>
    </row>
    <row r="448" spans="1:6" x14ac:dyDescent="0.3">
      <c r="A448" s="5">
        <v>31.382999999999999</v>
      </c>
      <c r="B448" s="5">
        <v>2.6073</v>
      </c>
      <c r="C448" s="1">
        <f>Tabela9[[#This Row],[Alongamento (mm/mm)]]/$I$2</f>
        <v>5.2145999999999998E-2</v>
      </c>
      <c r="D448" s="5">
        <v>595.86</v>
      </c>
      <c r="E448" s="1">
        <f>Tabela9[[#This Row],[Força (N)]]/$I$5</f>
        <v>14060730.197085254</v>
      </c>
      <c r="F448" s="1">
        <f>Tabela9[[#This Row],[Tensão (Pa)]]/1000000</f>
        <v>14.060730197085254</v>
      </c>
    </row>
    <row r="449" spans="1:6" x14ac:dyDescent="0.3">
      <c r="A449" s="5">
        <v>31.5</v>
      </c>
      <c r="B449" s="5">
        <v>2.6171000000000002</v>
      </c>
      <c r="C449" s="1">
        <f>Tabela9[[#This Row],[Alongamento (mm/mm)]]/$I$2</f>
        <v>5.2342000000000007E-2</v>
      </c>
      <c r="D449" s="5">
        <v>600.45000000000005</v>
      </c>
      <c r="E449" s="1">
        <f>Tabela9[[#This Row],[Força (N)]]/$I$5</f>
        <v>14169042.135467796</v>
      </c>
      <c r="F449" s="1">
        <f>Tabela9[[#This Row],[Tensão (Pa)]]/1000000</f>
        <v>14.169042135467796</v>
      </c>
    </row>
    <row r="450" spans="1:6" x14ac:dyDescent="0.3">
      <c r="A450" s="5">
        <v>31.617000000000001</v>
      </c>
      <c r="B450" s="5">
        <v>2.6267</v>
      </c>
      <c r="C450" s="1">
        <f>Tabela9[[#This Row],[Alongamento (mm/mm)]]/$I$2</f>
        <v>5.2533999999999997E-2</v>
      </c>
      <c r="D450" s="5">
        <v>604.87</v>
      </c>
      <c r="E450" s="1">
        <f>Tabela9[[#This Row],[Força (N)]]/$I$5</f>
        <v>14273342.520576909</v>
      </c>
      <c r="F450" s="1">
        <f>Tabela9[[#This Row],[Tensão (Pa)]]/1000000</f>
        <v>14.273342520576909</v>
      </c>
    </row>
    <row r="451" spans="1:6" x14ac:dyDescent="0.3">
      <c r="A451" s="5">
        <v>31.733000000000001</v>
      </c>
      <c r="B451" s="5">
        <v>2.6364000000000001</v>
      </c>
      <c r="C451" s="1">
        <f>Tabela9[[#This Row],[Alongamento (mm/mm)]]/$I$2</f>
        <v>5.2728000000000004E-2</v>
      </c>
      <c r="D451" s="5">
        <v>609.46</v>
      </c>
      <c r="E451" s="1">
        <f>Tabela9[[#This Row],[Força (N)]]/$I$5</f>
        <v>14381654.458959451</v>
      </c>
      <c r="F451" s="1">
        <f>Tabela9[[#This Row],[Tensão (Pa)]]/1000000</f>
        <v>14.381654458959451</v>
      </c>
    </row>
    <row r="452" spans="1:6" x14ac:dyDescent="0.3">
      <c r="A452" s="5">
        <v>31.85</v>
      </c>
      <c r="B452" s="5">
        <v>2.6461999999999999</v>
      </c>
      <c r="C452" s="1">
        <f>Tabela9[[#This Row],[Alongamento (mm/mm)]]/$I$2</f>
        <v>5.2923999999999999E-2</v>
      </c>
      <c r="D452" s="5">
        <v>613.89</v>
      </c>
      <c r="E452" s="1">
        <f>Tabela9[[#This Row],[Força (N)]]/$I$5</f>
        <v>14486190.817790531</v>
      </c>
      <c r="F452" s="1">
        <f>Tabela9[[#This Row],[Tensão (Pa)]]/1000000</f>
        <v>14.486190817790531</v>
      </c>
    </row>
    <row r="453" spans="1:6" x14ac:dyDescent="0.3">
      <c r="A453" s="5">
        <v>31.983000000000001</v>
      </c>
      <c r="B453" s="5">
        <v>2.6573000000000002</v>
      </c>
      <c r="C453" s="1">
        <f>Tabela9[[#This Row],[Alongamento (mm/mm)]]/$I$2</f>
        <v>5.3146000000000006E-2</v>
      </c>
      <c r="D453" s="5">
        <v>619.16</v>
      </c>
      <c r="E453" s="1">
        <f>Tabela9[[#This Row],[Força (N)]]/$I$5</f>
        <v>14610548.969266782</v>
      </c>
      <c r="F453" s="1">
        <f>Tabela9[[#This Row],[Tensão (Pa)]]/1000000</f>
        <v>14.610548969266782</v>
      </c>
    </row>
    <row r="454" spans="1:6" x14ac:dyDescent="0.3">
      <c r="A454" s="5">
        <v>32.116999999999997</v>
      </c>
      <c r="B454" s="5">
        <v>2.6682999999999999</v>
      </c>
      <c r="C454" s="1">
        <f>Tabela9[[#This Row],[Alongamento (mm/mm)]]/$I$2</f>
        <v>5.3365999999999997E-2</v>
      </c>
      <c r="D454" s="5">
        <v>624.42999999999995</v>
      </c>
      <c r="E454" s="1">
        <f>Tabela9[[#This Row],[Força (N)]]/$I$5</f>
        <v>14734907.120743033</v>
      </c>
      <c r="F454" s="1">
        <f>Tabela9[[#This Row],[Tensão (Pa)]]/1000000</f>
        <v>14.734907120743033</v>
      </c>
    </row>
    <row r="455" spans="1:6" x14ac:dyDescent="0.3">
      <c r="A455" s="5">
        <v>32.25</v>
      </c>
      <c r="B455" s="5">
        <v>2.6795</v>
      </c>
      <c r="C455" s="1">
        <f>Tabela9[[#This Row],[Alongamento (mm/mm)]]/$I$2</f>
        <v>5.3589999999999999E-2</v>
      </c>
      <c r="D455" s="5">
        <v>629.54</v>
      </c>
      <c r="E455" s="1">
        <f>Tabela9[[#This Row],[Força (N)]]/$I$5</f>
        <v>14855489.692667823</v>
      </c>
      <c r="F455" s="1">
        <f>Tabela9[[#This Row],[Tensão (Pa)]]/1000000</f>
        <v>14.855489692667824</v>
      </c>
    </row>
    <row r="456" spans="1:6" x14ac:dyDescent="0.3">
      <c r="A456" s="5">
        <v>32.383000000000003</v>
      </c>
      <c r="B456" s="5">
        <v>2.6907000000000001</v>
      </c>
      <c r="C456" s="1">
        <f>Tabela9[[#This Row],[Alongamento (mm/mm)]]/$I$2</f>
        <v>5.3814000000000001E-2</v>
      </c>
      <c r="D456" s="5">
        <v>634.80999999999995</v>
      </c>
      <c r="E456" s="1">
        <f>Tabela9[[#This Row],[Força (N)]]/$I$5</f>
        <v>14979847.844144076</v>
      </c>
      <c r="F456" s="1">
        <f>Tabela9[[#This Row],[Tensão (Pa)]]/1000000</f>
        <v>14.979847844144077</v>
      </c>
    </row>
    <row r="457" spans="1:6" x14ac:dyDescent="0.3">
      <c r="A457" s="5">
        <v>32.517000000000003</v>
      </c>
      <c r="B457" s="5">
        <v>2.7018</v>
      </c>
      <c r="C457" s="1">
        <f>Tabela9[[#This Row],[Alongamento (mm/mm)]]/$I$2</f>
        <v>5.4036000000000001E-2</v>
      </c>
      <c r="D457" s="5">
        <v>639.91</v>
      </c>
      <c r="E457" s="1">
        <f>Tabela9[[#This Row],[Força (N)]]/$I$5</f>
        <v>15100194.442346901</v>
      </c>
      <c r="F457" s="1">
        <f>Tabela9[[#This Row],[Tensão (Pa)]]/1000000</f>
        <v>15.100194442346901</v>
      </c>
    </row>
    <row r="458" spans="1:6" x14ac:dyDescent="0.3">
      <c r="A458" s="5">
        <v>32.65</v>
      </c>
      <c r="B458" s="5">
        <v>2.7128999999999999</v>
      </c>
      <c r="C458" s="1">
        <f>Tabela9[[#This Row],[Alongamento (mm/mm)]]/$I$2</f>
        <v>5.4258000000000001E-2</v>
      </c>
      <c r="D458" s="5">
        <v>645.01</v>
      </c>
      <c r="E458" s="1">
        <f>Tabela9[[#This Row],[Força (N)]]/$I$5</f>
        <v>15220541.040549725</v>
      </c>
      <c r="F458" s="1">
        <f>Tabela9[[#This Row],[Tensão (Pa)]]/1000000</f>
        <v>15.220541040549726</v>
      </c>
    </row>
    <row r="459" spans="1:6" x14ac:dyDescent="0.3">
      <c r="A459" s="5">
        <v>32.783000000000001</v>
      </c>
      <c r="B459" s="5">
        <v>2.7240000000000002</v>
      </c>
      <c r="C459" s="1">
        <f>Tabela9[[#This Row],[Alongamento (mm/mm)]]/$I$2</f>
        <v>5.4480000000000001E-2</v>
      </c>
      <c r="D459" s="5">
        <v>650.12</v>
      </c>
      <c r="E459" s="1">
        <f>Tabela9[[#This Row],[Força (N)]]/$I$5</f>
        <v>15341123.612474516</v>
      </c>
      <c r="F459" s="1">
        <f>Tabela9[[#This Row],[Tensão (Pa)]]/1000000</f>
        <v>15.341123612474515</v>
      </c>
    </row>
    <row r="460" spans="1:6" x14ac:dyDescent="0.3">
      <c r="A460" s="5">
        <v>32.917000000000002</v>
      </c>
      <c r="B460" s="5">
        <v>2.7351000000000001</v>
      </c>
      <c r="C460" s="1">
        <f>Tabela9[[#This Row],[Alongamento (mm/mm)]]/$I$2</f>
        <v>5.4702000000000001E-2</v>
      </c>
      <c r="D460" s="5">
        <v>655.22</v>
      </c>
      <c r="E460" s="1">
        <f>Tabela9[[#This Row],[Força (N)]]/$I$5</f>
        <v>15461470.210677341</v>
      </c>
      <c r="F460" s="1">
        <f>Tabela9[[#This Row],[Tensão (Pa)]]/1000000</f>
        <v>15.461470210677341</v>
      </c>
    </row>
    <row r="461" spans="1:6" x14ac:dyDescent="0.3">
      <c r="A461" s="5">
        <v>33.049999999999997</v>
      </c>
      <c r="B461" s="5">
        <v>2.7461000000000002</v>
      </c>
      <c r="C461" s="1">
        <f>Tabela9[[#This Row],[Alongamento (mm/mm)]]/$I$2</f>
        <v>5.4922000000000006E-2</v>
      </c>
      <c r="D461" s="5">
        <v>660.49</v>
      </c>
      <c r="E461" s="1">
        <f>Tabela9[[#This Row],[Força (N)]]/$I$5</f>
        <v>15585828.362153592</v>
      </c>
      <c r="F461" s="1">
        <f>Tabela9[[#This Row],[Tensão (Pa)]]/1000000</f>
        <v>15.585828362153592</v>
      </c>
    </row>
    <row r="462" spans="1:6" x14ac:dyDescent="0.3">
      <c r="A462" s="5">
        <v>33.183</v>
      </c>
      <c r="B462" s="5">
        <v>2.7572999999999999</v>
      </c>
      <c r="C462" s="1">
        <f>Tabela9[[#This Row],[Alongamento (mm/mm)]]/$I$2</f>
        <v>5.5146000000000001E-2</v>
      </c>
      <c r="D462" s="5">
        <v>665.77</v>
      </c>
      <c r="E462" s="1">
        <f>Tabela9[[#This Row],[Força (N)]]/$I$5</f>
        <v>15710422.487351809</v>
      </c>
      <c r="F462" s="1">
        <f>Tabela9[[#This Row],[Tensão (Pa)]]/1000000</f>
        <v>15.710422487351808</v>
      </c>
    </row>
    <row r="463" spans="1:6" x14ac:dyDescent="0.3">
      <c r="A463" s="5">
        <v>33.317</v>
      </c>
      <c r="B463" s="5">
        <v>2.7684000000000002</v>
      </c>
      <c r="C463" s="1">
        <f>Tabela9[[#This Row],[Alongamento (mm/mm)]]/$I$2</f>
        <v>5.5368000000000001E-2</v>
      </c>
      <c r="D463" s="5">
        <v>671.21</v>
      </c>
      <c r="E463" s="1">
        <f>Tabela9[[#This Row],[Força (N)]]/$I$5</f>
        <v>15838792.19210149</v>
      </c>
      <c r="F463" s="1">
        <f>Tabela9[[#This Row],[Tensão (Pa)]]/1000000</f>
        <v>15.83879219210149</v>
      </c>
    </row>
    <row r="464" spans="1:6" x14ac:dyDescent="0.3">
      <c r="A464" s="5">
        <v>33.450000000000003</v>
      </c>
      <c r="B464" s="5">
        <v>2.7795000000000001</v>
      </c>
      <c r="C464" s="1">
        <f>Tabela9[[#This Row],[Alongamento (mm/mm)]]/$I$2</f>
        <v>5.5590000000000001E-2</v>
      </c>
      <c r="D464" s="5">
        <v>676.82</v>
      </c>
      <c r="E464" s="1">
        <f>Tabela9[[#This Row],[Força (N)]]/$I$5</f>
        <v>15971173.450124595</v>
      </c>
      <c r="F464" s="1">
        <f>Tabela9[[#This Row],[Tensão (Pa)]]/1000000</f>
        <v>15.971173450124596</v>
      </c>
    </row>
    <row r="465" spans="1:6" x14ac:dyDescent="0.3">
      <c r="A465" s="5">
        <v>33.582999999999998</v>
      </c>
      <c r="B465" s="5">
        <v>2.7906</v>
      </c>
      <c r="C465" s="1">
        <f>Tabela9[[#This Row],[Alongamento (mm/mm)]]/$I$2</f>
        <v>5.5812E-2</v>
      </c>
      <c r="D465" s="5">
        <v>682.27</v>
      </c>
      <c r="E465" s="1">
        <f>Tabela9[[#This Row],[Força (N)]]/$I$5</f>
        <v>16099779.128596239</v>
      </c>
      <c r="F465" s="1">
        <f>Tabela9[[#This Row],[Tensão (Pa)]]/1000000</f>
        <v>16.099779128596239</v>
      </c>
    </row>
    <row r="466" spans="1:6" x14ac:dyDescent="0.3">
      <c r="A466" s="5">
        <v>33.716999999999999</v>
      </c>
      <c r="B466" s="5">
        <v>2.8018000000000001</v>
      </c>
      <c r="C466" s="1">
        <f>Tabela9[[#This Row],[Alongamento (mm/mm)]]/$I$2</f>
        <v>5.6036000000000002E-2</v>
      </c>
      <c r="D466" s="5">
        <v>687.54</v>
      </c>
      <c r="E466" s="1">
        <f>Tabela9[[#This Row],[Força (N)]]/$I$5</f>
        <v>16224137.28007249</v>
      </c>
      <c r="F466" s="1">
        <f>Tabela9[[#This Row],[Tensão (Pa)]]/1000000</f>
        <v>16.22413728007249</v>
      </c>
    </row>
    <row r="467" spans="1:6" x14ac:dyDescent="0.3">
      <c r="A467" s="5">
        <v>33.85</v>
      </c>
      <c r="B467" s="5">
        <v>2.8129</v>
      </c>
      <c r="C467" s="1">
        <f>Tabela9[[#This Row],[Alongamento (mm/mm)]]/$I$2</f>
        <v>5.6258000000000002E-2</v>
      </c>
      <c r="D467" s="5">
        <v>692.81</v>
      </c>
      <c r="E467" s="1">
        <f>Tabela9[[#This Row],[Força (N)]]/$I$5</f>
        <v>16348495.431548743</v>
      </c>
      <c r="F467" s="1">
        <f>Tabela9[[#This Row],[Tensão (Pa)]]/1000000</f>
        <v>16.348495431548741</v>
      </c>
    </row>
    <row r="468" spans="1:6" x14ac:dyDescent="0.3">
      <c r="A468" s="5">
        <v>33.982999999999997</v>
      </c>
      <c r="B468" s="5">
        <v>2.8239000000000001</v>
      </c>
      <c r="C468" s="1">
        <f>Tabela9[[#This Row],[Alongamento (mm/mm)]]/$I$2</f>
        <v>5.6478E-2</v>
      </c>
      <c r="D468" s="5">
        <v>698.26</v>
      </c>
      <c r="E468" s="1">
        <f>Tabela9[[#This Row],[Força (N)]]/$I$5</f>
        <v>16477101.110020388</v>
      </c>
      <c r="F468" s="1">
        <f>Tabela9[[#This Row],[Tensão (Pa)]]/1000000</f>
        <v>16.477101110020389</v>
      </c>
    </row>
    <row r="469" spans="1:6" x14ac:dyDescent="0.3">
      <c r="A469" s="5">
        <v>34.116999999999997</v>
      </c>
      <c r="B469" s="5">
        <v>2.8351000000000002</v>
      </c>
      <c r="C469" s="1">
        <f>Tabela9[[#This Row],[Alongamento (mm/mm)]]/$I$2</f>
        <v>5.6702000000000002E-2</v>
      </c>
      <c r="D469" s="5">
        <v>703.87</v>
      </c>
      <c r="E469" s="1">
        <f>Tabela9[[#This Row],[Força (N)]]/$I$5</f>
        <v>16609482.368043495</v>
      </c>
      <c r="F469" s="1">
        <f>Tabela9[[#This Row],[Tensão (Pa)]]/1000000</f>
        <v>16.609482368043494</v>
      </c>
    </row>
    <row r="470" spans="1:6" x14ac:dyDescent="0.3">
      <c r="A470" s="5">
        <v>34.25</v>
      </c>
      <c r="B470" s="5">
        <v>2.8462000000000001</v>
      </c>
      <c r="C470" s="1">
        <f>Tabela9[[#This Row],[Alongamento (mm/mm)]]/$I$2</f>
        <v>5.6924000000000002E-2</v>
      </c>
      <c r="D470" s="5">
        <v>709.31</v>
      </c>
      <c r="E470" s="1">
        <f>Tabela9[[#This Row],[Força (N)]]/$I$5</f>
        <v>16737852.072793173</v>
      </c>
      <c r="F470" s="1">
        <f>Tabela9[[#This Row],[Tensão (Pa)]]/1000000</f>
        <v>16.737852072793174</v>
      </c>
    </row>
    <row r="471" spans="1:6" x14ac:dyDescent="0.3">
      <c r="A471" s="5">
        <v>34.383000000000003</v>
      </c>
      <c r="B471" s="5">
        <v>2.8573</v>
      </c>
      <c r="C471" s="1">
        <f>Tabela9[[#This Row],[Alongamento (mm/mm)]]/$I$2</f>
        <v>5.7146000000000002E-2</v>
      </c>
      <c r="D471" s="5">
        <v>714.76</v>
      </c>
      <c r="E471" s="1">
        <f>Tabela9[[#This Row],[Força (N)]]/$I$5</f>
        <v>16866457.751264818</v>
      </c>
      <c r="F471" s="1">
        <f>Tabela9[[#This Row],[Tensão (Pa)]]/1000000</f>
        <v>16.866457751264818</v>
      </c>
    </row>
    <row r="472" spans="1:6" x14ac:dyDescent="0.3">
      <c r="A472" s="5">
        <v>34.517000000000003</v>
      </c>
      <c r="B472" s="5">
        <v>2.8683999999999998</v>
      </c>
      <c r="C472" s="1">
        <f>Tabela9[[#This Row],[Alongamento (mm/mm)]]/$I$2</f>
        <v>5.7367999999999995E-2</v>
      </c>
      <c r="D472" s="5">
        <v>720.37</v>
      </c>
      <c r="E472" s="1">
        <f>Tabela9[[#This Row],[Força (N)]]/$I$5</f>
        <v>16998839.009287927</v>
      </c>
      <c r="F472" s="1">
        <f>Tabela9[[#This Row],[Tensão (Pa)]]/1000000</f>
        <v>16.998839009287927</v>
      </c>
    </row>
    <row r="473" spans="1:6" x14ac:dyDescent="0.3">
      <c r="A473" s="5">
        <v>34.65</v>
      </c>
      <c r="B473" s="5">
        <v>2.8795000000000002</v>
      </c>
      <c r="C473" s="1">
        <f>Tabela9[[#This Row],[Alongamento (mm/mm)]]/$I$2</f>
        <v>5.7590000000000002E-2</v>
      </c>
      <c r="D473" s="5">
        <v>725.81</v>
      </c>
      <c r="E473" s="1">
        <f>Tabela9[[#This Row],[Força (N)]]/$I$5</f>
        <v>17127208.714037605</v>
      </c>
      <c r="F473" s="1">
        <f>Tabela9[[#This Row],[Tensão (Pa)]]/1000000</f>
        <v>17.127208714037604</v>
      </c>
    </row>
    <row r="474" spans="1:6" x14ac:dyDescent="0.3">
      <c r="A474" s="5">
        <v>34.783000000000001</v>
      </c>
      <c r="B474" s="5">
        <v>2.8906999999999998</v>
      </c>
      <c r="C474" s="1">
        <f>Tabela9[[#This Row],[Alongamento (mm/mm)]]/$I$2</f>
        <v>5.7813999999999997E-2</v>
      </c>
      <c r="D474" s="5">
        <v>731.25</v>
      </c>
      <c r="E474" s="1">
        <f>Tabela9[[#This Row],[Força (N)]]/$I$5</f>
        <v>17255578.418787286</v>
      </c>
      <c r="F474" s="1">
        <f>Tabela9[[#This Row],[Tensão (Pa)]]/1000000</f>
        <v>17.255578418787287</v>
      </c>
    </row>
    <row r="475" spans="1:6" x14ac:dyDescent="0.3">
      <c r="A475" s="5">
        <v>34.917000000000002</v>
      </c>
      <c r="B475" s="5">
        <v>2.9016999999999999</v>
      </c>
      <c r="C475" s="1">
        <f>Tabela9[[#This Row],[Alongamento (mm/mm)]]/$I$2</f>
        <v>5.8034000000000002E-2</v>
      </c>
      <c r="D475" s="5">
        <v>736.7</v>
      </c>
      <c r="E475" s="1">
        <f>Tabela9[[#This Row],[Força (N)]]/$I$5</f>
        <v>17384184.097258929</v>
      </c>
      <c r="F475" s="1">
        <f>Tabela9[[#This Row],[Tensão (Pa)]]/1000000</f>
        <v>17.384184097258927</v>
      </c>
    </row>
    <row r="476" spans="1:6" x14ac:dyDescent="0.3">
      <c r="A476" s="5">
        <v>35.049999999999997</v>
      </c>
      <c r="B476" s="5">
        <v>2.9129</v>
      </c>
      <c r="C476" s="1">
        <f>Tabela9[[#This Row],[Alongamento (mm/mm)]]/$I$2</f>
        <v>5.8258000000000004E-2</v>
      </c>
      <c r="D476" s="5">
        <v>742.14</v>
      </c>
      <c r="E476" s="1">
        <f>Tabela9[[#This Row],[Força (N)]]/$I$5</f>
        <v>17512553.80200861</v>
      </c>
      <c r="F476" s="1">
        <f>Tabela9[[#This Row],[Tensão (Pa)]]/1000000</f>
        <v>17.512553802008611</v>
      </c>
    </row>
    <row r="477" spans="1:6" x14ac:dyDescent="0.3">
      <c r="A477" s="5">
        <v>35.200000000000003</v>
      </c>
      <c r="B477" s="5">
        <v>2.9253999999999998</v>
      </c>
      <c r="C477" s="1">
        <f>Tabela9[[#This Row],[Alongamento (mm/mm)]]/$I$2</f>
        <v>5.8507999999999998E-2</v>
      </c>
      <c r="D477" s="5">
        <v>748.26</v>
      </c>
      <c r="E477" s="1">
        <f>Tabela9[[#This Row],[Força (N)]]/$I$5</f>
        <v>17656969.719851997</v>
      </c>
      <c r="F477" s="1">
        <f>Tabela9[[#This Row],[Tensão (Pa)]]/1000000</f>
        <v>17.656969719851997</v>
      </c>
    </row>
    <row r="478" spans="1:6" x14ac:dyDescent="0.3">
      <c r="A478" s="5">
        <v>35.35</v>
      </c>
      <c r="B478" s="5">
        <v>2.9378000000000002</v>
      </c>
      <c r="C478" s="1">
        <f>Tabela9[[#This Row],[Alongamento (mm/mm)]]/$I$2</f>
        <v>5.8756000000000003E-2</v>
      </c>
      <c r="D478" s="5">
        <v>754.56</v>
      </c>
      <c r="E478" s="1">
        <f>Tabela9[[#This Row],[Força (N)]]/$I$5</f>
        <v>17805633.164690778</v>
      </c>
      <c r="F478" s="1">
        <f>Tabela9[[#This Row],[Tensão (Pa)]]/1000000</f>
        <v>17.805633164690779</v>
      </c>
    </row>
    <row r="479" spans="1:6" x14ac:dyDescent="0.3">
      <c r="A479" s="5">
        <v>35.5</v>
      </c>
      <c r="B479" s="5">
        <v>2.9504000000000001</v>
      </c>
      <c r="C479" s="1">
        <f>Tabela9[[#This Row],[Alongamento (mm/mm)]]/$I$2</f>
        <v>5.9008000000000005E-2</v>
      </c>
      <c r="D479" s="5">
        <v>760.68</v>
      </c>
      <c r="E479" s="1">
        <f>Tabela9[[#This Row],[Força (N)]]/$I$5</f>
        <v>17950049.082534168</v>
      </c>
      <c r="F479" s="1">
        <f>Tabela9[[#This Row],[Tensão (Pa)]]/1000000</f>
        <v>17.950049082534168</v>
      </c>
    </row>
    <row r="480" spans="1:6" x14ac:dyDescent="0.3">
      <c r="A480" s="5">
        <v>35.65</v>
      </c>
      <c r="B480" s="5">
        <v>2.9628000000000001</v>
      </c>
      <c r="C480" s="1">
        <f>Tabela9[[#This Row],[Alongamento (mm/mm)]]/$I$2</f>
        <v>5.9256000000000003E-2</v>
      </c>
      <c r="D480" s="5">
        <v>766.98</v>
      </c>
      <c r="E480" s="1">
        <f>Tabela9[[#This Row],[Força (N)]]/$I$5</f>
        <v>18098712.527372953</v>
      </c>
      <c r="F480" s="1">
        <f>Tabela9[[#This Row],[Tensão (Pa)]]/1000000</f>
        <v>18.098712527372953</v>
      </c>
    </row>
    <row r="481" spans="1:6" x14ac:dyDescent="0.3">
      <c r="A481" s="5">
        <v>35.799999999999997</v>
      </c>
      <c r="B481" s="5">
        <v>2.9754</v>
      </c>
      <c r="C481" s="1">
        <f>Tabela9[[#This Row],[Alongamento (mm/mm)]]/$I$2</f>
        <v>5.9507999999999998E-2</v>
      </c>
      <c r="D481" s="5">
        <v>773.1</v>
      </c>
      <c r="E481" s="1">
        <f>Tabela9[[#This Row],[Força (N)]]/$I$5</f>
        <v>18243128.445216343</v>
      </c>
      <c r="F481" s="1">
        <f>Tabela9[[#This Row],[Tensão (Pa)]]/1000000</f>
        <v>18.243128445216342</v>
      </c>
    </row>
    <row r="482" spans="1:6" x14ac:dyDescent="0.3">
      <c r="A482" s="5">
        <v>35.950000000000003</v>
      </c>
      <c r="B482" s="5">
        <v>2.9878999999999998</v>
      </c>
      <c r="C482" s="1">
        <f>Tabela9[[#This Row],[Alongamento (mm/mm)]]/$I$2</f>
        <v>5.9757999999999999E-2</v>
      </c>
      <c r="D482" s="5">
        <v>779.39</v>
      </c>
      <c r="E482" s="1">
        <f>Tabela9[[#This Row],[Força (N)]]/$I$5</f>
        <v>18391555.916333158</v>
      </c>
      <c r="F482" s="1">
        <f>Tabela9[[#This Row],[Tensão (Pa)]]/1000000</f>
        <v>18.391555916333157</v>
      </c>
    </row>
    <row r="483" spans="1:6" x14ac:dyDescent="0.3">
      <c r="A483" s="5">
        <v>36.1</v>
      </c>
      <c r="B483" s="5">
        <v>3.0004</v>
      </c>
      <c r="C483" s="1">
        <f>Tabela9[[#This Row],[Alongamento (mm/mm)]]/$I$2</f>
        <v>6.0007999999999999E-2</v>
      </c>
      <c r="D483" s="5">
        <v>785.52</v>
      </c>
      <c r="E483" s="1">
        <f>Tabela9[[#This Row],[Força (N)]]/$I$5</f>
        <v>18536207.807898514</v>
      </c>
      <c r="F483" s="1">
        <f>Tabela9[[#This Row],[Tensão (Pa)]]/1000000</f>
        <v>18.536207807898514</v>
      </c>
    </row>
    <row r="484" spans="1:6" x14ac:dyDescent="0.3">
      <c r="A484" s="5">
        <v>36.25</v>
      </c>
      <c r="B484" s="5">
        <v>3.0129000000000001</v>
      </c>
      <c r="C484" s="1">
        <f>Tabela9[[#This Row],[Alongamento (mm/mm)]]/$I$2</f>
        <v>6.0258000000000006E-2</v>
      </c>
      <c r="D484" s="5">
        <v>791.64</v>
      </c>
      <c r="E484" s="1">
        <f>Tabela9[[#This Row],[Força (N)]]/$I$5</f>
        <v>18680623.725741901</v>
      </c>
      <c r="F484" s="1">
        <f>Tabela9[[#This Row],[Tensão (Pa)]]/1000000</f>
        <v>18.680623725741899</v>
      </c>
    </row>
    <row r="485" spans="1:6" x14ac:dyDescent="0.3">
      <c r="A485" s="5">
        <v>36.4</v>
      </c>
      <c r="B485" s="5">
        <v>3.0253000000000001</v>
      </c>
      <c r="C485" s="1">
        <f>Tabela9[[#This Row],[Alongamento (mm/mm)]]/$I$2</f>
        <v>6.0506000000000004E-2</v>
      </c>
      <c r="D485" s="5">
        <v>797.93</v>
      </c>
      <c r="E485" s="1">
        <f>Tabela9[[#This Row],[Força (N)]]/$I$5</f>
        <v>18829051.196858715</v>
      </c>
      <c r="F485" s="1">
        <f>Tabela9[[#This Row],[Tensão (Pa)]]/1000000</f>
        <v>18.829051196858714</v>
      </c>
    </row>
    <row r="486" spans="1:6" x14ac:dyDescent="0.3">
      <c r="A486" s="5">
        <v>36.549999999999997</v>
      </c>
      <c r="B486" s="5">
        <v>3.0379</v>
      </c>
      <c r="C486" s="1">
        <f>Tabela9[[#This Row],[Alongamento (mm/mm)]]/$I$2</f>
        <v>6.0758E-2</v>
      </c>
      <c r="D486" s="5">
        <v>804.06</v>
      </c>
      <c r="E486" s="1">
        <f>Tabela9[[#This Row],[Força (N)]]/$I$5</f>
        <v>18973703.088424072</v>
      </c>
      <c r="F486" s="1">
        <f>Tabela9[[#This Row],[Tensão (Pa)]]/1000000</f>
        <v>18.97370308842407</v>
      </c>
    </row>
    <row r="487" spans="1:6" x14ac:dyDescent="0.3">
      <c r="A487" s="5">
        <v>36.700000000000003</v>
      </c>
      <c r="B487" s="5">
        <v>3.0503</v>
      </c>
      <c r="C487" s="1">
        <f>Tabela9[[#This Row],[Alongamento (mm/mm)]]/$I$2</f>
        <v>6.1005999999999998E-2</v>
      </c>
      <c r="D487" s="5">
        <v>810.35</v>
      </c>
      <c r="E487" s="1">
        <f>Tabela9[[#This Row],[Força (N)]]/$I$5</f>
        <v>19122130.55954089</v>
      </c>
      <c r="F487" s="1">
        <f>Tabela9[[#This Row],[Tensão (Pa)]]/1000000</f>
        <v>19.122130559540889</v>
      </c>
    </row>
    <row r="488" spans="1:6" x14ac:dyDescent="0.3">
      <c r="A488" s="5">
        <v>36.85</v>
      </c>
      <c r="B488" s="5">
        <v>3.0629</v>
      </c>
      <c r="C488" s="1">
        <f>Tabela9[[#This Row],[Alongamento (mm/mm)]]/$I$2</f>
        <v>6.1258E-2</v>
      </c>
      <c r="D488" s="5">
        <v>816.64</v>
      </c>
      <c r="E488" s="1">
        <f>Tabela9[[#This Row],[Força (N)]]/$I$5</f>
        <v>19270558.030657705</v>
      </c>
      <c r="F488" s="1">
        <f>Tabela9[[#This Row],[Tensão (Pa)]]/1000000</f>
        <v>19.270558030657703</v>
      </c>
    </row>
    <row r="489" spans="1:6" x14ac:dyDescent="0.3">
      <c r="A489" s="5">
        <v>37</v>
      </c>
      <c r="B489" s="5">
        <v>3.0754999999999999</v>
      </c>
      <c r="C489" s="1">
        <f>Tabela9[[#This Row],[Alongamento (mm/mm)]]/$I$2</f>
        <v>6.1509999999999995E-2</v>
      </c>
      <c r="D489" s="5">
        <v>822.77</v>
      </c>
      <c r="E489" s="1">
        <f>Tabela9[[#This Row],[Força (N)]]/$I$5</f>
        <v>19415209.922223061</v>
      </c>
      <c r="F489" s="1">
        <f>Tabela9[[#This Row],[Tensão (Pa)]]/1000000</f>
        <v>19.41520992222306</v>
      </c>
    </row>
    <row r="490" spans="1:6" x14ac:dyDescent="0.3">
      <c r="A490" s="5">
        <v>37.15</v>
      </c>
      <c r="B490" s="5">
        <v>3.0878999999999999</v>
      </c>
      <c r="C490" s="1">
        <f>Tabela9[[#This Row],[Alongamento (mm/mm)]]/$I$2</f>
        <v>6.1758E-2</v>
      </c>
      <c r="D490" s="5">
        <v>829.06</v>
      </c>
      <c r="E490" s="1">
        <f>Tabela9[[#This Row],[Força (N)]]/$I$5</f>
        <v>19563637.393339876</v>
      </c>
      <c r="F490" s="1">
        <f>Tabela9[[#This Row],[Tensão (Pa)]]/1000000</f>
        <v>19.563637393339874</v>
      </c>
    </row>
    <row r="491" spans="1:6" x14ac:dyDescent="0.3">
      <c r="A491" s="5">
        <v>37.317</v>
      </c>
      <c r="B491" s="5">
        <v>3.1017000000000001</v>
      </c>
      <c r="C491" s="1">
        <f>Tabela9[[#This Row],[Alongamento (mm/mm)]]/$I$2</f>
        <v>6.2034000000000006E-2</v>
      </c>
      <c r="D491" s="5">
        <v>835.87</v>
      </c>
      <c r="E491" s="1">
        <f>Tabela9[[#This Row],[Força (N)]]/$I$5</f>
        <v>19724335.497998942</v>
      </c>
      <c r="F491" s="1">
        <f>Tabela9[[#This Row],[Tensão (Pa)]]/1000000</f>
        <v>19.724335497998943</v>
      </c>
    </row>
    <row r="492" spans="1:6" x14ac:dyDescent="0.3">
      <c r="A492" s="5">
        <v>37.482999999999997</v>
      </c>
      <c r="B492" s="5">
        <v>3.1156999999999999</v>
      </c>
      <c r="C492" s="1">
        <f>Tabela9[[#This Row],[Alongamento (mm/mm)]]/$I$2</f>
        <v>6.2314000000000001E-2</v>
      </c>
      <c r="D492" s="5">
        <v>842.67</v>
      </c>
      <c r="E492" s="1">
        <f>Tabela9[[#This Row],[Força (N)]]/$I$5</f>
        <v>19884797.628936041</v>
      </c>
      <c r="F492" s="1">
        <f>Tabela9[[#This Row],[Tensão (Pa)]]/1000000</f>
        <v>19.884797628936042</v>
      </c>
    </row>
    <row r="493" spans="1:6" x14ac:dyDescent="0.3">
      <c r="A493" s="5">
        <v>37.633000000000003</v>
      </c>
      <c r="B493" s="5">
        <v>3.1280999999999999</v>
      </c>
      <c r="C493" s="1">
        <f>Tabela9[[#This Row],[Alongamento (mm/mm)]]/$I$2</f>
        <v>6.2561999999999993E-2</v>
      </c>
      <c r="D493" s="5">
        <v>849.13</v>
      </c>
      <c r="E493" s="1">
        <f>Tabela9[[#This Row],[Força (N)]]/$I$5</f>
        <v>20037236.653326284</v>
      </c>
      <c r="F493" s="1">
        <f>Tabela9[[#This Row],[Tensão (Pa)]]/1000000</f>
        <v>20.037236653326286</v>
      </c>
    </row>
    <row r="494" spans="1:6" x14ac:dyDescent="0.3">
      <c r="A494" s="5">
        <v>37.799999999999997</v>
      </c>
      <c r="B494" s="5">
        <v>3.1419999999999999</v>
      </c>
      <c r="C494" s="1">
        <f>Tabela9[[#This Row],[Alongamento (mm/mm)]]/$I$2</f>
        <v>6.2839999999999993E-2</v>
      </c>
      <c r="D494" s="5">
        <v>856.11</v>
      </c>
      <c r="E494" s="1">
        <f>Tabela9[[#This Row],[Força (N)]]/$I$5</f>
        <v>20201946.311258778</v>
      </c>
      <c r="F494" s="1">
        <f>Tabela9[[#This Row],[Tensão (Pa)]]/1000000</f>
        <v>20.201946311258776</v>
      </c>
    </row>
    <row r="495" spans="1:6" x14ac:dyDescent="0.3">
      <c r="A495" s="5">
        <v>37.966999999999999</v>
      </c>
      <c r="B495" s="5">
        <v>3.1558999999999999</v>
      </c>
      <c r="C495" s="1">
        <f>Tabela9[[#This Row],[Alongamento (mm/mm)]]/$I$2</f>
        <v>6.3117999999999994E-2</v>
      </c>
      <c r="D495" s="5">
        <v>863.08</v>
      </c>
      <c r="E495" s="1">
        <f>Tabela9[[#This Row],[Força (N)]]/$I$5</f>
        <v>20366419.995469306</v>
      </c>
      <c r="F495" s="1">
        <f>Tabela9[[#This Row],[Tensão (Pa)]]/1000000</f>
        <v>20.366419995469304</v>
      </c>
    </row>
    <row r="496" spans="1:6" x14ac:dyDescent="0.3">
      <c r="A496" s="5">
        <v>38.133000000000003</v>
      </c>
      <c r="B496" s="5">
        <v>3.1697000000000002</v>
      </c>
      <c r="C496" s="1">
        <f>Tabela9[[#This Row],[Alongamento (mm/mm)]]/$I$2</f>
        <v>6.3394000000000006E-2</v>
      </c>
      <c r="D496" s="5">
        <v>870.06</v>
      </c>
      <c r="E496" s="1">
        <f>Tabela9[[#This Row],[Força (N)]]/$I$5</f>
        <v>20531129.653401796</v>
      </c>
      <c r="F496" s="1">
        <f>Tabela9[[#This Row],[Tensão (Pa)]]/1000000</f>
        <v>20.531129653401795</v>
      </c>
    </row>
    <row r="497" spans="1:6" x14ac:dyDescent="0.3">
      <c r="A497" s="5">
        <v>38.299999999999997</v>
      </c>
      <c r="B497" s="5">
        <v>3.1837</v>
      </c>
      <c r="C497" s="1">
        <f>Tabela9[[#This Row],[Alongamento (mm/mm)]]/$I$2</f>
        <v>6.3673999999999994E-2</v>
      </c>
      <c r="D497" s="5">
        <v>876.86</v>
      </c>
      <c r="E497" s="1">
        <f>Tabela9[[#This Row],[Força (N)]]/$I$5</f>
        <v>20691591.784338895</v>
      </c>
      <c r="F497" s="1">
        <f>Tabela9[[#This Row],[Tensão (Pa)]]/1000000</f>
        <v>20.691591784338897</v>
      </c>
    </row>
    <row r="498" spans="1:6" x14ac:dyDescent="0.3">
      <c r="A498" s="5">
        <v>38.466999999999999</v>
      </c>
      <c r="B498" s="5">
        <v>3.1977000000000002</v>
      </c>
      <c r="C498" s="1">
        <f>Tabela9[[#This Row],[Alongamento (mm/mm)]]/$I$2</f>
        <v>6.3954000000000011E-2</v>
      </c>
      <c r="D498" s="5">
        <v>883.83</v>
      </c>
      <c r="E498" s="1">
        <f>Tabela9[[#This Row],[Força (N)]]/$I$5</f>
        <v>20856065.468549423</v>
      </c>
      <c r="F498" s="1">
        <f>Tabela9[[#This Row],[Tensão (Pa)]]/1000000</f>
        <v>20.856065468549424</v>
      </c>
    </row>
    <row r="499" spans="1:6" x14ac:dyDescent="0.3">
      <c r="A499" s="5">
        <v>38.633000000000003</v>
      </c>
      <c r="B499" s="5">
        <v>3.2113999999999998</v>
      </c>
      <c r="C499" s="1">
        <f>Tabela9[[#This Row],[Alongamento (mm/mm)]]/$I$2</f>
        <v>6.4227999999999993E-2</v>
      </c>
      <c r="D499" s="5">
        <v>890.81</v>
      </c>
      <c r="E499" s="1">
        <f>Tabela9[[#This Row],[Força (N)]]/$I$5</f>
        <v>21020775.126481913</v>
      </c>
      <c r="F499" s="1">
        <f>Tabela9[[#This Row],[Tensão (Pa)]]/1000000</f>
        <v>21.020775126481912</v>
      </c>
    </row>
    <row r="500" spans="1:6" x14ac:dyDescent="0.3">
      <c r="A500" s="5">
        <v>38.799999999999997</v>
      </c>
      <c r="B500" s="5">
        <v>3.2254</v>
      </c>
      <c r="C500" s="1">
        <f>Tabela9[[#This Row],[Alongamento (mm/mm)]]/$I$2</f>
        <v>6.4507999999999996E-2</v>
      </c>
      <c r="D500" s="5">
        <v>897.78</v>
      </c>
      <c r="E500" s="1">
        <f>Tabela9[[#This Row],[Força (N)]]/$I$5</f>
        <v>21185248.810692441</v>
      </c>
      <c r="F500" s="1">
        <f>Tabela9[[#This Row],[Tensão (Pa)]]/1000000</f>
        <v>21.185248810692439</v>
      </c>
    </row>
    <row r="501" spans="1:6" x14ac:dyDescent="0.3">
      <c r="A501" s="5">
        <v>38.966999999999999</v>
      </c>
      <c r="B501" s="5">
        <v>3.2393000000000001</v>
      </c>
      <c r="C501" s="1">
        <f>Tabela9[[#This Row],[Alongamento (mm/mm)]]/$I$2</f>
        <v>6.4785999999999996E-2</v>
      </c>
      <c r="D501" s="5">
        <v>904.76</v>
      </c>
      <c r="E501" s="1">
        <f>Tabela9[[#This Row],[Força (N)]]/$I$5</f>
        <v>21349958.468624935</v>
      </c>
      <c r="F501" s="1">
        <f>Tabela9[[#This Row],[Tensão (Pa)]]/1000000</f>
        <v>21.349958468624934</v>
      </c>
    </row>
    <row r="502" spans="1:6" x14ac:dyDescent="0.3">
      <c r="A502" s="5">
        <v>39.133000000000003</v>
      </c>
      <c r="B502" s="5">
        <v>3.2530999999999999</v>
      </c>
      <c r="C502" s="1">
        <f>Tabela9[[#This Row],[Alongamento (mm/mm)]]/$I$2</f>
        <v>6.5061999999999995E-2</v>
      </c>
      <c r="D502" s="5">
        <v>911.9</v>
      </c>
      <c r="E502" s="1">
        <f>Tabela9[[#This Row],[Força (N)]]/$I$5</f>
        <v>21518443.706108887</v>
      </c>
      <c r="F502" s="1">
        <f>Tabela9[[#This Row],[Tensão (Pa)]]/1000000</f>
        <v>21.518443706108886</v>
      </c>
    </row>
    <row r="503" spans="1:6" x14ac:dyDescent="0.3">
      <c r="A503" s="5">
        <v>39.299999999999997</v>
      </c>
      <c r="B503" s="5">
        <v>3.2671000000000001</v>
      </c>
      <c r="C503" s="1">
        <f>Tabela9[[#This Row],[Alongamento (mm/mm)]]/$I$2</f>
        <v>6.5341999999999997E-2</v>
      </c>
      <c r="D503" s="5">
        <v>919.21</v>
      </c>
      <c r="E503" s="1">
        <f>Tabela9[[#This Row],[Força (N)]]/$I$5</f>
        <v>21690940.496866271</v>
      </c>
      <c r="F503" s="1">
        <f>Tabela9[[#This Row],[Tensão (Pa)]]/1000000</f>
        <v>21.690940496866272</v>
      </c>
    </row>
    <row r="504" spans="1:6" x14ac:dyDescent="0.3">
      <c r="A504" s="5">
        <v>39.466999999999999</v>
      </c>
      <c r="B504" s="5">
        <v>3.2808999999999999</v>
      </c>
      <c r="C504" s="1">
        <f>Tabela9[[#This Row],[Alongamento (mm/mm)]]/$I$2</f>
        <v>6.5617999999999996E-2</v>
      </c>
      <c r="D504" s="5">
        <v>926.36</v>
      </c>
      <c r="E504" s="1">
        <f>Tabela9[[#This Row],[Força (N)]]/$I$5</f>
        <v>21859661.708072189</v>
      </c>
      <c r="F504" s="1">
        <f>Tabela9[[#This Row],[Tensão (Pa)]]/1000000</f>
        <v>21.859661708072188</v>
      </c>
    </row>
    <row r="505" spans="1:6" x14ac:dyDescent="0.3">
      <c r="A505" s="5">
        <v>39.633000000000003</v>
      </c>
      <c r="B505" s="5">
        <v>3.2948</v>
      </c>
      <c r="C505" s="1">
        <f>Tabela9[[#This Row],[Alongamento (mm/mm)]]/$I$2</f>
        <v>6.5895999999999996E-2</v>
      </c>
      <c r="D505" s="5">
        <v>933.5</v>
      </c>
      <c r="E505" s="1">
        <f>Tabela9[[#This Row],[Força (N)]]/$I$5</f>
        <v>22028146.945556145</v>
      </c>
      <c r="F505" s="1">
        <f>Tabela9[[#This Row],[Tensão (Pa)]]/1000000</f>
        <v>22.028146945556145</v>
      </c>
    </row>
    <row r="506" spans="1:6" x14ac:dyDescent="0.3">
      <c r="A506" s="5">
        <v>39.799999999999997</v>
      </c>
      <c r="B506" s="5">
        <v>3.3087</v>
      </c>
      <c r="C506" s="1">
        <f>Tabela9[[#This Row],[Alongamento (mm/mm)]]/$I$2</f>
        <v>6.6173999999999997E-2</v>
      </c>
      <c r="D506" s="5">
        <v>940.65</v>
      </c>
      <c r="E506" s="1">
        <f>Tabela9[[#This Row],[Força (N)]]/$I$5</f>
        <v>22196868.156762064</v>
      </c>
      <c r="F506" s="1">
        <f>Tabela9[[#This Row],[Tensão (Pa)]]/1000000</f>
        <v>22.196868156762065</v>
      </c>
    </row>
    <row r="507" spans="1:6" x14ac:dyDescent="0.3">
      <c r="A507" s="5">
        <v>39.966999999999999</v>
      </c>
      <c r="B507" s="5">
        <v>3.3226</v>
      </c>
      <c r="C507" s="1">
        <f>Tabela9[[#This Row],[Alongamento (mm/mm)]]/$I$2</f>
        <v>6.6451999999999997E-2</v>
      </c>
      <c r="D507" s="5">
        <v>947.96</v>
      </c>
      <c r="E507" s="1">
        <f>Tabela9[[#This Row],[Força (N)]]/$I$5</f>
        <v>22369364.947519444</v>
      </c>
      <c r="F507" s="1">
        <f>Tabela9[[#This Row],[Tensão (Pa)]]/1000000</f>
        <v>22.369364947519443</v>
      </c>
    </row>
    <row r="508" spans="1:6" x14ac:dyDescent="0.3">
      <c r="A508" s="5">
        <v>40.133000000000003</v>
      </c>
      <c r="B508" s="5">
        <v>3.3365</v>
      </c>
      <c r="C508" s="1">
        <f>Tabela9[[#This Row],[Alongamento (mm/mm)]]/$I$2</f>
        <v>6.6729999999999998E-2</v>
      </c>
      <c r="D508" s="5">
        <v>955.27</v>
      </c>
      <c r="E508" s="1">
        <f>Tabela9[[#This Row],[Força (N)]]/$I$5</f>
        <v>22541861.738276824</v>
      </c>
      <c r="F508" s="1">
        <f>Tabela9[[#This Row],[Tensão (Pa)]]/1000000</f>
        <v>22.541861738276825</v>
      </c>
    </row>
    <row r="509" spans="1:6" x14ac:dyDescent="0.3">
      <c r="A509" s="5">
        <v>40.299999999999997</v>
      </c>
      <c r="B509" s="5">
        <v>3.3502999999999998</v>
      </c>
      <c r="C509" s="1">
        <f>Tabela9[[#This Row],[Alongamento (mm/mm)]]/$I$2</f>
        <v>6.7005999999999996E-2</v>
      </c>
      <c r="D509" s="5">
        <v>962.42</v>
      </c>
      <c r="E509" s="1">
        <f>Tabela9[[#This Row],[Força (N)]]/$I$5</f>
        <v>22710582.949482746</v>
      </c>
      <c r="F509" s="1">
        <f>Tabela9[[#This Row],[Tensão (Pa)]]/1000000</f>
        <v>22.710582949482745</v>
      </c>
    </row>
    <row r="510" spans="1:6" x14ac:dyDescent="0.3">
      <c r="A510" s="5">
        <v>40.482999999999997</v>
      </c>
      <c r="B510" s="5">
        <v>3.3656000000000001</v>
      </c>
      <c r="C510" s="1">
        <f>Tabela9[[#This Row],[Alongamento (mm/mm)]]/$I$2</f>
        <v>6.7311999999999997E-2</v>
      </c>
      <c r="D510" s="5">
        <v>970.41</v>
      </c>
      <c r="E510" s="1">
        <f>Tabela9[[#This Row],[Força (N)]]/$I$5</f>
        <v>22899125.953333836</v>
      </c>
      <c r="F510" s="1">
        <f>Tabela9[[#This Row],[Tensão (Pa)]]/1000000</f>
        <v>22.899125953333836</v>
      </c>
    </row>
    <row r="511" spans="1:6" x14ac:dyDescent="0.3">
      <c r="A511" s="5">
        <v>40.65</v>
      </c>
      <c r="B511" s="5">
        <v>3.3795999999999999</v>
      </c>
      <c r="C511" s="1">
        <f>Tabela9[[#This Row],[Alongamento (mm/mm)]]/$I$2</f>
        <v>6.7591999999999999E-2</v>
      </c>
      <c r="D511" s="5">
        <v>977.9</v>
      </c>
      <c r="E511" s="1">
        <f>Tabela9[[#This Row],[Força (N)]]/$I$5</f>
        <v>23075870.271086611</v>
      </c>
      <c r="F511" s="1">
        <f>Tabela9[[#This Row],[Tensão (Pa)]]/1000000</f>
        <v>23.075870271086611</v>
      </c>
    </row>
    <row r="512" spans="1:6" x14ac:dyDescent="0.3">
      <c r="A512" s="5">
        <v>40.832999999999998</v>
      </c>
      <c r="B512" s="5">
        <v>3.3948</v>
      </c>
      <c r="C512" s="1">
        <f>Tabela9[[#This Row],[Alongamento (mm/mm)]]/$I$2</f>
        <v>6.7895999999999998E-2</v>
      </c>
      <c r="D512" s="5">
        <v>986.06</v>
      </c>
      <c r="E512" s="1">
        <f>Tabela9[[#This Row],[Força (N)]]/$I$5</f>
        <v>23268424.828211129</v>
      </c>
      <c r="F512" s="1">
        <f>Tabela9[[#This Row],[Tensão (Pa)]]/1000000</f>
        <v>23.268424828211128</v>
      </c>
    </row>
    <row r="513" spans="1:6" x14ac:dyDescent="0.3">
      <c r="A513" s="5">
        <v>41</v>
      </c>
      <c r="B513" s="5">
        <v>3.4087000000000001</v>
      </c>
      <c r="C513" s="1">
        <f>Tabela9[[#This Row],[Alongamento (mm/mm)]]/$I$2</f>
        <v>6.8173999999999998E-2</v>
      </c>
      <c r="D513" s="5">
        <v>993.55</v>
      </c>
      <c r="E513" s="1">
        <f>Tabela9[[#This Row],[Força (N)]]/$I$5</f>
        <v>23445169.145963904</v>
      </c>
      <c r="F513" s="1">
        <f>Tabela9[[#This Row],[Tensão (Pa)]]/1000000</f>
        <v>23.445169145963902</v>
      </c>
    </row>
    <row r="514" spans="1:6" x14ac:dyDescent="0.3">
      <c r="A514" s="5">
        <v>41.167000000000002</v>
      </c>
      <c r="B514" s="5">
        <v>3.4226000000000001</v>
      </c>
      <c r="C514" s="1">
        <f>Tabela9[[#This Row],[Alongamento (mm/mm)]]/$I$2</f>
        <v>6.8451999999999999E-2</v>
      </c>
      <c r="D514" s="5">
        <v>1001</v>
      </c>
      <c r="E514" s="1">
        <f>Tabela9[[#This Row],[Força (N)]]/$I$5</f>
        <v>23620969.568828817</v>
      </c>
      <c r="F514" s="1">
        <f>Tabela9[[#This Row],[Tensão (Pa)]]/1000000</f>
        <v>23.620969568828816</v>
      </c>
    </row>
    <row r="515" spans="1:6" x14ac:dyDescent="0.3">
      <c r="A515" s="5">
        <v>41.332999999999998</v>
      </c>
      <c r="B515" s="5">
        <v>3.4365000000000001</v>
      </c>
      <c r="C515" s="1">
        <f>Tabela9[[#This Row],[Alongamento (mm/mm)]]/$I$2</f>
        <v>6.8729999999999999E-2</v>
      </c>
      <c r="D515" s="5">
        <v>1008.5</v>
      </c>
      <c r="E515" s="1">
        <f>Tabela9[[#This Row],[Força (N)]]/$I$5</f>
        <v>23797949.860303558</v>
      </c>
      <c r="F515" s="1">
        <f>Tabela9[[#This Row],[Tensão (Pa)]]/1000000</f>
        <v>23.797949860303557</v>
      </c>
    </row>
    <row r="516" spans="1:6" x14ac:dyDescent="0.3">
      <c r="A516" s="5">
        <v>41.517000000000003</v>
      </c>
      <c r="B516" s="5">
        <v>3.4518</v>
      </c>
      <c r="C516" s="1">
        <f>Tabela9[[#This Row],[Alongamento (mm/mm)]]/$I$2</f>
        <v>6.9036E-2</v>
      </c>
      <c r="D516" s="5">
        <v>1016.5</v>
      </c>
      <c r="E516" s="1">
        <f>Tabela9[[#This Row],[Força (N)]]/$I$5</f>
        <v>23986728.837876614</v>
      </c>
      <c r="F516" s="1">
        <f>Tabela9[[#This Row],[Tensão (Pa)]]/1000000</f>
        <v>23.986728837876615</v>
      </c>
    </row>
    <row r="517" spans="1:6" x14ac:dyDescent="0.3">
      <c r="A517" s="5">
        <v>41.7</v>
      </c>
      <c r="B517" s="5">
        <v>3.4670999999999998</v>
      </c>
      <c r="C517" s="1">
        <f>Tabela9[[#This Row],[Alongamento (mm/mm)]]/$I$2</f>
        <v>6.9342000000000001E-2</v>
      </c>
      <c r="D517" s="5">
        <v>1024.7</v>
      </c>
      <c r="E517" s="1">
        <f>Tabela9[[#This Row],[Força (N)]]/$I$5</f>
        <v>24180227.289889</v>
      </c>
      <c r="F517" s="1">
        <f>Tabela9[[#This Row],[Tensão (Pa)]]/1000000</f>
        <v>24.180227289889</v>
      </c>
    </row>
    <row r="518" spans="1:6" x14ac:dyDescent="0.3">
      <c r="A518" s="5">
        <v>41.883000000000003</v>
      </c>
      <c r="B518" s="5">
        <v>3.4823</v>
      </c>
      <c r="C518" s="1">
        <f>Tabela9[[#This Row],[Alongamento (mm/mm)]]/$I$2</f>
        <v>6.9646E-2</v>
      </c>
      <c r="D518" s="5">
        <v>1032.8</v>
      </c>
      <c r="E518" s="1">
        <f>Tabela9[[#This Row],[Força (N)]]/$I$5</f>
        <v>24371366.004681718</v>
      </c>
      <c r="F518" s="1">
        <f>Tabela9[[#This Row],[Tensão (Pa)]]/1000000</f>
        <v>24.371366004681718</v>
      </c>
    </row>
    <row r="519" spans="1:6" x14ac:dyDescent="0.3">
      <c r="A519" s="5">
        <v>42.067</v>
      </c>
      <c r="B519" s="5">
        <v>3.4975999999999998</v>
      </c>
      <c r="C519" s="1">
        <f>Tabela9[[#This Row],[Alongamento (mm/mm)]]/$I$2</f>
        <v>6.9952E-2</v>
      </c>
      <c r="D519" s="5">
        <v>1041</v>
      </c>
      <c r="E519" s="1">
        <f>Tabela9[[#This Row],[Força (N)]]/$I$5</f>
        <v>24564864.456694104</v>
      </c>
      <c r="F519" s="1">
        <f>Tabela9[[#This Row],[Tensão (Pa)]]/1000000</f>
        <v>24.564864456694103</v>
      </c>
    </row>
    <row r="520" spans="1:6" x14ac:dyDescent="0.3">
      <c r="A520" s="5">
        <v>42.25</v>
      </c>
      <c r="B520" s="5">
        <v>3.5127999999999999</v>
      </c>
      <c r="C520" s="1">
        <f>Tabela9[[#This Row],[Alongamento (mm/mm)]]/$I$2</f>
        <v>7.0255999999999999E-2</v>
      </c>
      <c r="D520" s="5">
        <v>1049.2</v>
      </c>
      <c r="E520" s="1">
        <f>Tabela9[[#This Row],[Força (N)]]/$I$5</f>
        <v>24758362.90870649</v>
      </c>
      <c r="F520" s="1">
        <f>Tabela9[[#This Row],[Tensão (Pa)]]/1000000</f>
        <v>24.758362908706491</v>
      </c>
    </row>
    <row r="521" spans="1:6" x14ac:dyDescent="0.3">
      <c r="A521" s="5">
        <v>42.433</v>
      </c>
      <c r="B521" s="5">
        <v>3.5280999999999998</v>
      </c>
      <c r="C521" s="1">
        <f>Tabela9[[#This Row],[Alongamento (mm/mm)]]/$I$2</f>
        <v>7.0562E-2</v>
      </c>
      <c r="D521" s="5">
        <v>1057.3</v>
      </c>
      <c r="E521" s="1">
        <f>Tabela9[[#This Row],[Força (N)]]/$I$5</f>
        <v>24949501.623499207</v>
      </c>
      <c r="F521" s="1">
        <f>Tabela9[[#This Row],[Tensão (Pa)]]/1000000</f>
        <v>24.949501623499206</v>
      </c>
    </row>
    <row r="522" spans="1:6" x14ac:dyDescent="0.3">
      <c r="A522" s="5">
        <v>42.633000000000003</v>
      </c>
      <c r="B522" s="5">
        <v>3.5449000000000002</v>
      </c>
      <c r="C522" s="1">
        <f>Tabela9[[#This Row],[Alongamento (mm/mm)]]/$I$2</f>
        <v>7.0898000000000003E-2</v>
      </c>
      <c r="D522" s="5">
        <v>1066.2</v>
      </c>
      <c r="E522" s="1">
        <f>Tabela9[[#This Row],[Força (N)]]/$I$5</f>
        <v>25159518.236049235</v>
      </c>
      <c r="F522" s="1">
        <f>Tabela9[[#This Row],[Tensão (Pa)]]/1000000</f>
        <v>25.159518236049234</v>
      </c>
    </row>
    <row r="523" spans="1:6" x14ac:dyDescent="0.3">
      <c r="A523" s="5">
        <v>42.832999999999998</v>
      </c>
      <c r="B523" s="5">
        <v>3.5615000000000001</v>
      </c>
      <c r="C523" s="1">
        <f>Tabela9[[#This Row],[Alongamento (mm/mm)]]/$I$2</f>
        <v>7.1230000000000002E-2</v>
      </c>
      <c r="D523" s="5">
        <v>1074.9000000000001</v>
      </c>
      <c r="E523" s="1">
        <f>Tabela9[[#This Row],[Força (N)]]/$I$5</f>
        <v>25364815.374159936</v>
      </c>
      <c r="F523" s="1">
        <f>Tabela9[[#This Row],[Tensão (Pa)]]/1000000</f>
        <v>25.364815374159935</v>
      </c>
    </row>
    <row r="524" spans="1:6" x14ac:dyDescent="0.3">
      <c r="A524" s="5">
        <v>43.033000000000001</v>
      </c>
      <c r="B524" s="5">
        <v>3.5781000000000001</v>
      </c>
      <c r="C524" s="1">
        <f>Tabela9[[#This Row],[Alongamento (mm/mm)]]/$I$2</f>
        <v>7.1562000000000001E-2</v>
      </c>
      <c r="D524" s="5">
        <v>1083.5</v>
      </c>
      <c r="E524" s="1">
        <f>Tabela9[[#This Row],[Força (N)]]/$I$5</f>
        <v>25567752.775050972</v>
      </c>
      <c r="F524" s="1">
        <f>Tabela9[[#This Row],[Tensão (Pa)]]/1000000</f>
        <v>25.567752775050973</v>
      </c>
    </row>
    <row r="525" spans="1:6" x14ac:dyDescent="0.3">
      <c r="A525" s="5">
        <v>43.232999999999997</v>
      </c>
      <c r="B525" s="5">
        <v>3.5948000000000002</v>
      </c>
      <c r="C525" s="1">
        <f>Tabela9[[#This Row],[Alongamento (mm/mm)]]/$I$2</f>
        <v>7.1896000000000002E-2</v>
      </c>
      <c r="D525" s="5">
        <v>1092</v>
      </c>
      <c r="E525" s="1">
        <f>Tabela9[[#This Row],[Força (N)]]/$I$5</f>
        <v>25768330.438722346</v>
      </c>
      <c r="F525" s="1">
        <f>Tabela9[[#This Row],[Tensão (Pa)]]/1000000</f>
        <v>25.768330438722344</v>
      </c>
    </row>
    <row r="526" spans="1:6" x14ac:dyDescent="0.3">
      <c r="A526" s="5">
        <v>43.433</v>
      </c>
      <c r="B526" s="5">
        <v>3.6114999999999999</v>
      </c>
      <c r="C526" s="1">
        <f>Tabela9[[#This Row],[Alongamento (mm/mm)]]/$I$2</f>
        <v>7.2230000000000003E-2</v>
      </c>
      <c r="D526" s="5">
        <v>1100.7</v>
      </c>
      <c r="E526" s="1">
        <f>Tabela9[[#This Row],[Força (N)]]/$I$5</f>
        <v>25973627.576833047</v>
      </c>
      <c r="F526" s="1">
        <f>Tabela9[[#This Row],[Tensão (Pa)]]/1000000</f>
        <v>25.973627576833046</v>
      </c>
    </row>
    <row r="527" spans="1:6" x14ac:dyDescent="0.3">
      <c r="A527" s="5">
        <v>43.633000000000003</v>
      </c>
      <c r="B527" s="5">
        <v>3.6280999999999999</v>
      </c>
      <c r="C527" s="1">
        <f>Tabela9[[#This Row],[Alongamento (mm/mm)]]/$I$2</f>
        <v>7.2562000000000001E-2</v>
      </c>
      <c r="D527" s="5">
        <v>1109.5999999999999</v>
      </c>
      <c r="E527" s="1">
        <f>Tabela9[[#This Row],[Força (N)]]/$I$5</f>
        <v>26183644.189383067</v>
      </c>
      <c r="F527" s="1">
        <f>Tabela9[[#This Row],[Tensão (Pa)]]/1000000</f>
        <v>26.183644189383067</v>
      </c>
    </row>
    <row r="528" spans="1:6" x14ac:dyDescent="0.3">
      <c r="A528" s="5">
        <v>43.832999999999998</v>
      </c>
      <c r="B528" s="5">
        <v>3.6448</v>
      </c>
      <c r="C528" s="1">
        <f>Tabela9[[#This Row],[Alongamento (mm/mm)]]/$I$2</f>
        <v>7.2896000000000002E-2</v>
      </c>
      <c r="D528" s="5">
        <v>1118.2</v>
      </c>
      <c r="E528" s="1">
        <f>Tabela9[[#This Row],[Força (N)]]/$I$5</f>
        <v>26386581.59027411</v>
      </c>
      <c r="F528" s="1">
        <f>Tabela9[[#This Row],[Tensão (Pa)]]/1000000</f>
        <v>26.386581590274112</v>
      </c>
    </row>
    <row r="529" spans="1:6" x14ac:dyDescent="0.3">
      <c r="A529" s="5">
        <v>44.033000000000001</v>
      </c>
      <c r="B529" s="5">
        <v>3.6615000000000002</v>
      </c>
      <c r="C529" s="1">
        <f>Tabela9[[#This Row],[Alongamento (mm/mm)]]/$I$2</f>
        <v>7.3230000000000003E-2</v>
      </c>
      <c r="D529" s="5">
        <v>1127.0999999999999</v>
      </c>
      <c r="E529" s="1">
        <f>Tabela9[[#This Row],[Força (N)]]/$I$5</f>
        <v>26596598.202824131</v>
      </c>
      <c r="F529" s="1">
        <f>Tabela9[[#This Row],[Tensão (Pa)]]/1000000</f>
        <v>26.596598202824129</v>
      </c>
    </row>
    <row r="530" spans="1:6" x14ac:dyDescent="0.3">
      <c r="A530" s="5">
        <v>44.232999999999997</v>
      </c>
      <c r="B530" s="5">
        <v>3.6781000000000001</v>
      </c>
      <c r="C530" s="1">
        <f>Tabela9[[#This Row],[Alongamento (mm/mm)]]/$I$2</f>
        <v>7.3562000000000002E-2</v>
      </c>
      <c r="D530" s="5">
        <v>1135.7</v>
      </c>
      <c r="E530" s="1">
        <f>Tabela9[[#This Row],[Força (N)]]/$I$5</f>
        <v>26799535.60371517</v>
      </c>
      <c r="F530" s="1">
        <f>Tabela9[[#This Row],[Tensão (Pa)]]/1000000</f>
        <v>26.799535603715171</v>
      </c>
    </row>
    <row r="531" spans="1:6" x14ac:dyDescent="0.3">
      <c r="A531" s="5">
        <v>44.45</v>
      </c>
      <c r="B531" s="5">
        <v>3.6962000000000002</v>
      </c>
      <c r="C531" s="1">
        <f>Tabela9[[#This Row],[Alongamento (mm/mm)]]/$I$2</f>
        <v>7.3924000000000004E-2</v>
      </c>
      <c r="D531" s="5">
        <v>1145.0999999999999</v>
      </c>
      <c r="E531" s="1">
        <f>Tabela9[[#This Row],[Força (N)]]/$I$5</f>
        <v>27021350.902363513</v>
      </c>
      <c r="F531" s="1">
        <f>Tabela9[[#This Row],[Tensão (Pa)]]/1000000</f>
        <v>27.021350902363512</v>
      </c>
    </row>
    <row r="532" spans="1:6" x14ac:dyDescent="0.3">
      <c r="A532" s="5">
        <v>44.65</v>
      </c>
      <c r="B532" s="5">
        <v>3.7128000000000001</v>
      </c>
      <c r="C532" s="1">
        <f>Tabela9[[#This Row],[Alongamento (mm/mm)]]/$I$2</f>
        <v>7.4256000000000003E-2</v>
      </c>
      <c r="D532" s="5">
        <v>1154</v>
      </c>
      <c r="E532" s="1">
        <f>Tabela9[[#This Row],[Força (N)]]/$I$5</f>
        <v>27231367.51491354</v>
      </c>
      <c r="F532" s="1">
        <f>Tabela9[[#This Row],[Tensão (Pa)]]/1000000</f>
        <v>27.23136751491354</v>
      </c>
    </row>
    <row r="533" spans="1:6" x14ac:dyDescent="0.3">
      <c r="A533" s="5">
        <v>44.866999999999997</v>
      </c>
      <c r="B533" s="5">
        <v>3.7309999999999999</v>
      </c>
      <c r="C533" s="1">
        <f>Tabela9[[#This Row],[Alongamento (mm/mm)]]/$I$2</f>
        <v>7.4619999999999992E-2</v>
      </c>
      <c r="D533" s="5">
        <v>1163.3</v>
      </c>
      <c r="E533" s="1">
        <f>Tabela9[[#This Row],[Força (N)]]/$I$5</f>
        <v>27450823.076342218</v>
      </c>
      <c r="F533" s="1">
        <f>Tabela9[[#This Row],[Tensão (Pa)]]/1000000</f>
        <v>27.450823076342218</v>
      </c>
    </row>
    <row r="534" spans="1:6" x14ac:dyDescent="0.3">
      <c r="A534" s="5">
        <v>45.067</v>
      </c>
      <c r="B534" s="5">
        <v>3.7475000000000001</v>
      </c>
      <c r="C534" s="1">
        <f>Tabela9[[#This Row],[Alongamento (mm/mm)]]/$I$2</f>
        <v>7.4950000000000003E-2</v>
      </c>
      <c r="D534" s="5">
        <v>1172.2</v>
      </c>
      <c r="E534" s="1">
        <f>Tabela9[[#This Row],[Força (N)]]/$I$5</f>
        <v>27660839.688892245</v>
      </c>
      <c r="F534" s="1">
        <f>Tabela9[[#This Row],[Tensão (Pa)]]/1000000</f>
        <v>27.660839688892246</v>
      </c>
    </row>
    <row r="535" spans="1:6" x14ac:dyDescent="0.3">
      <c r="A535" s="5">
        <v>45.267000000000003</v>
      </c>
      <c r="B535" s="5">
        <v>3.7642000000000002</v>
      </c>
      <c r="C535" s="1">
        <f>Tabela9[[#This Row],[Alongamento (mm/mm)]]/$I$2</f>
        <v>7.5284000000000004E-2</v>
      </c>
      <c r="D535" s="5">
        <v>1181</v>
      </c>
      <c r="E535" s="1">
        <f>Tabela9[[#This Row],[Força (N)]]/$I$5</f>
        <v>27868496.564222608</v>
      </c>
      <c r="F535" s="1">
        <f>Tabela9[[#This Row],[Tensão (Pa)]]/1000000</f>
        <v>27.868496564222607</v>
      </c>
    </row>
    <row r="536" spans="1:6" x14ac:dyDescent="0.3">
      <c r="A536" s="5">
        <v>45.482999999999997</v>
      </c>
      <c r="B536" s="5">
        <v>3.7823000000000002</v>
      </c>
      <c r="C536" s="1">
        <f>Tabela9[[#This Row],[Alongamento (mm/mm)]]/$I$2</f>
        <v>7.5646000000000005E-2</v>
      </c>
      <c r="D536" s="5">
        <v>1190.9000000000001</v>
      </c>
      <c r="E536" s="1">
        <f>Tabela9[[#This Row],[Força (N)]]/$I$5</f>
        <v>28102110.548969269</v>
      </c>
      <c r="F536" s="1">
        <f>Tabela9[[#This Row],[Tensão (Pa)]]/1000000</f>
        <v>28.102110548969268</v>
      </c>
    </row>
    <row r="537" spans="1:6" x14ac:dyDescent="0.3">
      <c r="A537" s="5">
        <v>45.7</v>
      </c>
      <c r="B537" s="5">
        <v>3.8003</v>
      </c>
      <c r="C537" s="1">
        <f>Tabela9[[#This Row],[Alongamento (mm/mm)]]/$I$2</f>
        <v>7.6006000000000004E-2</v>
      </c>
      <c r="D537" s="5">
        <v>1200.7</v>
      </c>
      <c r="E537" s="1">
        <f>Tabela9[[#This Row],[Força (N)]]/$I$5</f>
        <v>28333364.796496265</v>
      </c>
      <c r="F537" s="1">
        <f>Tabela9[[#This Row],[Tensão (Pa)]]/1000000</f>
        <v>28.333364796496266</v>
      </c>
    </row>
    <row r="538" spans="1:6" x14ac:dyDescent="0.3">
      <c r="A538" s="5">
        <v>45.917000000000002</v>
      </c>
      <c r="B538" s="5">
        <v>3.8184</v>
      </c>
      <c r="C538" s="1">
        <f>Tabela9[[#This Row],[Alongamento (mm/mm)]]/$I$2</f>
        <v>7.6368000000000005E-2</v>
      </c>
      <c r="D538" s="5">
        <v>1210.4000000000001</v>
      </c>
      <c r="E538" s="1">
        <f>Tabela9[[#This Row],[Força (N)]]/$I$5</f>
        <v>28562259.306803599</v>
      </c>
      <c r="F538" s="1">
        <f>Tabela9[[#This Row],[Tensão (Pa)]]/1000000</f>
        <v>28.5622593068036</v>
      </c>
    </row>
    <row r="539" spans="1:6" x14ac:dyDescent="0.3">
      <c r="A539" s="5">
        <v>46.133000000000003</v>
      </c>
      <c r="B539" s="5">
        <v>3.8363999999999998</v>
      </c>
      <c r="C539" s="1">
        <f>Tabela9[[#This Row],[Alongamento (mm/mm)]]/$I$2</f>
        <v>7.6727999999999991E-2</v>
      </c>
      <c r="D539" s="5">
        <v>1220.3</v>
      </c>
      <c r="E539" s="1">
        <f>Tabela9[[#This Row],[Força (N)]]/$I$5</f>
        <v>28795873.291550253</v>
      </c>
      <c r="F539" s="1">
        <f>Tabela9[[#This Row],[Tensão (Pa)]]/1000000</f>
        <v>28.795873291550251</v>
      </c>
    </row>
    <row r="540" spans="1:6" x14ac:dyDescent="0.3">
      <c r="A540" s="5">
        <v>46.35</v>
      </c>
      <c r="B540" s="5">
        <v>3.8546</v>
      </c>
      <c r="C540" s="1">
        <f>Tabela9[[#This Row],[Alongamento (mm/mm)]]/$I$2</f>
        <v>7.7091999999999994E-2</v>
      </c>
      <c r="D540" s="5">
        <v>1230.3</v>
      </c>
      <c r="E540" s="1">
        <f>Tabela9[[#This Row],[Força (N)]]/$I$5</f>
        <v>29031847.013516575</v>
      </c>
      <c r="F540" s="1">
        <f>Tabela9[[#This Row],[Tensão (Pa)]]/1000000</f>
        <v>29.031847013516575</v>
      </c>
    </row>
    <row r="541" spans="1:6" x14ac:dyDescent="0.3">
      <c r="A541" s="5">
        <v>46.567</v>
      </c>
      <c r="B541" s="5">
        <v>3.8725999999999998</v>
      </c>
      <c r="C541" s="1">
        <f>Tabela9[[#This Row],[Alongamento (mm/mm)]]/$I$2</f>
        <v>7.7451999999999993E-2</v>
      </c>
      <c r="D541" s="5">
        <v>1240.4000000000001</v>
      </c>
      <c r="E541" s="1">
        <f>Tabela9[[#This Row],[Força (N)]]/$I$5</f>
        <v>29270180.472702563</v>
      </c>
      <c r="F541" s="1">
        <f>Tabela9[[#This Row],[Tensão (Pa)]]/1000000</f>
        <v>29.270180472702563</v>
      </c>
    </row>
    <row r="542" spans="1:6" x14ac:dyDescent="0.3">
      <c r="A542" s="5">
        <v>46.767000000000003</v>
      </c>
      <c r="B542" s="5">
        <v>3.8893</v>
      </c>
      <c r="C542" s="1">
        <f>Tabela9[[#This Row],[Alongamento (mm/mm)]]/$I$2</f>
        <v>7.7785999999999994E-2</v>
      </c>
      <c r="D542" s="5">
        <v>1249.9000000000001</v>
      </c>
      <c r="E542" s="1">
        <f>Tabela9[[#This Row],[Força (N)]]/$I$5</f>
        <v>29494355.508570567</v>
      </c>
      <c r="F542" s="1">
        <f>Tabela9[[#This Row],[Tensão (Pa)]]/1000000</f>
        <v>29.494355508570568</v>
      </c>
    </row>
    <row r="543" spans="1:6" x14ac:dyDescent="0.3">
      <c r="A543" s="5">
        <v>46.982999999999997</v>
      </c>
      <c r="B543" s="5">
        <v>3.9073000000000002</v>
      </c>
      <c r="C543" s="1">
        <f>Tabela9[[#This Row],[Alongamento (mm/mm)]]/$I$2</f>
        <v>7.8146000000000007E-2</v>
      </c>
      <c r="D543" s="5">
        <v>1259.9000000000001</v>
      </c>
      <c r="E543" s="1">
        <f>Tabela9[[#This Row],[Força (N)]]/$I$5</f>
        <v>29730329.230536889</v>
      </c>
      <c r="F543" s="1">
        <f>Tabela9[[#This Row],[Tensão (Pa)]]/1000000</f>
        <v>29.730329230536888</v>
      </c>
    </row>
    <row r="544" spans="1:6" x14ac:dyDescent="0.3">
      <c r="A544" s="5">
        <v>47.2</v>
      </c>
      <c r="B544" s="5">
        <v>3.9253999999999998</v>
      </c>
      <c r="C544" s="1">
        <f>Tabela9[[#This Row],[Alongamento (mm/mm)]]/$I$2</f>
        <v>7.8507999999999994E-2</v>
      </c>
      <c r="D544" s="5">
        <v>1270</v>
      </c>
      <c r="E544" s="1">
        <f>Tabela9[[#This Row],[Força (N)]]/$I$5</f>
        <v>29968662.689722873</v>
      </c>
      <c r="F544" s="1">
        <f>Tabela9[[#This Row],[Tensão (Pa)]]/1000000</f>
        <v>29.968662689722873</v>
      </c>
    </row>
    <row r="545" spans="1:6" x14ac:dyDescent="0.3">
      <c r="A545" s="5">
        <v>47.417000000000002</v>
      </c>
      <c r="B545" s="5">
        <v>3.9434</v>
      </c>
      <c r="C545" s="1">
        <f>Tabela9[[#This Row],[Alongamento (mm/mm)]]/$I$2</f>
        <v>7.8867999999999994E-2</v>
      </c>
      <c r="D545" s="5">
        <v>1280</v>
      </c>
      <c r="E545" s="1">
        <f>Tabela9[[#This Row],[Força (N)]]/$I$5</f>
        <v>30204636.411689196</v>
      </c>
      <c r="F545" s="1">
        <f>Tabela9[[#This Row],[Tensão (Pa)]]/1000000</f>
        <v>30.204636411689197</v>
      </c>
    </row>
    <row r="546" spans="1:6" x14ac:dyDescent="0.3">
      <c r="A546" s="5">
        <v>47.633000000000003</v>
      </c>
      <c r="B546" s="5">
        <v>3.9615</v>
      </c>
      <c r="C546" s="1">
        <f>Tabela9[[#This Row],[Alongamento (mm/mm)]]/$I$2</f>
        <v>7.9229999999999995E-2</v>
      </c>
      <c r="D546" s="5">
        <v>1290</v>
      </c>
      <c r="E546" s="1">
        <f>Tabela9[[#This Row],[Força (N)]]/$I$5</f>
        <v>30440610.133655518</v>
      </c>
      <c r="F546" s="1">
        <f>Tabela9[[#This Row],[Tensão (Pa)]]/1000000</f>
        <v>30.440610133655518</v>
      </c>
    </row>
    <row r="547" spans="1:6" x14ac:dyDescent="0.3">
      <c r="A547" s="5">
        <v>47.85</v>
      </c>
      <c r="B547" s="5">
        <v>3.9794999999999998</v>
      </c>
      <c r="C547" s="1">
        <f>Tabela9[[#This Row],[Alongamento (mm/mm)]]/$I$2</f>
        <v>7.9589999999999994E-2</v>
      </c>
      <c r="D547" s="5">
        <v>1300.0999999999999</v>
      </c>
      <c r="E547" s="1">
        <f>Tabela9[[#This Row],[Força (N)]]/$I$5</f>
        <v>30678943.592841499</v>
      </c>
      <c r="F547" s="1">
        <f>Tabela9[[#This Row],[Tensão (Pa)]]/1000000</f>
        <v>30.678943592841499</v>
      </c>
    </row>
    <row r="548" spans="1:6" x14ac:dyDescent="0.3">
      <c r="A548" s="5">
        <v>48.067</v>
      </c>
      <c r="B548" s="5">
        <v>3.9975999999999998</v>
      </c>
      <c r="C548" s="1">
        <f>Tabela9[[#This Row],[Alongamento (mm/mm)]]/$I$2</f>
        <v>7.9951999999999995E-2</v>
      </c>
      <c r="D548" s="5">
        <v>1309.9000000000001</v>
      </c>
      <c r="E548" s="1">
        <f>Tabela9[[#This Row],[Força (N)]]/$I$5</f>
        <v>30910197.840368498</v>
      </c>
      <c r="F548" s="1">
        <f>Tabela9[[#This Row],[Tensão (Pa)]]/1000000</f>
        <v>30.910197840368497</v>
      </c>
    </row>
    <row r="549" spans="1:6" x14ac:dyDescent="0.3">
      <c r="A549" s="5">
        <v>48.3</v>
      </c>
      <c r="B549" s="5">
        <v>4.0170000000000003</v>
      </c>
      <c r="C549" s="1">
        <f>Tabela9[[#This Row],[Alongamento (mm/mm)]]/$I$2</f>
        <v>8.0340000000000009E-2</v>
      </c>
      <c r="D549" s="5">
        <v>1320.6</v>
      </c>
      <c r="E549" s="1">
        <f>Tabela9[[#This Row],[Força (N)]]/$I$5</f>
        <v>31162689.722872458</v>
      </c>
      <c r="F549" s="1">
        <f>Tabela9[[#This Row],[Tensão (Pa)]]/1000000</f>
        <v>31.162689722872457</v>
      </c>
    </row>
    <row r="550" spans="1:6" x14ac:dyDescent="0.3">
      <c r="A550" s="5">
        <v>48.533000000000001</v>
      </c>
      <c r="B550" s="5">
        <v>4.0365000000000002</v>
      </c>
      <c r="C550" s="1">
        <f>Tabela9[[#This Row],[Alongamento (mm/mm)]]/$I$2</f>
        <v>8.073000000000001E-2</v>
      </c>
      <c r="D550" s="5">
        <v>1331.2</v>
      </c>
      <c r="E550" s="1">
        <f>Tabela9[[#This Row],[Força (N)]]/$I$5</f>
        <v>31412821.868156765</v>
      </c>
      <c r="F550" s="1">
        <f>Tabela9[[#This Row],[Tensão (Pa)]]/1000000</f>
        <v>31.412821868156765</v>
      </c>
    </row>
    <row r="551" spans="1:6" x14ac:dyDescent="0.3">
      <c r="A551" s="5">
        <v>48.767000000000003</v>
      </c>
      <c r="B551" s="5">
        <v>4.0559000000000003</v>
      </c>
      <c r="C551" s="1">
        <f>Tabela9[[#This Row],[Alongamento (mm/mm)]]/$I$2</f>
        <v>8.111800000000001E-2</v>
      </c>
      <c r="D551" s="5">
        <v>1341.9</v>
      </c>
      <c r="E551" s="1">
        <f>Tabela9[[#This Row],[Força (N)]]/$I$5</f>
        <v>31665313.750660729</v>
      </c>
      <c r="F551" s="1">
        <f>Tabela9[[#This Row],[Tensão (Pa)]]/1000000</f>
        <v>31.665313750660729</v>
      </c>
    </row>
    <row r="552" spans="1:6" x14ac:dyDescent="0.3">
      <c r="A552" s="5">
        <v>49</v>
      </c>
      <c r="B552" s="5">
        <v>4.0754000000000001</v>
      </c>
      <c r="C552" s="1">
        <f>Tabela9[[#This Row],[Alongamento (mm/mm)]]/$I$2</f>
        <v>8.1507999999999997E-2</v>
      </c>
      <c r="D552" s="5">
        <v>1352.6</v>
      </c>
      <c r="E552" s="1">
        <f>Tabela9[[#This Row],[Força (N)]]/$I$5</f>
        <v>31917805.633164689</v>
      </c>
      <c r="F552" s="1">
        <f>Tabela9[[#This Row],[Tensão (Pa)]]/1000000</f>
        <v>31.91780563316469</v>
      </c>
    </row>
    <row r="553" spans="1:6" x14ac:dyDescent="0.3">
      <c r="A553" s="5">
        <v>49.232999999999997</v>
      </c>
      <c r="B553" s="5">
        <v>4.0946999999999996</v>
      </c>
      <c r="C553" s="1">
        <f>Tabela9[[#This Row],[Alongamento (mm/mm)]]/$I$2</f>
        <v>8.1893999999999995E-2</v>
      </c>
      <c r="D553" s="5">
        <v>1363.3</v>
      </c>
      <c r="E553" s="1">
        <f>Tabela9[[#This Row],[Força (N)]]/$I$5</f>
        <v>32170297.515668657</v>
      </c>
      <c r="F553" s="1">
        <f>Tabela9[[#This Row],[Tensão (Pa)]]/1000000</f>
        <v>32.170297515668658</v>
      </c>
    </row>
    <row r="554" spans="1:6" x14ac:dyDescent="0.3">
      <c r="A554" s="5">
        <v>49.466999999999999</v>
      </c>
      <c r="B554" s="5">
        <v>4.1143000000000001</v>
      </c>
      <c r="C554" s="1">
        <f>Tabela9[[#This Row],[Alongamento (mm/mm)]]/$I$2</f>
        <v>8.2285999999999998E-2</v>
      </c>
      <c r="D554" s="5">
        <v>1374.1</v>
      </c>
      <c r="E554" s="1">
        <f>Tabela9[[#This Row],[Força (N)]]/$I$5</f>
        <v>32425149.135392282</v>
      </c>
      <c r="F554" s="1">
        <f>Tabela9[[#This Row],[Tensão (Pa)]]/1000000</f>
        <v>32.425149135392282</v>
      </c>
    </row>
    <row r="555" spans="1:6" x14ac:dyDescent="0.3">
      <c r="A555" s="5">
        <v>49.7</v>
      </c>
      <c r="B555" s="5">
        <v>4.1337000000000002</v>
      </c>
      <c r="C555" s="1">
        <f>Tabela9[[#This Row],[Alongamento (mm/mm)]]/$I$2</f>
        <v>8.2673999999999997E-2</v>
      </c>
      <c r="D555" s="5">
        <v>1384.8</v>
      </c>
      <c r="E555" s="1">
        <f>Tabela9[[#This Row],[Força (N)]]/$I$5</f>
        <v>32677641.017896246</v>
      </c>
      <c r="F555" s="1">
        <f>Tabela9[[#This Row],[Tensão (Pa)]]/1000000</f>
        <v>32.677641017896249</v>
      </c>
    </row>
    <row r="556" spans="1:6" x14ac:dyDescent="0.3">
      <c r="A556" s="5">
        <v>49.933</v>
      </c>
      <c r="B556" s="5">
        <v>4.1532</v>
      </c>
      <c r="C556" s="1">
        <f>Tabela9[[#This Row],[Alongamento (mm/mm)]]/$I$2</f>
        <v>8.3063999999999999E-2</v>
      </c>
      <c r="D556" s="5">
        <v>1395.5</v>
      </c>
      <c r="E556" s="1">
        <f>Tabela9[[#This Row],[Força (N)]]/$I$5</f>
        <v>32930132.900400214</v>
      </c>
      <c r="F556" s="1">
        <f>Tabela9[[#This Row],[Tensão (Pa)]]/1000000</f>
        <v>32.930132900400217</v>
      </c>
    </row>
    <row r="557" spans="1:6" x14ac:dyDescent="0.3">
      <c r="A557" s="5">
        <v>50.183</v>
      </c>
      <c r="B557" s="5">
        <v>4.1740000000000004</v>
      </c>
      <c r="C557" s="1">
        <f>Tabela9[[#This Row],[Alongamento (mm/mm)]]/$I$2</f>
        <v>8.3480000000000013E-2</v>
      </c>
      <c r="D557" s="5">
        <v>1406.9</v>
      </c>
      <c r="E557" s="1">
        <f>Tabela9[[#This Row],[Força (N)]]/$I$5</f>
        <v>33199142.943441823</v>
      </c>
      <c r="F557" s="1">
        <f>Tabela9[[#This Row],[Tensão (Pa)]]/1000000</f>
        <v>33.199142943441821</v>
      </c>
    </row>
    <row r="558" spans="1:6" x14ac:dyDescent="0.3">
      <c r="A558" s="5">
        <v>50.433</v>
      </c>
      <c r="B558" s="5">
        <v>4.1948999999999996</v>
      </c>
      <c r="C558" s="1">
        <f>Tabela9[[#This Row],[Alongamento (mm/mm)]]/$I$2</f>
        <v>8.3897999999999986E-2</v>
      </c>
      <c r="D558" s="5">
        <v>1418.3</v>
      </c>
      <c r="E558" s="1">
        <f>Tabela9[[#This Row],[Força (N)]]/$I$5</f>
        <v>33468152.986483425</v>
      </c>
      <c r="F558" s="1">
        <f>Tabela9[[#This Row],[Tensão (Pa)]]/1000000</f>
        <v>33.468152986483425</v>
      </c>
    </row>
    <row r="559" spans="1:6" x14ac:dyDescent="0.3">
      <c r="A559" s="5">
        <v>50.683</v>
      </c>
      <c r="B559" s="5">
        <v>4.2156000000000002</v>
      </c>
      <c r="C559" s="1">
        <f>Tabela9[[#This Row],[Alongamento (mm/mm)]]/$I$2</f>
        <v>8.4311999999999998E-2</v>
      </c>
      <c r="D559" s="5">
        <v>1429.5</v>
      </c>
      <c r="E559" s="1">
        <f>Tabela9[[#This Row],[Força (N)]]/$I$5</f>
        <v>33732443.555085704</v>
      </c>
      <c r="F559" s="1">
        <f>Tabela9[[#This Row],[Tensão (Pa)]]/1000000</f>
        <v>33.732443555085702</v>
      </c>
    </row>
    <row r="560" spans="1:6" x14ac:dyDescent="0.3">
      <c r="A560" s="5">
        <v>50.933</v>
      </c>
      <c r="B560" s="5">
        <v>4.2365000000000004</v>
      </c>
      <c r="C560" s="1">
        <f>Tabela9[[#This Row],[Alongamento (mm/mm)]]/$I$2</f>
        <v>8.4730000000000014E-2</v>
      </c>
      <c r="D560" s="5">
        <v>1440.7</v>
      </c>
      <c r="E560" s="1">
        <f>Tabela9[[#This Row],[Força (N)]]/$I$5</f>
        <v>33996734.12368799</v>
      </c>
      <c r="F560" s="1">
        <f>Tabela9[[#This Row],[Tensão (Pa)]]/1000000</f>
        <v>33.996734123687993</v>
      </c>
    </row>
    <row r="561" spans="1:6" x14ac:dyDescent="0.3">
      <c r="A561" s="5">
        <v>51.183</v>
      </c>
      <c r="B561" s="5">
        <v>4.2572999999999999</v>
      </c>
      <c r="C561" s="1">
        <f>Tabela9[[#This Row],[Alongamento (mm/mm)]]/$I$2</f>
        <v>8.5145999999999999E-2</v>
      </c>
      <c r="D561" s="5">
        <v>1452.1</v>
      </c>
      <c r="E561" s="1">
        <f>Tabela9[[#This Row],[Força (N)]]/$I$5</f>
        <v>34265744.166729592</v>
      </c>
      <c r="F561" s="1">
        <f>Tabela9[[#This Row],[Tensão (Pa)]]/1000000</f>
        <v>34.26574416672959</v>
      </c>
    </row>
    <row r="562" spans="1:6" x14ac:dyDescent="0.3">
      <c r="A562" s="5">
        <v>51.433</v>
      </c>
      <c r="B562" s="5">
        <v>4.2782</v>
      </c>
      <c r="C562" s="1">
        <f>Tabela9[[#This Row],[Alongamento (mm/mm)]]/$I$2</f>
        <v>8.5564000000000001E-2</v>
      </c>
      <c r="D562" s="5">
        <v>1463.7</v>
      </c>
      <c r="E562" s="1">
        <f>Tabela9[[#This Row],[Força (N)]]/$I$5</f>
        <v>34539473.684210531</v>
      </c>
      <c r="F562" s="1">
        <f>Tabela9[[#This Row],[Tensão (Pa)]]/1000000</f>
        <v>34.539473684210535</v>
      </c>
    </row>
    <row r="563" spans="1:6" x14ac:dyDescent="0.3">
      <c r="A563" s="5">
        <v>51.683</v>
      </c>
      <c r="B563" s="5">
        <v>4.2990000000000004</v>
      </c>
      <c r="C563" s="1">
        <f>Tabela9[[#This Row],[Alongamento (mm/mm)]]/$I$2</f>
        <v>8.5980000000000001E-2</v>
      </c>
      <c r="D563" s="5">
        <v>1475.3</v>
      </c>
      <c r="E563" s="1">
        <f>Tabela9[[#This Row],[Força (N)]]/$I$5</f>
        <v>34813203.201691456</v>
      </c>
      <c r="F563" s="1">
        <f>Tabela9[[#This Row],[Tensão (Pa)]]/1000000</f>
        <v>34.813203201691458</v>
      </c>
    </row>
    <row r="564" spans="1:6" x14ac:dyDescent="0.3">
      <c r="A564" s="5">
        <v>51.933</v>
      </c>
      <c r="B564" s="5">
        <v>4.3197999999999999</v>
      </c>
      <c r="C564" s="1">
        <f>Tabela9[[#This Row],[Alongamento (mm/mm)]]/$I$2</f>
        <v>8.6396000000000001E-2</v>
      </c>
      <c r="D564" s="5">
        <v>1486.7</v>
      </c>
      <c r="E564" s="1">
        <f>Tabela9[[#This Row],[Força (N)]]/$I$5</f>
        <v>35082213.244733065</v>
      </c>
      <c r="F564" s="1">
        <f>Tabela9[[#This Row],[Tensão (Pa)]]/1000000</f>
        <v>35.082213244733069</v>
      </c>
    </row>
    <row r="565" spans="1:6" x14ac:dyDescent="0.3">
      <c r="A565" s="5">
        <v>52.183</v>
      </c>
      <c r="B565" s="5">
        <v>4.3407</v>
      </c>
      <c r="C565" s="1">
        <f>Tabela9[[#This Row],[Alongamento (mm/mm)]]/$I$2</f>
        <v>8.6814000000000002E-2</v>
      </c>
      <c r="D565" s="5">
        <v>1498.2</v>
      </c>
      <c r="E565" s="1">
        <f>Tabela9[[#This Row],[Força (N)]]/$I$5</f>
        <v>35353583.024994336</v>
      </c>
      <c r="F565" s="1">
        <f>Tabela9[[#This Row],[Tensão (Pa)]]/1000000</f>
        <v>35.353583024994336</v>
      </c>
    </row>
    <row r="566" spans="1:6" x14ac:dyDescent="0.3">
      <c r="A566" s="5">
        <v>52.433</v>
      </c>
      <c r="B566" s="5">
        <v>4.3615000000000004</v>
      </c>
      <c r="C566" s="1">
        <f>Tabela9[[#This Row],[Alongamento (mm/mm)]]/$I$2</f>
        <v>8.7230000000000002E-2</v>
      </c>
      <c r="D566" s="5">
        <v>1510</v>
      </c>
      <c r="E566" s="1">
        <f>Tabela9[[#This Row],[Força (N)]]/$I$5</f>
        <v>35632032.016914599</v>
      </c>
      <c r="F566" s="1">
        <f>Tabela9[[#This Row],[Tensão (Pa)]]/1000000</f>
        <v>35.6320320169146</v>
      </c>
    </row>
    <row r="567" spans="1:6" x14ac:dyDescent="0.3">
      <c r="A567" s="5">
        <v>52.683</v>
      </c>
      <c r="B567" s="5">
        <v>4.3823999999999996</v>
      </c>
      <c r="C567" s="1">
        <f>Tabela9[[#This Row],[Alongamento (mm/mm)]]/$I$2</f>
        <v>8.764799999999999E-2</v>
      </c>
      <c r="D567" s="5">
        <v>1521.5</v>
      </c>
      <c r="E567" s="1">
        <f>Tabela9[[#This Row],[Força (N)]]/$I$5</f>
        <v>35903401.797175869</v>
      </c>
      <c r="F567" s="1">
        <f>Tabela9[[#This Row],[Tensão (Pa)]]/1000000</f>
        <v>35.903401797175867</v>
      </c>
    </row>
    <row r="568" spans="1:6" x14ac:dyDescent="0.3">
      <c r="A568" s="5">
        <v>52.933</v>
      </c>
      <c r="B568" s="5">
        <v>4.4031000000000002</v>
      </c>
      <c r="C568" s="1">
        <f>Tabela9[[#This Row],[Alongamento (mm/mm)]]/$I$2</f>
        <v>8.8062000000000001E-2</v>
      </c>
      <c r="D568" s="5">
        <v>1533.3</v>
      </c>
      <c r="E568" s="1">
        <f>Tabela9[[#This Row],[Força (N)]]/$I$5</f>
        <v>36181850.789096124</v>
      </c>
      <c r="F568" s="1">
        <f>Tabela9[[#This Row],[Tensão (Pa)]]/1000000</f>
        <v>36.181850789096124</v>
      </c>
    </row>
    <row r="569" spans="1:6" x14ac:dyDescent="0.3">
      <c r="A569" s="5">
        <v>53.183</v>
      </c>
      <c r="B569" s="5">
        <v>4.4240000000000004</v>
      </c>
      <c r="C569" s="1">
        <f>Tabela9[[#This Row],[Alongamento (mm/mm)]]/$I$2</f>
        <v>8.8480000000000003E-2</v>
      </c>
      <c r="D569" s="5">
        <v>1545.2</v>
      </c>
      <c r="E569" s="1">
        <f>Tabela9[[#This Row],[Força (N)]]/$I$5</f>
        <v>36462659.518236049</v>
      </c>
      <c r="F569" s="1">
        <f>Tabela9[[#This Row],[Tensão (Pa)]]/1000000</f>
        <v>36.462659518236052</v>
      </c>
    </row>
    <row r="570" spans="1:6" x14ac:dyDescent="0.3">
      <c r="A570" s="5">
        <v>53.45</v>
      </c>
      <c r="B570" s="5">
        <v>4.4461000000000004</v>
      </c>
      <c r="C570" s="1">
        <f>Tabela9[[#This Row],[Alongamento (mm/mm)]]/$I$2</f>
        <v>8.8922000000000001E-2</v>
      </c>
      <c r="D570" s="5">
        <v>1557.8</v>
      </c>
      <c r="E570" s="1">
        <f>Tabela9[[#This Row],[Força (N)]]/$I$5</f>
        <v>36759986.407913618</v>
      </c>
      <c r="F570" s="1">
        <f>Tabela9[[#This Row],[Tensão (Pa)]]/1000000</f>
        <v>36.759986407913615</v>
      </c>
    </row>
    <row r="571" spans="1:6" x14ac:dyDescent="0.3">
      <c r="A571" s="5">
        <v>53.716999999999999</v>
      </c>
      <c r="B571" s="5">
        <v>4.4683999999999999</v>
      </c>
      <c r="C571" s="1">
        <f>Tabela9[[#This Row],[Alongamento (mm/mm)]]/$I$2</f>
        <v>8.9368000000000003E-2</v>
      </c>
      <c r="D571" s="5">
        <v>1570.2</v>
      </c>
      <c r="E571" s="1">
        <f>Tabela9[[#This Row],[Força (N)]]/$I$5</f>
        <v>37052593.823151857</v>
      </c>
      <c r="F571" s="1">
        <f>Tabela9[[#This Row],[Tensão (Pa)]]/1000000</f>
        <v>37.052593823151859</v>
      </c>
    </row>
    <row r="572" spans="1:6" x14ac:dyDescent="0.3">
      <c r="A572" s="5">
        <v>53.982999999999997</v>
      </c>
      <c r="B572" s="5">
        <v>4.4905999999999997</v>
      </c>
      <c r="C572" s="1">
        <f>Tabela9[[#This Row],[Alongamento (mm/mm)]]/$I$2</f>
        <v>8.9811999999999989E-2</v>
      </c>
      <c r="D572" s="5">
        <v>1582.4</v>
      </c>
      <c r="E572" s="1">
        <f>Tabela9[[#This Row],[Força (N)]]/$I$5</f>
        <v>37340481.763950773</v>
      </c>
      <c r="F572" s="1">
        <f>Tabela9[[#This Row],[Tensão (Pa)]]/1000000</f>
        <v>37.34048176395077</v>
      </c>
    </row>
    <row r="573" spans="1:6" x14ac:dyDescent="0.3">
      <c r="A573" s="5">
        <v>54.267000000000003</v>
      </c>
      <c r="B573" s="5">
        <v>4.5141999999999998</v>
      </c>
      <c r="C573" s="1">
        <f>Tabela9[[#This Row],[Alongamento (mm/mm)]]/$I$2</f>
        <v>9.0283999999999989E-2</v>
      </c>
      <c r="D573" s="5">
        <v>1595.2</v>
      </c>
      <c r="E573" s="1">
        <f>Tabela9[[#This Row],[Força (N)]]/$I$5</f>
        <v>37642528.128067657</v>
      </c>
      <c r="F573" s="1">
        <f>Tabela9[[#This Row],[Tensão (Pa)]]/1000000</f>
        <v>37.64252812806766</v>
      </c>
    </row>
    <row r="574" spans="1:6" x14ac:dyDescent="0.3">
      <c r="A574" s="5">
        <v>54.55</v>
      </c>
      <c r="B574" s="5">
        <v>4.5378999999999996</v>
      </c>
      <c r="C574" s="1">
        <f>Tabela9[[#This Row],[Alongamento (mm/mm)]]/$I$2</f>
        <v>9.0757999999999991E-2</v>
      </c>
      <c r="D574" s="5">
        <v>1607.8</v>
      </c>
      <c r="E574" s="1">
        <f>Tabela9[[#This Row],[Força (N)]]/$I$5</f>
        <v>37939855.017745227</v>
      </c>
      <c r="F574" s="1">
        <f>Tabela9[[#This Row],[Tensão (Pa)]]/1000000</f>
        <v>37.939855017745224</v>
      </c>
    </row>
    <row r="575" spans="1:6" x14ac:dyDescent="0.3">
      <c r="A575" s="5">
        <v>54.832999999999998</v>
      </c>
      <c r="B575" s="5">
        <v>4.5613999999999999</v>
      </c>
      <c r="C575" s="1">
        <f>Tabela9[[#This Row],[Alongamento (mm/mm)]]/$I$2</f>
        <v>9.1228000000000004E-2</v>
      </c>
      <c r="D575" s="5">
        <v>1620.4</v>
      </c>
      <c r="E575" s="1">
        <f>Tabela9[[#This Row],[Força (N)]]/$I$5</f>
        <v>38237181.907422796</v>
      </c>
      <c r="F575" s="1">
        <f>Tabela9[[#This Row],[Tensão (Pa)]]/1000000</f>
        <v>38.237181907422794</v>
      </c>
    </row>
    <row r="576" spans="1:6" x14ac:dyDescent="0.3">
      <c r="A576" s="5">
        <v>55.116999999999997</v>
      </c>
      <c r="B576" s="5">
        <v>4.5850999999999997</v>
      </c>
      <c r="C576" s="1">
        <f>Tabela9[[#This Row],[Alongamento (mm/mm)]]/$I$2</f>
        <v>9.1701999999999992E-2</v>
      </c>
      <c r="D576" s="5">
        <v>1632.9</v>
      </c>
      <c r="E576" s="1">
        <f>Tabela9[[#This Row],[Força (N)]]/$I$5</f>
        <v>38532149.059880696</v>
      </c>
      <c r="F576" s="1">
        <f>Tabela9[[#This Row],[Tensão (Pa)]]/1000000</f>
        <v>38.532149059880695</v>
      </c>
    </row>
    <row r="577" spans="1:6" x14ac:dyDescent="0.3">
      <c r="A577" s="5">
        <v>55.4</v>
      </c>
      <c r="B577" s="5">
        <v>4.6086999999999998</v>
      </c>
      <c r="C577" s="1">
        <f>Tabela9[[#This Row],[Alongamento (mm/mm)]]/$I$2</f>
        <v>9.2173999999999992E-2</v>
      </c>
      <c r="D577" s="5">
        <v>1645.7</v>
      </c>
      <c r="E577" s="1">
        <f>Tabela9[[#This Row],[Força (N)]]/$I$5</f>
        <v>38834195.423997588</v>
      </c>
      <c r="F577" s="1">
        <f>Tabela9[[#This Row],[Tensão (Pa)]]/1000000</f>
        <v>38.834195423997592</v>
      </c>
    </row>
    <row r="578" spans="1:6" x14ac:dyDescent="0.3">
      <c r="A578" s="5">
        <v>55.683</v>
      </c>
      <c r="B578" s="5">
        <v>4.6322000000000001</v>
      </c>
      <c r="C578" s="1">
        <f>Tabela9[[#This Row],[Alongamento (mm/mm)]]/$I$2</f>
        <v>9.2644000000000004E-2</v>
      </c>
      <c r="D578" s="5">
        <v>1658.5</v>
      </c>
      <c r="E578" s="1">
        <f>Tabela9[[#This Row],[Força (N)]]/$I$5</f>
        <v>39136241.788114473</v>
      </c>
      <c r="F578" s="1">
        <f>Tabela9[[#This Row],[Tensão (Pa)]]/1000000</f>
        <v>39.136241788114475</v>
      </c>
    </row>
    <row r="579" spans="1:6" x14ac:dyDescent="0.3">
      <c r="A579" s="5">
        <v>55.982999999999997</v>
      </c>
      <c r="B579" s="5">
        <v>4.6574</v>
      </c>
      <c r="C579" s="1">
        <f>Tabela9[[#This Row],[Alongamento (mm/mm)]]/$I$2</f>
        <v>9.3147999999999995E-2</v>
      </c>
      <c r="D579" s="5">
        <v>1671.9</v>
      </c>
      <c r="E579" s="1">
        <f>Tabela9[[#This Row],[Força (N)]]/$I$5</f>
        <v>39452446.575549349</v>
      </c>
      <c r="F579" s="1">
        <f>Tabela9[[#This Row],[Tensão (Pa)]]/1000000</f>
        <v>39.452446575549352</v>
      </c>
    </row>
    <row r="580" spans="1:6" x14ac:dyDescent="0.3">
      <c r="A580" s="5">
        <v>56.283000000000001</v>
      </c>
      <c r="B580" s="5">
        <v>4.6822999999999997</v>
      </c>
      <c r="C580" s="1">
        <f>Tabela9[[#This Row],[Alongamento (mm/mm)]]/$I$2</f>
        <v>9.3645999999999993E-2</v>
      </c>
      <c r="D580" s="5">
        <v>1685.2</v>
      </c>
      <c r="E580" s="1">
        <f>Tabela9[[#This Row],[Força (N)]]/$I$5</f>
        <v>39766291.625764556</v>
      </c>
      <c r="F580" s="1">
        <f>Tabela9[[#This Row],[Tensão (Pa)]]/1000000</f>
        <v>39.766291625764559</v>
      </c>
    </row>
    <row r="581" spans="1:6" x14ac:dyDescent="0.3">
      <c r="A581" s="5">
        <v>56.582999999999998</v>
      </c>
      <c r="B581" s="5">
        <v>4.7073</v>
      </c>
      <c r="C581" s="1">
        <f>Tabela9[[#This Row],[Alongamento (mm/mm)]]/$I$2</f>
        <v>9.4146000000000007E-2</v>
      </c>
      <c r="D581" s="5">
        <v>1698.4</v>
      </c>
      <c r="E581" s="1">
        <f>Tabela9[[#This Row],[Força (N)]]/$I$5</f>
        <v>40077776.938760102</v>
      </c>
      <c r="F581" s="1">
        <f>Tabela9[[#This Row],[Tensão (Pa)]]/1000000</f>
        <v>40.077776938760103</v>
      </c>
    </row>
    <row r="582" spans="1:6" x14ac:dyDescent="0.3">
      <c r="A582" s="5">
        <v>56.883000000000003</v>
      </c>
      <c r="B582" s="5">
        <v>4.7323000000000004</v>
      </c>
      <c r="C582" s="1">
        <f>Tabela9[[#This Row],[Alongamento (mm/mm)]]/$I$2</f>
        <v>9.4646000000000008E-2</v>
      </c>
      <c r="D582" s="5">
        <v>1711.7</v>
      </c>
      <c r="E582" s="1">
        <f>Tabela9[[#This Row],[Força (N)]]/$I$5</f>
        <v>40391621.988975309</v>
      </c>
      <c r="F582" s="1">
        <f>Tabela9[[#This Row],[Tensão (Pa)]]/1000000</f>
        <v>40.391621988975309</v>
      </c>
    </row>
    <row r="583" spans="1:6" x14ac:dyDescent="0.3">
      <c r="A583" s="5">
        <v>57.183</v>
      </c>
      <c r="B583" s="5">
        <v>4.7572999999999999</v>
      </c>
      <c r="C583" s="1">
        <f>Tabela9[[#This Row],[Alongamento (mm/mm)]]/$I$2</f>
        <v>9.5145999999999994E-2</v>
      </c>
      <c r="D583" s="5">
        <v>1725.3</v>
      </c>
      <c r="E583" s="1">
        <f>Tabela9[[#This Row],[Força (N)]]/$I$5</f>
        <v>40712546.250849508</v>
      </c>
      <c r="F583" s="1">
        <f>Tabela9[[#This Row],[Tensão (Pa)]]/1000000</f>
        <v>40.712546250849506</v>
      </c>
    </row>
    <row r="584" spans="1:6" x14ac:dyDescent="0.3">
      <c r="A584" s="5">
        <v>57.5</v>
      </c>
      <c r="B584" s="5">
        <v>4.7835999999999999</v>
      </c>
      <c r="C584" s="1">
        <f>Tabela9[[#This Row],[Alongamento (mm/mm)]]/$I$2</f>
        <v>9.5671999999999993E-2</v>
      </c>
      <c r="D584" s="5">
        <v>1739.1</v>
      </c>
      <c r="E584" s="1">
        <f>Tabela9[[#This Row],[Força (N)]]/$I$5</f>
        <v>41038189.98716303</v>
      </c>
      <c r="F584" s="1">
        <f>Tabela9[[#This Row],[Tensão (Pa)]]/1000000</f>
        <v>41.03818998716303</v>
      </c>
    </row>
    <row r="585" spans="1:6" x14ac:dyDescent="0.3">
      <c r="A585" s="5">
        <v>57.8</v>
      </c>
      <c r="B585" s="5">
        <v>4.8087</v>
      </c>
      <c r="C585" s="1">
        <f>Tabela9[[#This Row],[Alongamento (mm/mm)]]/$I$2</f>
        <v>9.6173999999999996E-2</v>
      </c>
      <c r="D585" s="5">
        <v>1752.5</v>
      </c>
      <c r="E585" s="1">
        <f>Tabela9[[#This Row],[Força (N)]]/$I$5</f>
        <v>41354394.774597898</v>
      </c>
      <c r="F585" s="1">
        <f>Tabela9[[#This Row],[Tensão (Pa)]]/1000000</f>
        <v>41.3543947745979</v>
      </c>
    </row>
    <row r="586" spans="1:6" x14ac:dyDescent="0.3">
      <c r="A586" s="5">
        <v>58.1</v>
      </c>
      <c r="B586" s="5">
        <v>4.8337000000000003</v>
      </c>
      <c r="C586" s="1">
        <f>Tabela9[[#This Row],[Alongamento (mm/mm)]]/$I$2</f>
        <v>9.667400000000001E-2</v>
      </c>
      <c r="D586" s="5">
        <v>1766.3</v>
      </c>
      <c r="E586" s="1">
        <f>Tabela9[[#This Row],[Força (N)]]/$I$5</f>
        <v>41680038.510911427</v>
      </c>
      <c r="F586" s="1">
        <f>Tabela9[[#This Row],[Tensão (Pa)]]/1000000</f>
        <v>41.68003851091143</v>
      </c>
    </row>
    <row r="587" spans="1:6" x14ac:dyDescent="0.3">
      <c r="A587" s="5">
        <v>58.4</v>
      </c>
      <c r="B587" s="5">
        <v>4.8586999999999998</v>
      </c>
      <c r="C587" s="1">
        <f>Tabela9[[#This Row],[Alongamento (mm/mm)]]/$I$2</f>
        <v>9.7173999999999996E-2</v>
      </c>
      <c r="D587" s="5">
        <v>1780.1</v>
      </c>
      <c r="E587" s="1">
        <f>Tabela9[[#This Row],[Força (N)]]/$I$5</f>
        <v>42005682.247224949</v>
      </c>
      <c r="F587" s="1">
        <f>Tabela9[[#This Row],[Tensão (Pa)]]/1000000</f>
        <v>42.005682247224946</v>
      </c>
    </row>
    <row r="588" spans="1:6" x14ac:dyDescent="0.3">
      <c r="A588" s="5">
        <v>58.716999999999999</v>
      </c>
      <c r="B588" s="5">
        <v>4.8851000000000004</v>
      </c>
      <c r="C588" s="1">
        <f>Tabela9[[#This Row],[Alongamento (mm/mm)]]/$I$2</f>
        <v>9.7702000000000011E-2</v>
      </c>
      <c r="D588" s="5">
        <v>1794.4</v>
      </c>
      <c r="E588" s="1">
        <f>Tabela9[[#This Row],[Força (N)]]/$I$5</f>
        <v>42343124.669636793</v>
      </c>
      <c r="F588" s="1">
        <f>Tabela9[[#This Row],[Tensão (Pa)]]/1000000</f>
        <v>42.343124669636794</v>
      </c>
    </row>
    <row r="589" spans="1:6" x14ac:dyDescent="0.3">
      <c r="A589" s="5">
        <v>59.033000000000001</v>
      </c>
      <c r="B589" s="5">
        <v>4.9114000000000004</v>
      </c>
      <c r="C589" s="1">
        <f>Tabela9[[#This Row],[Alongamento (mm/mm)]]/$I$2</f>
        <v>9.822800000000001E-2</v>
      </c>
      <c r="D589" s="5">
        <v>1808.5</v>
      </c>
      <c r="E589" s="1">
        <f>Tabela9[[#This Row],[Força (N)]]/$I$5</f>
        <v>42675847.617609307</v>
      </c>
      <c r="F589" s="1">
        <f>Tabela9[[#This Row],[Tensão (Pa)]]/1000000</f>
        <v>42.675847617609307</v>
      </c>
    </row>
    <row r="590" spans="1:6" x14ac:dyDescent="0.3">
      <c r="A590" s="5">
        <v>59.35</v>
      </c>
      <c r="B590" s="5">
        <v>4.9379</v>
      </c>
      <c r="C590" s="1">
        <f>Tabela9[[#This Row],[Alongamento (mm/mm)]]/$I$2</f>
        <v>9.8757999999999999E-2</v>
      </c>
      <c r="D590" s="5">
        <v>1822.6</v>
      </c>
      <c r="E590" s="1">
        <f>Tabela9[[#This Row],[Força (N)]]/$I$5</f>
        <v>43008570.565581813</v>
      </c>
      <c r="F590" s="1">
        <f>Tabela9[[#This Row],[Tensão (Pa)]]/1000000</f>
        <v>43.008570565581813</v>
      </c>
    </row>
    <row r="591" spans="1:6" x14ac:dyDescent="0.3">
      <c r="A591" s="5">
        <v>59.667000000000002</v>
      </c>
      <c r="B591" s="5">
        <v>4.9641999999999999</v>
      </c>
      <c r="C591" s="1">
        <f>Tabela9[[#This Row],[Alongamento (mm/mm)]]/$I$2</f>
        <v>9.9283999999999997E-2</v>
      </c>
      <c r="D591" s="5">
        <v>1836.6</v>
      </c>
      <c r="E591" s="1">
        <f>Tabela9[[#This Row],[Força (N)]]/$I$5</f>
        <v>43338933.776334666</v>
      </c>
      <c r="F591" s="1">
        <f>Tabela9[[#This Row],[Tensão (Pa)]]/1000000</f>
        <v>43.338933776334663</v>
      </c>
    </row>
    <row r="592" spans="1:6" x14ac:dyDescent="0.3">
      <c r="A592" s="5">
        <v>60</v>
      </c>
      <c r="B592" s="5">
        <v>4.9920999999999998</v>
      </c>
      <c r="C592" s="1">
        <f>Tabela9[[#This Row],[Alongamento (mm/mm)]]/$I$2</f>
        <v>9.9842E-2</v>
      </c>
      <c r="D592" s="5">
        <v>1851.2</v>
      </c>
      <c r="E592" s="1">
        <f>Tabela9[[#This Row],[Força (N)]]/$I$5</f>
        <v>43683455.410405502</v>
      </c>
      <c r="F592" s="1">
        <f>Tabela9[[#This Row],[Tensão (Pa)]]/1000000</f>
        <v>43.6834554104055</v>
      </c>
    </row>
    <row r="593" spans="1:6" x14ac:dyDescent="0.3">
      <c r="A593" s="5">
        <v>60.332999999999998</v>
      </c>
      <c r="B593" s="5">
        <v>5.0198</v>
      </c>
      <c r="C593" s="1">
        <f>Tabela9[[#This Row],[Alongamento (mm/mm)]]/$I$2</f>
        <v>0.100396</v>
      </c>
      <c r="D593" s="5">
        <v>1865.5</v>
      </c>
      <c r="E593" s="1">
        <f>Tabela9[[#This Row],[Força (N)]]/$I$5</f>
        <v>44020897.832817338</v>
      </c>
      <c r="F593" s="1">
        <f>Tabela9[[#This Row],[Tensão (Pa)]]/1000000</f>
        <v>44.02089783281734</v>
      </c>
    </row>
    <row r="594" spans="1:6" x14ac:dyDescent="0.3">
      <c r="A594" s="5">
        <v>60.683</v>
      </c>
      <c r="B594" s="5">
        <v>5.0490000000000004</v>
      </c>
      <c r="C594" s="1">
        <f>Tabela9[[#This Row],[Alongamento (mm/mm)]]/$I$2</f>
        <v>0.10098000000000001</v>
      </c>
      <c r="D594" s="5">
        <v>1880.3</v>
      </c>
      <c r="E594" s="1">
        <f>Tabela9[[#This Row],[Força (N)]]/$I$5</f>
        <v>44370138.941327497</v>
      </c>
      <c r="F594" s="1">
        <f>Tabela9[[#This Row],[Tensão (Pa)]]/1000000</f>
        <v>44.370138941327497</v>
      </c>
    </row>
    <row r="595" spans="1:6" x14ac:dyDescent="0.3">
      <c r="A595" s="5">
        <v>61.033000000000001</v>
      </c>
      <c r="B595" s="5">
        <v>5.0781999999999998</v>
      </c>
      <c r="C595" s="1">
        <f>Tabela9[[#This Row],[Alongamento (mm/mm)]]/$I$2</f>
        <v>0.101564</v>
      </c>
      <c r="D595" s="5">
        <v>1894.9</v>
      </c>
      <c r="E595" s="1">
        <f>Tabela9[[#This Row],[Força (N)]]/$I$5</f>
        <v>44714660.575398326</v>
      </c>
      <c r="F595" s="1">
        <f>Tabela9[[#This Row],[Tensão (Pa)]]/1000000</f>
        <v>44.714660575398327</v>
      </c>
    </row>
    <row r="596" spans="1:6" x14ac:dyDescent="0.3">
      <c r="A596" s="5">
        <v>61.4</v>
      </c>
      <c r="B596" s="5">
        <v>5.1086999999999998</v>
      </c>
      <c r="C596" s="1">
        <f>Tabela9[[#This Row],[Alongamento (mm/mm)]]/$I$2</f>
        <v>0.102174</v>
      </c>
      <c r="D596" s="5">
        <v>1909.7</v>
      </c>
      <c r="E596" s="1">
        <f>Tabela9[[#This Row],[Força (N)]]/$I$5</f>
        <v>45063901.683908485</v>
      </c>
      <c r="F596" s="1">
        <f>Tabela9[[#This Row],[Tensão (Pa)]]/1000000</f>
        <v>45.063901683908483</v>
      </c>
    </row>
  </sheetData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208F-CAB8-4D81-83AD-95AD9A25D7FD}">
  <dimension ref="F25:H26"/>
  <sheetViews>
    <sheetView topLeftCell="B4" workbookViewId="0">
      <selection activeCell="N5" sqref="N5"/>
    </sheetView>
  </sheetViews>
  <sheetFormatPr defaultRowHeight="14.4" x14ac:dyDescent="0.3"/>
  <cols>
    <col min="6" max="6" width="16.33203125" bestFit="1" customWidth="1"/>
  </cols>
  <sheetData>
    <row r="25" spans="6:8" x14ac:dyDescent="0.3">
      <c r="F25" t="s">
        <v>13</v>
      </c>
      <c r="G25" t="s">
        <v>14</v>
      </c>
      <c r="H25" t="s">
        <v>15</v>
      </c>
    </row>
    <row r="26" spans="6:8" x14ac:dyDescent="0.3">
      <c r="F26">
        <f>STDEV('A21-1'!F583,'A21-2'!F663,'A21-3'!F666,'A21-4'!F595,'A21-5'!F596)</f>
        <v>6.3221259227537345</v>
      </c>
      <c r="G26" s="5">
        <f>AVERAGE('A21-1'!F583,'A21-2'!F663,'A21-3'!F666,'A21-4'!F595,'A21-5'!F596)</f>
        <v>46.217625763474288</v>
      </c>
      <c r="H26" s="5">
        <f>AVERAGE('A21-1'!D583,'A21-2'!D663,'A21-3'!D666,'A21-4'!D595,'A21-5'!D596)</f>
        <v>1835.48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A21-1</vt:lpstr>
      <vt:lpstr>A21-2</vt:lpstr>
      <vt:lpstr>A21-3</vt:lpstr>
      <vt:lpstr>A21-4</vt:lpstr>
      <vt:lpstr>A21-5</vt:lpstr>
      <vt:lpstr>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 Silva</dc:creator>
  <cp:keywords/>
  <dc:description/>
  <cp:lastModifiedBy>Davi Silva</cp:lastModifiedBy>
  <cp:revision/>
  <dcterms:created xsi:type="dcterms:W3CDTF">2015-06-05T18:19:34Z</dcterms:created>
  <dcterms:modified xsi:type="dcterms:W3CDTF">2024-10-25T23:41:32Z</dcterms:modified>
  <cp:category/>
  <cp:contentStatus/>
</cp:coreProperties>
</file>